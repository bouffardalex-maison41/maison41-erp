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AuditLog" sheetId="2" r:id="rId6"/>
    <sheet state="visible" name="MP Référentiel" sheetId="3" r:id="rId7"/>
    <sheet state="visible" name="Traçabilité Lots" sheetId="4" r:id="rId8"/>
    <sheet state="visible" name="Avoirs" sheetId="5" r:id="rId9"/>
    <sheet state="visible" name="Clients" sheetId="6" r:id="rId10"/>
    <sheet state="visible" name="Parc Machine" sheetId="7" r:id="rId11"/>
    <sheet state="visible" name="Utilisateurs" sheetId="8" r:id="rId12"/>
    <sheet state="visible" name="👤 Clients" sheetId="9" r:id="rId13"/>
    <sheet state="visible" name="Guide Utilisation" sheetId="10" r:id="rId14"/>
    <sheet state="visible" name="MP Referentiel" sheetId="11" r:id="rId15"/>
    <sheet state="visible" name="Recettes" sheetId="12" r:id="rId16"/>
    <sheet state="visible" name="Detail Recettes" sheetId="13" r:id="rId17"/>
    <sheet state="visible" name="Recette Vierge" sheetId="14" r:id="rId18"/>
    <sheet state="visible" name="Referentiel Gamme" sheetId="15" r:id="rId19"/>
    <sheet state="visible" name="Prix Vente" sheetId="16" r:id="rId20"/>
    <sheet state="visible" name="Analyse Marges" sheetId="17" r:id="rId21"/>
    <sheet state="visible" name="Simulateur Devis" sheetId="18" r:id="rId22"/>
    <sheet state="visible" name="Planning" sheetId="19" r:id="rId23"/>
    <sheet state="visible" name="Stock" sheetId="20" r:id="rId24"/>
    <sheet state="visible" name="Fiche Lot" sheetId="21" r:id="rId25"/>
    <sheet state="visible" name="Historique Lots" sheetId="22" r:id="rId26"/>
    <sheet state="visible" name="Ventes" sheetId="23" r:id="rId27"/>
    <sheet state="visible" name="Charges" sheetId="24" r:id="rId28"/>
    <sheet state="visible" name="Previsionnel" sheetId="25" r:id="rId29"/>
    <sheet state="visible" name="Compta" sheetId="26" r:id="rId30"/>
    <sheet state="visible" name="Config" sheetId="27" r:id="rId31"/>
    <sheet state="visible" name="Assistant Production" sheetId="28" r:id="rId32"/>
    <sheet state="visible" name="Prevision Stock" sheetId="29" r:id="rId33"/>
    <sheet state="visible" name="Achats" sheetId="30" r:id="rId34"/>
    <sheet state="visible" name="Cout de Revient" sheetId="31" r:id="rId35"/>
    <sheet state="visible" name="Pilotage Financier" sheetId="32" r:id="rId36"/>
    <sheet state="visible" name="Marches" sheetId="33" r:id="rId37"/>
    <sheet state="visible" name="HACCP" sheetId="34" r:id="rId38"/>
    <sheet state="visible" name="Plan Nettoyage" sheetId="35" r:id="rId39"/>
    <sheet state="visible" name="DDM" sheetId="36" r:id="rId40"/>
    <sheet state="visible" name="Autoclaves" sheetId="37" r:id="rId41"/>
    <sheet state="visible" name="CRM" sheetId="38" r:id="rId42"/>
    <sheet state="visible" name="CE &amp; Associations" sheetId="39" r:id="rId43"/>
    <sheet state="visible" name="Réclamations" sheetId="40" r:id="rId44"/>
    <sheet state="visible" name="Fiches Techniques" sheetId="41" r:id="rId45"/>
    <sheet state="visible" name="DUERP" sheetId="42" r:id="rId46"/>
    <sheet state="visible" name="PMS" sheetId="43" r:id="rId47"/>
    <sheet state="visible" name="Bons de Commande" sheetId="44" r:id="rId48"/>
    <sheet state="visible" name="Modele BC" sheetId="45" r:id="rId49"/>
    <sheet state="visible" name="Ulule" sheetId="46" r:id="rId50"/>
    <sheet state="visible" name="Assistant Decisions" sheetId="47" r:id="rId51"/>
  </sheets>
  <definedNames/>
  <calcPr/>
</workbook>
</file>

<file path=xl/sharedStrings.xml><?xml version="1.0" encoding="utf-8"?>
<sst xmlns="http://schemas.openxmlformats.org/spreadsheetml/2006/main" count="4234" uniqueCount="1387">
  <si>
    <t>MAISON 41 — COCKPIT QUOTIDIEN</t>
  </si>
  <si>
    <t>Conserverie artisanale · Bocaux Weck · 0 Additif · 0 Nitrite · Depuis 2023</t>
  </si>
  <si>
    <t xml:space="preserve">  VISION DU JOUR</t>
  </si>
  <si>
    <t>Production du jour</t>
  </si>
  <si>
    <t>Marches / evenements du jour</t>
  </si>
  <si>
    <t>Lots prevus, autoclaves, temps estime (feuille Planning)</t>
  </si>
  <si>
    <t>Marches, livraisons, evenements (feuille Marches)</t>
  </si>
  <si>
    <t xml:space="preserve">  INDICATEURS CLES</t>
  </si>
  <si>
    <t>CA mois en cours</t>
  </si>
  <si>
    <t>EUR</t>
  </si>
  <si>
    <t>Lots planifies 7j</t>
  </si>
  <si>
    <t>lots</t>
  </si>
  <si>
    <t>Bocaux en stock</t>
  </si>
  <si>
    <t>boc.</t>
  </si>
  <si>
    <t>Recettes actives</t>
  </si>
  <si>
    <t>rec.</t>
  </si>
  <si>
    <t>MP en rupture</t>
  </si>
  <si>
    <t>MP</t>
  </si>
  <si>
    <t>Charges fixes mensuelles</t>
  </si>
  <si>
    <t xml:space="preserve">  ACTIONS RAPIDES</t>
  </si>
  <si>
    <t>Assistant Production</t>
  </si>
  <si>
    <t>Priorites de production, lots a lancer</t>
  </si>
  <si>
    <t>Achats a lancer</t>
  </si>
  <si>
    <t>MP a commander, quantites, fournisseurs</t>
  </si>
  <si>
    <t>Marches a preparer</t>
  </si>
  <si>
    <t>Stock recommande, prevision CA</t>
  </si>
  <si>
    <t>HACCP du jour</t>
  </si>
  <si>
    <t>Enregistrements, controles, non-conformites</t>
  </si>
  <si>
    <t>DDM a surveiller</t>
  </si>
  <si>
    <t>Lots proches DDM, actions</t>
  </si>
  <si>
    <t>Pilotage financier</t>
  </si>
  <si>
    <t>Seuil de rentabilite, marge, tresorerie</t>
  </si>
  <si>
    <t xml:space="preserve">  NAVIGATION</t>
  </si>
  <si>
    <t>Referentiels</t>
  </si>
  <si>
    <t>MP Referentiel · Recettes · Detail Recettes · Prix Vente</t>
  </si>
  <si>
    <t>Operations</t>
  </si>
  <si>
    <t>Planning · Stock · Fiche Lot · Ventes · Marches</t>
  </si>
  <si>
    <t>Gestion</t>
  </si>
  <si>
    <t>Charges · Previsionnel · Compta</t>
  </si>
  <si>
    <t>Qualite</t>
  </si>
  <si>
    <t>HACCP · Plan Nettoyage · DDM · Autoclaves</t>
  </si>
  <si>
    <t>Pilotage</t>
  </si>
  <si>
    <t>Assistant Production · Assistant Decisions · CRM</t>
  </si>
  <si>
    <t>Horodatage</t>
  </si>
  <si>
    <t>Utilisateur</t>
  </si>
  <si>
    <t>Rôle</t>
  </si>
  <si>
    <t>Action</t>
  </si>
  <si>
    <t>Détail</t>
  </si>
  <si>
    <t>Alex</t>
  </si>
  <si>
    <t>?</t>
  </si>
  <si>
    <t>saveLotProduction</t>
  </si>
  <si>
    <t>{"numLot":"LOT-20260402-003","recette":"Rillettes du Chef"}</t>
  </si>
  <si>
    <t>Code MP</t>
  </si>
  <si>
    <t>Designation</t>
  </si>
  <si>
    <t>Categorie</t>
  </si>
  <si>
    <t>Unite</t>
  </si>
  <si>
    <t>Fournisseur</t>
  </si>
  <si>
    <t>Prix EUR/U</t>
  </si>
  <si>
    <t>Date MAJ</t>
  </si>
  <si>
    <t>Stock min</t>
  </si>
  <si>
    <t>Allergenes</t>
  </si>
  <si>
    <t>Notes</t>
  </si>
  <si>
    <t>N° Lot</t>
  </si>
  <si>
    <t>Date Production</t>
  </si>
  <si>
    <t>Recette</t>
  </si>
  <si>
    <t>Opérateur</t>
  </si>
  <si>
    <t>Désignation MP</t>
  </si>
  <si>
    <t>Qté consommée (kg)</t>
  </si>
  <si>
    <t>N° Lot Fournisseur</t>
  </si>
  <si>
    <t>DLC Fournisseur</t>
  </si>
  <si>
    <t>Date Réception</t>
  </si>
  <si>
    <t>URL Photo Étiquette</t>
  </si>
  <si>
    <t>URL Dossier Drive</t>
  </si>
  <si>
    <t>Date</t>
  </si>
  <si>
    <t>N° Avoir</t>
  </si>
  <si>
    <t>Type</t>
  </si>
  <si>
    <t>Client</t>
  </si>
  <si>
    <t>Gamme</t>
  </si>
  <si>
    <t>Format</t>
  </si>
  <si>
    <t>Qte</t>
  </si>
  <si>
    <t>PU HT</t>
  </si>
  <si>
    <t>Remise %</t>
  </si>
  <si>
    <t>Net HT</t>
  </si>
  <si>
    <t>TVA EUR</t>
  </si>
  <si>
    <t>TTC EUR</t>
  </si>
  <si>
    <t>Motif</t>
  </si>
  <si>
    <t>ID</t>
  </si>
  <si>
    <t>Prénom</t>
  </si>
  <si>
    <t>Nom</t>
  </si>
  <si>
    <t>Email</t>
  </si>
  <si>
    <t>Téléphone</t>
  </si>
  <si>
    <t>Adresse</t>
  </si>
  <si>
    <t>Département</t>
  </si>
  <si>
    <t>Canal</t>
  </si>
  <si>
    <t>Statut Ulule</t>
  </si>
  <si>
    <t>Vote recette</t>
  </si>
  <si>
    <t>Nb achats</t>
  </si>
  <si>
    <t>CA total</t>
  </si>
  <si>
    <t>Cap_RR290</t>
  </si>
  <si>
    <t>Cap_RR580</t>
  </si>
  <si>
    <t>Cap_RR850</t>
  </si>
  <si>
    <t>Cap_W050</t>
  </si>
  <si>
    <t>Cap_W080</t>
  </si>
  <si>
    <t>Debit_kg_h</t>
  </si>
  <si>
    <t>Conso_kW</t>
  </si>
  <si>
    <t>Statut</t>
  </si>
  <si>
    <t>PIN</t>
  </si>
  <si>
    <t>Role</t>
  </si>
  <si>
    <t>Planning</t>
  </si>
  <si>
    <t>Calculateur</t>
  </si>
  <si>
    <t>Logistique</t>
  </si>
  <si>
    <t>Machines</t>
  </si>
  <si>
    <t>Vente</t>
  </si>
  <si>
    <t>Reporting</t>
  </si>
  <si>
    <t>Doc</t>
  </si>
  <si>
    <t>Admin</t>
  </si>
  <si>
    <t>Gérant</t>
  </si>
  <si>
    <t>Jean</t>
  </si>
  <si>
    <t>Ouvrier</t>
  </si>
  <si>
    <t>Julie</t>
  </si>
  <si>
    <t>Vendeuse</t>
  </si>
  <si>
    <t>Expert</t>
  </si>
  <si>
    <t>Compta</t>
  </si>
  <si>
    <t>ID Client</t>
  </si>
  <si>
    <t>Canal origine</t>
  </si>
  <si>
    <t>Niveau Ulule</t>
  </si>
  <si>
    <t>Nb commandes</t>
  </si>
  <si>
    <t>CA total TTC</t>
  </si>
  <si>
    <t>Dernière commande</t>
  </si>
  <si>
    <t>Date création</t>
  </si>
  <si>
    <t>Source</t>
  </si>
  <si>
    <t>Sync</t>
  </si>
  <si>
    <t>MAISON 41 — GUIDE D'UTILISATION DE L'ERP — Mode d'emploi de toutes les feuilles</t>
  </si>
  <si>
    <t xml:space="preserve">  REFERENTIELS (ne pas supprimer)</t>
  </si>
  <si>
    <t>Feuille</t>
  </si>
  <si>
    <t>Quand</t>
  </si>
  <si>
    <t>Comment / Ce qu'il faut saisir</t>
  </si>
  <si>
    <t>Point d'attention</t>
  </si>
  <si>
    <t>MP Referentiel</t>
  </si>
  <si>
    <t>Saisie annuelle</t>
  </si>
  <si>
    <t>Mettre a jour le prix col F (jaune) quand le fournisseur change · Tout se recalcule</t>
  </si>
  <si>
    <t>Saisir prix en EUR/kg</t>
  </si>
  <si>
    <t>Recettes</t>
  </si>
  <si>
    <t>Creation + validation</t>
  </si>
  <si>
    <t>Renseigner allergenes (cols M-R) et valeurs nutritionnelles (cols S-W) · Statut = Actif pour apparaitre dans Planning</t>
  </si>
  <si>
    <t>Ne modifier que si recette change</t>
  </si>
  <si>
    <t>Referentiel Gamme</t>
  </si>
  <si>
    <t>Lecture seule</t>
  </si>
  <si>
    <t>Nomenclature complete des references · Codes departements · Formats</t>
  </si>
  <si>
    <t>Reference officielle</t>
  </si>
  <si>
    <t xml:space="preserve">  PRODUCTION (flux quotidien)</t>
  </si>
  <si>
    <t>Chaque jour de production</t>
  </si>
  <si>
    <t>Renseigner Date + Recette + Autoclave + Fraction → Nb bocaux se calcule · Passer en "En production" → Fiche Lot creee auto</t>
  </si>
  <si>
    <t>Statut = Termine declenche DDM</t>
  </si>
  <si>
    <t>Fiche Lot</t>
  </si>
  <si>
    <t>Pendant la production</t>
  </si>
  <si>
    <t>Completer T° coeur (CCP1 obligatoire) + Nb bocaux reels + Observations · Statut = Valide → Stock mis a jour auto</t>
  </si>
  <si>
    <t>ARCHIVER 5 ANS apres DDM</t>
  </si>
  <si>
    <t>DDM</t>
  </si>
  <si>
    <t>Automatique</t>
  </si>
  <si>
    <t>Saisir N° lot col A → Recette, Format, DDM se remplissent depuis Fiche Lot · Surveiller les dates proches</t>
  </si>
  <si>
    <t>Priorite vente si &lt; 30j</t>
  </si>
  <si>
    <t>Historique Lots</t>
  </si>
  <si>
    <t>Bilan</t>
  </si>
  <si>
    <t>Saisir N° lot → tout se remplit depuis Fiche Lot · Completer CA reel + cout reel apres vente</t>
  </si>
  <si>
    <t>Bilan mensuel</t>
  </si>
  <si>
    <t xml:space="preserve">  COMMERCIAL (flux ventes)</t>
  </si>
  <si>
    <t>Ventes</t>
  </si>
  <si>
    <t>Apres chaque vente</t>
  </si>
  <si>
    <t>Saisir date + canal + recette + format + qte + prix · La TVA et le HT se calculent depuis Config</t>
  </si>
  <si>
    <t>Source KPI Dashboard</t>
  </si>
  <si>
    <t>Bons de Commande</t>
  </si>
  <si>
    <t>Avant livraison B2B</t>
  </si>
  <si>
    <t>Saisir client + produits · Statut "Confirme" → lot Planning cree · Statut "Livre" → Vente enregistree auto</t>
  </si>
  <si>
    <t>N° facture = N° BC</t>
  </si>
  <si>
    <t>CRM</t>
  </si>
  <si>
    <t>Apres chaque contact</t>
  </si>
  <si>
    <t>Enrichir fiche client apres chaque vente · Alerte orange si B2B &gt; 90j sans commande</t>
  </si>
  <si>
    <t>Source picking Ulule</t>
  </si>
  <si>
    <t>CE &amp; Associations</t>
  </si>
  <si>
    <t>Oct-Dec</t>
  </si>
  <si>
    <t>Saisir commandes collectives · Remise calculee auto selon quantite</t>
  </si>
  <si>
    <t>Peak Oct-Dec</t>
  </si>
  <si>
    <t>Marches</t>
  </si>
  <si>
    <t>Avant chaque marche</t>
  </si>
  <si>
    <t>Renseigner date + lieu + CA previsionnel · Completer CA reel apres le marche</t>
  </si>
  <si>
    <t>Analyse canal B2C</t>
  </si>
  <si>
    <t xml:space="preserve">  FINANCE</t>
  </si>
  <si>
    <t>Prix Vente</t>
  </si>
  <si>
    <t>A chaque changement</t>
  </si>
  <si>
    <t>Saisir uniquement col C (jaune) = TTC B2C x1 · Tout le reste se calcule</t>
  </si>
  <si>
    <t>PVC conseille en note survol</t>
  </si>
  <si>
    <t>Cout de Revient</t>
  </si>
  <si>
    <t>Se recalcule quand MP Referentiel ou Detail Recettes change · Verifier marge cible Config</t>
  </si>
  <si>
    <t>Marge &lt; 30% = danger</t>
  </si>
  <si>
    <t>Previsionnel</t>
  </si>
  <si>
    <t>Mensuel</t>
  </si>
  <si>
    <t>Mettre a jour Tresorerie 13 semaines · Comparer reel vs previsionnel</t>
  </si>
  <si>
    <t>Presenter a la banque</t>
  </si>
  <si>
    <t>Saisir toutes les operations · Categories pour export expert-comptable</t>
  </si>
  <si>
    <t>Export CSV mensuel</t>
  </si>
  <si>
    <t xml:space="preserve">  DDPP &amp; QUALITE (obligations legales)</t>
  </si>
  <si>
    <t>HACCP</t>
  </si>
  <si>
    <t>Chaque controle</t>
  </si>
  <si>
    <t>Enregistrer chaque point de controle · Statut NC → Action corrective obligatoire</t>
  </si>
  <si>
    <t>5 ans archive minimum</t>
  </si>
  <si>
    <t>Plan Nettoyage</t>
  </si>
  <si>
    <t>Chaque nettoyage</t>
  </si>
  <si>
    <t>Cocher les zones nettoyees · Produit utilise · Signature operateur</t>
  </si>
  <si>
    <t>Controle DDPP</t>
  </si>
  <si>
    <t>Reclamations</t>
  </si>
  <si>
    <t>A chaque reclamation</t>
  </si>
  <si>
    <t>Enregistrer dans les 24h · Action corrective obligatoire · Critique → contacter DDPP</t>
  </si>
  <si>
    <t>Delai reponse J+1 si Critique</t>
  </si>
  <si>
    <t>Fiches Techniques</t>
  </si>
  <si>
    <t>A valider</t>
  </si>
  <si>
    <t>Completer allergenes + nutritionnels + bareme par recette · Document officiel INCO</t>
  </si>
  <si>
    <t>Presenter a tout controle</t>
  </si>
  <si>
    <t>DUERP</t>
  </si>
  <si>
    <t>Annuel</t>
  </si>
  <si>
    <t>Evaluer les risques (PxG) · Actions correctives si &gt;=9 · Signer et dater</t>
  </si>
  <si>
    <t>Mise a jour annuelle obligatoire</t>
  </si>
  <si>
    <t>PMS</t>
  </si>
  <si>
    <t>Presenter a DDPP</t>
  </si>
  <si>
    <t>Document de reference sanitaire · Mettre a jour si procedure change</t>
  </si>
  <si>
    <t>Avant toute ouverture officielle</t>
  </si>
  <si>
    <t>MAISON 41 — REFERENTIEL MATIERES PREMIERES — Source de verite</t>
  </si>
  <si>
    <t>Colonne F (JAUNE) = PRIX A RENSEIGNER — Toutes les recettes se recalculent</t>
  </si>
  <si>
    <t>Code MP · Designation · Categorie · Unite · Fournisseur · Prix (JAUNE) · Date MaJ · Note · Recettes · Sync</t>
  </si>
  <si>
    <t>PRIX
SAISIR ICI</t>
  </si>
  <si>
    <t>Date MaJ</t>
  </si>
  <si>
    <t>Note qualite</t>
  </si>
  <si>
    <t>Nb recettes</t>
  </si>
  <si>
    <t>Sync App</t>
  </si>
  <si>
    <t>Prix precedent</t>
  </si>
  <si>
    <t>Variation %</t>
  </si>
  <si>
    <t>MP01</t>
  </si>
  <si>
    <t>Porc epaule desossee</t>
  </si>
  <si>
    <t>Viande porc</t>
  </si>
  <si>
    <t>kg</t>
  </si>
  <si>
    <t>Mar 2026</t>
  </si>
  <si>
    <t>MP02</t>
  </si>
  <si>
    <t>Porc gorge (gras dur)</t>
  </si>
  <si>
    <t>MP03</t>
  </si>
  <si>
    <t>Porc foie</t>
  </si>
  <si>
    <t>MP04</t>
  </si>
  <si>
    <t>Porc couenne</t>
  </si>
  <si>
    <t>MP05</t>
  </si>
  <si>
    <t>Lardons nature sans nitrite</t>
  </si>
  <si>
    <t>MP06</t>
  </si>
  <si>
    <t>Saucisses Toulouse artisanales</t>
  </si>
  <si>
    <t>Charcuterie</t>
  </si>
  <si>
    <t>MP07</t>
  </si>
  <si>
    <t>Boeuf paleron</t>
  </si>
  <si>
    <t>Viande boeuf</t>
  </si>
  <si>
    <t>MP08</t>
  </si>
  <si>
    <t>Os a moelle boeuf</t>
  </si>
  <si>
    <t>MP09</t>
  </si>
  <si>
    <t>Ail frais</t>
  </si>
  <si>
    <t>Legumes</t>
  </si>
  <si>
    <t>MP10</t>
  </si>
  <si>
    <t>Carotte</t>
  </si>
  <si>
    <t>MP11</t>
  </si>
  <si>
    <t>Celeri branche</t>
  </si>
  <si>
    <t>MP12</t>
  </si>
  <si>
    <t>Celeri-rave</t>
  </si>
  <si>
    <t>MP13</t>
  </si>
  <si>
    <t>Concentre de tomate</t>
  </si>
  <si>
    <t>MP14</t>
  </si>
  <si>
    <t>Echalote</t>
  </si>
  <si>
    <t>MP15</t>
  </si>
  <si>
    <t>Navet</t>
  </si>
  <si>
    <t>MP16</t>
  </si>
  <si>
    <t>Oignon jaune</t>
  </si>
  <si>
    <t>MP17</t>
  </si>
  <si>
    <t>Oignon rouge</t>
  </si>
  <si>
    <t>MP18</t>
  </si>
  <si>
    <t>Poireau</t>
  </si>
  <si>
    <t>MP19</t>
  </si>
  <si>
    <t>Poivron rouge</t>
  </si>
  <si>
    <t>MP20</t>
  </si>
  <si>
    <t>Pomme de terre chair ferme</t>
  </si>
  <si>
    <t>MP21</t>
  </si>
  <si>
    <t>Pomme de terre chair fondante</t>
  </si>
  <si>
    <t>MP22</t>
  </si>
  <si>
    <t>Tomate concassee</t>
  </si>
  <si>
    <t>MP23</t>
  </si>
  <si>
    <t>Champignons de Paris</t>
  </si>
  <si>
    <t>Champignons</t>
  </si>
  <si>
    <t>MP24</t>
  </si>
  <si>
    <t>Pleurotes frais</t>
  </si>
  <si>
    <t>MP25</t>
  </si>
  <si>
    <t>Lentilles vertes Puy IGP</t>
  </si>
  <si>
    <t>Legumineuses</t>
  </si>
  <si>
    <t>MP26</t>
  </si>
  <si>
    <t>Farine de ble T65</t>
  </si>
  <si>
    <t>Cereales</t>
  </si>
  <si>
    <t>MP27</t>
  </si>
  <si>
    <t>Riz rond a dessert</t>
  </si>
  <si>
    <t>MP28</t>
  </si>
  <si>
    <t>Beurre doux</t>
  </si>
  <si>
    <t>Cremerie</t>
  </si>
  <si>
    <t>MP29</t>
  </si>
  <si>
    <t>Creme fraiche 15% MG</t>
  </si>
  <si>
    <t>MP30</t>
  </si>
  <si>
    <t>Creme fraiche epaisse</t>
  </si>
  <si>
    <t>MP31</t>
  </si>
  <si>
    <t>Creme fraiche liquide 30%</t>
  </si>
  <si>
    <t>L</t>
  </si>
  <si>
    <t>MP32</t>
  </si>
  <si>
    <t>Jaunes d'oeufs</t>
  </si>
  <si>
    <t>MP33</t>
  </si>
  <si>
    <t>Lait entier frais</t>
  </si>
  <si>
    <t>MP34</t>
  </si>
  <si>
    <t>Oeufs frais entiers</t>
  </si>
  <si>
    <t>MP35</t>
  </si>
  <si>
    <t>Jus de citron</t>
  </si>
  <si>
    <t>Fruits</t>
  </si>
  <si>
    <t>MP36</t>
  </si>
  <si>
    <t>Zeste de citron bio</t>
  </si>
  <si>
    <t>MP37</t>
  </si>
  <si>
    <t>Zeste d'orange bio</t>
  </si>
  <si>
    <t>MP38</t>
  </si>
  <si>
    <t>Bouquet garni</t>
  </si>
  <si>
    <t>Herbes</t>
  </si>
  <si>
    <t>MP39</t>
  </si>
  <si>
    <t>Laurier</t>
  </si>
  <si>
    <t>MP40</t>
  </si>
  <si>
    <t>Persil plat frais</t>
  </si>
  <si>
    <t>MP41</t>
  </si>
  <si>
    <t>Thym citron seche</t>
  </si>
  <si>
    <t>MP42</t>
  </si>
  <si>
    <t>Thym seche</t>
  </si>
  <si>
    <t>MP43</t>
  </si>
  <si>
    <t>Cannelle de Ceylan</t>
  </si>
  <si>
    <t>Epicerie</t>
  </si>
  <si>
    <t>MP44</t>
  </si>
  <si>
    <t>Clou de girofle</t>
  </si>
  <si>
    <t>MP45</t>
  </si>
  <si>
    <t>Coriandre moulue</t>
  </si>
  <si>
    <t>MP46</t>
  </si>
  <si>
    <t>Extrait de cafe naturel</t>
  </si>
  <si>
    <t>MP47</t>
  </si>
  <si>
    <t>Muscade rapee</t>
  </si>
  <si>
    <t>MP48</t>
  </si>
  <si>
    <t>Poivre blanc moulu</t>
  </si>
  <si>
    <t>MP49</t>
  </si>
  <si>
    <t>Poivre noir en grains</t>
  </si>
  <si>
    <t>MP50</t>
  </si>
  <si>
    <t>Poivre noir moulu</t>
  </si>
  <si>
    <t>MP51</t>
  </si>
  <si>
    <t>Sel fin</t>
  </si>
  <si>
    <t>MP52</t>
  </si>
  <si>
    <t>Sucre blanc</t>
  </si>
  <si>
    <t>MP53</t>
  </si>
  <si>
    <t>Sucre de canne roux</t>
  </si>
  <si>
    <t>MP54</t>
  </si>
  <si>
    <t>Gingembre frais</t>
  </si>
  <si>
    <t>Epicerie fraiche</t>
  </si>
  <si>
    <t>MP55</t>
  </si>
  <si>
    <t>Chocolat noir 70%</t>
  </si>
  <si>
    <t>Epicerie premium</t>
  </si>
  <si>
    <t>MP56</t>
  </si>
  <si>
    <t>Piment d'Espelette AOP</t>
  </si>
  <si>
    <t>MP57</t>
  </si>
  <si>
    <t>Poivre Madagascar Voatsiperifery</t>
  </si>
  <si>
    <t>MP58</t>
  </si>
  <si>
    <t>Vanille Bourbon gousse</t>
  </si>
  <si>
    <t>MP59</t>
  </si>
  <si>
    <t>Huile d'olive vierge extra</t>
  </si>
  <si>
    <t>Corps gras</t>
  </si>
  <si>
    <t>MP60</t>
  </si>
  <si>
    <t>Cognac / Armagnac</t>
  </si>
  <si>
    <t>Boissons</t>
  </si>
  <si>
    <t>MP61</t>
  </si>
  <si>
    <t>Vin blanc sec</t>
  </si>
  <si>
    <t>MP62</t>
  </si>
  <si>
    <t>Vin rouge de Bourgogne</t>
  </si>
  <si>
    <t>MP63</t>
  </si>
  <si>
    <t>Bouillon de boeuf maison</t>
  </si>
  <si>
    <t>Fait maison</t>
  </si>
  <si>
    <t>MP64</t>
  </si>
  <si>
    <t>Bouillon de volaille maison</t>
  </si>
  <si>
    <t>MP65</t>
  </si>
  <si>
    <t>Bocal Weck RR100-290 + joint</t>
  </si>
  <si>
    <t>Consommable</t>
  </si>
  <si>
    <t>u</t>
  </si>
  <si>
    <t>MP66</t>
  </si>
  <si>
    <t>Bocal Weck RR100-370 + joint</t>
  </si>
  <si>
    <t>MP67</t>
  </si>
  <si>
    <t>Bocal Weck RR100-580 + joint</t>
  </si>
  <si>
    <t>MP68</t>
  </si>
  <si>
    <t>Bocal Weck RR100-850 + joint</t>
  </si>
  <si>
    <t>MP69</t>
  </si>
  <si>
    <t>Bocal Weck RR100-1050 + joint</t>
  </si>
  <si>
    <t>MP70</t>
  </si>
  <si>
    <t>Bocal Weck RR100-1550 + joint</t>
  </si>
  <si>
    <t>MP71</t>
  </si>
  <si>
    <t>Bocal Weck W60-050 + joint</t>
  </si>
  <si>
    <t>MP72</t>
  </si>
  <si>
    <t>Bocal Weck W60-080 + joint</t>
  </si>
  <si>
    <t>MP73</t>
  </si>
  <si>
    <t>Bocal Weck W60-160 + joint</t>
  </si>
  <si>
    <t>Gorge</t>
  </si>
  <si>
    <t>gorge de porc</t>
  </si>
  <si>
    <t>Viande</t>
  </si>
  <si>
    <t>g</t>
  </si>
  <si>
    <t>cooperl</t>
  </si>
  <si>
    <t>AJOUTER ICI — Prochain code : MP74</t>
  </si>
  <si>
    <t>Ricard</t>
  </si>
  <si>
    <t>Alcools</t>
  </si>
  <si>
    <t>gms</t>
  </si>
  <si>
    <t>Apr 2026</t>
  </si>
  <si>
    <t>MP74</t>
  </si>
  <si>
    <t>MAISON 41 — REFERENTIEL RECETTES</t>
  </si>
  <si>
    <t>4 gammes · Recettes actives · Voir "Detail Recettes" pour les ingredients</t>
  </si>
  <si>
    <t>Ref.</t>
  </si>
  <si>
    <t>Nom commercial</t>
  </si>
  <si>
    <t>Format principal</t>
  </si>
  <si>
    <t>Rendement %</t>
  </si>
  <si>
    <t>Batch kg MP</t>
  </si>
  <si>
    <t>Temps (h)</t>
  </si>
  <si>
    <t>Nb ing.</t>
  </si>
  <si>
    <t>Cout MP/kg (EUR)</t>
  </si>
  <si>
    <t>Date creation</t>
  </si>
  <si>
    <t>Gluten</t>
  </si>
  <si>
    <t>Oeufs</t>
  </si>
  <si>
    <t>Lait</t>
  </si>
  <si>
    <t>Sulfites</t>
  </si>
  <si>
    <t>Moutarde</t>
  </si>
  <si>
    <t>Autres allerg.</t>
  </si>
  <si>
    <t>kcal/100g</t>
  </si>
  <si>
    <t>Prot. g/100g</t>
  </si>
  <si>
    <t>Lip. g/100g</t>
  </si>
  <si>
    <t>Gluc. g/100g</t>
  </si>
  <si>
    <t>Sel g/100g</t>
  </si>
  <si>
    <t>RC</t>
  </si>
  <si>
    <t>Rillettes du Chef</t>
  </si>
  <si>
    <t>Rillettes</t>
  </si>
  <si>
    <t>RR100-580</t>
  </si>
  <si>
    <t>Actif</t>
  </si>
  <si>
    <t>OK</t>
  </si>
  <si>
    <t>PC</t>
  </si>
  <si>
    <t>Pate du Chef</t>
  </si>
  <si>
    <t>Pates &amp; Terrines</t>
  </si>
  <si>
    <t>MC</t>
  </si>
  <si>
    <t>Mousse du Chef</t>
  </si>
  <si>
    <t>Mousses</t>
  </si>
  <si>
    <t>RR100-370</t>
  </si>
  <si>
    <t>TC</t>
  </si>
  <si>
    <t>Plat Traiteur du Chef</t>
  </si>
  <si>
    <t>Plats cuisines</t>
  </si>
  <si>
    <t>RR100-850</t>
  </si>
  <si>
    <t>DC</t>
  </si>
  <si>
    <t>Dessert du Chef - Creme Vanill</t>
  </si>
  <si>
    <t>Desserts appertises</t>
  </si>
  <si>
    <t>RR100-290</t>
  </si>
  <si>
    <t>P01</t>
  </si>
  <si>
    <t>Pate de Campagne Maison 41</t>
  </si>
  <si>
    <t>P02</t>
  </si>
  <si>
    <t>Pate Echalote &amp; Thym Citron</t>
  </si>
  <si>
    <t>P03</t>
  </si>
  <si>
    <t>Pate Basque Piment d'Espelette</t>
  </si>
  <si>
    <t>P04</t>
  </si>
  <si>
    <t>Pate Pleurotes &amp; Persil Plat</t>
  </si>
  <si>
    <t>P07</t>
  </si>
  <si>
    <t>Pate Chataigne Ardeche</t>
  </si>
  <si>
    <t>P49</t>
  </si>
  <si>
    <t>Pate Echalotes Grises d'Anjou</t>
  </si>
  <si>
    <t>R41</t>
  </si>
  <si>
    <t>Rillettes Classiques au Thym</t>
  </si>
  <si>
    <t>R42</t>
  </si>
  <si>
    <t>Rillettes Poireaux Confits</t>
  </si>
  <si>
    <t>R43</t>
  </si>
  <si>
    <t>Rillettes Gingembre &amp; Citron</t>
  </si>
  <si>
    <t>R44</t>
  </si>
  <si>
    <t>Rillettes Poivre de Madagascar</t>
  </si>
  <si>
    <t>R59</t>
  </si>
  <si>
    <t>Rillettes Poireaux Confits Nord</t>
  </si>
  <si>
    <t>R974</t>
  </si>
  <si>
    <t>Rillettes Curry Vert Reunion</t>
  </si>
  <si>
    <t>M13</t>
  </si>
  <si>
    <t>Mousse Brandade de Morue</t>
  </si>
  <si>
    <t>PC01</t>
  </si>
  <si>
    <t>Saucisses Lentilles Puy</t>
  </si>
  <si>
    <t>PC02</t>
  </si>
  <si>
    <t>Bourguignon de Boeuf</t>
  </si>
  <si>
    <t>PC03</t>
  </si>
  <si>
    <t>Pot-au-Feu de Boeuf</t>
  </si>
  <si>
    <t>RR100-1050</t>
  </si>
  <si>
    <t>PC04</t>
  </si>
  <si>
    <t>Saute Porc &amp; Puree</t>
  </si>
  <si>
    <t>T31</t>
  </si>
  <si>
    <t>Cassoulet Maison 41</t>
  </si>
  <si>
    <t>S64</t>
  </si>
  <si>
    <t>Garbure Bearnaise</t>
  </si>
  <si>
    <t>Soupes</t>
  </si>
  <si>
    <t>D01</t>
  </si>
  <si>
    <t>Creme Oeufs Vanille Bourbon</t>
  </si>
  <si>
    <t>D02</t>
  </si>
  <si>
    <t>Creme Chocolat Noir 70%</t>
  </si>
  <si>
    <t>D03</t>
  </si>
  <si>
    <t>Creme Caramel Renversee</t>
  </si>
  <si>
    <t>D04</t>
  </si>
  <si>
    <t>Riz au Lait Cannelle &amp; Orange</t>
  </si>
  <si>
    <t>D29</t>
  </si>
  <si>
    <t>Far Breton aux Pruneaux</t>
  </si>
  <si>
    <t>En développement</t>
  </si>
  <si>
    <t>NOUVELLES RECETTES — ajouter ici + renseigner les ingredients dans "Detail Recettes"</t>
  </si>
  <si>
    <t>R51</t>
  </si>
  <si>
    <t>Rillettes aux Ricard</t>
  </si>
  <si>
    <t>MAISON 41 — DETAIL RECETTES — Ingredients par recette</t>
  </si>
  <si>
    <t>Source du cout MP et du calcul des besoins d'achat depuis le planning</t>
  </si>
  <si>
    <t>Ref recette · Code MP · Designation · Quantite · Unite · Prix MP · Cout ligne · % du cout total</t>
  </si>
  <si>
    <t>Ref. recette</t>
  </si>
  <si>
    <t>Designation MP</t>
  </si>
  <si>
    <t>Qte par batch</t>
  </si>
  <si>
    <t>Prix MP (EUR)</t>
  </si>
  <si>
    <t>Cout ligne (EUR)</t>
  </si>
  <si>
    <t>% cout total</t>
  </si>
  <si>
    <t>Gamme recette</t>
  </si>
  <si>
    <t>Batch (kg)</t>
  </si>
  <si>
    <t>Epaule porc desossee</t>
  </si>
  <si>
    <t>Gorge porc</t>
  </si>
  <si>
    <t>Foie porc</t>
  </si>
  <si>
    <t>Quatre-epices</t>
  </si>
  <si>
    <t>MAISON 41 — RECETTE VIERGE — Dupliquer cet onglet · Renommer avec le code produit</t>
  </si>
  <si>
    <t>Mode d'emploi : Fichier &gt; Copier · Ou clic droit onglet &gt; Dupliquer · Renommer ex: R45</t>
  </si>
  <si>
    <t xml:space="preserve">  IDENTITE PRODUIT</t>
  </si>
  <si>
    <t>Code produit</t>
  </si>
  <si>
    <t>Ex: R45, P05, MC2, D05</t>
  </si>
  <si>
    <t>Code unique — format Gamme+Dept ou Gamme+Num</t>
  </si>
  <si>
    <t>Ex: Rillettes de Canard au Cepes</t>
  </si>
  <si>
    <t>Nom sur etiquette et en vente</t>
  </si>
  <si>
    <t>Choisir : Pates/Rillettes/Mousses/Plats/Desserts/Soupes</t>
  </si>
  <si>
    <t>Format Weck principal</t>
  </si>
  <si>
    <t>Format le plus vendu pour cette recette</t>
  </si>
  <si>
    <t>Rendement (%)</t>
  </si>
  <si>
    <t>Ex: 85 = 850g de produit fini pour 1kg de MP</t>
  </si>
  <si>
    <t>Batch production (kg MP)</t>
  </si>
  <si>
    <t>Quantite MP pour 1 lot complet</t>
  </si>
  <si>
    <t>Temps total (h)</t>
  </si>
  <si>
    <t>Preparation + cuisson + sterilisation</t>
  </si>
  <si>
    <t>En developpement</t>
  </si>
  <si>
    <t>En developpement / Actif / Archive</t>
  </si>
  <si>
    <t>Validee par</t>
  </si>
  <si>
    <t>Nom + date de validation recette</t>
  </si>
  <si>
    <t>Version</t>
  </si>
  <si>
    <t>V1.0</t>
  </si>
  <si>
    <t>Incrementer a chaque modification recette</t>
  </si>
  <si>
    <t xml:space="preserve">  INGREDIENTS (batch complet)</t>
  </si>
  <si>
    <t>Quantite</t>
  </si>
  <si>
    <t>Prix/unite EUR</t>
  </si>
  <si>
    <t>Cout ligne EUR</t>
  </si>
  <si>
    <t>TOTAL COUT MP</t>
  </si>
  <si>
    <t>MAISON 41 — REFERENTIEL GAMME &amp; DEPARTEMENTS — Gamme Du Chef + references</t>
  </si>
  <si>
    <t>RC · PC · MC · TC · DC = Gamme Du Chef · R__ P__ M__ T__ D__ S__ = Gamme Departements</t>
  </si>
  <si>
    <t xml:space="preserve">  GAMME DU CHEF — References fondatrices signees Alexandre</t>
  </si>
  <si>
    <t>Code</t>
  </si>
  <si>
    <t>Description</t>
  </si>
  <si>
    <t>Formats recommandes</t>
  </si>
  <si>
    <t>Score</t>
  </si>
  <si>
    <t>Cout MP/kg</t>
  </si>
  <si>
    <t>Signature Alexandre</t>
  </si>
  <si>
    <t>Tous formats RR100 + W60</t>
  </si>
  <si>
    <t>Dessert du Chef</t>
  </si>
  <si>
    <t>MAISON 41 — GRILLE TARIFAIRE — 1 seule saisie TTC B2C · Welcome Pack · Early Bird Ulule -15%</t>
  </si>
  <si>
    <t>Cellule JAUNE = seule saisie · Vert = calcule · Bleu = notre prix HT pro</t>
  </si>
  <si>
    <t>REGLE : PVC conseille au pro TOUJOURS &gt; notre prix TTC B2C</t>
  </si>
  <si>
    <t>Format
Weck</t>
  </si>
  <si>
    <t>B TO C MARCHES (TTC)</t>
  </si>
  <si>
    <t>E-COMMERCE (TTC)</t>
  </si>
  <si>
    <t>RESTAURANTS (HT)</t>
  </si>
  <si>
    <t>EPICERIES FINES (HT)</t>
  </si>
  <si>
    <t>HOTELS / AIRBNB (HT)</t>
  </si>
  <si>
    <t>GMS (HT)</t>
  </si>
  <si>
    <t>Marge
directe</t>
  </si>
  <si>
    <t>WELCOME
PACK TTC</t>
  </si>
  <si>
    <t>EARLY BIRD
-15% Ulule</t>
  </si>
  <si>
    <t>x1
SAISIR</t>
  </si>
  <si>
    <t>x3
-5%</t>
  </si>
  <si>
    <t>x6
-8%</t>
  </si>
  <si>
    <t>x20
-12%</t>
  </si>
  <si>
    <t>x1</t>
  </si>
  <si>
    <t>x3
-3%</t>
  </si>
  <si>
    <t>x6
-6%</t>
  </si>
  <si>
    <t>x3</t>
  </si>
  <si>
    <t>x10</t>
  </si>
  <si>
    <t>x24</t>
  </si>
  <si>
    <t>x6</t>
  </si>
  <si>
    <t>x12</t>
  </si>
  <si>
    <t>x100</t>
  </si>
  <si>
    <t>x200</t>
  </si>
  <si>
    <t>x500</t>
  </si>
  <si>
    <t>%</t>
  </si>
  <si>
    <t xml:space="preserve">  PATES &amp; TERRINES  —  TVA 5%</t>
  </si>
  <si>
    <t>RR100-1550</t>
  </si>
  <si>
    <t>W60-050</t>
  </si>
  <si>
    <t>W60-080</t>
  </si>
  <si>
    <t>W60-160</t>
  </si>
  <si>
    <t xml:space="preserve">  RILLETTES  —  TVA 5%</t>
  </si>
  <si>
    <t xml:space="preserve">  MOUSSES  —  TVA 5%</t>
  </si>
  <si>
    <t xml:space="preserve">  PLATS CUISINES  —  TVA 10%</t>
  </si>
  <si>
    <t xml:space="preserve">  DESSERTS APPERTISES  —  TVA 5%</t>
  </si>
  <si>
    <t xml:space="preserve">  SOUPES  —  TVA 5%</t>
  </si>
  <si>
    <t>MAISON 41 — ANALYSE DES MARGES PAR CANAL — Calcul dynamique depuis Cout de Revient</t>
  </si>
  <si>
    <t>Source : Prix Vente + Cout de Revient · Selectionner gamme et format pour voir les marges</t>
  </si>
  <si>
    <t xml:space="preserve">  PARAMETRES</t>
  </si>
  <si>
    <t>Gamme analysee</t>
  </si>
  <si>
    <t>Format analyse</t>
  </si>
  <si>
    <t>Cout/bocal (EUR)</t>
  </si>
  <si>
    <t xml:space="preserve">  MARGES PAR CANAL ET PAR PALIER</t>
  </si>
  <si>
    <t>Type prix</t>
  </si>
  <si>
    <t>Palier</t>
  </si>
  <si>
    <t>Qte min</t>
  </si>
  <si>
    <t>Prix TTC</t>
  </si>
  <si>
    <t>Prix HT</t>
  </si>
  <si>
    <t>Cout/boc</t>
  </si>
  <si>
    <t>Marge EUR/boc</t>
  </si>
  <si>
    <t>Marge %</t>
  </si>
  <si>
    <t>B to C Marches</t>
  </si>
  <si>
    <t>TTC</t>
  </si>
  <si>
    <t>x3 -5%</t>
  </si>
  <si>
    <t>x6 -8%</t>
  </si>
  <si>
    <t>x20 -12%</t>
  </si>
  <si>
    <t>E-commerce</t>
  </si>
  <si>
    <t>x3 -3%</t>
  </si>
  <si>
    <t>x6 -6%</t>
  </si>
  <si>
    <t>Restaurants</t>
  </si>
  <si>
    <t>HT</t>
  </si>
  <si>
    <t>x5 -10%</t>
  </si>
  <si>
    <t>x10 -15%</t>
  </si>
  <si>
    <t>x24 -20%</t>
  </si>
  <si>
    <t>Epiceries fines</t>
  </si>
  <si>
    <t>x6 -10%</t>
  </si>
  <si>
    <t>x12 -15%</t>
  </si>
  <si>
    <t>Hotels / Airbnb</t>
  </si>
  <si>
    <t>x24 -18%</t>
  </si>
  <si>
    <t>GMS</t>
  </si>
  <si>
    <t>x100 -25%</t>
  </si>
  <si>
    <t>x200 -30%</t>
  </si>
  <si>
    <t>x500 -35%</t>
  </si>
  <si>
    <t>MAISON 41 — SIMULATEUR DEVIS — Calcul automatique prix + remise volume</t>
  </si>
  <si>
    <t>Saisir canal · gamme · format · quantite → Prix calcule + remise appliquee</t>
  </si>
  <si>
    <t xml:space="preserve">  INFORMATIONS CLIENT</t>
  </si>
  <si>
    <t>Nom client / enseigne</t>
  </si>
  <si>
    <t>Type de client</t>
  </si>
  <si>
    <t>Canal de vente</t>
  </si>
  <si>
    <t>Date du devis</t>
  </si>
  <si>
    <t>Validite</t>
  </si>
  <si>
    <t>30 jours</t>
  </si>
  <si>
    <t xml:space="preserve">  LIGNES DE COMMANDE</t>
  </si>
  <si>
    <t>#</t>
  </si>
  <si>
    <t>Format Weck</t>
  </si>
  <si>
    <t>Prix unit. HT</t>
  </si>
  <si>
    <t>Remise volume %</t>
  </si>
  <si>
    <t>Net HT EUR</t>
  </si>
  <si>
    <t>Net TTC EUR</t>
  </si>
  <si>
    <t>TOTAL DEVIS</t>
  </si>
  <si>
    <t>MAISON 41 — PLANNING PRODUCTION — Lots · Autoclaves · Capacites automatiques</t>
  </si>
  <si>
    <t>Choisir Autoclave + Format + Fraction → Nb bocaux calcule auto · Recettes = actives uniquement</t>
  </si>
  <si>
    <t>N Lot (auto)</t>
  </si>
  <si>
    <t>Autoclave</t>
  </si>
  <si>
    <t>Fraction</t>
  </si>
  <si>
    <t>Cap. max</t>
  </si>
  <si>
    <t>Nb bocaux plan.</t>
  </si>
  <si>
    <t>Nb bocaux reels</t>
  </si>
  <si>
    <t>Taux rempl.</t>
  </si>
  <si>
    <t>N Cycle auto</t>
  </si>
  <si>
    <t>Poids MP brut (kg)</t>
  </si>
  <si>
    <t>Cout theo. EUR</t>
  </si>
  <si>
    <t>T coeur (C)</t>
  </si>
  <si>
    <t>DDM (auto)</t>
  </si>
  <si>
    <t>Operateur</t>
  </si>
  <si>
    <t>Picking OK ?</t>
  </si>
  <si>
    <t>A</t>
  </si>
  <si>
    <t>Complet</t>
  </si>
  <si>
    <t>rr100</t>
  </si>
  <si>
    <t>Korimat 1</t>
  </si>
  <si>
    <t>Prévu</t>
  </si>
  <si>
    <t>MAISON 41 — GESTION DES STOCKS — MP + Bocaux · Sync app</t>
  </si>
  <si>
    <t>Total bocaux en stock :</t>
  </si>
  <si>
    <t>MP en rupture (&lt;seuil) :</t>
  </si>
  <si>
    <t xml:space="preserve">  STOCK MATIERES PREMIERES</t>
  </si>
  <si>
    <t>Stock actuel</t>
  </si>
  <si>
    <t>Seuil alerte</t>
  </si>
  <si>
    <t>Valeur EUR</t>
  </si>
  <si>
    <t>Conso theo.</t>
  </si>
  <si>
    <t>Stock theo.</t>
  </si>
  <si>
    <t xml:space="preserve">  STOCK BOCAUX (par gamme x format)</t>
  </si>
  <si>
    <t>Poids g</t>
  </si>
  <si>
    <t>Valeur pot. EUR</t>
  </si>
  <si>
    <t>Entree recente</t>
  </si>
  <si>
    <t>Sortie recente</t>
  </si>
  <si>
    <t>DDM proche</t>
  </si>
  <si>
    <t>MAISON 41 — FICHE LOT &amp; TRACABILITE — HACCP obligatoire</t>
  </si>
  <si>
    <t>N Lot</t>
  </si>
  <si>
    <t>N° Lot : format LOT-AAAAMMJJ-XXX · Numero UNIQUE sur toute la vie de l'entreprise</t>
  </si>
  <si>
    <t>MAISON 41 — HISTORIQUE COMPLET DES LOTS — Alimente depuis Fiche Lot</t>
  </si>
  <si>
    <t>Saisir le N° Lot col A → tout se remplit automatiquement depuis Fiche Lot</t>
  </si>
  <si>
    <t>Saisir uniquement le N° Lot (col A) — Recette, Format, Bocaux, DDM se remplissent automatiquement</t>
  </si>
  <si>
    <t>Bocaux prod.</t>
  </si>
  <si>
    <t>Bocaux vendus</t>
  </si>
  <si>
    <t>Pertes</t>
  </si>
  <si>
    <t>CA reel EUR</t>
  </si>
  <si>
    <t>Cout theo.</t>
  </si>
  <si>
    <t>Cout reel</t>
  </si>
  <si>
    <t>Marge EUR</t>
  </si>
  <si>
    <t>T serie</t>
  </si>
  <si>
    <t>Duree (min)</t>
  </si>
  <si>
    <t>LOT-20260401-001</t>
  </si>
  <si>
    <t>LOT-20260401-002</t>
  </si>
  <si>
    <t xml:space="preserve">  STATISTIQUES AUTOMATIQUES</t>
  </si>
  <si>
    <t>Total lots</t>
  </si>
  <si>
    <t>Total bocaux prod.</t>
  </si>
  <si>
    <t>Total bocaux vendus</t>
  </si>
  <si>
    <t>Taux perte moyen</t>
  </si>
  <si>
    <t>CA total EUR</t>
  </si>
  <si>
    <t>Marge moy. %</t>
  </si>
  <si>
    <t>MAISON 41 — JOURNAL DES VENTES — Source CA · Dashboard · CRM · Previsions</t>
  </si>
  <si>
    <t>Saisir chaque vente · Alimente : Dashboard CA · Prevision Stock · CRM · Marches</t>
  </si>
  <si>
    <t>Date · N Facture · Canal · Client · Recette · Gamme · Format · Qte · PU EUR · Remise % · Net HT · TVA · TTC · Notes</t>
  </si>
  <si>
    <t>N Facture</t>
  </si>
  <si>
    <t>PU HT EUR</t>
  </si>
  <si>
    <t>Marchés</t>
  </si>
  <si>
    <t>alex</t>
  </si>
  <si>
    <t>-- Choisir --</t>
  </si>
  <si>
    <t>Restaurant</t>
  </si>
  <si>
    <t>moojdsv</t>
  </si>
  <si>
    <t>Pâté Basque Piment d'Espelette</t>
  </si>
  <si>
    <t>F-20260330-007</t>
  </si>
  <si>
    <t>Boutique</t>
  </si>
  <si>
    <t>Alexandre Bouffard</t>
  </si>
  <si>
    <t>F-20260331-008</t>
  </si>
  <si>
    <t>Client marché</t>
  </si>
  <si>
    <t xml:space="preserve">Caisse — </t>
  </si>
  <si>
    <t>F-20260331-009</t>
  </si>
  <si>
    <t>F-20260331-010</t>
  </si>
  <si>
    <t>F-20260331-011</t>
  </si>
  <si>
    <t>F-20260401-012</t>
  </si>
  <si>
    <t>F-20260401-013</t>
  </si>
  <si>
    <t>jhfj</t>
  </si>
  <si>
    <t>Caisse — jhfj</t>
  </si>
  <si>
    <t>F-20260401-014</t>
  </si>
  <si>
    <t>F-20260401-015</t>
  </si>
  <si>
    <t>F-20260401-016</t>
  </si>
  <si>
    <t>F-20260401-017</t>
  </si>
  <si>
    <t>F-20260401-018</t>
  </si>
  <si>
    <t>F-20260401-019</t>
  </si>
  <si>
    <t>F-20260401-020</t>
  </si>
  <si>
    <t>F-20260401-021</t>
  </si>
  <si>
    <t>F-20260401-022</t>
  </si>
  <si>
    <t>F-20260401-023</t>
  </si>
  <si>
    <t>MAISON 41 — CHARGES MENSUELLES — Fixes · Variables · Semi-fixes</t>
  </si>
  <si>
    <t>Saisir les charges reelles chaque mois · Le previsionnel se met a jour automatiquement</t>
  </si>
  <si>
    <t>Poste</t>
  </si>
  <si>
    <t>Estimation EUR</t>
  </si>
  <si>
    <t>Jan</t>
  </si>
  <si>
    <t>Fev</t>
  </si>
  <si>
    <t>Mar</t>
  </si>
  <si>
    <t>Avr</t>
  </si>
  <si>
    <t>Mai</t>
  </si>
  <si>
    <t>Jun</t>
  </si>
  <si>
    <t>Jul</t>
  </si>
  <si>
    <t>Aou</t>
  </si>
  <si>
    <t>Sep</t>
  </si>
  <si>
    <t>Oct</t>
  </si>
  <si>
    <t>Nov</t>
  </si>
  <si>
    <t>Dec</t>
  </si>
  <si>
    <t>Total EUR</t>
  </si>
  <si>
    <t>Loyer atelier</t>
  </si>
  <si>
    <t>Fixe</t>
  </si>
  <si>
    <t>Assurance professionnelle</t>
  </si>
  <si>
    <t>Expert-comptable</t>
  </si>
  <si>
    <t>Telephone / Internet / Logiciels</t>
  </si>
  <si>
    <t>GS1 / codes EAN</t>
  </si>
  <si>
    <t>Remuneration gerant (cout entreprise)</t>
  </si>
  <si>
    <t>Remboursement emprunt (capital+int.)</t>
  </si>
  <si>
    <t>Energie (electricite/gaz)</t>
  </si>
  <si>
    <t>Semi-fixe</t>
  </si>
  <si>
    <t>Frais marches (droits + carburant)</t>
  </si>
  <si>
    <t>Variable</t>
  </si>
  <si>
    <t>Emballage secondaire / materiel</t>
  </si>
  <si>
    <t>Achats MP (variable)</t>
  </si>
  <si>
    <t>Achats bocaux + consommables (variable)</t>
  </si>
  <si>
    <t>Divers / imprevus (5%)</t>
  </si>
  <si>
    <t>loyer</t>
  </si>
  <si>
    <t>lnk</t>
  </si>
  <si>
    <t>TOTAL CHARGES</t>
  </si>
  <si>
    <t>MAISON 41 — PREVISIONNEL FINANCIER — Objectifs · Reel · Ecarts</t>
  </si>
  <si>
    <t>Saisir les objectifs · Le reel vient des ventes · Les ecarts se calculent</t>
  </si>
  <si>
    <t>Mois</t>
  </si>
  <si>
    <t>Objectif CA EUR</t>
  </si>
  <si>
    <t>CA Reel EUR</t>
  </si>
  <si>
    <t>Ecart EUR</t>
  </si>
  <si>
    <t>Obj. Marge %</t>
  </si>
  <si>
    <t>Marge Reelle %</t>
  </si>
  <si>
    <t>Ecart %</t>
  </si>
  <si>
    <t>Obj. Prod (lots)</t>
  </si>
  <si>
    <t>Prod Reelle</t>
  </si>
  <si>
    <t>Ecart lots</t>
  </si>
  <si>
    <t>Charges prev.</t>
  </si>
  <si>
    <t>Resultat prev.</t>
  </si>
  <si>
    <t>MAISON 41 — COMPTABILITE — Encaissements · Decaissements · TVA</t>
  </si>
  <si>
    <t>Saisir les mouvements · Export comptable possible · TVA auto-calculee</t>
  </si>
  <si>
    <t>Montant EUR</t>
  </si>
  <si>
    <t>TVA %</t>
  </si>
  <si>
    <t>Net EUR</t>
  </si>
  <si>
    <t>Mode paiement</t>
  </si>
  <si>
    <t>Encaissement</t>
  </si>
  <si>
    <t>Ventes — Boutique</t>
  </si>
  <si>
    <t>Rillettes Gingembre &amp; Citron × 2 — Alexandre Bouffard</t>
  </si>
  <si>
    <t>Espèces</t>
  </si>
  <si>
    <t>Ventes — Marchés</t>
  </si>
  <si>
    <t>Rillettes du Chef × 1 — Client marché</t>
  </si>
  <si>
    <t>Pate du Chef × 1 — Client marché</t>
  </si>
  <si>
    <t>Mousse du Chef × 1 — Client marché</t>
  </si>
  <si>
    <t>Rillettes Gingembre &amp; Citron × 4 — Alexandre Bouffard</t>
  </si>
  <si>
    <t>Rillettes du Chef × 1 — jhfj</t>
  </si>
  <si>
    <t>Pate du Chef × 1 — jhfj</t>
  </si>
  <si>
    <t>Pate de Campagne Maison 41 × 1 — jhfj</t>
  </si>
  <si>
    <t>Pate Echalotes Grises d'Anjou × 1 — jhfj</t>
  </si>
  <si>
    <t>Rillettes Poireaux Confits Nord × 1 — jhfj</t>
  </si>
  <si>
    <t>Rillettes Curry Vert Reunion × 100 — Client direct</t>
  </si>
  <si>
    <t xml:space="preserve">  RECAP TVA TRIMESTRIELLE</t>
  </si>
  <si>
    <t>TVA collectee (ventes)</t>
  </si>
  <si>
    <t>TVA deductible (achats)</t>
  </si>
  <si>
    <t>TVA A REVERSER</t>
  </si>
  <si>
    <t>MAISON 41 — CONFIGURATION GLOBALE — Parametres · TVA · Marges · Sync App</t>
  </si>
  <si>
    <t>Modifier les parametres ici · Impact immediat sur tout le fichier</t>
  </si>
  <si>
    <t xml:space="preserve">  PARAMETRES GENERAUX</t>
  </si>
  <si>
    <t>ID Google Sheets (pour app PWA)</t>
  </si>
  <si>
    <t>TVA Pates &amp; Terrines</t>
  </si>
  <si>
    <t>TVA Rillettes</t>
  </si>
  <si>
    <t>TVA Plats cuisines</t>
  </si>
  <si>
    <t>TVA Desserts appertises</t>
  </si>
  <si>
    <t>TVA Mousses</t>
  </si>
  <si>
    <t>TVA Soupes</t>
  </si>
  <si>
    <t>Marge cible HT (%)</t>
  </si>
  <si>
    <t>Marge minimale HT (%)</t>
  </si>
  <si>
    <t>Cout energie par lot (EUR)</t>
  </si>
  <si>
    <t>Cout main-oeuvre horaire (EUR)</t>
  </si>
  <si>
    <t>Duree moyenne lot (h)</t>
  </si>
  <si>
    <t>Seuil alerte stock MP (jours)</t>
  </si>
  <si>
    <t>Seuil alerte DDM (jours)</t>
  </si>
  <si>
    <t>DDM appertisation standard (mois)</t>
  </si>
  <si>
    <t>Autoclave temperature minimale (C)</t>
  </si>
  <si>
    <t>Numero agrement DDPP</t>
  </si>
  <si>
    <t>FR17 Pas encore obtenu</t>
  </si>
  <si>
    <t>Cout bocal W60-050 EUR</t>
  </si>
  <si>
    <t>Cout bocal W60-080 EUR</t>
  </si>
  <si>
    <t>Cout bocal W60-160 EUR</t>
  </si>
  <si>
    <t>Cout bocal RR100-290 EUR</t>
  </si>
  <si>
    <t>Cout bocal RR100-370 EUR</t>
  </si>
  <si>
    <t>Cout bocal RR100-580 EUR</t>
  </si>
  <si>
    <t>Cout bocal RR100-850 EUR</t>
  </si>
  <si>
    <t>Cout bocal RR100-1050 EUR</t>
  </si>
  <si>
    <t>Cout bocal RR100-1550 EUR</t>
  </si>
  <si>
    <t>Cout joint Weck EUR</t>
  </si>
  <si>
    <t>Cout etiquette EUR</t>
  </si>
  <si>
    <t>Cout emballage par bocal EUR</t>
  </si>
  <si>
    <t>Date debut activite</t>
  </si>
  <si>
    <t>Nom operateur responsable</t>
  </si>
  <si>
    <t>Alexandre</t>
  </si>
  <si>
    <t>Coeff revente Restaurants</t>
  </si>
  <si>
    <t>Coeff revente Epiceries fines</t>
  </si>
  <si>
    <t>Coeff revente Hotels Airbnb</t>
  </si>
  <si>
    <t>Coeff revente GMS</t>
  </si>
  <si>
    <t>Taux achat Restaurants x3</t>
  </si>
  <si>
    <t>Taux achat Restaurants x10</t>
  </si>
  <si>
    <t>Taux achat Restaurants x24</t>
  </si>
  <si>
    <t>Taux achat Epiceries x6</t>
  </si>
  <si>
    <t>Taux achat Epiceries x12</t>
  </si>
  <si>
    <t>Taux achat Epiceries x24</t>
  </si>
  <si>
    <t>Taux achat Hotels x6</t>
  </si>
  <si>
    <t>Taux achat Hotels x12</t>
  </si>
  <si>
    <t>Taux achat Hotels x24</t>
  </si>
  <si>
    <t>Taux achat GMS x100</t>
  </si>
  <si>
    <t>Taux achat GMS x200</t>
  </si>
  <si>
    <t>Taux achat GMS x500</t>
  </si>
  <si>
    <t>SIRET</t>
  </si>
  <si>
    <t>Raison sociale</t>
  </si>
  <si>
    <t>SASU Maison 41</t>
  </si>
  <si>
    <t>de chez moi à chez toi</t>
  </si>
  <si>
    <t>TVA Rillettes (%)</t>
  </si>
  <si>
    <t>TVA Pâtés (%)</t>
  </si>
  <si>
    <t>TVA Mousses (%)</t>
  </si>
  <si>
    <t>TVA Terrines (%)</t>
  </si>
  <si>
    <t>TVA Cassoulet (%)</t>
  </si>
  <si>
    <t>TVA Desserts (%)</t>
  </si>
  <si>
    <t>TVA Bocaux et accessoires (%)</t>
  </si>
  <si>
    <t>Marge minimale cible (%)</t>
  </si>
  <si>
    <t>Marge confort (%)</t>
  </si>
  <si>
    <t>Marge B2B (%)</t>
  </si>
  <si>
    <t>Marge restaurants (%)</t>
  </si>
  <si>
    <t>Marge epiceries (%)</t>
  </si>
  <si>
    <t>DDM Rillettes (mois)</t>
  </si>
  <si>
    <t>DDM Pâtés (mois)</t>
  </si>
  <si>
    <t>DDM Mousses (mois)</t>
  </si>
  <si>
    <t>DDM Terrines (mois)</t>
  </si>
  <si>
    <t>DDM Cassoulet (mois)</t>
  </si>
  <si>
    <t>DDM Desserts (mois)</t>
  </si>
  <si>
    <t>Taux main d oeuvre (EUR/h)</t>
  </si>
  <si>
    <t>Cout moyen bocal (EUR)</t>
  </si>
  <si>
    <t>Gemini API Key</t>
  </si>
  <si>
    <t>AIzaSyBx-NZcDrTy4CIx_HfPeNJe5xsTyHOsk_I</t>
  </si>
  <si>
    <t>Drive Tracabilite</t>
  </si>
  <si>
    <t>1-9AsLcufZFlyRs6CGWRihuSyhgOiXoajqTUpOD2niD0</t>
  </si>
  <si>
    <t>ntfy Topic</t>
  </si>
  <si>
    <t>Maison-41</t>
  </si>
  <si>
    <t>Folder ID</t>
  </si>
  <si>
    <r>
      <rPr>
        <color rgb="FF1155CC"/>
        <u/>
      </rPr>
      <t>https://drive.google.com/</t>
    </r>
    <r>
      <rPr/>
      <t>drive/folders/1opzgMVDULQFpAHEzJfhH0Z8YpMfFBxTj</t>
    </r>
  </si>
  <si>
    <t>MAISON 41 — ASSISTANT PRODUCTION — Lots recommandes · Ruptures · Autoclaves</t>
  </si>
  <si>
    <t>Analyse automatique : stock, ventes reelles, ruptures, planning · Recommandations</t>
  </si>
  <si>
    <t>Ventes 30j reelles</t>
  </si>
  <si>
    <t>Prevision 7j</t>
  </si>
  <si>
    <t>Rupture estimee (j)</t>
  </si>
  <si>
    <t>Lot recommande</t>
  </si>
  <si>
    <t>Autoclave ideal</t>
  </si>
  <si>
    <t>Priorite</t>
  </si>
  <si>
    <t xml:space="preserve">  COMMANDES B2B EN ATTENTE (BC Confirmes)</t>
  </si>
  <si>
    <t>N° BC</t>
  </si>
  <si>
    <t>Produit 1</t>
  </si>
  <si>
    <t>Qte 1</t>
  </si>
  <si>
    <t>Produit 2</t>
  </si>
  <si>
    <t>Qte 2</t>
  </si>
  <si>
    <t>Date livraison</t>
  </si>
  <si>
    <t xml:space="preserve">  PICKING LIST MP — Quantites a sortir pour les lots du jour</t>
  </si>
  <si>
    <t>Saisir la date en col A du Planning → cette section calcule automatiquement les MP a preparer</t>
  </si>
  <si>
    <t>Besoin total</t>
  </si>
  <si>
    <t>Manquant</t>
  </si>
  <si>
    <t>Recettes concernees</t>
  </si>
  <si>
    <t>MAISON 41 — PREVISION DE STOCK — Projection 7j / 30j</t>
  </si>
  <si>
    <t>Projection automatique depuis ventes reelles + planning</t>
  </si>
  <si>
    <t>Article</t>
  </si>
  <si>
    <t>Ventes 7j reelles</t>
  </si>
  <si>
    <t>Prod prevue 7j</t>
  </si>
  <si>
    <t>Prod prevue 30j</t>
  </si>
  <si>
    <t>Stock 7j</t>
  </si>
  <si>
    <t>Stock 30j</t>
  </si>
  <si>
    <t>Alerte</t>
  </si>
  <si>
    <t>MAISON 41 — ACHATS AUTOMATIQUES — MP a commander</t>
  </si>
  <si>
    <t>Analyse : stock, seuils, prevision, ruptures · Quantites recommandees</t>
  </si>
  <si>
    <t>Prevision 7j (kg)</t>
  </si>
  <si>
    <t>Qte recommandee</t>
  </si>
  <si>
    <t>Cout total EUR</t>
  </si>
  <si>
    <t>MAISON 41 — COUT DE REVIENT — MP · Bocaux · Energie · MO · Amortissements</t>
  </si>
  <si>
    <t>Cout MP depuis Detail Recettes · Energie et MO depuis Config</t>
  </si>
  <si>
    <t>Cout MP (EUR)</t>
  </si>
  <si>
    <t>Cout Bocaux (EUR)</t>
  </si>
  <si>
    <t>Cout Energie (EUR)</t>
  </si>
  <si>
    <t>Cout MO (EUR)</t>
  </si>
  <si>
    <t>Cout Amort. (EUR)</t>
  </si>
  <si>
    <t>Cout total (EUR)</t>
  </si>
  <si>
    <t>Prix vente HT (EUR)</t>
  </si>
  <si>
    <t>Marge / objectif</t>
  </si>
  <si>
    <t>MAISON 41 — PILOTAGE FINANCIER — Seuil de rentabilite · Marge · Tresorerie</t>
  </si>
  <si>
    <t>Analyse automatique : charges, ventes reelles, marges et tresorerie</t>
  </si>
  <si>
    <t>Indicateur</t>
  </si>
  <si>
    <t>Valeur</t>
  </si>
  <si>
    <t>CA mois en cours (EUR)</t>
  </si>
  <si>
    <t>Source : Journal Ventes</t>
  </si>
  <si>
    <t>Charges fixes mensuelles (EUR)</t>
  </si>
  <si>
    <t>Source : Charges (estimation mensuelle)</t>
  </si>
  <si>
    <t>Charges variables estimation (EUR)</t>
  </si>
  <si>
    <t>Total charges estimees (EUR)</t>
  </si>
  <si>
    <t>Fixes + Variables</t>
  </si>
  <si>
    <t>Seuil de rentabilite (EUR/mois)</t>
  </si>
  <si>
    <t>Charges fixes / (1 - tx charges variables)</t>
  </si>
  <si>
    <t>Marge brute sur ventes (%)</t>
  </si>
  <si>
    <t>Calcule depuis CA et charges variables</t>
  </si>
  <si>
    <t>Encaissements mois (EUR)</t>
  </si>
  <si>
    <t>Source : Compta</t>
  </si>
  <si>
    <t>Decaissements mois (EUR)</t>
  </si>
  <si>
    <t>Tresorerie nette mois (EUR)</t>
  </si>
  <si>
    <t>Encaissements - Decaissements</t>
  </si>
  <si>
    <t>Nb ventes mois en cours</t>
  </si>
  <si>
    <t>Panier moyen (EUR)</t>
  </si>
  <si>
    <t>CA / Nb ventes</t>
  </si>
  <si>
    <t>MAISON 41 — ASSISTANT MARCHES — Stock recommande · Prevision CA</t>
  </si>
  <si>
    <t>Analyse : ventes historiques, stock, prevision CA, marge</t>
  </si>
  <si>
    <t>Date marche</t>
  </si>
  <si>
    <t>Lieu</t>
  </si>
  <si>
    <t>Meteo</t>
  </si>
  <si>
    <t>Ventes moy. historique</t>
  </si>
  <si>
    <t>Stock recommande</t>
  </si>
  <si>
    <t>Prevision CA</t>
  </si>
  <si>
    <t>Prevision marge</t>
  </si>
  <si>
    <t>CA reel</t>
  </si>
  <si>
    <t>Marge reelle</t>
  </si>
  <si>
    <t>Ecart CA</t>
  </si>
  <si>
    <t>Ecart marge</t>
  </si>
  <si>
    <t>Ensoleillé</t>
  </si>
  <si>
    <t>MAISON 41 — HACCP PREMIUM — Enregistrements · Temperatures · NC</t>
  </si>
  <si>
    <t>Temperatures · Non-conformites · Actions correctives · Voir aussi : Plan Nettoyage</t>
  </si>
  <si>
    <t>Type controle</t>
  </si>
  <si>
    <t>Description / Point CCP</t>
  </si>
  <si>
    <t>Valeur mesuree</t>
  </si>
  <si>
    <t>Limite critique</t>
  </si>
  <si>
    <t>Action corrective</t>
  </si>
  <si>
    <t>Responsable</t>
  </si>
  <si>
    <t>Date cloture</t>
  </si>
  <si>
    <t>PRPo — Stockage T°</t>
  </si>
  <si>
    <t>cf 01</t>
  </si>
  <si>
    <t>PRPo — Réception MP</t>
  </si>
  <si>
    <t>poulet</t>
  </si>
  <si>
    <t>CCP1 — Température cœur</t>
  </si>
  <si>
    <t>Lot LOT-20260331-003 — Rillettes Gingembre &amp; Citron</t>
  </si>
  <si>
    <t>Lot LOT-20260331-004 — Rillettes Gingembre &amp; Citron</t>
  </si>
  <si>
    <t>Lot LOT-20260401-001 — Rillettes du Chef</t>
  </si>
  <si>
    <t>Lot LOT-20260401-002 — Rillettes aux Ricard</t>
  </si>
  <si>
    <t>Lot LOT-20260402-003 — Rillettes du Chef</t>
  </si>
  <si>
    <t>MAISON 41 — PLAN DE NETTOYAGE ET DESINFECTION — HACCP</t>
  </si>
  <si>
    <t>Toutes les zones et materiels · Frequence · Produits · Enregistrement mensuel</t>
  </si>
  <si>
    <t>Zone · Materiel · Frequence · Produit · Dose · Responsable · Visa Sem1 a Sem4 · Conforme</t>
  </si>
  <si>
    <t>Zone</t>
  </si>
  <si>
    <t>Materiel / Surface</t>
  </si>
  <si>
    <t>Frequence</t>
  </si>
  <si>
    <t>Produit utilise</t>
  </si>
  <si>
    <t>Dose / dilution</t>
  </si>
  <si>
    <t>Visa Sem1</t>
  </si>
  <si>
    <t>Visa Sem2</t>
  </si>
  <si>
    <t>Visa Sem3</t>
  </si>
  <si>
    <t>Visa Sem4</t>
  </si>
  <si>
    <t>Conforme mois</t>
  </si>
  <si>
    <t>Poste tranchage</t>
  </si>
  <si>
    <t>Planche + couteaux</t>
  </si>
  <si>
    <t>Apres chaque utilisation</t>
  </si>
  <si>
    <t>Desinfectant alim. 200</t>
  </si>
  <si>
    <t>dilution 1%</t>
  </si>
  <si>
    <t>Plans de travail inox</t>
  </si>
  <si>
    <t>Surface inox</t>
  </si>
  <si>
    <t>Apres chaque production</t>
  </si>
  <si>
    <t>Autoclave interieur</t>
  </si>
  <si>
    <t>Cuve + panier</t>
  </si>
  <si>
    <t>Apres chaque cycle</t>
  </si>
  <si>
    <t>Detartrant specifique</t>
  </si>
  <si>
    <t>dilution 5%</t>
  </si>
  <si>
    <t>Autoclave exterieur</t>
  </si>
  <si>
    <t>Carrosserie</t>
  </si>
  <si>
    <t>1x/semaine</t>
  </si>
  <si>
    <t>Nettoyant multi-surfaces</t>
  </si>
  <si>
    <t>dilution 2%</t>
  </si>
  <si>
    <t>Hachoir electrique</t>
  </si>
  <si>
    <t>Tetes + grilles</t>
  </si>
  <si>
    <t>Detergent + desinfectant</t>
  </si>
  <si>
    <t>manuel</t>
  </si>
  <si>
    <t>Chambres froides</t>
  </si>
  <si>
    <t>Sol + etageres</t>
  </si>
  <si>
    <t>Chef de production</t>
  </si>
  <si>
    <t>Chambre froide portes</t>
  </si>
  <si>
    <t>Joints + poignees</t>
  </si>
  <si>
    <t>Alcool 70 degrees</t>
  </si>
  <si>
    <t>pur</t>
  </si>
  <si>
    <t>Sol atelier</t>
  </si>
  <si>
    <t>Carrelage</t>
  </si>
  <si>
    <t>Desinfectant sol</t>
  </si>
  <si>
    <t>dilution 3%</t>
  </si>
  <si>
    <t>Murs atelier</t>
  </si>
  <si>
    <t>Carrelage mural</t>
  </si>
  <si>
    <t>1x/mois</t>
  </si>
  <si>
    <t>Detergent degraissant</t>
  </si>
  <si>
    <t>Vestiaires</t>
  </si>
  <si>
    <t>2x/semaine</t>
  </si>
  <si>
    <t>WC / lavabo</t>
  </si>
  <si>
    <t>Ensemble</t>
  </si>
  <si>
    <t>Quotidien</t>
  </si>
  <si>
    <t>Detergent sanitaire</t>
  </si>
  <si>
    <t>Grilles de ventilation</t>
  </si>
  <si>
    <t>Filtres</t>
  </si>
  <si>
    <t>1x/trimestre</t>
  </si>
  <si>
    <t>Conditionnement - table</t>
  </si>
  <si>
    <t>Surface</t>
  </si>
  <si>
    <t>Apres chaque conditionnement</t>
  </si>
  <si>
    <t>Bacs de pesee</t>
  </si>
  <si>
    <t>Bacs inox</t>
  </si>
  <si>
    <t>AJOUTER DES ZONES / MATERIELS ICI</t>
  </si>
  <si>
    <t>MAISON 41 — SUIVI DDM — Alimentee automatiquement depuis Fiche Lot</t>
  </si>
  <si>
    <t>Saisir uniquement le N° Lot (colonne A) — recette, format, quantite, DDM se remplissent automatiquement depuis Fiche Lot</t>
  </si>
  <si>
    <t>Recette (auto)</t>
  </si>
  <si>
    <t>Format (auto)</t>
  </si>
  <si>
    <t>Bocaux (auto)</t>
  </si>
  <si>
    <t>Jours restants</t>
  </si>
  <si>
    <t>Action recommandee</t>
  </si>
  <si>
    <t>MAISON 41 — ASSISTANT AUTOCLAVES — Charge optimale · Temperatures · Historique</t>
  </si>
  <si>
    <t>Historique autoclaves · Temperatures · Optimisation energetique · Sync app</t>
  </si>
  <si>
    <t>Nb bocaux</t>
  </si>
  <si>
    <t>Temp. max (C)</t>
  </si>
  <si>
    <t>Energie estimee EUR</t>
  </si>
  <si>
    <t>Autoclave A</t>
  </si>
  <si>
    <t>r21</t>
  </si>
  <si>
    <t>kjoj6546</t>
  </si>
  <si>
    <t>r69</t>
  </si>
  <si>
    <t>MAISON 41 — CRM CLIENTS B2C + B2B — Fiches completes · Conditions particulieres</t>
  </si>
  <si>
    <t>Particuliers · Restaurants · Epiceries · Hotels · GMS · Remises negociees · Bons de commande</t>
  </si>
  <si>
    <t xml:space="preserve">  CLIENTS B2C — PARTICULIERS &amp; MARCHES</t>
  </si>
  <si>
    <t>Nom / Prenom</t>
  </si>
  <si>
    <t>Telephone</t>
  </si>
  <si>
    <t>Code postal</t>
  </si>
  <si>
    <t>Ville</t>
  </si>
  <si>
    <t>Canal habituel</t>
  </si>
  <si>
    <t>Dernier achat</t>
  </si>
  <si>
    <t>Panier moy. EUR</t>
  </si>
  <si>
    <t>Freq. (j)</t>
  </si>
  <si>
    <t>Prochaine cmd</t>
  </si>
  <si>
    <t>Produit prefere</t>
  </si>
  <si>
    <t xml:space="preserve">  CLIENTS B2B — PROFESSIONNELS (restaurants · epiceries · hotels · GMS)</t>
  </si>
  <si>
    <t>Contact</t>
  </si>
  <si>
    <t>CP</t>
  </si>
  <si>
    <t>N TVA intracomm.</t>
  </si>
  <si>
    <t>Type client</t>
  </si>
  <si>
    <t>Remise fixe %</t>
  </si>
  <si>
    <t>Franco port (EUR)</t>
  </si>
  <si>
    <t>Delai paiement</t>
  </si>
  <si>
    <t>Format prefere</t>
  </si>
  <si>
    <t>Notes cond. part.</t>
  </si>
  <si>
    <t>MAISON 41 — CE &amp; ASSOCIATIONS — Commandes collectives · Remises progressives</t>
  </si>
  <si>
    <t>10 un. -5% · 21-50 -8% · 51-100 -10% · 101-200 -12% · 201+ -15%</t>
  </si>
  <si>
    <t xml:space="preserve">  GRILLE TARIFAIRE REMISES PROGRESSIVES</t>
  </si>
  <si>
    <t>Remise</t>
  </si>
  <si>
    <t>Port</t>
  </si>
  <si>
    <t>Delai</t>
  </si>
  <si>
    <t>Services inclus</t>
  </si>
  <si>
    <t>Conditions</t>
  </si>
  <si>
    <t>10 a 20 unites</t>
  </si>
  <si>
    <t>15 EUR forfait</t>
  </si>
  <si>
    <t>J+10</t>
  </si>
  <si>
    <t>Bon de livraison nominatif</t>
  </si>
  <si>
    <t>Commande ferme · paiement 30j</t>
  </si>
  <si>
    <t>21 a 50 unites</t>
  </si>
  <si>
    <t>Offerts des 30</t>
  </si>
  <si>
    <t>J+8</t>
  </si>
  <si>
    <t>Emballage individuel + carte</t>
  </si>
  <si>
    <t>Acompte 30% a la commande</t>
  </si>
  <si>
    <t>51 a 100 unites</t>
  </si>
  <si>
    <t>Offerts</t>
  </si>
  <si>
    <t>J+7</t>
  </si>
  <si>
    <t>+ Degustation sur site</t>
  </si>
  <si>
    <t>Bon de commande SIRENE</t>
  </si>
  <si>
    <t>101 a 200 unites</t>
  </si>
  <si>
    <t>J+5</t>
  </si>
  <si>
    <t>+ Bandeau coffret perso</t>
  </si>
  <si>
    <t>Contrat annuel possible</t>
  </si>
  <si>
    <t>201 unites et +</t>
  </si>
  <si>
    <t>+ Animation Mister Butchy</t>
  </si>
  <si>
    <t>Devis personnalise · contrat cadre</t>
  </si>
  <si>
    <t>CE-2026-007</t>
  </si>
  <si>
    <t>RACA</t>
  </si>
  <si>
    <t>guillaume</t>
  </si>
  <si>
    <t>raca@raca.fr</t>
  </si>
  <si>
    <t>Rillettes Curry Vert Reunion RR100-290 ×10 | Saucisses Lentilles Puy RR100-580 ×10 | Riz au Lait Cannelle &amp; Orange RR100-290 ×10</t>
  </si>
  <si>
    <t>[{"qte":10,"puHT":5.592417061611375,"format":"RR100-290","nom":"Rillettes Curry Vert Reunion","ref":"R974"},{"qte":10,"puHT":9.004739336492891,"format":"RR100-580","ref":"PC01","nom":"Saucisses Lentilles Puy"},{"nom":"Riz au Lait Cannelle &amp; Orange","ref":"D04","format":"RR100-290","puHT":4.644549763033176,"qte":10}]</t>
  </si>
  <si>
    <t>En attente</t>
  </si>
  <si>
    <t>CE-2026-008</t>
  </si>
  <si>
    <t>Rillettes Poivre de Madagascar RR100-290 ×15</t>
  </si>
  <si>
    <t>[{"puHT":5.592417061611375,"qte":15,"nom":"Rillettes Poivre de Madagascar","ref":"R44","format":"RR100-290"}]</t>
  </si>
  <si>
    <t xml:space="preserve">  REGISTRE COMMANDES CE &amp; ASSOCIATIONS</t>
  </si>
  <si>
    <t>N° BCE</t>
  </si>
  <si>
    <t>Client / Organisme</t>
  </si>
  <si>
    <t>Reference</t>
  </si>
  <si>
    <t>MAISON 41 — REGISTRE RECLAMATIONS — Obligation DDPP · Delai reponse 24h · Archiver 5 ans</t>
  </si>
  <si>
    <t>Toute reclamation doit etre enregistree · Action corrective obligatoire · Tracabilite lot concerne</t>
  </si>
  <si>
    <t>N° Recl.</t>
  </si>
  <si>
    <t>Date recept.</t>
  </si>
  <si>
    <t>Nature probleme</t>
  </si>
  <si>
    <t>Gravite</t>
  </si>
  <si>
    <t>Delai reponse</t>
  </si>
  <si>
    <t>Date reponse</t>
  </si>
  <si>
    <t>Archive ?</t>
  </si>
  <si>
    <t>MAISON 41 — FICHES TECHNIQUES INCO — Reglement UE 1169/2011 · Allergenes · Valeurs nutritionnelles</t>
  </si>
  <si>
    <t>Une fiche par produit commercialise · Mise a jour a chaque changement de recette · Document DDPP</t>
  </si>
  <si>
    <t>SAISIR : cols A-B (identite) · cols C-N (allergenes, cocher) · cols O-S (nutritionnels pour 100g) · col T (bareme sterilisation)</t>
  </si>
  <si>
    <t>Produit</t>
  </si>
  <si>
    <t>Crustaces</t>
  </si>
  <si>
    <t>Poissons</t>
  </si>
  <si>
    <t>Arachides</t>
  </si>
  <si>
    <t>Fruits a coque</t>
  </si>
  <si>
    <t>Celeri</t>
  </si>
  <si>
    <t>Sesame</t>
  </si>
  <si>
    <t>Lupin</t>
  </si>
  <si>
    <t>Mollusques</t>
  </si>
  <si>
    <t>Traces / Croisee</t>
  </si>
  <si>
    <t>Proteines g</t>
  </si>
  <si>
    <t>Lipides g</t>
  </si>
  <si>
    <t>Glucides g</t>
  </si>
  <si>
    <t>Sel g</t>
  </si>
  <si>
    <t>Bareme steril.</t>
  </si>
  <si>
    <t>DDM mois</t>
  </si>
  <si>
    <t>N° agrement DDPP</t>
  </si>
  <si>
    <t>Ciqual ANSES</t>
  </si>
  <si>
    <t>MAISON 41 — DUERP — Document Unique d'Evaluation des Risques Professionnels</t>
  </si>
  <si>
    <t>Code du Travail L4121-3 · Mise a jour annuelle minimum · Obligatoire meme en solo</t>
  </si>
  <si>
    <t>Evaluer chaque risque : Probabilite (1-4) x Gravite (1-4) = Criticite · &gt;=9 = Action prioritaire</t>
  </si>
  <si>
    <t>Unite de travail</t>
  </si>
  <si>
    <t>Risque identifie</t>
  </si>
  <si>
    <t>Probabilite
(1-4)</t>
  </si>
  <si>
    <t>Gravite
(1-4)</t>
  </si>
  <si>
    <t>Criticite
(auto)</t>
  </si>
  <si>
    <t>Mesures existantes</t>
  </si>
  <si>
    <t>Echeance</t>
  </si>
  <si>
    <t>Cuisine / preparation</t>
  </si>
  <si>
    <t>Coupures (couteaux, mandoline)</t>
  </si>
  <si>
    <t>Mecanique</t>
  </si>
  <si>
    <t>Couteaux ranges gaines · Port tablier</t>
  </si>
  <si>
    <t>Gants resistants coupures obligatoires</t>
  </si>
  <si>
    <t>Immediat</t>
  </si>
  <si>
    <t>A traiter</t>
  </si>
  <si>
    <t>Brulures (fourneaux, vapeur)</t>
  </si>
  <si>
    <t>Thermique</t>
  </si>
  <si>
    <t>Maniques · Distance securite</t>
  </si>
  <si>
    <t>Tablier ignifuge · Procedure refroidissement</t>
  </si>
  <si>
    <t>Chute (sol glissant, graisses)</t>
  </si>
  <si>
    <t>Chute de plain-pied</t>
  </si>
  <si>
    <t>Tapis antiderapant</t>
  </si>
  <si>
    <t>Chaussures antiderapantes · Nettoyage immediat deversements</t>
  </si>
  <si>
    <t>1 mois</t>
  </si>
  <si>
    <t>Brulures vapeur haute pression</t>
  </si>
  <si>
    <t>Formation · Procedure ouverture froide</t>
  </si>
  <si>
    <t>Ne jamais ouvrir sous pression · Check T°</t>
  </si>
  <si>
    <t>Explosion (surpression)</t>
  </si>
  <si>
    <t>Mecanique grave</t>
  </si>
  <si>
    <t>Soupape securite · Entretien annuel</t>
  </si>
  <si>
    <t>Verification annuelle preventive · Log maintenance</t>
  </si>
  <si>
    <t>Technicien</t>
  </si>
  <si>
    <t>Choc electrique</t>
  </si>
  <si>
    <t>Electrique</t>
  </si>
  <si>
    <t>Installation aux normes</t>
  </si>
  <si>
    <t>Verification electrique annuelle CONSUEL</t>
  </si>
  <si>
    <t>Electricien</t>
  </si>
  <si>
    <t>Stockage MP</t>
  </si>
  <si>
    <t>Chute de charges (etageres)</t>
  </si>
  <si>
    <t>Etageres fixees mur</t>
  </si>
  <si>
    <t>Charge max marquee · Inspection mensuelle</t>
  </si>
  <si>
    <t>Contamination croisee allergenes</t>
  </si>
  <si>
    <t>Biologique</t>
  </si>
  <si>
    <t>Separation physique MP</t>
  </si>
  <si>
    <t>Etiquetage obligatoire · Formation</t>
  </si>
  <si>
    <t>Manutention bocaux</t>
  </si>
  <si>
    <t>Bris de verre</t>
  </si>
  <si>
    <t>Lunettes si ouverture</t>
  </si>
  <si>
    <t>Chaussures de securite · Procedure bris de verre</t>
  </si>
  <si>
    <t>TMS (port de charges)</t>
  </si>
  <si>
    <t>Ergonomique</t>
  </si>
  <si>
    <t>Chariots disponibles</t>
  </si>
  <si>
    <t>Poids max 15kg par personne · Rotation postes</t>
  </si>
  <si>
    <t>3 mois</t>
  </si>
  <si>
    <t>Marches / vente</t>
  </si>
  <si>
    <t>Agression / incivilite</t>
  </si>
  <si>
    <t>Psychosocial</t>
  </si>
  <si>
    <t>Travail en duo si possible</t>
  </si>
  <si>
    <t>Caisse securisee · Procedure sortie urgence</t>
  </si>
  <si>
    <t>Bureau / compta</t>
  </si>
  <si>
    <t>TMS (posture bureau)</t>
  </si>
  <si>
    <t>Bureau reglable</t>
  </si>
  <si>
    <t>Pauses regulieres · Ecran a hauteur yeux</t>
  </si>
  <si>
    <t>General</t>
  </si>
  <si>
    <t>Incendie</t>
  </si>
  <si>
    <t>Thermique grave</t>
  </si>
  <si>
    <t>Extincteur cuisine</t>
  </si>
  <si>
    <t>Plan evacuation · Formation extincteur</t>
  </si>
  <si>
    <t>6 mois</t>
  </si>
  <si>
    <t>Risque chimique (produits nettoyage)</t>
  </si>
  <si>
    <t>Chimique</t>
  </si>
  <si>
    <t>FDS disponibles · Armoire fermee</t>
  </si>
  <si>
    <t>EPI : gants + lunettes nettoyage · FDS lues</t>
  </si>
  <si>
    <t>Stress / surcharge travail</t>
  </si>
  <si>
    <t>Planification hebdo</t>
  </si>
  <si>
    <t>Definir temps max / sem. · Backup identifie</t>
  </si>
  <si>
    <t>MAISON 41 — PMS — Plan de Maitrise Sanitaire · Obligatoire avant ouverture · Presenter a la DDPP</t>
  </si>
  <si>
    <t xml:space="preserve">  1 — BONNES PRATIQUES D'HYGIENE (BPH)</t>
  </si>
  <si>
    <t>Procedure / Mesure</t>
  </si>
  <si>
    <t>Frequence / Declencheur</t>
  </si>
  <si>
    <t>Formation hygiene</t>
  </si>
  <si>
    <t>CAP Cuisine + autoformation HACCP · Attestation a jour</t>
  </si>
  <si>
    <t>Annuelle</t>
  </si>
  <si>
    <t>Tenue vestimentaire</t>
  </si>
  <si>
    <t>Tablier propre · Charlotte · Gants selon tache · Chaussures</t>
  </si>
  <si>
    <t>Chaque jour</t>
  </si>
  <si>
    <t>Lavage mains</t>
  </si>
  <si>
    <t>Avant production · Apres pause · Apres contact matieres crues</t>
  </si>
  <si>
    <t>Systematique</t>
  </si>
  <si>
    <t>Nettoyage locaux</t>
  </si>
  <si>
    <t>Plan de nettoyage en feuille Plan Nettoyage · Tracabilite</t>
  </si>
  <si>
    <t>Selon planning</t>
  </si>
  <si>
    <t>Gestion dechets</t>
  </si>
  <si>
    <t>Bacs couverts · Evacuation quotidienne · Tracabilite</t>
  </si>
  <si>
    <t xml:space="preserve">  2 — TRACABILITE (Reglement CE 178/2002)</t>
  </si>
  <si>
    <t>Tracabilite amont</t>
  </si>
  <si>
    <t>N° lot fournisseur · DLC/DDM MP · References en Fiche Lot</t>
  </si>
  <si>
    <t>Chaque lot</t>
  </si>
  <si>
    <t>Tracabilite aval</t>
  </si>
  <si>
    <t>CRM · N° lot → clients · Delai rappel &lt; 2h</t>
  </si>
  <si>
    <t>Chaque vente</t>
  </si>
  <si>
    <t>Etiquetage</t>
  </si>
  <si>
    <t>INCO 1169/2011 · DDM · N° lot · Allergenes en gras</t>
  </si>
  <si>
    <t>Chaque bocal</t>
  </si>
  <si>
    <t xml:space="preserve">  3 — HACCP — POINTS CRITIQUES (CCP)</t>
  </si>
  <si>
    <t>CCP1 — Sterilisation</t>
  </si>
  <si>
    <t>T° coeur &gt;= 115°C · Enregistrement systematique · Action corrective si NC</t>
  </si>
  <si>
    <t>CCP2 — Refroidissement</t>
  </si>
  <si>
    <t>Bocaux &lt; 10°C en &lt; 2h ou stockage T° ambiante si appertise</t>
  </si>
  <si>
    <t>PRPo1 — Reception MP</t>
  </si>
  <si>
    <t>T° · Aspect · DLC · N° lot fournisseur · Refus si NC</t>
  </si>
  <si>
    <t>Chaque livraison</t>
  </si>
  <si>
    <t>PRPo2 — Stockage</t>
  </si>
  <si>
    <t>T° frigo 0-4°C · FIFO · Pas de croisement allergenes</t>
  </si>
  <si>
    <t xml:space="preserve">  4 — PROCEDURES DE GESTION (CRISES)</t>
  </si>
  <si>
    <t>Rappel produit</t>
  </si>
  <si>
    <t>Identifier lot (Fiche Lot) → contacter clients &lt; 2h → DDPP</t>
  </si>
  <si>
    <t>&lt; 2h si critique</t>
  </si>
  <si>
    <t>Non-conformite lot</t>
  </si>
  <si>
    <t>Bloquer lot → identifier cause → action corrective → revalider</t>
  </si>
  <si>
    <t>Reclamation client</t>
  </si>
  <si>
    <t>Enregistrer (feuille Reclamations) → analyser → repondre &lt; 5j</t>
  </si>
  <si>
    <t>&lt; 5 jours</t>
  </si>
  <si>
    <t>MAISON 41 — BONS DE COMMANDE — Devis · Commandes · Factures</t>
  </si>
  <si>
    <t>Changer Statut → "Confirme" = lot Planning auto · "Livre" = Vente enregistree auto</t>
  </si>
  <si>
    <t>N° BC auto · Client depuis CRM · Conditions appliquees · Statut colonne W → Confirme ou Livre pour declencher les automatismes</t>
  </si>
  <si>
    <t>Adresse livraison</t>
  </si>
  <si>
    <t>Recette 1</t>
  </si>
  <si>
    <t>Format 1</t>
  </si>
  <si>
    <t>PU HT 1</t>
  </si>
  <si>
    <t>Recette 2</t>
  </si>
  <si>
    <t>Format 2</t>
  </si>
  <si>
    <t>PU HT 2</t>
  </si>
  <si>
    <t>Recette 3</t>
  </si>
  <si>
    <t>Format 3</t>
  </si>
  <si>
    <t>Qte 3</t>
  </si>
  <si>
    <t>PU HT 3</t>
  </si>
  <si>
    <t>Franco port</t>
  </si>
  <si>
    <t>Total HT EUR</t>
  </si>
  <si>
    <t>Notes conditions</t>
  </si>
  <si>
    <t>B2B</t>
  </si>
  <si>
    <t>CE — Remise 10%</t>
  </si>
  <si>
    <t>CE — Remise 5%</t>
  </si>
  <si>
    <t>BC-2026-0202</t>
  </si>
  <si>
    <t>Rillettes Poireaux Confits RR100-290 ×1</t>
  </si>
  <si>
    <t>[{"qte":1,"format":"RR100-290","recette":"Rillettes Poireaux Confits"}]</t>
  </si>
  <si>
    <t>MODELE BON DE COMMANDE — Saisir le N° BC ci-dessous pour remplir automatiquement</t>
  </si>
  <si>
    <t>N° BC a afficher :</t>
  </si>
  <si>
    <t>← Saisir ex: BC-2025-001 · Le document se remplit automatiquement</t>
  </si>
  <si>
    <t>MAISON 41</t>
  </si>
  <si>
    <t>MAISON 41 — Conserverie Artisanale</t>
  </si>
  <si>
    <t>Bocaux Weck · 0 Additif · 0 Nitrite · Depuis 2023</t>
  </si>
  <si>
    <t>contact@maison41.fr · www.maison41.fr</t>
  </si>
  <si>
    <t>Designation produit</t>
  </si>
  <si>
    <t>TOTAL HT</t>
  </si>
  <si>
    <t>TVA 5,5%</t>
  </si>
  <si>
    <t>TOTAL TTC</t>
  </si>
  <si>
    <t>MAISON 41 — ULULE CROWDFUNDING — Simulation paliers + marge par contrepartie</t>
  </si>
  <si>
    <t>Donnees issues de Prix Vente et Cout de Revient · Cellules jaunes = a modifier</t>
  </si>
  <si>
    <t xml:space="preserve">  CATALOGUE PRODUITS — BASE DE CALCUL CONTREPARTIES</t>
  </si>
  <si>
    <t>PV TTC B2C</t>
  </si>
  <si>
    <t>Cout revient</t>
  </si>
  <si>
    <t>PV Ulule conseille</t>
  </si>
  <si>
    <t>Economie client</t>
  </si>
  <si>
    <t xml:space="preserve">  SIMULATION PALIERS ULULE — Contreparties et objectifs</t>
  </si>
  <si>
    <t>Palier Ulule</t>
  </si>
  <si>
    <t>Contenu contrepartie</t>
  </si>
  <si>
    <t>PV marche total</t>
  </si>
  <si>
    <t>Prix Ulule</t>
  </si>
  <si>
    <t>Cout total</t>
  </si>
  <si>
    <t>Objectif nb pledges</t>
  </si>
  <si>
    <t>Supporter — 15 EUR</t>
  </si>
  <si>
    <t>1 bocal RC solo (65g)</t>
  </si>
  <si>
    <t>Titulaire — 38 EUR</t>
  </si>
  <si>
    <t>RC + PC + MC (250g chacun)</t>
  </si>
  <si>
    <t>Capitaine — 76 EUR</t>
  </si>
  <si>
    <t>3xRC 500g + carte coequipier</t>
  </si>
  <si>
    <t>Pilier Fondateur — 152 EUR</t>
  </si>
  <si>
    <t>6xRC 500g + cuillere gravee</t>
  </si>
  <si>
    <t>Pionnier S — 127 EUR</t>
  </si>
  <si>
    <t>12x bocaux mix formats</t>
  </si>
  <si>
    <t>Pionnier M — 245 EUR</t>
  </si>
  <si>
    <t>24x bocaux mix + tablier brode</t>
  </si>
  <si>
    <t>Pionnier L — 490 EUR</t>
  </si>
  <si>
    <t>48x bocaux + visite atelier</t>
  </si>
  <si>
    <t>MAISON 41 — ASSISTANT DECISIONS — Recommandations automatiques</t>
  </si>
  <si>
    <t>Analyse globale : production · stock · ventes · prix · achats · finance</t>
  </si>
  <si>
    <t>Recommandation automatique</t>
  </si>
  <si>
    <t>Impact estime</t>
  </si>
  <si>
    <t>Notes / Action</t>
  </si>
  <si>
    <t>Production</t>
  </si>
  <si>
    <t>Stock MP</t>
  </si>
  <si>
    <t>Autoclaves</t>
  </si>
  <si>
    <t>Finances</t>
  </si>
  <si>
    <t>Nettoyage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</si>
</sst>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&quot;EUR&quot;#,##0.00"/>
    <numFmt numFmtId="165" formatCode="&quot;EUR&quot;#,##0"/>
    <numFmt numFmtId="166" formatCode="yyyy-mm-dd hh:mm:ss"/>
    <numFmt numFmtId="167" formatCode="0.0&quot;%&quot;"/>
    <numFmt numFmtId="168" formatCode="0&quot;%&quot;"/>
    <numFmt numFmtId="169" formatCode="&quot;EUR&quot;#,##0.000"/>
    <numFmt numFmtId="170" formatCode="0.0"/>
    <numFmt numFmtId="171" formatCode="yyyy-mm-dd"/>
    <numFmt numFmtId="172" formatCode="0.000"/>
    <numFmt numFmtId="173" formatCode="0.0%"/>
    <numFmt numFmtId="174" formatCode="dd/MM/yyyy"/>
    <numFmt numFmtId="175" formatCode="d/m"/>
    <numFmt numFmtId="176" formatCode="mmmm yyyy"/>
    <numFmt numFmtId="177" formatCode="d.m"/>
    <numFmt numFmtId="178" formatCode="0&quot; j&quot;"/>
  </numFmts>
  <fonts count="77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sz val="9.0"/>
      <color rgb="FF93C5FD"/>
      <name val="Arial"/>
      <scheme val="minor"/>
    </font>
    <font>
      <b/>
      <sz val="10.0"/>
      <color rgb="FFFFFFFF"/>
      <name val="Arial"/>
      <scheme val="minor"/>
    </font>
    <font>
      <b/>
      <color rgb="FF1E8449"/>
      <name val="Arial"/>
      <scheme val="minor"/>
    </font>
    <font>
      <b/>
      <color rgb="FFE67E22"/>
      <name val="Arial"/>
      <scheme val="minor"/>
    </font>
    <font>
      <sz val="9.0"/>
      <color theme="1"/>
      <name val="Arial"/>
      <scheme val="minor"/>
    </font>
    <font>
      <b/>
      <color rgb="FF1A3A6B"/>
      <name val="Arial"/>
      <scheme val="minor"/>
    </font>
    <font>
      <b/>
      <sz val="13.0"/>
      <color rgb="FF1E8449"/>
      <name val="Arial"/>
      <scheme val="minor"/>
    </font>
    <font>
      <sz val="9.0"/>
      <color rgb="FF666666"/>
      <name val="Arial"/>
      <scheme val="minor"/>
    </font>
    <font/>
    <font>
      <b/>
      <color rgb="FFC0392B"/>
      <name val="Arial"/>
      <scheme val="minor"/>
    </font>
    <font>
      <b/>
      <color rgb="FF6A1B9A"/>
      <name val="Arial"/>
      <scheme val="minor"/>
    </font>
    <font>
      <b/>
      <color rgb="FFF0C060"/>
      <name val="Arial"/>
      <scheme val="minor"/>
    </font>
    <font>
      <color theme="1"/>
      <name val="Arial"/>
      <scheme val="minor"/>
    </font>
    <font>
      <color theme="1"/>
      <name val="Google Sans Text"/>
    </font>
    <font>
      <b/>
      <color rgb="FFFFFFFF"/>
      <name val="Arial"/>
      <scheme val="minor"/>
    </font>
    <font>
      <b/>
      <sz val="12.0"/>
      <color rgb="FFFFFFFF"/>
      <name val="Arial"/>
      <scheme val="minor"/>
    </font>
    <font>
      <b/>
      <sz val="9.0"/>
      <color rgb="FFFFFFFF"/>
      <name val="Arial"/>
      <scheme val="minor"/>
    </font>
    <font>
      <b/>
      <sz val="9.0"/>
      <color theme="1"/>
      <name val="Arial"/>
      <scheme val="minor"/>
    </font>
    <font>
      <sz val="8.0"/>
      <color rgb="FF666666"/>
      <name val="Arial"/>
      <scheme val="minor"/>
    </font>
    <font>
      <sz val="8.0"/>
      <color rgb="FFE67E22"/>
      <name val="Arial"/>
      <scheme val="minor"/>
    </font>
    <font>
      <i/>
      <sz val="8.0"/>
      <color rgb="FF1A3A6B"/>
      <name val="Arial"/>
      <scheme val="minor"/>
    </font>
    <font>
      <sz val="8.0"/>
      <color theme="1"/>
      <name val="Arial"/>
      <scheme val="minor"/>
    </font>
    <font>
      <sz val="8.0"/>
      <color rgb="FFB8860B"/>
      <name val="Arial"/>
      <scheme val="minor"/>
    </font>
    <font>
      <b/>
      <color theme="1"/>
      <name val="Arial"/>
      <scheme val="minor"/>
    </font>
    <font>
      <sz val="9.0"/>
      <color rgb="FFC0392B"/>
      <name val="Arial"/>
      <scheme val="minor"/>
    </font>
    <font>
      <color rgb="FF1E8449"/>
      <name val="Arial"/>
      <scheme val="minor"/>
    </font>
    <font>
      <sz val="9.0"/>
      <color rgb="FFE65100"/>
      <name val="Arial"/>
      <scheme val="minor"/>
    </font>
    <font>
      <sz val="9.0"/>
      <color rgb="FF1E8449"/>
      <name val="Arial"/>
      <scheme val="minor"/>
    </font>
    <font>
      <sz val="9.0"/>
      <color rgb="FF6A1B9A"/>
      <name val="Arial"/>
      <scheme val="minor"/>
    </font>
    <font>
      <sz val="9.0"/>
      <color rgb="FF006064"/>
      <name val="Arial"/>
      <scheme val="minor"/>
    </font>
    <font>
      <color rgb="FF666666"/>
      <name val="Arial"/>
      <scheme val="minor"/>
    </font>
    <font>
      <b/>
      <color rgb="FFE65100"/>
      <name val="Arial"/>
      <scheme val="minor"/>
    </font>
    <font>
      <b/>
      <color rgb="FF006064"/>
      <name val="Arial"/>
      <scheme val="minor"/>
    </font>
    <font>
      <color rgb="FF00008B"/>
      <name val="Arial"/>
      <scheme val="minor"/>
    </font>
    <font>
      <b/>
      <sz val="9.0"/>
      <color rgb="FF1A3A6B"/>
      <name val="Arial"/>
      <scheme val="minor"/>
    </font>
    <font>
      <b/>
      <sz val="9.0"/>
      <color rgb="FF1E8449"/>
      <name val="Arial"/>
      <scheme val="minor"/>
    </font>
    <font>
      <b/>
      <sz val="11.0"/>
      <color rgb="FFFFFFFF"/>
      <name val="Arial"/>
      <scheme val="minor"/>
    </font>
    <font>
      <i/>
      <sz val="8.0"/>
      <color rgb="FF1E8449"/>
      <name val="Arial"/>
      <scheme val="minor"/>
    </font>
    <font>
      <b/>
      <sz val="8.0"/>
      <color rgb="FFFFFFFF"/>
      <name val="Arial"/>
      <scheme val="minor"/>
    </font>
    <font>
      <b/>
      <sz val="8.0"/>
      <color rgb="FF00008B"/>
      <name val="Arial"/>
      <scheme val="minor"/>
    </font>
    <font>
      <b/>
      <sz val="8.0"/>
      <color rgb="FFC0392B"/>
      <name val="Arial"/>
      <scheme val="minor"/>
    </font>
    <font>
      <b/>
      <color rgb="FF00008B"/>
      <name val="Arial"/>
      <scheme val="minor"/>
    </font>
    <font>
      <color rgb="FF006064"/>
      <name val="Arial"/>
      <scheme val="minor"/>
    </font>
    <font>
      <color rgb="FF1A3A6B"/>
      <name val="Arial"/>
      <scheme val="minor"/>
    </font>
    <font>
      <b/>
      <color rgb="FF8B4513"/>
      <name val="Arial"/>
      <scheme val="minor"/>
    </font>
    <font>
      <b/>
      <sz val="8.0"/>
      <color rgb="FFE65100"/>
      <name val="Arial"/>
      <scheme val="minor"/>
    </font>
    <font>
      <b/>
      <sz val="8.0"/>
      <color rgb="FF1E8449"/>
      <name val="Arial"/>
      <scheme val="minor"/>
    </font>
    <font>
      <b/>
      <sz val="8.0"/>
      <color rgb="FF6A1B9A"/>
      <name val="Arial"/>
      <scheme val="minor"/>
    </font>
    <font>
      <b/>
      <sz val="8.0"/>
      <color rgb="FF006064"/>
      <name val="Arial"/>
      <scheme val="minor"/>
    </font>
    <font>
      <b/>
      <sz val="8.0"/>
      <color rgb="FF1A3A6B"/>
      <name val="Arial"/>
      <scheme val="minor"/>
    </font>
    <font>
      <sz val="9.0"/>
      <color rgb="FFB8860B"/>
      <name val="Arial"/>
      <scheme val="minor"/>
    </font>
    <font>
      <b/>
      <sz val="10.0"/>
      <color rgb="FF1E8449"/>
      <name val="Arial"/>
      <scheme val="minor"/>
    </font>
    <font>
      <b/>
      <sz val="16.0"/>
      <color rgb="FF1E8449"/>
      <name val="Arial"/>
      <scheme val="minor"/>
    </font>
    <font>
      <b/>
      <sz val="16.0"/>
      <color rgb="FFC0392B"/>
      <name val="Arial"/>
      <scheme val="minor"/>
    </font>
    <font>
      <i/>
      <sz val="8.0"/>
      <color rgb="FFE65100"/>
      <name val="Arial"/>
      <scheme val="minor"/>
    </font>
    <font>
      <i/>
      <sz val="8.0"/>
      <color rgb="FF7C5121"/>
      <name val="Arial"/>
      <scheme val="minor"/>
    </font>
    <font>
      <sz val="8.0"/>
      <color rgb="FF1A3A6B"/>
      <name val="Arial"/>
      <scheme val="minor"/>
    </font>
    <font>
      <sz val="8.0"/>
      <color rgb="FF1E8449"/>
      <name val="Arial"/>
      <scheme val="minor"/>
    </font>
    <font>
      <color rgb="FF222222"/>
      <name val="Arial"/>
    </font>
    <font>
      <u/>
      <color rgb="FF0000FF"/>
    </font>
    <font>
      <sz val="8.0"/>
      <color rgb="FFC0392B"/>
      <name val="Arial"/>
      <scheme val="minor"/>
    </font>
    <font>
      <sz val="8.0"/>
      <color rgb="FFE65100"/>
      <name val="Arial"/>
      <scheme val="minor"/>
    </font>
    <font>
      <sz val="8.0"/>
      <color rgb="FF6A1B9A"/>
      <name val="Arial"/>
      <scheme val="minor"/>
    </font>
    <font>
      <sz val="8.0"/>
      <color rgb="FF006064"/>
      <name val="Arial"/>
      <scheme val="minor"/>
    </font>
    <font>
      <b/>
      <sz val="9.0"/>
      <color rgb="FF00008B"/>
      <name val="Arial"/>
      <scheme val="minor"/>
    </font>
    <font>
      <i/>
      <sz val="8.0"/>
      <color rgb="FFC0392B"/>
      <name val="Arial"/>
      <scheme val="minor"/>
    </font>
    <font>
      <sz val="9.0"/>
      <color rgb="FF1A1A1A"/>
      <name val="Arial"/>
      <scheme val="minor"/>
    </font>
    <font>
      <b/>
      <sz val="9.0"/>
      <color rgb="FFE67E22"/>
      <name val="Arial"/>
      <scheme val="minor"/>
    </font>
    <font>
      <sz val="9.0"/>
      <color rgb="FFE67E22"/>
      <name val="Arial"/>
      <scheme val="minor"/>
    </font>
    <font>
      <b/>
      <sz val="11.0"/>
      <color theme="1"/>
      <name val="Arial"/>
      <scheme val="minor"/>
    </font>
    <font>
      <b/>
      <sz val="12.0"/>
      <color rgb="FF00008B"/>
      <name val="Arial"/>
      <scheme val="minor"/>
    </font>
    <font>
      <b/>
      <sz val="18.0"/>
      <color rgb="FF1A3A6B"/>
      <name val="Arial"/>
      <scheme val="minor"/>
    </font>
    <font>
      <b/>
      <sz val="11.0"/>
      <color rgb="FF1A3A6B"/>
      <name val="Arial"/>
      <scheme val="minor"/>
    </font>
    <font>
      <color rgb="FFC0392B"/>
      <name val="Arial"/>
      <scheme val="minor"/>
    </font>
    <font>
      <color rgb="FFE67E22"/>
      <name val="Arial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1A3A6B"/>
        <bgColor rgb="FF1A3A6B"/>
      </patternFill>
    </fill>
    <fill>
      <patternFill patternType="solid">
        <fgColor rgb="FF003366"/>
        <bgColor rgb="FF003366"/>
      </patternFill>
    </fill>
    <fill>
      <patternFill patternType="solid">
        <fgColor rgb="FF1E8449"/>
        <bgColor rgb="FF1E8449"/>
      </patternFill>
    </fill>
    <fill>
      <patternFill patternType="solid">
        <fgColor rgb="FFE8F5E9"/>
        <bgColor rgb="FFE8F5E9"/>
      </patternFill>
    </fill>
    <fill>
      <patternFill patternType="solid">
        <fgColor rgb="FFFEF3E2"/>
        <bgColor rgb="FFFEF3E2"/>
      </patternFill>
    </fill>
    <fill>
      <patternFill patternType="solid">
        <fgColor rgb="FFF5F5F5"/>
        <bgColor rgb="FFF5F5F5"/>
      </patternFill>
    </fill>
    <fill>
      <patternFill patternType="solid">
        <fgColor rgb="FFE8EFF8"/>
        <bgColor rgb="FFE8EFF8"/>
      </patternFill>
    </fill>
    <fill>
      <patternFill patternType="solid">
        <fgColor rgb="FFC0392B"/>
        <bgColor rgb="FFC0392B"/>
      </patternFill>
    </fill>
    <fill>
      <patternFill patternType="solid">
        <fgColor rgb="FFFFFFFF"/>
        <bgColor rgb="FFFFFFFF"/>
      </patternFill>
    </fill>
    <fill>
      <patternFill patternType="solid">
        <fgColor rgb="FF0D0D0D"/>
        <bgColor rgb="FF0D0D0D"/>
      </patternFill>
    </fill>
    <fill>
      <patternFill patternType="solid">
        <fgColor rgb="FF1A237E"/>
        <bgColor rgb="FF1A237E"/>
      </patternFill>
    </fill>
    <fill>
      <patternFill patternType="solid">
        <fgColor rgb="FFFEF9F5"/>
        <bgColor rgb="FFFEF9F5"/>
      </patternFill>
    </fill>
    <fill>
      <patternFill patternType="solid">
        <fgColor rgb="FFFFF8E1"/>
        <bgColor rgb="FFFFF8E1"/>
      </patternFill>
    </fill>
    <fill>
      <patternFill patternType="solid">
        <fgColor rgb="FFE67E22"/>
        <bgColor rgb="FFE67E22"/>
      </patternFill>
    </fill>
    <fill>
      <patternFill patternType="solid">
        <fgColor rgb="FFFFFFF0"/>
        <bgColor rgb="FFFFFFF0"/>
      </patternFill>
    </fill>
    <fill>
      <patternFill patternType="solid">
        <fgColor rgb="FFFDECEA"/>
        <bgColor rgb="FFFDECEA"/>
      </patternFill>
    </fill>
    <fill>
      <patternFill patternType="solid">
        <fgColor rgb="FFFFFDE7"/>
        <bgColor rgb="FFFFFDE7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E0F7FA"/>
        <bgColor rgb="FFE0F7FA"/>
      </patternFill>
    </fill>
    <fill>
      <patternFill patternType="solid">
        <fgColor rgb="FFB8860B"/>
        <bgColor rgb="FFB8860B"/>
      </patternFill>
    </fill>
    <fill>
      <patternFill patternType="solid">
        <fgColor rgb="FF006064"/>
        <bgColor rgb="FF006064"/>
      </patternFill>
    </fill>
    <fill>
      <patternFill patternType="solid">
        <fgColor rgb="FF6A1B9A"/>
        <bgColor rgb="FF6A1B9A"/>
      </patternFill>
    </fill>
    <fill>
      <patternFill patternType="solid">
        <fgColor rgb="FF8B4513"/>
        <bgColor rgb="FF8B4513"/>
      </patternFill>
    </fill>
    <fill>
      <patternFill patternType="solid">
        <fgColor rgb="FFFDF0E0"/>
        <bgColor rgb="FFFDF0E0"/>
      </patternFill>
    </fill>
    <fill>
      <patternFill patternType="solid">
        <fgColor rgb="FFE65100"/>
        <bgColor rgb="FFE65100"/>
      </patternFill>
    </fill>
    <fill>
      <patternFill patternType="solid">
        <fgColor rgb="FFFFF9C4"/>
        <bgColor rgb="FFFFF9C4"/>
      </patternFill>
    </fill>
    <fill>
      <patternFill patternType="solid">
        <fgColor rgb="FF666666"/>
        <bgColor rgb="FF666666"/>
      </patternFill>
    </fill>
    <fill>
      <patternFill patternType="solid">
        <fgColor rgb="FFFFF8F0"/>
        <bgColor rgb="FFFFF8F0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E0E0E0"/>
      </right>
      <bottom style="thin">
        <color rgb="FFE0E0E0"/>
      </bottom>
    </border>
    <border>
      <left style="thin">
        <color rgb="FFE0E0E0"/>
      </left>
      <right style="thin">
        <color rgb="FFE0E0E0"/>
      </right>
      <bottom style="thin">
        <color rgb="FFE0E0E0"/>
      </bottom>
    </border>
    <border>
      <left style="thin">
        <color rgb="FFE0E0E0"/>
      </left>
      <bottom style="thin">
        <color rgb="FFE0E0E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E0E0E0"/>
      </top>
    </border>
    <border>
      <left style="thin">
        <color rgb="FFE0E0E0"/>
      </left>
      <right style="thin">
        <color rgb="FFE0E0E0"/>
      </right>
      <top style="thin">
        <color rgb="FFE0E0E0"/>
      </top>
    </border>
    <border>
      <left style="thin">
        <color rgb="FFE0E0E0"/>
      </left>
      <top style="thin">
        <color rgb="FFE0E0E0"/>
      </top>
    </border>
    <border>
      <bottom style="thin">
        <color rgb="FFE0E0E0"/>
      </bottom>
    </border>
  </borders>
  <cellStyleXfs count="1">
    <xf borderId="0" fillId="0" fontId="0" numFmtId="0" applyAlignment="1" applyFont="1"/>
  </cellStyleXfs>
  <cellXfs count="4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left" readingOrder="0" vertical="center"/>
    </xf>
    <xf borderId="0" fillId="5" fontId="4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2" fontId="3" numFmtId="0" xfId="0" applyAlignment="1" applyFont="1">
      <alignment horizontal="left" readingOrder="0" vertical="center"/>
    </xf>
    <xf borderId="0" fillId="8" fontId="7" numFmtId="0" xfId="0" applyAlignment="1" applyFill="1" applyFont="1">
      <alignment readingOrder="0"/>
    </xf>
    <xf borderId="0" fillId="5" fontId="8" numFmtId="164" xfId="0" applyAlignment="1" applyFont="1" applyNumberFormat="1">
      <alignment horizontal="right"/>
    </xf>
    <xf borderId="0" fillId="5" fontId="9" numFmtId="0" xfId="0" applyAlignment="1" applyFont="1">
      <alignment readingOrder="0"/>
    </xf>
    <xf borderId="0" fillId="5" fontId="8" numFmtId="3" xfId="0" applyAlignment="1" applyFont="1" applyNumberFormat="1">
      <alignment horizontal="right"/>
    </xf>
    <xf borderId="0" fillId="5" fontId="8" numFmtId="165" xfId="0" applyAlignment="1" applyFont="1" applyNumberFormat="1">
      <alignment horizontal="right"/>
    </xf>
    <xf borderId="0" fillId="9" fontId="3" numFmtId="0" xfId="0" applyAlignment="1" applyFill="1" applyFont="1">
      <alignment horizontal="left" readingOrder="0" vertical="center"/>
    </xf>
    <xf borderId="1" fillId="8" fontId="7" numFmtId="0" xfId="0" applyAlignment="1" applyBorder="1" applyFont="1">
      <alignment readingOrder="0"/>
    </xf>
    <xf borderId="2" fillId="10" fontId="9" numFmtId="0" xfId="0" applyAlignment="1" applyBorder="1" applyFill="1" applyFont="1">
      <alignment readingOrder="0"/>
    </xf>
    <xf borderId="3" fillId="0" fontId="10" numFmtId="0" xfId="0" applyBorder="1" applyFont="1"/>
    <xf borderId="4" fillId="0" fontId="10" numFmtId="0" xfId="0" applyBorder="1" applyFont="1"/>
    <xf borderId="0" fillId="3" fontId="3" numFmtId="0" xfId="0" applyAlignment="1" applyFont="1">
      <alignment horizontal="left" readingOrder="0" vertical="center"/>
    </xf>
    <xf borderId="0" fillId="7" fontId="9" numFmtId="0" xfId="0" applyAlignment="1" applyFont="1">
      <alignment readingOrder="0"/>
    </xf>
    <xf borderId="0" fillId="8" fontId="5" numFmtId="0" xfId="0" applyAlignment="1" applyFont="1">
      <alignment readingOrder="0"/>
    </xf>
    <xf borderId="0" fillId="10" fontId="9" numFmtId="0" xfId="0" applyAlignment="1" applyFont="1">
      <alignment readingOrder="0"/>
    </xf>
    <xf borderId="0" fillId="8" fontId="4" numFmtId="0" xfId="0" applyAlignment="1" applyFont="1">
      <alignment readingOrder="0"/>
    </xf>
    <xf borderId="0" fillId="8" fontId="11" numFmtId="0" xfId="0" applyAlignment="1" applyFont="1">
      <alignment readingOrder="0"/>
    </xf>
    <xf borderId="0" fillId="8" fontId="12" numFmtId="0" xfId="0" applyAlignment="1" applyFont="1">
      <alignment readingOrder="0"/>
    </xf>
    <xf borderId="0" fillId="11" fontId="13" numFmtId="0" xfId="0" applyAlignment="1" applyFill="1" applyFont="1">
      <alignment readingOrder="0"/>
    </xf>
    <xf borderId="0" fillId="0" fontId="14" numFmtId="166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12" fontId="16" numFmtId="0" xfId="0" applyAlignment="1" applyFill="1" applyFont="1">
      <alignment readingOrder="0"/>
    </xf>
    <xf borderId="0" fillId="2" fontId="17" numFmtId="0" xfId="0" applyAlignment="1" applyFont="1">
      <alignment horizontal="center" readingOrder="0" vertical="center"/>
    </xf>
    <xf borderId="0" fillId="3" fontId="18" numFmtId="0" xfId="0" applyAlignment="1" applyFont="1">
      <alignment horizontal="center" readingOrder="0" shrinkToFit="0" vertical="center" wrapText="1"/>
    </xf>
    <xf borderId="1" fillId="7" fontId="19" numFmtId="0" xfId="0" applyAlignment="1" applyBorder="1" applyFont="1">
      <alignment readingOrder="0"/>
    </xf>
    <xf borderId="1" fillId="7" fontId="20" numFmtId="0" xfId="0" applyAlignment="1" applyBorder="1" applyFont="1">
      <alignment readingOrder="0"/>
    </xf>
    <xf borderId="1" fillId="7" fontId="6" numFmtId="0" xfId="0" applyAlignment="1" applyBorder="1" applyFont="1">
      <alignment readingOrder="0" shrinkToFit="0" wrapText="1"/>
    </xf>
    <xf borderId="1" fillId="6" fontId="21" numFmtId="0" xfId="0" applyAlignment="1" applyBorder="1" applyFont="1">
      <alignment readingOrder="0" shrinkToFit="0" wrapText="1"/>
    </xf>
    <xf borderId="1" fillId="10" fontId="19" numFmtId="0" xfId="0" applyAlignment="1" applyBorder="1" applyFont="1">
      <alignment readingOrder="0"/>
    </xf>
    <xf borderId="1" fillId="10" fontId="20" numFmtId="0" xfId="0" applyAlignment="1" applyBorder="1" applyFont="1">
      <alignment readingOrder="0"/>
    </xf>
    <xf borderId="1" fillId="10" fontId="6" numFmtId="0" xfId="0" applyAlignment="1" applyBorder="1" applyFont="1">
      <alignment readingOrder="0" shrinkToFit="0" wrapText="1"/>
    </xf>
    <xf borderId="1" fillId="13" fontId="21" numFmtId="0" xfId="0" applyAlignment="1" applyBorder="1" applyFill="1" applyFont="1">
      <alignment readingOrder="0" shrinkToFit="0" wrapText="1"/>
    </xf>
    <xf borderId="0" fillId="9" fontId="18" numFmtId="0" xfId="0" applyAlignment="1" applyFont="1">
      <alignment horizontal="center" readingOrder="0" vertical="center"/>
    </xf>
    <xf borderId="0" fillId="8" fontId="22" numFmtId="0" xfId="0" applyAlignment="1" applyFont="1">
      <alignment readingOrder="0"/>
    </xf>
    <xf borderId="0" fillId="8" fontId="7" numFmtId="0" xfId="0" applyAlignment="1" applyFont="1">
      <alignment horizontal="center" readingOrder="0"/>
    </xf>
    <xf borderId="0" fillId="7" fontId="14" numFmtId="0" xfId="0" applyAlignment="1" applyFont="1">
      <alignment readingOrder="0"/>
    </xf>
    <xf borderId="0" fillId="7" fontId="20" numFmtId="0" xfId="0" applyAlignment="1" applyFont="1">
      <alignment readingOrder="0"/>
    </xf>
    <xf borderId="0" fillId="7" fontId="14" numFmtId="0" xfId="0" applyAlignment="1" applyFont="1">
      <alignment horizontal="center" readingOrder="0"/>
    </xf>
    <xf borderId="0" fillId="7" fontId="23" numFmtId="0" xfId="0" applyFont="1"/>
    <xf borderId="0" fillId="5" fontId="4" numFmtId="164" xfId="0" applyAlignment="1" applyFont="1" applyNumberFormat="1">
      <alignment horizontal="right" readingOrder="0"/>
    </xf>
    <xf borderId="0" fillId="7" fontId="20" numFmtId="0" xfId="0" applyFont="1"/>
    <xf borderId="0" fillId="14" fontId="24" numFmtId="164" xfId="0" applyFill="1" applyFont="1" applyNumberFormat="1"/>
    <xf borderId="0" fillId="14" fontId="24" numFmtId="167" xfId="0" applyFont="1" applyNumberFormat="1"/>
    <xf borderId="0" fillId="10" fontId="14" numFmtId="0" xfId="0" applyAlignment="1" applyFont="1">
      <alignment readingOrder="0"/>
    </xf>
    <xf borderId="0" fillId="10" fontId="20" numFmtId="0" xfId="0" applyAlignment="1" applyFont="1">
      <alignment readingOrder="0"/>
    </xf>
    <xf borderId="0" fillId="10" fontId="14" numFmtId="0" xfId="0" applyAlignment="1" applyFont="1">
      <alignment horizontal="center" readingOrder="0"/>
    </xf>
    <xf borderId="0" fillId="10" fontId="23" numFmtId="0" xfId="0" applyFont="1"/>
    <xf borderId="0" fillId="0" fontId="14" numFmtId="0" xfId="0" applyAlignment="1" applyFont="1">
      <alignment readingOrder="0"/>
    </xf>
    <xf borderId="0" fillId="15" fontId="16" numFmtId="0" xfId="0" applyAlignment="1" applyFill="1" applyFont="1">
      <alignment horizontal="center" readingOrder="0"/>
    </xf>
    <xf borderId="1" fillId="16" fontId="14" numFmtId="0" xfId="0" applyAlignment="1" applyBorder="1" applyFill="1" applyFont="1">
      <alignment readingOrder="0"/>
    </xf>
    <xf borderId="1" fillId="16" fontId="14" numFmtId="0" xfId="0" applyAlignment="1" applyBorder="1" applyFont="1">
      <alignment readingOrder="0"/>
    </xf>
    <xf borderId="1" fillId="16" fontId="14" numFmtId="0" xfId="0" applyBorder="1" applyFont="1"/>
    <xf borderId="1" fillId="10" fontId="14" numFmtId="0" xfId="0" applyAlignment="1" applyBorder="1" applyFont="1">
      <alignment readingOrder="0"/>
    </xf>
    <xf borderId="1" fillId="10" fontId="14" numFmtId="0" xfId="0" applyAlignment="1" applyBorder="1" applyFont="1">
      <alignment readingOrder="0"/>
    </xf>
    <xf borderId="1" fillId="10" fontId="14" numFmtId="0" xfId="0" applyBorder="1" applyFont="1"/>
    <xf borderId="0" fillId="17" fontId="25" numFmtId="0" xfId="0" applyAlignment="1" applyFill="1" applyFont="1">
      <alignment readingOrder="0"/>
    </xf>
    <xf borderId="0" fillId="17" fontId="26" numFmtId="0" xfId="0" applyAlignment="1" applyFont="1">
      <alignment readingOrder="0"/>
    </xf>
    <xf borderId="0" fillId="17" fontId="14" numFmtId="0" xfId="0" applyAlignment="1" applyFont="1">
      <alignment readingOrder="0"/>
    </xf>
    <xf borderId="0" fillId="17" fontId="14" numFmtId="168" xfId="0" applyAlignment="1" applyFont="1" applyNumberFormat="1">
      <alignment readingOrder="0"/>
    </xf>
    <xf borderId="0" fillId="17" fontId="14" numFmtId="0" xfId="0" applyAlignment="1" applyFont="1">
      <alignment readingOrder="0"/>
    </xf>
    <xf borderId="0" fillId="17" fontId="14" numFmtId="0" xfId="0" applyAlignment="1" applyFont="1">
      <alignment horizontal="center"/>
    </xf>
    <xf borderId="0" fillId="17" fontId="14" numFmtId="169" xfId="0" applyFont="1" applyNumberFormat="1"/>
    <xf borderId="0" fillId="17" fontId="20" numFmtId="0" xfId="0" applyAlignment="1" applyFont="1">
      <alignment readingOrder="0"/>
    </xf>
    <xf borderId="0" fillId="5" fontId="27" numFmtId="0" xfId="0" applyAlignment="1" applyFont="1">
      <alignment readingOrder="0"/>
    </xf>
    <xf borderId="0" fillId="18" fontId="6" numFmtId="0" xfId="0" applyAlignment="1" applyFill="1" applyFont="1">
      <alignment horizontal="center"/>
    </xf>
    <xf borderId="0" fillId="5" fontId="6" numFmtId="170" xfId="0" applyAlignment="1" applyFont="1" applyNumberFormat="1">
      <alignment horizontal="right"/>
    </xf>
    <xf borderId="0" fillId="10" fontId="14" numFmtId="168" xfId="0" applyAlignment="1" applyFont="1" applyNumberFormat="1">
      <alignment readingOrder="0"/>
    </xf>
    <xf borderId="0" fillId="10" fontId="14" numFmtId="0" xfId="0" applyAlignment="1" applyFont="1">
      <alignment readingOrder="0"/>
    </xf>
    <xf borderId="0" fillId="10" fontId="14" numFmtId="0" xfId="0" applyAlignment="1" applyFont="1">
      <alignment horizontal="center"/>
    </xf>
    <xf borderId="0" fillId="10" fontId="14" numFmtId="169" xfId="0" applyFont="1" applyNumberFormat="1"/>
    <xf borderId="0" fillId="19" fontId="25" numFmtId="0" xfId="0" applyAlignment="1" applyFill="1" applyFont="1">
      <alignment readingOrder="0"/>
    </xf>
    <xf borderId="0" fillId="19" fontId="28" numFmtId="0" xfId="0" applyAlignment="1" applyFont="1">
      <alignment readingOrder="0"/>
    </xf>
    <xf borderId="0" fillId="19" fontId="14" numFmtId="0" xfId="0" applyAlignment="1" applyFont="1">
      <alignment readingOrder="0"/>
    </xf>
    <xf borderId="0" fillId="19" fontId="14" numFmtId="168" xfId="0" applyAlignment="1" applyFont="1" applyNumberFormat="1">
      <alignment readingOrder="0"/>
    </xf>
    <xf borderId="0" fillId="19" fontId="14" numFmtId="0" xfId="0" applyAlignment="1" applyFont="1">
      <alignment readingOrder="0"/>
    </xf>
    <xf borderId="0" fillId="19" fontId="14" numFmtId="0" xfId="0" applyAlignment="1" applyFont="1">
      <alignment horizontal="center"/>
    </xf>
    <xf borderId="0" fillId="19" fontId="14" numFmtId="169" xfId="0" applyFont="1" applyNumberFormat="1"/>
    <xf borderId="0" fillId="19" fontId="20" numFmtId="0" xfId="0" applyAlignment="1" applyFont="1">
      <alignment readingOrder="0"/>
    </xf>
    <xf borderId="0" fillId="5" fontId="25" numFmtId="0" xfId="0" applyAlignment="1" applyFont="1">
      <alignment readingOrder="0"/>
    </xf>
    <xf borderId="0" fillId="5" fontId="29" numFmtId="0" xfId="0" applyAlignment="1" applyFont="1">
      <alignment readingOrder="0"/>
    </xf>
    <xf borderId="0" fillId="20" fontId="25" numFmtId="0" xfId="0" applyAlignment="1" applyFill="1" applyFont="1">
      <alignment readingOrder="0"/>
    </xf>
    <xf borderId="0" fillId="20" fontId="30" numFmtId="0" xfId="0" applyAlignment="1" applyFont="1">
      <alignment readingOrder="0"/>
    </xf>
    <xf borderId="0" fillId="20" fontId="14" numFmtId="0" xfId="0" applyAlignment="1" applyFont="1">
      <alignment readingOrder="0"/>
    </xf>
    <xf borderId="0" fillId="20" fontId="14" numFmtId="168" xfId="0" applyAlignment="1" applyFont="1" applyNumberFormat="1">
      <alignment readingOrder="0"/>
    </xf>
    <xf borderId="0" fillId="20" fontId="14" numFmtId="0" xfId="0" applyAlignment="1" applyFont="1">
      <alignment readingOrder="0"/>
    </xf>
    <xf borderId="0" fillId="20" fontId="14" numFmtId="0" xfId="0" applyAlignment="1" applyFont="1">
      <alignment horizontal="center"/>
    </xf>
    <xf borderId="0" fillId="20" fontId="14" numFmtId="169" xfId="0" applyFont="1" applyNumberFormat="1"/>
    <xf borderId="0" fillId="20" fontId="20" numFmtId="0" xfId="0" applyAlignment="1" applyFont="1">
      <alignment readingOrder="0"/>
    </xf>
    <xf borderId="0" fillId="5" fontId="14" numFmtId="0" xfId="0" applyAlignment="1" applyFont="1">
      <alignment readingOrder="0"/>
    </xf>
    <xf borderId="0" fillId="5" fontId="14" numFmtId="168" xfId="0" applyAlignment="1" applyFont="1" applyNumberFormat="1">
      <alignment readingOrder="0"/>
    </xf>
    <xf borderId="0" fillId="5" fontId="14" numFmtId="0" xfId="0" applyAlignment="1" applyFont="1">
      <alignment readingOrder="0"/>
    </xf>
    <xf borderId="0" fillId="5" fontId="14" numFmtId="0" xfId="0" applyAlignment="1" applyFont="1">
      <alignment horizontal="center"/>
    </xf>
    <xf borderId="0" fillId="5" fontId="14" numFmtId="169" xfId="0" applyFont="1" applyNumberFormat="1"/>
    <xf borderId="0" fillId="5" fontId="20" numFmtId="0" xfId="0" applyAlignment="1" applyFont="1">
      <alignment readingOrder="0"/>
    </xf>
    <xf borderId="0" fillId="21" fontId="25" numFmtId="0" xfId="0" applyAlignment="1" applyFill="1" applyFont="1">
      <alignment readingOrder="0"/>
    </xf>
    <xf borderId="0" fillId="21" fontId="31" numFmtId="0" xfId="0" applyAlignment="1" applyFont="1">
      <alignment readingOrder="0"/>
    </xf>
    <xf borderId="0" fillId="0" fontId="14" numFmtId="171" xfId="0" applyAlignment="1" applyFont="1" applyNumberFormat="1">
      <alignment readingOrder="0"/>
    </xf>
    <xf borderId="1" fillId="16" fontId="14" numFmtId="171" xfId="0" applyAlignment="1" applyBorder="1" applyFont="1" applyNumberFormat="1">
      <alignment readingOrder="0"/>
    </xf>
    <xf borderId="0" fillId="17" fontId="11" numFmtId="0" xfId="0" applyAlignment="1" applyFont="1">
      <alignment horizontal="center" readingOrder="0"/>
    </xf>
    <xf borderId="0" fillId="10" fontId="14" numFmtId="172" xfId="0" applyAlignment="1" applyFont="1" applyNumberFormat="1">
      <alignment horizontal="right" readingOrder="0"/>
    </xf>
    <xf borderId="0" fillId="10" fontId="32" numFmtId="164" xfId="0" applyFont="1" applyNumberFormat="1"/>
    <xf borderId="0" fillId="10" fontId="4" numFmtId="164" xfId="0" applyFont="1" applyNumberFormat="1"/>
    <xf borderId="0" fillId="10" fontId="14" numFmtId="173" xfId="0" applyFont="1" applyNumberFormat="1"/>
    <xf borderId="0" fillId="10" fontId="20" numFmtId="0" xfId="0" applyFont="1"/>
    <xf borderId="0" fillId="7" fontId="14" numFmtId="172" xfId="0" applyAlignment="1" applyFont="1" applyNumberFormat="1">
      <alignment horizontal="right" readingOrder="0"/>
    </xf>
    <xf borderId="0" fillId="7" fontId="32" numFmtId="164" xfId="0" applyFont="1" applyNumberFormat="1"/>
    <xf borderId="0" fillId="7" fontId="4" numFmtId="164" xfId="0" applyFont="1" applyNumberFormat="1"/>
    <xf borderId="0" fillId="7" fontId="14" numFmtId="173" xfId="0" applyFont="1" applyNumberFormat="1"/>
    <xf borderId="0" fillId="19" fontId="33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  <xf borderId="0" fillId="20" fontId="12" numFmtId="0" xfId="0" applyAlignment="1" applyFont="1">
      <alignment horizontal="center" readingOrder="0"/>
    </xf>
    <xf borderId="0" fillId="21" fontId="34" numFmtId="0" xfId="0" applyAlignment="1" applyFont="1">
      <alignment horizontal="center" readingOrder="0"/>
    </xf>
    <xf borderId="1" fillId="16" fontId="14" numFmtId="164" xfId="0" applyBorder="1" applyFont="1" applyNumberFormat="1"/>
    <xf borderId="1" fillId="10" fontId="14" numFmtId="164" xfId="0" applyBorder="1" applyFont="1" applyNumberFormat="1"/>
    <xf borderId="0" fillId="15" fontId="17" numFmtId="0" xfId="0" applyAlignment="1" applyFont="1">
      <alignment horizontal="center" readingOrder="0" vertical="center"/>
    </xf>
    <xf borderId="0" fillId="3" fontId="18" numFmtId="0" xfId="0" applyAlignment="1" applyFont="1">
      <alignment horizontal="center" readingOrder="0" vertical="center"/>
    </xf>
    <xf borderId="0" fillId="7" fontId="19" numFmtId="0" xfId="0" applyAlignment="1" applyFont="1">
      <alignment readingOrder="0"/>
    </xf>
    <xf borderId="0" fillId="18" fontId="35" numFmtId="0" xfId="0" applyAlignment="1" applyFont="1">
      <alignment readingOrder="0"/>
    </xf>
    <xf borderId="0" fillId="18" fontId="35" numFmtId="0" xfId="0" applyFont="1"/>
    <xf borderId="1" fillId="18" fontId="35" numFmtId="0" xfId="0" applyBorder="1" applyFont="1"/>
    <xf borderId="1" fillId="7" fontId="14" numFmtId="0" xfId="0" applyBorder="1" applyFont="1"/>
    <xf borderId="1" fillId="7" fontId="14" numFmtId="0" xfId="0" applyAlignment="1" applyBorder="1" applyFont="1">
      <alignment readingOrder="0"/>
    </xf>
    <xf borderId="1" fillId="7" fontId="14" numFmtId="164" xfId="0" applyBorder="1" applyFont="1" applyNumberFormat="1"/>
    <xf borderId="0" fillId="3" fontId="16" numFmtId="0" xfId="0" applyAlignment="1" applyFont="1">
      <alignment readingOrder="0"/>
    </xf>
    <xf borderId="0" fillId="3" fontId="16" numFmtId="164" xfId="0" applyFont="1" applyNumberFormat="1"/>
    <xf borderId="1" fillId="8" fontId="36" numFmtId="0" xfId="0" applyAlignment="1" applyBorder="1" applyFont="1">
      <alignment readingOrder="0"/>
    </xf>
    <xf borderId="1" fillId="8" fontId="6" numFmtId="0" xfId="0" applyAlignment="1" applyBorder="1" applyFont="1">
      <alignment readingOrder="0"/>
    </xf>
    <xf borderId="1" fillId="5" fontId="37" numFmtId="0" xfId="0" applyAlignment="1" applyBorder="1" applyFont="1">
      <alignment readingOrder="0"/>
    </xf>
    <xf borderId="1" fillId="8" fontId="6" numFmtId="0" xfId="0" applyAlignment="1" applyBorder="1" applyFont="1">
      <alignment readingOrder="0"/>
    </xf>
    <xf borderId="1" fillId="10" fontId="36" numFmtId="0" xfId="0" applyAlignment="1" applyBorder="1" applyFont="1">
      <alignment readingOrder="0"/>
    </xf>
    <xf borderId="1" fillId="10" fontId="6" numFmtId="0" xfId="0" applyAlignment="1" applyBorder="1" applyFont="1">
      <alignment readingOrder="0"/>
    </xf>
    <xf borderId="1" fillId="10" fontId="6" numFmtId="0" xfId="0" applyAlignment="1" applyBorder="1" applyFont="1">
      <alignment readingOrder="0"/>
    </xf>
    <xf borderId="0" fillId="2" fontId="38" numFmtId="0" xfId="0" applyAlignment="1" applyFont="1">
      <alignment horizontal="center" readingOrder="0" vertical="center"/>
    </xf>
    <xf borderId="0" fillId="22" fontId="18" numFmtId="0" xfId="0" applyAlignment="1" applyFill="1" applyFont="1">
      <alignment horizontal="center" readingOrder="0" vertical="center"/>
    </xf>
    <xf borderId="0" fillId="5" fontId="39" numFmtId="0" xfId="0" applyAlignment="1" applyFont="1">
      <alignment readingOrder="0"/>
    </xf>
    <xf borderId="0" fillId="9" fontId="16" numFmtId="0" xfId="0" applyAlignment="1" applyFont="1">
      <alignment horizontal="center" readingOrder="0"/>
    </xf>
    <xf borderId="0" fillId="23" fontId="16" numFmtId="0" xfId="0" applyAlignment="1" applyFill="1" applyFont="1">
      <alignment horizontal="center" readingOrder="0"/>
    </xf>
    <xf borderId="0" fillId="4" fontId="16" numFmtId="0" xfId="0" applyAlignment="1" applyFont="1">
      <alignment horizontal="center" readingOrder="0"/>
    </xf>
    <xf borderId="0" fillId="24" fontId="16" numFmtId="0" xfId="0" applyAlignment="1" applyFill="1" applyFont="1">
      <alignment horizontal="center" readingOrder="0"/>
    </xf>
    <xf borderId="0" fillId="22" fontId="16" numFmtId="0" xfId="0" applyAlignment="1" applyFont="1">
      <alignment horizontal="center" readingOrder="0"/>
    </xf>
    <xf borderId="0" fillId="3" fontId="16" numFmtId="0" xfId="0" applyAlignment="1" applyFont="1">
      <alignment horizontal="center" readingOrder="0"/>
    </xf>
    <xf borderId="0" fillId="3" fontId="40" numFmtId="0" xfId="0" applyAlignment="1" applyFont="1">
      <alignment horizontal="center" readingOrder="0" shrinkToFit="0" wrapText="1"/>
    </xf>
    <xf borderId="0" fillId="15" fontId="40" numFmtId="0" xfId="0" applyAlignment="1" applyFont="1">
      <alignment horizontal="center" readingOrder="0" shrinkToFit="0" wrapText="1"/>
    </xf>
    <xf borderId="0" fillId="25" fontId="40" numFmtId="0" xfId="0" applyAlignment="1" applyFill="1" applyFont="1">
      <alignment horizontal="center" readingOrder="0" shrinkToFit="0" wrapText="1"/>
    </xf>
    <xf borderId="0" fillId="18" fontId="41" numFmtId="0" xfId="0" applyAlignment="1" applyFont="1">
      <alignment horizontal="center" readingOrder="0" shrinkToFit="0" vertical="center" wrapText="1"/>
    </xf>
    <xf borderId="0" fillId="9" fontId="40" numFmtId="0" xfId="0" applyAlignment="1" applyFont="1">
      <alignment horizontal="center" readingOrder="0" shrinkToFit="0" vertical="center" wrapText="1"/>
    </xf>
    <xf borderId="0" fillId="23" fontId="40" numFmtId="0" xfId="0" applyAlignment="1" applyFont="1">
      <alignment horizontal="center" readingOrder="0" shrinkToFit="0" vertical="center" wrapText="1"/>
    </xf>
    <xf borderId="0" fillId="4" fontId="40" numFmtId="0" xfId="0" applyAlignment="1" applyFont="1">
      <alignment horizontal="center" readingOrder="0" shrinkToFit="0" vertical="center" wrapText="1"/>
    </xf>
    <xf borderId="0" fillId="24" fontId="40" numFmtId="0" xfId="0" applyAlignment="1" applyFont="1">
      <alignment horizontal="center" readingOrder="0" shrinkToFit="0" vertical="center" wrapText="1"/>
    </xf>
    <xf borderId="0" fillId="22" fontId="40" numFmtId="0" xfId="0" applyAlignment="1" applyFont="1">
      <alignment horizontal="center" readingOrder="0" shrinkToFit="0" vertical="center" wrapText="1"/>
    </xf>
    <xf borderId="0" fillId="3" fontId="40" numFmtId="0" xfId="0" applyAlignment="1" applyFont="1">
      <alignment horizontal="center" readingOrder="0" shrinkToFit="0" vertical="center" wrapText="1"/>
    </xf>
    <xf borderId="0" fillId="9" fontId="16" numFmtId="0" xfId="0" applyAlignment="1" applyFont="1">
      <alignment readingOrder="0"/>
    </xf>
    <xf borderId="1" fillId="17" fontId="42" numFmtId="0" xfId="0" applyAlignment="1" applyBorder="1" applyFont="1">
      <alignment horizontal="center" readingOrder="0"/>
    </xf>
    <xf borderId="1" fillId="17" fontId="23" numFmtId="0" xfId="0" applyAlignment="1" applyBorder="1" applyFont="1">
      <alignment readingOrder="0"/>
    </xf>
    <xf borderId="1" fillId="18" fontId="43" numFmtId="164" xfId="0" applyAlignment="1" applyBorder="1" applyFont="1" applyNumberFormat="1">
      <alignment horizontal="right" readingOrder="0"/>
    </xf>
    <xf borderId="1" fillId="17" fontId="11" numFmtId="164" xfId="0" applyAlignment="1" applyBorder="1" applyFont="1" applyNumberFormat="1">
      <alignment horizontal="right"/>
    </xf>
    <xf borderId="1" fillId="21" fontId="44" numFmtId="164" xfId="0" applyAlignment="1" applyBorder="1" applyFont="1" applyNumberFormat="1">
      <alignment horizontal="right"/>
    </xf>
    <xf borderId="1" fillId="8" fontId="45" numFmtId="164" xfId="0" applyAlignment="1" applyBorder="1" applyFont="1" applyNumberFormat="1">
      <alignment horizontal="right"/>
    </xf>
    <xf borderId="1" fillId="5" fontId="4" numFmtId="173" xfId="0" applyAlignment="1" applyBorder="1" applyFont="1" applyNumberFormat="1">
      <alignment horizontal="center"/>
    </xf>
    <xf borderId="1" fillId="6" fontId="5" numFmtId="164" xfId="0" applyAlignment="1" applyBorder="1" applyFont="1" applyNumberFormat="1">
      <alignment horizontal="center"/>
    </xf>
    <xf borderId="1" fillId="26" fontId="46" numFmtId="164" xfId="0" applyAlignment="1" applyBorder="1" applyFill="1" applyFont="1" applyNumberFormat="1">
      <alignment horizontal="center"/>
    </xf>
    <xf borderId="1" fillId="10" fontId="23" numFmtId="0" xfId="0" applyAlignment="1" applyBorder="1" applyFont="1">
      <alignment readingOrder="0"/>
    </xf>
    <xf borderId="0" fillId="27" fontId="16" numFmtId="0" xfId="0" applyAlignment="1" applyFill="1" applyFont="1">
      <alignment readingOrder="0"/>
    </xf>
    <xf borderId="1" fillId="19" fontId="47" numFmtId="0" xfId="0" applyAlignment="1" applyBorder="1" applyFont="1">
      <alignment horizontal="center" readingOrder="0"/>
    </xf>
    <xf borderId="1" fillId="19" fontId="23" numFmtId="0" xfId="0" applyAlignment="1" applyBorder="1" applyFont="1">
      <alignment readingOrder="0"/>
    </xf>
    <xf borderId="0" fillId="4" fontId="16" numFmtId="0" xfId="0" applyAlignment="1" applyFont="1">
      <alignment readingOrder="0"/>
    </xf>
    <xf borderId="1" fillId="5" fontId="48" numFmtId="0" xfId="0" applyAlignment="1" applyBorder="1" applyFont="1">
      <alignment horizontal="center" readingOrder="0"/>
    </xf>
    <xf borderId="1" fillId="5" fontId="23" numFmtId="0" xfId="0" applyAlignment="1" applyBorder="1" applyFont="1">
      <alignment readingOrder="0"/>
    </xf>
    <xf borderId="0" fillId="24" fontId="16" numFmtId="0" xfId="0" applyAlignment="1" applyFont="1">
      <alignment readingOrder="0"/>
    </xf>
    <xf borderId="1" fillId="20" fontId="49" numFmtId="0" xfId="0" applyAlignment="1" applyBorder="1" applyFont="1">
      <alignment horizontal="center" readingOrder="0"/>
    </xf>
    <xf borderId="1" fillId="20" fontId="23" numFmtId="0" xfId="0" applyAlignment="1" applyBorder="1" applyFont="1">
      <alignment readingOrder="0"/>
    </xf>
    <xf borderId="0" fillId="23" fontId="16" numFmtId="0" xfId="0" applyAlignment="1" applyFont="1">
      <alignment readingOrder="0"/>
    </xf>
    <xf borderId="1" fillId="21" fontId="50" numFmtId="0" xfId="0" applyAlignment="1" applyBorder="1" applyFont="1">
      <alignment horizontal="center" readingOrder="0"/>
    </xf>
    <xf borderId="1" fillId="21" fontId="23" numFmtId="0" xfId="0" applyAlignment="1" applyBorder="1" applyFont="1">
      <alignment readingOrder="0"/>
    </xf>
    <xf borderId="0" fillId="4" fontId="18" numFmtId="0" xfId="0" applyAlignment="1" applyFont="1">
      <alignment horizontal="center" readingOrder="0" vertical="center"/>
    </xf>
    <xf borderId="0" fillId="7" fontId="25" numFmtId="0" xfId="0" applyAlignment="1" applyFont="1">
      <alignment readingOrder="0"/>
    </xf>
    <xf borderId="0" fillId="18" fontId="43" numFmtId="0" xfId="0" applyAlignment="1" applyFont="1">
      <alignment readingOrder="0"/>
    </xf>
    <xf borderId="0" fillId="18" fontId="43" numFmtId="164" xfId="0" applyAlignment="1" applyFont="1" applyNumberFormat="1">
      <alignment readingOrder="0"/>
    </xf>
    <xf borderId="1" fillId="9" fontId="40" numFmtId="0" xfId="0" applyAlignment="1" applyBorder="1" applyFont="1">
      <alignment readingOrder="0"/>
    </xf>
    <xf borderId="1" fillId="18" fontId="23" numFmtId="0" xfId="0" applyAlignment="1" applyBorder="1" applyFont="1">
      <alignment readingOrder="0"/>
    </xf>
    <xf borderId="1" fillId="18" fontId="14" numFmtId="0" xfId="0" applyAlignment="1" applyBorder="1" applyFont="1">
      <alignment readingOrder="0"/>
    </xf>
    <xf borderId="1" fillId="18" fontId="14" numFmtId="164" xfId="0" applyBorder="1" applyFont="1" applyNumberFormat="1"/>
    <xf borderId="1" fillId="18" fontId="32" numFmtId="164" xfId="0" applyBorder="1" applyFont="1" applyNumberFormat="1"/>
    <xf borderId="1" fillId="18" fontId="4" numFmtId="164" xfId="0" applyBorder="1" applyFont="1" applyNumberFormat="1"/>
    <xf borderId="1" fillId="18" fontId="4" numFmtId="173" xfId="0" applyBorder="1" applyFont="1" applyNumberFormat="1"/>
    <xf borderId="1" fillId="10" fontId="32" numFmtId="164" xfId="0" applyBorder="1" applyFont="1" applyNumberFormat="1"/>
    <xf borderId="1" fillId="10" fontId="4" numFmtId="164" xfId="0" applyBorder="1" applyFont="1" applyNumberFormat="1"/>
    <xf borderId="1" fillId="10" fontId="4" numFmtId="173" xfId="0" applyBorder="1" applyFont="1" applyNumberFormat="1"/>
    <xf borderId="1" fillId="7" fontId="23" numFmtId="0" xfId="0" applyAlignment="1" applyBorder="1" applyFont="1">
      <alignment readingOrder="0"/>
    </xf>
    <xf borderId="1" fillId="7" fontId="14" numFmtId="0" xfId="0" applyAlignment="1" applyBorder="1" applyFont="1">
      <alignment readingOrder="0"/>
    </xf>
    <xf borderId="1" fillId="7" fontId="32" numFmtId="164" xfId="0" applyBorder="1" applyFont="1" applyNumberFormat="1"/>
    <xf borderId="1" fillId="7" fontId="4" numFmtId="164" xfId="0" applyBorder="1" applyFont="1" applyNumberFormat="1"/>
    <xf borderId="1" fillId="7" fontId="4" numFmtId="173" xfId="0" applyBorder="1" applyFont="1" applyNumberFormat="1"/>
    <xf borderId="1" fillId="23" fontId="40" numFmtId="0" xfId="0" applyAlignment="1" applyBorder="1" applyFont="1">
      <alignment readingOrder="0"/>
    </xf>
    <xf borderId="1" fillId="4" fontId="40" numFmtId="0" xfId="0" applyAlignment="1" applyBorder="1" applyFont="1">
      <alignment readingOrder="0"/>
    </xf>
    <xf borderId="1" fillId="24" fontId="40" numFmtId="0" xfId="0" applyAlignment="1" applyBorder="1" applyFont="1">
      <alignment readingOrder="0"/>
    </xf>
    <xf borderId="1" fillId="22" fontId="40" numFmtId="0" xfId="0" applyAlignment="1" applyBorder="1" applyFont="1">
      <alignment readingOrder="0"/>
    </xf>
    <xf borderId="1" fillId="3" fontId="40" numFmtId="0" xfId="0" applyAlignment="1" applyBorder="1" applyFont="1">
      <alignment readingOrder="0"/>
    </xf>
    <xf borderId="1" fillId="7" fontId="25" numFmtId="0" xfId="0" applyAlignment="1" applyBorder="1" applyFont="1">
      <alignment readingOrder="0"/>
    </xf>
    <xf borderId="1" fillId="0" fontId="14" numFmtId="0" xfId="0" applyBorder="1" applyFont="1"/>
    <xf borderId="1" fillId="18" fontId="35" numFmtId="0" xfId="0" applyAlignment="1" applyBorder="1" applyFont="1">
      <alignment readingOrder="0"/>
    </xf>
    <xf borderId="1" fillId="7" fontId="14" numFmtId="0" xfId="0" applyAlignment="1" applyBorder="1" applyFont="1">
      <alignment horizontal="center" readingOrder="0"/>
    </xf>
    <xf borderId="1" fillId="18" fontId="35" numFmtId="0" xfId="0" applyAlignment="1" applyBorder="1" applyFont="1">
      <alignment horizontal="right"/>
    </xf>
    <xf borderId="1" fillId="7" fontId="14" numFmtId="168" xfId="0" applyAlignment="1" applyBorder="1" applyFont="1" applyNumberFormat="1">
      <alignment readingOrder="0"/>
    </xf>
    <xf borderId="1" fillId="10" fontId="14" numFmtId="0" xfId="0" applyAlignment="1" applyBorder="1" applyFont="1">
      <alignment horizontal="center" readingOrder="0"/>
    </xf>
    <xf borderId="1" fillId="10" fontId="14" numFmtId="168" xfId="0" applyAlignment="1" applyBorder="1" applyFont="1" applyNumberFormat="1">
      <alignment readingOrder="0"/>
    </xf>
    <xf borderId="5" fillId="8" fontId="7" numFmtId="174" xfId="0" applyAlignment="1" applyBorder="1" applyFont="1" applyNumberFormat="1">
      <alignment readingOrder="0"/>
    </xf>
    <xf borderId="6" fillId="8" fontId="51" numFmtId="0" xfId="0" applyBorder="1" applyFont="1"/>
    <xf borderId="6" fillId="7" fontId="14" numFmtId="0" xfId="0" applyAlignment="1" applyBorder="1" applyFont="1">
      <alignment readingOrder="0"/>
    </xf>
    <xf borderId="6" fillId="7" fontId="14" numFmtId="0" xfId="0" applyBorder="1" applyFont="1"/>
    <xf borderId="6" fillId="14" fontId="52" numFmtId="0" xfId="0" applyAlignment="1" applyBorder="1" applyFont="1">
      <alignment readingOrder="0"/>
    </xf>
    <xf borderId="6" fillId="5" fontId="53" numFmtId="0" xfId="0" applyAlignment="1" applyBorder="1" applyFont="1">
      <alignment readingOrder="0"/>
    </xf>
    <xf borderId="6" fillId="7" fontId="14" numFmtId="173" xfId="0" applyBorder="1" applyFont="1" applyNumberFormat="1"/>
    <xf borderId="6" fillId="7" fontId="14" numFmtId="0" xfId="0" applyAlignment="1" applyBorder="1" applyFont="1">
      <alignment readingOrder="0"/>
    </xf>
    <xf borderId="6" fillId="7" fontId="32" numFmtId="174" xfId="0" applyBorder="1" applyFont="1" applyNumberFormat="1"/>
    <xf borderId="7" fillId="7" fontId="14" numFmtId="0" xfId="0" applyBorder="1" applyFont="1"/>
    <xf borderId="8" fillId="8" fontId="7" numFmtId="174" xfId="0" applyAlignment="1" applyBorder="1" applyFont="1" applyNumberFormat="1">
      <alignment readingOrder="0"/>
    </xf>
    <xf borderId="9" fillId="8" fontId="51" numFmtId="0" xfId="0" applyBorder="1" applyFont="1"/>
    <xf borderId="9" fillId="10" fontId="14" numFmtId="0" xfId="0" applyAlignment="1" applyBorder="1" applyFont="1">
      <alignment readingOrder="0"/>
    </xf>
    <xf borderId="9" fillId="10" fontId="14" numFmtId="0" xfId="0" applyBorder="1" applyFont="1"/>
    <xf borderId="9" fillId="14" fontId="52" numFmtId="0" xfId="0" applyAlignment="1" applyBorder="1" applyFont="1">
      <alignment readingOrder="0"/>
    </xf>
    <xf borderId="9" fillId="5" fontId="53" numFmtId="0" xfId="0" applyAlignment="1" applyBorder="1" applyFont="1">
      <alignment readingOrder="0"/>
    </xf>
    <xf borderId="9" fillId="10" fontId="14" numFmtId="173" xfId="0" applyBorder="1" applyFont="1" applyNumberFormat="1"/>
    <xf borderId="9" fillId="10" fontId="14" numFmtId="0" xfId="0" applyAlignment="1" applyBorder="1" applyFont="1">
      <alignment readingOrder="0"/>
    </xf>
    <xf borderId="9" fillId="10" fontId="32" numFmtId="174" xfId="0" applyBorder="1" applyFont="1" applyNumberFormat="1"/>
    <xf borderId="10" fillId="10" fontId="14" numFmtId="0" xfId="0" applyBorder="1" applyFont="1"/>
    <xf borderId="9" fillId="7" fontId="14" numFmtId="0" xfId="0" applyAlignment="1" applyBorder="1" applyFont="1">
      <alignment readingOrder="0"/>
    </xf>
    <xf borderId="9" fillId="7" fontId="14" numFmtId="0" xfId="0" applyBorder="1" applyFont="1"/>
    <xf borderId="9" fillId="14" fontId="52" numFmtId="0" xfId="0" applyBorder="1" applyFont="1"/>
    <xf borderId="9" fillId="7" fontId="14" numFmtId="173" xfId="0" applyBorder="1" applyFont="1" applyNumberFormat="1"/>
    <xf borderId="9" fillId="7" fontId="14" numFmtId="0" xfId="0" applyAlignment="1" applyBorder="1" applyFont="1">
      <alignment readingOrder="0"/>
    </xf>
    <xf borderId="9" fillId="7" fontId="32" numFmtId="174" xfId="0" applyBorder="1" applyFont="1" applyNumberFormat="1"/>
    <xf borderId="10" fillId="7" fontId="14" numFmtId="0" xfId="0" applyBorder="1" applyFont="1"/>
    <xf borderId="9" fillId="10" fontId="14" numFmtId="175" xfId="0" applyAlignment="1" applyBorder="1" applyFont="1" applyNumberFormat="1">
      <alignment readingOrder="0"/>
    </xf>
    <xf borderId="8" fillId="8" fontId="7" numFmtId="174" xfId="0" applyBorder="1" applyFont="1" applyNumberFormat="1"/>
    <xf borderId="9" fillId="5" fontId="53" numFmtId="0" xfId="0" applyBorder="1" applyFont="1"/>
    <xf borderId="11" fillId="8" fontId="7" numFmtId="174" xfId="0" applyBorder="1" applyFont="1" applyNumberFormat="1"/>
    <xf borderId="12" fillId="8" fontId="51" numFmtId="0" xfId="0" applyBorder="1" applyFont="1"/>
    <xf borderId="12" fillId="10" fontId="14" numFmtId="0" xfId="0" applyBorder="1" applyFont="1"/>
    <xf borderId="12" fillId="14" fontId="52" numFmtId="0" xfId="0" applyBorder="1" applyFont="1"/>
    <xf borderId="12" fillId="5" fontId="53" numFmtId="0" xfId="0" applyBorder="1" applyFont="1"/>
    <xf borderId="12" fillId="10" fontId="14" numFmtId="173" xfId="0" applyBorder="1" applyFont="1" applyNumberFormat="1"/>
    <xf borderId="12" fillId="10" fontId="32" numFmtId="174" xfId="0" applyBorder="1" applyFont="1" applyNumberFormat="1"/>
    <xf borderId="13" fillId="10" fontId="14" numFmtId="0" xfId="0" applyBorder="1" applyFont="1"/>
    <xf borderId="0" fillId="5" fontId="54" numFmtId="0" xfId="0" applyAlignment="1" applyFont="1">
      <alignment horizontal="right"/>
    </xf>
    <xf borderId="0" fillId="17" fontId="11" numFmtId="0" xfId="0" applyAlignment="1" applyFont="1">
      <alignment readingOrder="0"/>
    </xf>
    <xf borderId="0" fillId="17" fontId="55" numFmtId="0" xfId="0" applyAlignment="1" applyFont="1">
      <alignment horizontal="right"/>
    </xf>
    <xf borderId="0" fillId="18" fontId="43" numFmtId="0" xfId="0" applyAlignment="1" applyFont="1">
      <alignment readingOrder="0"/>
    </xf>
    <xf borderId="0" fillId="7" fontId="14" numFmtId="0" xfId="0" applyAlignment="1" applyFont="1">
      <alignment readingOrder="0"/>
    </xf>
    <xf borderId="0" fillId="7" fontId="14" numFmtId="0" xfId="0" applyFont="1"/>
    <xf borderId="0" fillId="7" fontId="14" numFmtId="164" xfId="0" applyFont="1" applyNumberFormat="1"/>
    <xf borderId="0" fillId="10" fontId="14" numFmtId="0" xfId="0" applyFont="1"/>
    <xf borderId="0" fillId="10" fontId="14" numFmtId="164" xfId="0" applyFont="1" applyNumberFormat="1"/>
    <xf borderId="0" fillId="15" fontId="3" numFmtId="0" xfId="0" applyAlignment="1" applyFont="1">
      <alignment horizontal="left" readingOrder="0" vertical="center"/>
    </xf>
    <xf borderId="0" fillId="15" fontId="18" numFmtId="0" xfId="0" applyAlignment="1" applyFont="1">
      <alignment horizontal="center" readingOrder="0" shrinkToFit="0" vertical="center" wrapText="1"/>
    </xf>
    <xf borderId="14" fillId="7" fontId="56" numFmtId="0" xfId="0" applyAlignment="1" applyBorder="1" applyFont="1">
      <alignment readingOrder="0"/>
    </xf>
    <xf borderId="14" fillId="0" fontId="10" numFmtId="0" xfId="0" applyBorder="1" applyFont="1"/>
    <xf borderId="8" fillId="10" fontId="14" numFmtId="0" xfId="0" applyBorder="1" applyFont="1"/>
    <xf borderId="9" fillId="10" fontId="14" numFmtId="174" xfId="0" applyBorder="1" applyFont="1" applyNumberFormat="1"/>
    <xf borderId="9" fillId="14" fontId="23" numFmtId="0" xfId="0" applyBorder="1" applyFont="1"/>
    <xf borderId="10" fillId="7" fontId="29" numFmtId="0" xfId="0" applyAlignment="1" applyBorder="1" applyFont="1">
      <alignment horizontal="center"/>
    </xf>
    <xf borderId="8" fillId="7" fontId="14" numFmtId="0" xfId="0" applyBorder="1" applyFont="1"/>
    <xf borderId="9" fillId="7" fontId="14" numFmtId="174" xfId="0" applyBorder="1" applyFont="1" applyNumberFormat="1"/>
    <xf borderId="11" fillId="10" fontId="14" numFmtId="0" xfId="0" applyBorder="1" applyFont="1"/>
    <xf borderId="12" fillId="10" fontId="14" numFmtId="174" xfId="0" applyBorder="1" applyFont="1" applyNumberFormat="1"/>
    <xf borderId="12" fillId="14" fontId="23" numFmtId="0" xfId="0" applyBorder="1" applyFont="1"/>
    <xf borderId="13" fillId="7" fontId="29" numFmtId="0" xfId="0" applyAlignment="1" applyBorder="1" applyFont="1">
      <alignment horizontal="center"/>
    </xf>
    <xf borderId="0" fillId="24" fontId="18" numFmtId="0" xfId="0" applyAlignment="1" applyFont="1">
      <alignment horizontal="center" readingOrder="0" vertical="center"/>
    </xf>
    <xf borderId="0" fillId="28" fontId="57" numFmtId="0" xfId="0" applyAlignment="1" applyFill="1" applyFont="1">
      <alignment readingOrder="0"/>
    </xf>
    <xf borderId="5" fillId="8" fontId="7" numFmtId="0" xfId="0" applyAlignment="1" applyBorder="1" applyFont="1">
      <alignment readingOrder="0"/>
    </xf>
    <xf borderId="6" fillId="7" fontId="14" numFmtId="174" xfId="0" applyBorder="1" applyFont="1" applyNumberFormat="1"/>
    <xf borderId="6" fillId="7" fontId="14" numFmtId="164" xfId="0" applyBorder="1" applyFont="1" applyNumberFormat="1"/>
    <xf borderId="8" fillId="8" fontId="7" numFmtId="0" xfId="0" applyAlignment="1" applyBorder="1" applyFont="1">
      <alignment readingOrder="0"/>
    </xf>
    <xf borderId="9" fillId="10" fontId="14" numFmtId="164" xfId="0" applyBorder="1" applyFont="1" applyNumberFormat="1"/>
    <xf borderId="8" fillId="8" fontId="7" numFmtId="0" xfId="0" applyBorder="1" applyFont="1"/>
    <xf borderId="9" fillId="7" fontId="14" numFmtId="164" xfId="0" applyBorder="1" applyFont="1" applyNumberFormat="1"/>
    <xf borderId="11" fillId="8" fontId="7" numFmtId="0" xfId="0" applyBorder="1" applyFont="1"/>
    <xf borderId="12" fillId="10" fontId="14" numFmtId="164" xfId="0" applyBorder="1" applyFont="1" applyNumberFormat="1"/>
    <xf borderId="2" fillId="7" fontId="19" numFmtId="0" xfId="0" applyAlignment="1" applyBorder="1" applyFont="1">
      <alignment readingOrder="0"/>
    </xf>
    <xf borderId="1" fillId="5" fontId="4" numFmtId="3" xfId="0" applyBorder="1" applyFont="1" applyNumberFormat="1"/>
    <xf borderId="1" fillId="5" fontId="4" numFmtId="173" xfId="0" applyBorder="1" applyFont="1" applyNumberFormat="1"/>
    <xf borderId="1" fillId="5" fontId="4" numFmtId="165" xfId="0" applyBorder="1" applyFont="1" applyNumberFormat="1"/>
    <xf borderId="5" fillId="7" fontId="14" numFmtId="174" xfId="0" applyAlignment="1" applyBorder="1" applyFont="1" applyNumberFormat="1">
      <alignment readingOrder="0"/>
    </xf>
    <xf borderId="6" fillId="7" fontId="14" numFmtId="164" xfId="0" applyAlignment="1" applyBorder="1" applyFont="1" applyNumberFormat="1">
      <alignment readingOrder="0"/>
    </xf>
    <xf borderId="6" fillId="7" fontId="14" numFmtId="168" xfId="0" applyAlignment="1" applyBorder="1" applyFont="1" applyNumberFormat="1">
      <alignment readingOrder="0"/>
    </xf>
    <xf borderId="8" fillId="10" fontId="14" numFmtId="174" xfId="0" applyAlignment="1" applyBorder="1" applyFont="1" applyNumberFormat="1">
      <alignment readingOrder="0"/>
    </xf>
    <xf borderId="9" fillId="10" fontId="14" numFmtId="164" xfId="0" applyAlignment="1" applyBorder="1" applyFont="1" applyNumberFormat="1">
      <alignment readingOrder="0"/>
    </xf>
    <xf borderId="9" fillId="10" fontId="14" numFmtId="168" xfId="0" applyAlignment="1" applyBorder="1" applyFont="1" applyNumberFormat="1">
      <alignment readingOrder="0"/>
    </xf>
    <xf borderId="8" fillId="7" fontId="14" numFmtId="174" xfId="0" applyAlignment="1" applyBorder="1" applyFont="1" applyNumberFormat="1">
      <alignment readingOrder="0"/>
    </xf>
    <xf borderId="9" fillId="7" fontId="14" numFmtId="164" xfId="0" applyAlignment="1" applyBorder="1" applyFont="1" applyNumberFormat="1">
      <alignment readingOrder="0"/>
    </xf>
    <xf borderId="9" fillId="7" fontId="14" numFmtId="168" xfId="0" applyAlignment="1" applyBorder="1" applyFont="1" applyNumberFormat="1">
      <alignment readingOrder="0"/>
    </xf>
    <xf borderId="10" fillId="10" fontId="14" numFmtId="0" xfId="0" applyAlignment="1" applyBorder="1" applyFont="1">
      <alignment readingOrder="0"/>
    </xf>
    <xf borderId="10" fillId="7" fontId="14" numFmtId="0" xfId="0" applyAlignment="1" applyBorder="1" applyFont="1">
      <alignment readingOrder="0"/>
    </xf>
    <xf borderId="8" fillId="10" fontId="14" numFmtId="174" xfId="0" applyBorder="1" applyFont="1" applyNumberFormat="1"/>
    <xf borderId="9" fillId="10" fontId="14" numFmtId="168" xfId="0" applyBorder="1" applyFont="1" applyNumberFormat="1"/>
    <xf borderId="8" fillId="7" fontId="14" numFmtId="174" xfId="0" applyBorder="1" applyFont="1" applyNumberFormat="1"/>
    <xf borderId="9" fillId="7" fontId="14" numFmtId="168" xfId="0" applyBorder="1" applyFont="1" applyNumberFormat="1"/>
    <xf borderId="11" fillId="10" fontId="14" numFmtId="174" xfId="0" applyBorder="1" applyFont="1" applyNumberFormat="1"/>
    <xf borderId="12" fillId="10" fontId="14" numFmtId="168" xfId="0" applyBorder="1" applyFont="1" applyNumberFormat="1"/>
    <xf borderId="0" fillId="8" fontId="58" numFmtId="0" xfId="0" applyAlignment="1" applyFont="1">
      <alignment horizontal="center" readingOrder="0"/>
    </xf>
    <xf borderId="0" fillId="7" fontId="14" numFmtId="164" xfId="0" applyAlignment="1" applyFont="1" applyNumberFormat="1">
      <alignment readingOrder="0"/>
    </xf>
    <xf borderId="0" fillId="18" fontId="43" numFmtId="164" xfId="0" applyFont="1" applyNumberFormat="1"/>
    <xf borderId="0" fillId="5" fontId="4" numFmtId="164" xfId="0" applyFont="1" applyNumberFormat="1"/>
    <xf borderId="0" fillId="10" fontId="14" numFmtId="164" xfId="0" applyAlignment="1" applyFont="1" applyNumberFormat="1">
      <alignment readingOrder="0"/>
    </xf>
    <xf borderId="0" fillId="6" fontId="21" numFmtId="0" xfId="0" applyAlignment="1" applyFont="1">
      <alignment horizontal="center" readingOrder="0"/>
    </xf>
    <xf borderId="0" fillId="5" fontId="59" numFmtId="0" xfId="0" applyAlignment="1" applyFont="1">
      <alignment horizontal="center" readingOrder="0"/>
    </xf>
    <xf borderId="0" fillId="0" fontId="14" numFmtId="176" xfId="0" applyAlignment="1" applyFont="1" applyNumberFormat="1">
      <alignment readingOrder="0"/>
    </xf>
    <xf borderId="0" fillId="9" fontId="16" numFmtId="164" xfId="0" applyFont="1" applyNumberFormat="1"/>
    <xf borderId="0" fillId="18" fontId="43" numFmtId="0" xfId="0" applyFont="1"/>
    <xf borderId="0" fillId="10" fontId="32" numFmtId="164" xfId="0" applyAlignment="1" applyFont="1" applyNumberFormat="1">
      <alignment readingOrder="0"/>
    </xf>
    <xf borderId="0" fillId="10" fontId="32" numFmtId="0" xfId="0" applyFont="1"/>
    <xf borderId="0" fillId="7" fontId="14" numFmtId="167" xfId="0" applyFont="1" applyNumberFormat="1"/>
    <xf borderId="0" fillId="10" fontId="25" numFmtId="0" xfId="0" applyAlignment="1" applyFont="1">
      <alignment readingOrder="0"/>
    </xf>
    <xf borderId="0" fillId="10" fontId="14" numFmtId="167" xfId="0" applyFont="1" applyNumberFormat="1"/>
    <xf borderId="0" fillId="17" fontId="11" numFmtId="164" xfId="0" applyFont="1" applyNumberFormat="1"/>
    <xf borderId="0" fillId="29" fontId="18" numFmtId="0" xfId="0" applyAlignment="1" applyFill="1" applyFont="1">
      <alignment horizontal="center" readingOrder="0" vertical="center"/>
    </xf>
    <xf borderId="1" fillId="18" fontId="43" numFmtId="0" xfId="0" applyAlignment="1" applyBorder="1" applyFont="1">
      <alignment horizontal="right"/>
    </xf>
    <xf borderId="1" fillId="18" fontId="43" numFmtId="0" xfId="0" applyAlignment="1" applyBorder="1" applyFont="1">
      <alignment horizontal="right" readingOrder="0"/>
    </xf>
    <xf borderId="1" fillId="18" fontId="43" numFmtId="0" xfId="0" applyAlignment="1" applyBorder="1" applyFont="1">
      <alignment horizontal="right" readingOrder="0"/>
    </xf>
    <xf borderId="0" fillId="0" fontId="14" numFmtId="177" xfId="0" applyAlignment="1" applyFont="1" applyNumberFormat="1">
      <alignment readingOrder="0"/>
    </xf>
    <xf borderId="0" fillId="10" fontId="60" numFmtId="0" xfId="0" applyAlignment="1" applyFont="1">
      <alignment readingOrder="0"/>
    </xf>
    <xf borderId="0" fillId="0" fontId="61" numFmtId="0" xfId="0" applyAlignment="1" applyFont="1">
      <alignment readingOrder="0"/>
    </xf>
    <xf borderId="1" fillId="17" fontId="25" numFmtId="0" xfId="0" applyAlignment="1" applyBorder="1" applyFont="1">
      <alignment readingOrder="0"/>
    </xf>
    <xf borderId="1" fillId="7" fontId="62" numFmtId="0" xfId="0" applyAlignment="1" applyBorder="1" applyFont="1">
      <alignment readingOrder="0"/>
    </xf>
    <xf borderId="1" fillId="7" fontId="14" numFmtId="170" xfId="0" applyBorder="1" applyFont="1" applyNumberFormat="1"/>
    <xf borderId="1" fillId="0" fontId="14" numFmtId="0" xfId="0" applyAlignment="1" applyBorder="1" applyFont="1">
      <alignment horizontal="center"/>
    </xf>
    <xf borderId="1" fillId="10" fontId="62" numFmtId="0" xfId="0" applyAlignment="1" applyBorder="1" applyFont="1">
      <alignment readingOrder="0"/>
    </xf>
    <xf borderId="1" fillId="10" fontId="14" numFmtId="170" xfId="0" applyBorder="1" applyFont="1" applyNumberFormat="1"/>
    <xf borderId="1" fillId="19" fontId="25" numFmtId="0" xfId="0" applyAlignment="1" applyBorder="1" applyFont="1">
      <alignment readingOrder="0"/>
    </xf>
    <xf borderId="1" fillId="7" fontId="63" numFmtId="0" xfId="0" applyAlignment="1" applyBorder="1" applyFont="1">
      <alignment readingOrder="0"/>
    </xf>
    <xf borderId="1" fillId="5" fontId="25" numFmtId="0" xfId="0" applyAlignment="1" applyBorder="1" applyFont="1">
      <alignment readingOrder="0"/>
    </xf>
    <xf borderId="1" fillId="10" fontId="59" numFmtId="0" xfId="0" applyAlignment="1" applyBorder="1" applyFont="1">
      <alignment readingOrder="0"/>
    </xf>
    <xf borderId="1" fillId="20" fontId="25" numFmtId="0" xfId="0" applyAlignment="1" applyBorder="1" applyFont="1">
      <alignment readingOrder="0"/>
    </xf>
    <xf borderId="1" fillId="7" fontId="64" numFmtId="0" xfId="0" applyAlignment="1" applyBorder="1" applyFont="1">
      <alignment readingOrder="0"/>
    </xf>
    <xf borderId="1" fillId="10" fontId="63" numFmtId="0" xfId="0" applyAlignment="1" applyBorder="1" applyFont="1">
      <alignment readingOrder="0"/>
    </xf>
    <xf borderId="1" fillId="7" fontId="59" numFmtId="0" xfId="0" applyAlignment="1" applyBorder="1" applyFont="1">
      <alignment readingOrder="0"/>
    </xf>
    <xf borderId="1" fillId="21" fontId="25" numFmtId="0" xfId="0" applyAlignment="1" applyBorder="1" applyFont="1">
      <alignment readingOrder="0"/>
    </xf>
    <xf borderId="1" fillId="10" fontId="65" numFmtId="0" xfId="0" applyAlignment="1" applyBorder="1" applyFont="1">
      <alignment readingOrder="0"/>
    </xf>
    <xf borderId="1" fillId="10" fontId="64" numFmtId="0" xfId="0" applyAlignment="1" applyBorder="1" applyFont="1">
      <alignment readingOrder="0"/>
    </xf>
    <xf borderId="1" fillId="10" fontId="14" numFmtId="0" xfId="0" applyAlignment="1" applyBorder="1" applyFont="1">
      <alignment horizontal="center"/>
    </xf>
    <xf borderId="1" fillId="7" fontId="14" numFmtId="0" xfId="0" applyAlignment="1" applyBorder="1" applyFont="1">
      <alignment horizontal="center"/>
    </xf>
    <xf borderId="0" fillId="22" fontId="3" numFmtId="0" xfId="0" applyAlignment="1" applyFont="1">
      <alignment horizontal="left" readingOrder="0" vertical="center"/>
    </xf>
    <xf borderId="0" fillId="4" fontId="18" numFmtId="0" xfId="0" applyAlignment="1" applyFont="1">
      <alignment horizontal="center" readingOrder="0" shrinkToFit="0" vertical="center" wrapText="1"/>
    </xf>
    <xf borderId="1" fillId="8" fontId="51" numFmtId="0" xfId="0" applyAlignment="1" applyBorder="1" applyFont="1">
      <alignment readingOrder="0"/>
    </xf>
    <xf borderId="1" fillId="5" fontId="6" numFmtId="0" xfId="0" applyAlignment="1" applyBorder="1" applyFont="1">
      <alignment readingOrder="0"/>
    </xf>
    <xf borderId="1" fillId="5" fontId="20" numFmtId="0" xfId="0" applyAlignment="1" applyBorder="1" applyFont="1">
      <alignment readingOrder="0"/>
    </xf>
    <xf borderId="1" fillId="18" fontId="66" numFmtId="172" xfId="0" applyBorder="1" applyFont="1" applyNumberFormat="1"/>
    <xf borderId="1" fillId="5" fontId="6" numFmtId="172" xfId="0" applyBorder="1" applyFont="1" applyNumberFormat="1"/>
    <xf borderId="1" fillId="0" fontId="6" numFmtId="172" xfId="0" applyBorder="1" applyFont="1" applyNumberFormat="1"/>
    <xf borderId="1" fillId="0" fontId="6" numFmtId="0" xfId="0" applyBorder="1" applyFont="1"/>
    <xf borderId="1" fillId="10" fontId="6" numFmtId="172" xfId="0" applyBorder="1" applyFont="1" applyNumberFormat="1"/>
    <xf borderId="0" fillId="15" fontId="18" numFmtId="0" xfId="0" applyAlignment="1" applyFont="1">
      <alignment horizontal="center" readingOrder="0" vertical="center"/>
    </xf>
    <xf borderId="0" fillId="7" fontId="14" numFmtId="0" xfId="0" applyAlignment="1" applyFont="1">
      <alignment horizontal="center"/>
    </xf>
    <xf borderId="1" fillId="0" fontId="14" numFmtId="164" xfId="0" applyBorder="1" applyFont="1" applyNumberFormat="1"/>
    <xf borderId="1" fillId="7" fontId="14" numFmtId="173" xfId="0" applyBorder="1" applyFont="1" applyNumberFormat="1"/>
    <xf borderId="1" fillId="10" fontId="14" numFmtId="173" xfId="0" applyBorder="1" applyFont="1" applyNumberFormat="1"/>
    <xf borderId="0" fillId="2" fontId="18" numFmtId="0" xfId="0" applyAlignment="1" applyFont="1">
      <alignment horizontal="center" readingOrder="0" vertical="center"/>
    </xf>
    <xf borderId="1" fillId="10" fontId="25" numFmtId="0" xfId="0" applyAlignment="1" applyBorder="1" applyFont="1">
      <alignment readingOrder="0"/>
    </xf>
    <xf borderId="6" fillId="7" fontId="14" numFmtId="0" xfId="0" applyAlignment="1" applyBorder="1" applyFont="1">
      <alignment horizontal="center"/>
    </xf>
    <xf borderId="9" fillId="10" fontId="14" numFmtId="0" xfId="0" applyAlignment="1" applyBorder="1" applyFont="1">
      <alignment horizontal="center"/>
    </xf>
    <xf borderId="9" fillId="7" fontId="14" numFmtId="0" xfId="0" applyAlignment="1" applyBorder="1" applyFont="1">
      <alignment horizontal="center"/>
    </xf>
    <xf borderId="12" fillId="10" fontId="14" numFmtId="0" xfId="0" applyAlignment="1" applyBorder="1" applyFont="1">
      <alignment horizontal="center"/>
    </xf>
    <xf borderId="0" fillId="17" fontId="67" numFmtId="0" xfId="0" applyAlignment="1" applyFont="1">
      <alignment readingOrder="0"/>
    </xf>
    <xf borderId="1" fillId="7" fontId="21" numFmtId="0" xfId="0" applyAlignment="1" applyBorder="1" applyFont="1">
      <alignment readingOrder="0"/>
    </xf>
    <xf borderId="1" fillId="7" fontId="23" numFmtId="0" xfId="0" applyAlignment="1" applyBorder="1" applyFont="1">
      <alignment horizontal="center" readingOrder="0"/>
    </xf>
    <xf borderId="1" fillId="18" fontId="35" numFmtId="0" xfId="0" applyAlignment="1" applyBorder="1" applyFont="1">
      <alignment horizontal="center"/>
    </xf>
    <xf borderId="1" fillId="10" fontId="21" numFmtId="0" xfId="0" applyAlignment="1" applyBorder="1" applyFont="1">
      <alignment readingOrder="0"/>
    </xf>
    <xf borderId="1" fillId="10" fontId="23" numFmtId="0" xfId="0" applyAlignment="1" applyBorder="1" applyFont="1">
      <alignment horizontal="center" readingOrder="0"/>
    </xf>
    <xf borderId="1" fillId="18" fontId="14" numFmtId="0" xfId="0" applyBorder="1" applyFont="1"/>
    <xf borderId="1" fillId="18" fontId="14" numFmtId="0" xfId="0" applyAlignment="1" applyBorder="1" applyFont="1">
      <alignment horizontal="center"/>
    </xf>
    <xf borderId="5" fillId="8" fontId="7" numFmtId="0" xfId="0" applyBorder="1" applyFont="1"/>
    <xf borderId="6" fillId="7" fontId="6" numFmtId="174" xfId="0" applyBorder="1" applyFont="1" applyNumberFormat="1"/>
    <xf borderId="6" fillId="7" fontId="6" numFmtId="178" xfId="0" applyAlignment="1" applyBorder="1" applyFont="1" applyNumberFormat="1">
      <alignment horizontal="right"/>
    </xf>
    <xf borderId="6" fillId="7" fontId="6" numFmtId="0" xfId="0" applyBorder="1" applyFont="1"/>
    <xf borderId="7" fillId="7" fontId="6" numFmtId="0" xfId="0" applyBorder="1" applyFont="1"/>
    <xf borderId="9" fillId="10" fontId="6" numFmtId="174" xfId="0" applyBorder="1" applyFont="1" applyNumberFormat="1"/>
    <xf borderId="9" fillId="10" fontId="6" numFmtId="178" xfId="0" applyAlignment="1" applyBorder="1" applyFont="1" applyNumberFormat="1">
      <alignment horizontal="right"/>
    </xf>
    <xf borderId="9" fillId="10" fontId="6" numFmtId="0" xfId="0" applyBorder="1" applyFont="1"/>
    <xf borderId="10" fillId="10" fontId="6" numFmtId="0" xfId="0" applyBorder="1" applyFont="1"/>
    <xf borderId="9" fillId="7" fontId="6" numFmtId="174" xfId="0" applyBorder="1" applyFont="1" applyNumberFormat="1"/>
    <xf borderId="9" fillId="7" fontId="6" numFmtId="178" xfId="0" applyAlignment="1" applyBorder="1" applyFont="1" applyNumberFormat="1">
      <alignment horizontal="right"/>
    </xf>
    <xf borderId="9" fillId="7" fontId="6" numFmtId="0" xfId="0" applyBorder="1" applyFont="1"/>
    <xf borderId="10" fillId="7" fontId="6" numFmtId="0" xfId="0" applyBorder="1" applyFont="1"/>
    <xf borderId="12" fillId="10" fontId="6" numFmtId="174" xfId="0" applyBorder="1" applyFont="1" applyNumberFormat="1"/>
    <xf borderId="12" fillId="10" fontId="6" numFmtId="178" xfId="0" applyAlignment="1" applyBorder="1" applyFont="1" applyNumberFormat="1">
      <alignment horizontal="right"/>
    </xf>
    <xf borderId="12" fillId="10" fontId="6" numFmtId="0" xfId="0" applyBorder="1" applyFont="1"/>
    <xf borderId="13" fillId="10" fontId="6" numFmtId="0" xfId="0" applyBorder="1" applyFont="1"/>
    <xf borderId="5" fillId="7" fontId="14" numFmtId="0" xfId="0" applyBorder="1" applyFont="1"/>
    <xf borderId="6" fillId="7" fontId="14" numFmtId="168" xfId="0" applyBorder="1" applyFont="1" applyNumberFormat="1"/>
    <xf borderId="1" fillId="7" fontId="68" numFmtId="0" xfId="0" applyAlignment="1" applyBorder="1" applyFont="1">
      <alignment readingOrder="0"/>
    </xf>
    <xf borderId="1" fillId="6" fontId="69" numFmtId="9" xfId="0" applyAlignment="1" applyBorder="1" applyFont="1" applyNumberFormat="1">
      <alignment readingOrder="0"/>
    </xf>
    <xf borderId="1" fillId="10" fontId="68" numFmtId="0" xfId="0" applyAlignment="1" applyBorder="1" applyFont="1">
      <alignment readingOrder="0"/>
    </xf>
    <xf quotePrefix="1" borderId="1" fillId="7" fontId="68" numFmtId="0" xfId="0" applyAlignment="1" applyBorder="1" applyFont="1">
      <alignment readingOrder="0"/>
    </xf>
    <xf quotePrefix="1" borderId="1" fillId="10" fontId="68" numFmtId="0" xfId="0" applyAlignment="1" applyBorder="1" applyFont="1">
      <alignment readingOrder="0"/>
    </xf>
    <xf borderId="0" fillId="0" fontId="14" numFmtId="14" xfId="0" applyAlignment="1" applyFont="1" applyNumberFormat="1">
      <alignment readingOrder="0"/>
    </xf>
    <xf borderId="5" fillId="8" fontId="51" numFmtId="0" xfId="0" applyBorder="1" applyFont="1"/>
    <xf borderId="6" fillId="6" fontId="70" numFmtId="168" xfId="0" applyBorder="1" applyFont="1" applyNumberFormat="1"/>
    <xf borderId="6" fillId="5" fontId="4" numFmtId="164" xfId="0" applyBorder="1" applyFont="1" applyNumberFormat="1"/>
    <xf borderId="6" fillId="3" fontId="16" numFmtId="164" xfId="0" applyBorder="1" applyFont="1" applyNumberFormat="1"/>
    <xf borderId="6" fillId="7" fontId="23" numFmtId="0" xfId="0" applyBorder="1" applyFont="1"/>
    <xf borderId="8" fillId="8" fontId="51" numFmtId="0" xfId="0" applyBorder="1" applyFont="1"/>
    <xf borderId="9" fillId="6" fontId="70" numFmtId="168" xfId="0" applyBorder="1" applyFont="1" applyNumberFormat="1"/>
    <xf borderId="9" fillId="5" fontId="4" numFmtId="164" xfId="0" applyBorder="1" applyFont="1" applyNumberFormat="1"/>
    <xf borderId="9" fillId="3" fontId="16" numFmtId="164" xfId="0" applyBorder="1" applyFont="1" applyNumberFormat="1"/>
    <xf borderId="9" fillId="10" fontId="23" numFmtId="0" xfId="0" applyBorder="1" applyFont="1"/>
    <xf borderId="9" fillId="7" fontId="23" numFmtId="0" xfId="0" applyBorder="1" applyFont="1"/>
    <xf borderId="11" fillId="8" fontId="51" numFmtId="0" xfId="0" applyBorder="1" applyFont="1"/>
    <xf borderId="12" fillId="6" fontId="70" numFmtId="168" xfId="0" applyBorder="1" applyFont="1" applyNumberFormat="1"/>
    <xf borderId="12" fillId="5" fontId="4" numFmtId="164" xfId="0" applyBorder="1" applyFont="1" applyNumberFormat="1"/>
    <xf borderId="12" fillId="3" fontId="16" numFmtId="164" xfId="0" applyBorder="1" applyFont="1" applyNumberFormat="1"/>
    <xf borderId="12" fillId="10" fontId="23" numFmtId="0" xfId="0" applyBorder="1" applyFont="1"/>
    <xf borderId="0" fillId="9" fontId="38" numFmtId="0" xfId="0" applyAlignment="1" applyFont="1">
      <alignment horizontal="center" readingOrder="0" vertical="center"/>
    </xf>
    <xf borderId="5" fillId="9" fontId="40" numFmtId="0" xfId="0" applyBorder="1" applyFont="1"/>
    <xf borderId="6" fillId="17" fontId="14" numFmtId="174" xfId="0" applyBorder="1" applyFont="1" applyNumberFormat="1"/>
    <xf borderId="6" fillId="17" fontId="14" numFmtId="0" xfId="0" applyBorder="1" applyFont="1"/>
    <xf borderId="7" fillId="17" fontId="14" numFmtId="0" xfId="0" applyBorder="1" applyFont="1"/>
    <xf borderId="8" fillId="9" fontId="40" numFmtId="0" xfId="0" applyBorder="1" applyFont="1"/>
    <xf borderId="9" fillId="17" fontId="14" numFmtId="174" xfId="0" applyBorder="1" applyFont="1" applyNumberFormat="1"/>
    <xf borderId="9" fillId="17" fontId="14" numFmtId="0" xfId="0" applyBorder="1" applyFont="1"/>
    <xf borderId="10" fillId="17" fontId="14" numFmtId="0" xfId="0" applyBorder="1" applyFont="1"/>
    <xf borderId="11" fillId="9" fontId="40" numFmtId="0" xfId="0" applyBorder="1" applyFont="1"/>
    <xf borderId="1" fillId="18" fontId="6" numFmtId="0" xfId="0" applyAlignment="1" applyBorder="1" applyFont="1">
      <alignment horizontal="center" readingOrder="0"/>
    </xf>
    <xf borderId="1" fillId="18" fontId="6" numFmtId="0" xfId="0" applyAlignment="1" applyBorder="1" applyFont="1">
      <alignment horizontal="center" readingOrder="0"/>
    </xf>
    <xf borderId="1" fillId="18" fontId="6" numFmtId="0" xfId="0" applyAlignment="1" applyBorder="1" applyFont="1">
      <alignment horizontal="center"/>
    </xf>
    <xf borderId="1" fillId="18" fontId="6" numFmtId="0" xfId="0" applyAlignment="1" applyBorder="1" applyFont="1">
      <alignment shrinkToFit="0" wrapText="1"/>
    </xf>
    <xf borderId="1" fillId="5" fontId="6" numFmtId="170" xfId="0" applyBorder="1" applyFont="1" applyNumberFormat="1"/>
    <xf borderId="1" fillId="14" fontId="6" numFmtId="0" xfId="0" applyBorder="1" applyFont="1"/>
    <xf borderId="1" fillId="5" fontId="6" numFmtId="0" xfId="0" applyAlignment="1" applyBorder="1" applyFont="1">
      <alignment horizontal="center"/>
    </xf>
    <xf borderId="1" fillId="7" fontId="20" numFmtId="0" xfId="0" applyBorder="1" applyFont="1"/>
    <xf borderId="0" fillId="15" fontId="38" numFmtId="0" xfId="0" applyAlignment="1" applyFont="1">
      <alignment horizontal="center" readingOrder="0" vertical="center"/>
    </xf>
    <xf borderId="0" fillId="19" fontId="56" numFmtId="0" xfId="0" applyAlignment="1" applyFont="1">
      <alignment readingOrder="0"/>
    </xf>
    <xf borderId="0" fillId="15" fontId="40" numFmtId="0" xfId="0" applyAlignment="1" applyFont="1">
      <alignment horizontal="center" readingOrder="0" shrinkToFit="0" vertical="center" wrapText="1"/>
    </xf>
    <xf borderId="1" fillId="30" fontId="19" numFmtId="0" xfId="0" applyAlignment="1" applyBorder="1" applyFill="1" applyFont="1">
      <alignment readingOrder="0"/>
    </xf>
    <xf borderId="1" fillId="30" fontId="6" numFmtId="0" xfId="0" applyAlignment="1" applyBorder="1" applyFont="1">
      <alignment readingOrder="0" shrinkToFit="0" wrapText="1"/>
    </xf>
    <xf borderId="1" fillId="30" fontId="20" numFmtId="0" xfId="0" applyAlignment="1" applyBorder="1" applyFont="1">
      <alignment readingOrder="0"/>
    </xf>
    <xf borderId="1" fillId="18" fontId="43" numFmtId="0" xfId="0" applyAlignment="1" applyBorder="1" applyFont="1">
      <alignment horizontal="center" readingOrder="0"/>
    </xf>
    <xf borderId="1" fillId="0" fontId="71" numFmtId="1" xfId="0" applyAlignment="1" applyBorder="1" applyFont="1" applyNumberFormat="1">
      <alignment horizontal="center"/>
    </xf>
    <xf borderId="1" fillId="30" fontId="23" numFmtId="0" xfId="0" applyAlignment="1" applyBorder="1" applyFont="1">
      <alignment readingOrder="0" shrinkToFit="0" wrapText="1"/>
    </xf>
    <xf borderId="1" fillId="19" fontId="23" numFmtId="0" xfId="0" applyAlignment="1" applyBorder="1" applyFont="1">
      <alignment readingOrder="0" shrinkToFit="0" wrapText="1"/>
    </xf>
    <xf borderId="1" fillId="30" fontId="23" numFmtId="0" xfId="0" applyAlignment="1" applyBorder="1" applyFont="1">
      <alignment readingOrder="0"/>
    </xf>
    <xf borderId="1" fillId="30" fontId="23" numFmtId="0" xfId="0" applyAlignment="1" applyBorder="1" applyFont="1">
      <alignment horizontal="center" readingOrder="0"/>
    </xf>
    <xf borderId="1" fillId="0" fontId="23" numFmtId="0" xfId="0" applyAlignment="1" applyBorder="1" applyFont="1">
      <alignment readingOrder="0"/>
    </xf>
    <xf borderId="1" fillId="10" fontId="23" numFmtId="0" xfId="0" applyAlignment="1" applyBorder="1" applyFont="1">
      <alignment readingOrder="0" shrinkToFit="0" wrapText="1"/>
    </xf>
    <xf borderId="0" fillId="3" fontId="18" numFmtId="0" xfId="0" applyAlignment="1" applyFont="1">
      <alignment readingOrder="0"/>
    </xf>
    <xf borderId="2" fillId="7" fontId="6" numFmtId="0" xfId="0" applyAlignment="1" applyBorder="1" applyFont="1">
      <alignment readingOrder="0" shrinkToFit="0" wrapText="1"/>
    </xf>
    <xf borderId="2" fillId="7" fontId="20" numFmtId="0" xfId="0" applyAlignment="1" applyBorder="1" applyFont="1">
      <alignment horizontal="center" readingOrder="0"/>
    </xf>
    <xf borderId="2" fillId="10" fontId="19" numFmtId="0" xfId="0" applyAlignment="1" applyBorder="1" applyFont="1">
      <alignment readingOrder="0"/>
    </xf>
    <xf borderId="2" fillId="10" fontId="6" numFmtId="0" xfId="0" applyAlignment="1" applyBorder="1" applyFont="1">
      <alignment readingOrder="0" shrinkToFit="0" wrapText="1"/>
    </xf>
    <xf borderId="2" fillId="10" fontId="20" numFmtId="0" xfId="0" applyAlignment="1" applyBorder="1" applyFont="1">
      <alignment horizontal="center" readingOrder="0"/>
    </xf>
    <xf borderId="6" fillId="7" fontId="14" numFmtId="174" xfId="0" applyAlignment="1" applyBorder="1" applyFont="1" applyNumberFormat="1">
      <alignment readingOrder="0"/>
    </xf>
    <xf borderId="6" fillId="5" fontId="4" numFmtId="164" xfId="0" applyAlignment="1" applyBorder="1" applyFont="1" applyNumberFormat="1">
      <alignment readingOrder="0"/>
    </xf>
    <xf borderId="6" fillId="8" fontId="7" numFmtId="164" xfId="0" applyAlignment="1" applyBorder="1" applyFont="1" applyNumberFormat="1">
      <alignment readingOrder="0"/>
    </xf>
    <xf borderId="9" fillId="10" fontId="14" numFmtId="174" xfId="0" applyAlignment="1" applyBorder="1" applyFont="1" applyNumberFormat="1">
      <alignment readingOrder="0"/>
    </xf>
    <xf borderId="9" fillId="5" fontId="4" numFmtId="164" xfId="0" applyAlignment="1" applyBorder="1" applyFont="1" applyNumberFormat="1">
      <alignment readingOrder="0"/>
    </xf>
    <xf borderId="9" fillId="8" fontId="7" numFmtId="164" xfId="0" applyAlignment="1" applyBorder="1" applyFont="1" applyNumberFormat="1">
      <alignment readingOrder="0"/>
    </xf>
    <xf borderId="9" fillId="8" fontId="7" numFmtId="164" xfId="0" applyBorder="1" applyFont="1" applyNumberFormat="1"/>
    <xf borderId="12" fillId="8" fontId="7" numFmtId="164" xfId="0" applyBorder="1" applyFont="1" applyNumberFormat="1"/>
    <xf borderId="0" fillId="18" fontId="72" numFmtId="0" xfId="0" applyAlignment="1" applyFont="1">
      <alignment horizontal="left"/>
    </xf>
    <xf borderId="0" fillId="10" fontId="73" numFmtId="0" xfId="0" applyAlignment="1" applyFont="1">
      <alignment horizontal="center" readingOrder="0" vertical="center"/>
    </xf>
    <xf borderId="0" fillId="10" fontId="74" numFmtId="0" xfId="0" applyAlignment="1" applyFont="1">
      <alignment readingOrder="0"/>
    </xf>
    <xf borderId="0" fillId="8" fontId="74" numFmtId="0" xfId="0" applyFont="1"/>
    <xf borderId="0" fillId="3" fontId="1" numFmtId="0" xfId="0" applyAlignment="1" applyFont="1">
      <alignment horizontal="center"/>
    </xf>
    <xf borderId="0" fillId="2" fontId="18" numFmtId="0" xfId="0" applyAlignment="1" applyFont="1">
      <alignment horizontal="center" readingOrder="0"/>
    </xf>
    <xf borderId="1" fillId="7" fontId="14" numFmtId="168" xfId="0" applyBorder="1" applyFont="1" applyNumberFormat="1"/>
    <xf borderId="1" fillId="10" fontId="14" numFmtId="168" xfId="0" applyBorder="1" applyFont="1" applyNumberFormat="1"/>
    <xf borderId="0" fillId="3" fontId="16" numFmtId="0" xfId="0" applyAlignment="1" applyFont="1">
      <alignment horizontal="right" readingOrder="0"/>
    </xf>
    <xf borderId="0" fillId="7" fontId="14" numFmtId="0" xfId="0" applyAlignment="1" applyFont="1">
      <alignment horizontal="right" readingOrder="0"/>
    </xf>
    <xf borderId="0" fillId="2" fontId="17" numFmtId="0" xfId="0" applyAlignment="1" applyFont="1">
      <alignment horizontal="right" readingOrder="0"/>
    </xf>
    <xf borderId="0" fillId="2" fontId="1" numFmtId="164" xfId="0" applyAlignment="1" applyFont="1" applyNumberFormat="1">
      <alignment horizontal="center"/>
    </xf>
    <xf borderId="1" fillId="7" fontId="6" numFmtId="0" xfId="0" applyAlignment="1" applyBorder="1" applyFont="1">
      <alignment readingOrder="0"/>
    </xf>
    <xf borderId="1" fillId="7" fontId="75" numFmtId="164" xfId="0" applyBorder="1" applyFont="1" applyNumberFormat="1"/>
    <xf borderId="1" fillId="7" fontId="27" numFmtId="173" xfId="0" applyBorder="1" applyFont="1" applyNumberFormat="1"/>
    <xf borderId="1" fillId="18" fontId="43" numFmtId="164" xfId="0" applyBorder="1" applyFont="1" applyNumberFormat="1"/>
    <xf borderId="1" fillId="10" fontId="75" numFmtId="164" xfId="0" applyBorder="1" applyFont="1" applyNumberFormat="1"/>
    <xf borderId="1" fillId="10" fontId="27" numFmtId="173" xfId="0" applyBorder="1" applyFont="1" applyNumberFormat="1"/>
    <xf borderId="1" fillId="15" fontId="18" numFmtId="0" xfId="0" applyAlignment="1" applyBorder="1" applyFont="1">
      <alignment readingOrder="0"/>
    </xf>
    <xf borderId="1" fillId="6" fontId="6" numFmtId="0" xfId="0" applyAlignment="1" applyBorder="1" applyFont="1">
      <alignment readingOrder="0"/>
    </xf>
    <xf borderId="1" fillId="6" fontId="25" numFmtId="0" xfId="0" applyAlignment="1" applyBorder="1" applyFont="1">
      <alignment horizontal="center" readingOrder="0"/>
    </xf>
    <xf borderId="1" fillId="6" fontId="32" numFmtId="164" xfId="0" applyBorder="1" applyFont="1" applyNumberFormat="1"/>
    <xf borderId="1" fillId="18" fontId="43" numFmtId="164" xfId="0" applyAlignment="1" applyBorder="1" applyFont="1" applyNumberFormat="1">
      <alignment readingOrder="0"/>
    </xf>
    <xf borderId="1" fillId="6" fontId="76" numFmtId="173" xfId="0" applyBorder="1" applyFont="1" applyNumberFormat="1"/>
    <xf borderId="1" fillId="6" fontId="75" numFmtId="164" xfId="0" applyBorder="1" applyFont="1" applyNumberFormat="1"/>
    <xf borderId="1" fillId="6" fontId="4" numFmtId="164" xfId="0" applyBorder="1" applyFont="1" applyNumberFormat="1"/>
    <xf borderId="1" fillId="6" fontId="27" numFmtId="173" xfId="0" applyBorder="1" applyFont="1" applyNumberFormat="1"/>
    <xf borderId="1" fillId="18" fontId="35" numFmtId="0" xfId="0" applyAlignment="1" applyBorder="1" applyFont="1">
      <alignment horizontal="center" readingOrder="0"/>
    </xf>
    <xf borderId="1" fillId="10" fontId="25" numFmtId="0" xfId="0" applyAlignment="1" applyBorder="1" applyFont="1">
      <alignment horizontal="center" readingOrder="0"/>
    </xf>
    <xf borderId="1" fillId="10" fontId="76" numFmtId="173" xfId="0" applyBorder="1" applyFont="1" applyNumberFormat="1"/>
    <xf borderId="1" fillId="7" fontId="6" numFmtId="0" xfId="0" applyAlignment="1" applyBorder="1" applyFont="1">
      <alignment shrinkToFit="0" wrapText="1"/>
    </xf>
    <xf borderId="1" fillId="10" fontId="6" numFmtId="0" xfId="0" applyAlignment="1" applyBorder="1" applyFont="1">
      <alignment shrinkToFit="0" wrapText="1"/>
    </xf>
  </cellXfs>
  <cellStyles count="1">
    <cellStyle xfId="0" name="Normal" builtinId="0"/>
  </cellStyles>
  <dxfs count="6">
    <dxf>
      <font>
        <b/>
        <color rgb="FFE65100"/>
      </font>
      <fill>
        <patternFill patternType="solid">
          <fgColor rgb="FFFFF3E0"/>
          <bgColor rgb="FFFFF3E0"/>
        </patternFill>
      </fill>
      <border/>
    </dxf>
    <dxf>
      <font>
        <b/>
        <color rgb="FF1E8449"/>
      </font>
      <fill>
        <patternFill patternType="solid">
          <fgColor rgb="FFE8F5E9"/>
          <bgColor rgb="FFE8F5E9"/>
        </patternFill>
      </fill>
      <border/>
    </dxf>
    <dxf>
      <font>
        <color rgb="FFC0392B"/>
      </font>
      <fill>
        <patternFill patternType="solid">
          <fgColor rgb="FFFDECEA"/>
          <bgColor rgb="FFFDECEA"/>
        </patternFill>
      </fill>
      <border/>
    </dxf>
    <dxf>
      <font>
        <color rgb="FFE67E22"/>
      </font>
      <fill>
        <patternFill patternType="solid">
          <fgColor rgb="FFFEF3E2"/>
          <bgColor rgb="FFFEF3E2"/>
        </patternFill>
      </fill>
      <border/>
    </dxf>
    <dxf>
      <font>
        <color rgb="FF1E8449"/>
      </font>
      <fill>
        <patternFill patternType="solid">
          <fgColor rgb="FFE8F5E9"/>
          <bgColor rgb="FFE8F5E9"/>
        </patternFill>
      </fill>
      <border/>
    </dxf>
    <dxf>
      <font>
        <b/>
        <color rgb="FFC0392B"/>
      </font>
      <fill>
        <patternFill patternType="solid">
          <fgColor rgb="FFFDECEA"/>
          <bgColor rgb="FFFDECE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pzgMVDULQFpAHEzJfhH0Z8YpMfFBxTj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A6B"/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0.13"/>
    <col customWidth="1" min="3" max="9" width="18.88"/>
  </cols>
  <sheetData>
    <row r="1" ht="25.5" customHeight="1">
      <c r="A1" s="1" t="s">
        <v>0</v>
      </c>
    </row>
    <row r="2" ht="25.5" customHeight="1">
      <c r="A2" s="2" t="s">
        <v>1</v>
      </c>
    </row>
    <row r="4" ht="16.5" customHeight="1">
      <c r="A4" s="3" t="s">
        <v>2</v>
      </c>
    </row>
    <row r="5">
      <c r="A5" s="4" t="s">
        <v>3</v>
      </c>
      <c r="E5" s="5" t="s">
        <v>4</v>
      </c>
    </row>
    <row r="6">
      <c r="A6" s="6" t="s">
        <v>5</v>
      </c>
      <c r="E6" s="6" t="s">
        <v>6</v>
      </c>
    </row>
    <row r="8" ht="16.5" customHeight="1">
      <c r="A8" s="7" t="s">
        <v>7</v>
      </c>
    </row>
    <row r="9" ht="19.5" customHeight="1">
      <c r="A9" s="8" t="s">
        <v>8</v>
      </c>
      <c r="B9" s="9" t="str">
        <f>IFERROR(SUMPRODUCT((MONTH(Ventes!A5:A504)=MONTH(TODAY()))*(YEAR(Ventes!A5:A504)=YEAR(TODAY()))*Ventes!G5:G504),0)</f>
        <v>#ERROR!</v>
      </c>
      <c r="C9" s="10" t="s">
        <v>9</v>
      </c>
      <c r="E9" s="8" t="s">
        <v>10</v>
      </c>
      <c r="F9" s="11" t="str">
        <f>IFERROR(COUNTIFS(Planning!A4:A303,"&gt;="&amp;TODAY(),Planning!A4:A303,"&lt;="&amp;TODAY()+7),0)</f>
        <v>#ERROR!</v>
      </c>
      <c r="G9" s="10" t="s">
        <v>11</v>
      </c>
    </row>
    <row r="10" ht="19.5" customHeight="1">
      <c r="A10" s="8" t="s">
        <v>12</v>
      </c>
      <c r="B10" s="11" t="str">
        <f>IFERROR(SUMIF(Stock!D208:D262,"&lt;&gt;",Stock!D208:D262),0)</f>
        <v>#ERROR!</v>
      </c>
      <c r="C10" s="10" t="s">
        <v>13</v>
      </c>
      <c r="E10" s="8" t="s">
        <v>14</v>
      </c>
      <c r="F10" s="11" t="str">
        <f>IFERROR(COUNTIF(Recettes!H4:H32,"Actif"),0)</f>
        <v>#ERROR!</v>
      </c>
      <c r="G10" s="10" t="s">
        <v>15</v>
      </c>
    </row>
    <row r="11" ht="19.5" customHeight="1">
      <c r="A11" s="8" t="s">
        <v>16</v>
      </c>
      <c r="B11" s="11" t="str">
        <f>IFERROR(COUNTIF(Stock!G6:G205,"Rupture"),0)</f>
        <v>#ERROR!</v>
      </c>
      <c r="C11" s="10" t="s">
        <v>17</v>
      </c>
      <c r="E11" s="8" t="s">
        <v>18</v>
      </c>
      <c r="F11" s="12" t="str">
        <f>IFERROR(SUMIF(Charges!B4:B16,"Fixe",Charges!C4:C16),0)</f>
        <v>#ERROR!</v>
      </c>
      <c r="G11" s="10" t="s">
        <v>9</v>
      </c>
    </row>
    <row r="13" ht="16.5" customHeight="1">
      <c r="A13" s="13" t="s">
        <v>19</v>
      </c>
    </row>
    <row r="14" ht="16.5" customHeight="1">
      <c r="A14" s="14" t="s">
        <v>20</v>
      </c>
      <c r="B14" s="15" t="s">
        <v>21</v>
      </c>
      <c r="C14" s="16"/>
      <c r="D14" s="16"/>
      <c r="E14" s="16"/>
      <c r="F14" s="16"/>
      <c r="G14" s="16"/>
      <c r="H14" s="17"/>
    </row>
    <row r="15" ht="16.5" customHeight="1">
      <c r="A15" s="14" t="s">
        <v>22</v>
      </c>
      <c r="B15" s="15" t="s">
        <v>23</v>
      </c>
      <c r="C15" s="16"/>
      <c r="D15" s="16"/>
      <c r="E15" s="16"/>
      <c r="F15" s="16"/>
      <c r="G15" s="16"/>
      <c r="H15" s="17"/>
    </row>
    <row r="16" ht="16.5" customHeight="1">
      <c r="A16" s="14" t="s">
        <v>24</v>
      </c>
      <c r="B16" s="15" t="s">
        <v>25</v>
      </c>
      <c r="C16" s="16"/>
      <c r="D16" s="16"/>
      <c r="E16" s="16"/>
      <c r="F16" s="16"/>
      <c r="G16" s="16"/>
      <c r="H16" s="17"/>
    </row>
    <row r="17" ht="16.5" customHeight="1">
      <c r="A17" s="14" t="s">
        <v>26</v>
      </c>
      <c r="B17" s="15" t="s">
        <v>27</v>
      </c>
      <c r="C17" s="16"/>
      <c r="D17" s="16"/>
      <c r="E17" s="16"/>
      <c r="F17" s="16"/>
      <c r="G17" s="16"/>
      <c r="H17" s="17"/>
    </row>
    <row r="18" ht="16.5" customHeight="1">
      <c r="A18" s="14" t="s">
        <v>28</v>
      </c>
      <c r="B18" s="15" t="s">
        <v>29</v>
      </c>
      <c r="C18" s="16"/>
      <c r="D18" s="16"/>
      <c r="E18" s="16"/>
      <c r="F18" s="16"/>
      <c r="G18" s="16"/>
      <c r="H18" s="17"/>
    </row>
    <row r="19" ht="16.5" customHeight="1">
      <c r="A19" s="14" t="s">
        <v>30</v>
      </c>
      <c r="B19" s="15" t="s">
        <v>31</v>
      </c>
      <c r="C19" s="16"/>
      <c r="D19" s="16"/>
      <c r="E19" s="16"/>
      <c r="F19" s="16"/>
      <c r="G19" s="16"/>
      <c r="H19" s="17"/>
    </row>
    <row r="21" ht="16.5" customHeight="1">
      <c r="A21" s="18" t="s">
        <v>32</v>
      </c>
    </row>
    <row r="22" ht="16.5" customHeight="1">
      <c r="A22" s="8" t="s">
        <v>33</v>
      </c>
      <c r="B22" s="19" t="s">
        <v>34</v>
      </c>
    </row>
    <row r="23" ht="16.5" customHeight="1">
      <c r="A23" s="20" t="s">
        <v>35</v>
      </c>
      <c r="B23" s="21" t="s">
        <v>36</v>
      </c>
    </row>
    <row r="24" ht="16.5" customHeight="1">
      <c r="A24" s="22" t="s">
        <v>37</v>
      </c>
      <c r="B24" s="19" t="s">
        <v>38</v>
      </c>
    </row>
    <row r="25" ht="16.5" customHeight="1">
      <c r="A25" s="23" t="s">
        <v>39</v>
      </c>
      <c r="B25" s="21" t="s">
        <v>40</v>
      </c>
    </row>
    <row r="26" ht="16.5" customHeight="1">
      <c r="A26" s="24" t="s">
        <v>41</v>
      </c>
      <c r="B26" s="19" t="s">
        <v>42</v>
      </c>
    </row>
  </sheetData>
  <mergeCells count="21">
    <mergeCell ref="A1:I1"/>
    <mergeCell ref="A2:I2"/>
    <mergeCell ref="A4:I4"/>
    <mergeCell ref="A5:D5"/>
    <mergeCell ref="E5:I5"/>
    <mergeCell ref="A6:D6"/>
    <mergeCell ref="E6:I6"/>
    <mergeCell ref="B19:H19"/>
    <mergeCell ref="A21:I21"/>
    <mergeCell ref="B22:H22"/>
    <mergeCell ref="B23:H23"/>
    <mergeCell ref="B24:H24"/>
    <mergeCell ref="B25:H25"/>
    <mergeCell ref="B26:H26"/>
    <mergeCell ref="A8:I8"/>
    <mergeCell ref="A13:I13"/>
    <mergeCell ref="B14:H14"/>
    <mergeCell ref="B15:H15"/>
    <mergeCell ref="B16:H16"/>
    <mergeCell ref="B17:H17"/>
    <mergeCell ref="B18:H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5"/>
    <col customWidth="1" min="3" max="3" width="4.25"/>
    <col customWidth="1" min="4" max="4" width="5.63"/>
    <col customWidth="1" min="5" max="5" width="5.13"/>
  </cols>
  <sheetData>
    <row r="1">
      <c r="A1" s="25" t="s">
        <v>43</v>
      </c>
      <c r="B1" s="25" t="s">
        <v>44</v>
      </c>
      <c r="C1" s="25" t="s">
        <v>45</v>
      </c>
      <c r="D1" s="25" t="s">
        <v>46</v>
      </c>
      <c r="E1" s="25" t="s">
        <v>47</v>
      </c>
    </row>
    <row r="2">
      <c r="A2" s="26">
        <v>46114.59079861111</v>
      </c>
      <c r="B2" s="27" t="s">
        <v>48</v>
      </c>
      <c r="C2" s="27" t="s">
        <v>49</v>
      </c>
      <c r="D2" s="27" t="s">
        <v>50</v>
      </c>
      <c r="E2" s="27" t="s">
        <v>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9.63"/>
    <col customWidth="1" min="3" max="3" width="8.0"/>
    <col customWidth="1" min="4" max="4" width="4.75"/>
    <col customWidth="1" min="5" max="5" width="9.63"/>
    <col customWidth="1" min="6" max="6" width="9.0"/>
    <col customWidth="1" min="7" max="7" width="8.13"/>
    <col customWidth="1" min="8" max="8" width="8.25"/>
    <col customWidth="1" min="9" max="9" width="8.75"/>
    <col customWidth="1" min="10" max="10" width="5.25"/>
  </cols>
  <sheetData>
    <row r="4">
      <c r="A4" s="25" t="s">
        <v>52</v>
      </c>
      <c r="B4" s="25" t="s">
        <v>53</v>
      </c>
      <c r="C4" s="25" t="s">
        <v>54</v>
      </c>
      <c r="D4" s="25" t="s">
        <v>55</v>
      </c>
      <c r="E4" s="25" t="s">
        <v>56</v>
      </c>
      <c r="F4" s="25" t="s">
        <v>57</v>
      </c>
      <c r="G4" s="25" t="s">
        <v>58</v>
      </c>
      <c r="H4" s="25" t="s">
        <v>59</v>
      </c>
      <c r="I4" s="25" t="s">
        <v>60</v>
      </c>
      <c r="J4" s="25" t="s">
        <v>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2" max="2" width="12.75"/>
    <col customWidth="1" min="3" max="3" width="6.5"/>
    <col customWidth="1" min="4" max="4" width="8.25"/>
    <col customWidth="1" min="5" max="5" width="7.63"/>
    <col customWidth="1" min="6" max="6" width="12.5"/>
    <col customWidth="1" min="7" max="7" width="16.25"/>
    <col customWidth="1" min="8" max="8" width="14.5"/>
    <col customWidth="1" min="9" max="9" width="9.63"/>
    <col customWidth="1" min="10" max="10" width="13.0"/>
    <col customWidth="1" min="11" max="11" width="12.0"/>
    <col customWidth="1" min="12" max="12" width="15.63"/>
    <col customWidth="1" min="13" max="13" width="14.0"/>
  </cols>
  <sheetData>
    <row r="1">
      <c r="A1" s="25" t="s">
        <v>62</v>
      </c>
      <c r="B1" s="25" t="s">
        <v>63</v>
      </c>
      <c r="C1" s="25" t="s">
        <v>64</v>
      </c>
      <c r="D1" s="25" t="s">
        <v>65</v>
      </c>
      <c r="E1" s="25" t="s">
        <v>52</v>
      </c>
      <c r="F1" s="25" t="s">
        <v>66</v>
      </c>
      <c r="G1" s="25" t="s">
        <v>67</v>
      </c>
      <c r="H1" s="25" t="s">
        <v>68</v>
      </c>
      <c r="I1" s="25" t="s">
        <v>56</v>
      </c>
      <c r="J1" s="25" t="s">
        <v>69</v>
      </c>
      <c r="K1" s="25" t="s">
        <v>70</v>
      </c>
      <c r="L1" s="25" t="s">
        <v>71</v>
      </c>
      <c r="M1" s="25" t="s">
        <v>72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25"/>
    <col customWidth="1" min="2" max="2" width="6.88"/>
    <col customWidth="1" min="3" max="3" width="4.5"/>
    <col customWidth="1" min="4" max="4" width="5.25"/>
    <col customWidth="1" min="5" max="5" width="6.5"/>
    <col customWidth="1" min="6" max="6" width="6.63"/>
    <col customWidth="1" min="7" max="7" width="6.13"/>
    <col customWidth="1" min="8" max="8" width="3.5"/>
    <col customWidth="1" min="9" max="9" width="5.63"/>
    <col customWidth="1" min="10" max="10" width="8.0"/>
    <col customWidth="1" min="11" max="11" width="6.0"/>
    <col customWidth="1" min="12" max="12" width="7.5"/>
    <col customWidth="1" min="13" max="13" width="7.38"/>
    <col customWidth="1" min="14" max="14" width="4.88"/>
  </cols>
  <sheetData>
    <row r="4">
      <c r="A4" s="25" t="s">
        <v>73</v>
      </c>
      <c r="B4" s="25" t="s">
        <v>74</v>
      </c>
      <c r="C4" s="25" t="s">
        <v>75</v>
      </c>
      <c r="D4" s="25" t="s">
        <v>76</v>
      </c>
      <c r="E4" s="25" t="s">
        <v>64</v>
      </c>
      <c r="F4" s="25" t="s">
        <v>77</v>
      </c>
      <c r="G4" s="25" t="s">
        <v>78</v>
      </c>
      <c r="H4" s="25" t="s">
        <v>79</v>
      </c>
      <c r="I4" s="25" t="s">
        <v>80</v>
      </c>
      <c r="J4" s="25" t="s">
        <v>81</v>
      </c>
      <c r="K4" s="25" t="s">
        <v>82</v>
      </c>
      <c r="L4" s="25" t="s">
        <v>83</v>
      </c>
      <c r="M4" s="25" t="s">
        <v>84</v>
      </c>
      <c r="N4" s="25" t="s">
        <v>85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5"/>
    <col customWidth="1" min="2" max="2" width="6.63"/>
    <col customWidth="1" min="3" max="3" width="4.38"/>
    <col customWidth="1" min="4" max="4" width="5.0"/>
    <col customWidth="1" min="5" max="5" width="8.63"/>
    <col customWidth="1" min="6" max="6" width="7.0"/>
    <col customWidth="1" min="7" max="7" width="10.5"/>
    <col customWidth="1" min="8" max="8" width="5.13"/>
    <col customWidth="1" min="9" max="9" width="9.5"/>
    <col customWidth="1" min="10" max="10" width="9.88"/>
    <col customWidth="1" min="11" max="11" width="8.25"/>
    <col customWidth="1" min="12" max="12" width="6.75"/>
    <col customWidth="1" min="13" max="13" width="4.5"/>
    <col customWidth="1" min="14" max="14" width="5.25"/>
  </cols>
  <sheetData>
    <row r="2">
      <c r="A2" s="25" t="s">
        <v>86</v>
      </c>
      <c r="B2" s="25" t="s">
        <v>87</v>
      </c>
      <c r="C2" s="25" t="s">
        <v>88</v>
      </c>
      <c r="D2" s="25" t="s">
        <v>89</v>
      </c>
      <c r="E2" s="25" t="s">
        <v>90</v>
      </c>
      <c r="F2" s="25" t="s">
        <v>91</v>
      </c>
      <c r="G2" s="25" t="s">
        <v>92</v>
      </c>
      <c r="H2" s="25" t="s">
        <v>93</v>
      </c>
      <c r="I2" s="25" t="s">
        <v>94</v>
      </c>
      <c r="J2" s="25" t="s">
        <v>95</v>
      </c>
      <c r="K2" s="25" t="s">
        <v>96</v>
      </c>
      <c r="L2" s="25" t="s">
        <v>97</v>
      </c>
      <c r="M2" s="25" t="s">
        <v>75</v>
      </c>
      <c r="N2" s="25" t="s">
        <v>61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5"/>
    <col customWidth="1" min="2" max="2" width="4.38"/>
    <col customWidth="1" min="3" max="3" width="4.5"/>
    <col customWidth="1" min="4" max="6" width="9.38"/>
    <col customWidth="1" min="7" max="8" width="8.75"/>
    <col customWidth="1" min="9" max="9" width="8.88"/>
    <col customWidth="1" min="10" max="10" width="8.63"/>
    <col customWidth="1" min="11" max="11" width="5.38"/>
    <col customWidth="1" min="12" max="12" width="5.25"/>
  </cols>
  <sheetData>
    <row r="1">
      <c r="A1" s="25" t="s">
        <v>86</v>
      </c>
      <c r="B1" s="25" t="s">
        <v>88</v>
      </c>
      <c r="C1" s="25" t="s">
        <v>75</v>
      </c>
      <c r="D1" s="25" t="s">
        <v>98</v>
      </c>
      <c r="E1" s="25" t="s">
        <v>99</v>
      </c>
      <c r="F1" s="25" t="s">
        <v>100</v>
      </c>
      <c r="G1" s="25" t="s">
        <v>101</v>
      </c>
      <c r="H1" s="25" t="s">
        <v>102</v>
      </c>
      <c r="I1" s="25" t="s">
        <v>103</v>
      </c>
      <c r="J1" s="25" t="s">
        <v>104</v>
      </c>
      <c r="K1" s="25" t="s">
        <v>105</v>
      </c>
      <c r="L1" s="25" t="s">
        <v>61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106</v>
      </c>
      <c r="B1" s="28" t="s">
        <v>88</v>
      </c>
      <c r="C1" s="28" t="s">
        <v>107</v>
      </c>
      <c r="D1" s="28" t="s">
        <v>108</v>
      </c>
      <c r="E1" s="28" t="s">
        <v>109</v>
      </c>
      <c r="F1" s="28" t="s">
        <v>110</v>
      </c>
      <c r="G1" s="28" t="s">
        <v>111</v>
      </c>
      <c r="H1" s="28" t="s">
        <v>112</v>
      </c>
      <c r="I1" s="28" t="s">
        <v>113</v>
      </c>
      <c r="J1" s="28" t="s">
        <v>114</v>
      </c>
      <c r="K1" s="28" t="s">
        <v>115</v>
      </c>
    </row>
    <row r="2">
      <c r="A2" s="28">
        <v>2929.0</v>
      </c>
      <c r="B2" s="28" t="s">
        <v>48</v>
      </c>
      <c r="C2" s="28" t="s">
        <v>116</v>
      </c>
      <c r="D2" s="28" t="b">
        <v>1</v>
      </c>
      <c r="E2" s="28" t="b">
        <v>1</v>
      </c>
      <c r="F2" s="28" t="b">
        <v>1</v>
      </c>
      <c r="G2" s="28" t="b">
        <v>1</v>
      </c>
      <c r="H2" s="28" t="b">
        <v>1</v>
      </c>
      <c r="I2" s="28" t="b">
        <v>1</v>
      </c>
      <c r="J2" s="28" t="b">
        <v>1</v>
      </c>
      <c r="K2" s="28" t="b">
        <v>1</v>
      </c>
    </row>
    <row r="3">
      <c r="A3" s="28">
        <v>1111.0</v>
      </c>
      <c r="B3" s="28" t="s">
        <v>117</v>
      </c>
      <c r="C3" s="28" t="s">
        <v>118</v>
      </c>
      <c r="D3" s="28" t="b">
        <v>1</v>
      </c>
      <c r="E3" s="28" t="b">
        <v>1</v>
      </c>
      <c r="F3" s="28" t="b">
        <v>0</v>
      </c>
      <c r="G3" s="28" t="b">
        <v>1</v>
      </c>
      <c r="H3" s="28" t="b">
        <v>0</v>
      </c>
      <c r="I3" s="28" t="b">
        <v>0</v>
      </c>
      <c r="J3" s="28" t="b">
        <v>1</v>
      </c>
      <c r="K3" s="28" t="b">
        <v>0</v>
      </c>
    </row>
    <row r="4">
      <c r="A4" s="28">
        <v>2222.0</v>
      </c>
      <c r="B4" s="28" t="s">
        <v>119</v>
      </c>
      <c r="C4" s="28" t="s">
        <v>120</v>
      </c>
      <c r="D4" s="28" t="b">
        <v>0</v>
      </c>
      <c r="E4" s="28" t="b">
        <v>0</v>
      </c>
      <c r="F4" s="28" t="b">
        <v>0</v>
      </c>
      <c r="G4" s="28" t="b">
        <v>0</v>
      </c>
      <c r="H4" s="28" t="b">
        <v>1</v>
      </c>
      <c r="I4" s="28" t="b">
        <v>0</v>
      </c>
      <c r="J4" s="28" t="b">
        <v>1</v>
      </c>
      <c r="K4" s="28" t="b">
        <v>0</v>
      </c>
    </row>
    <row r="5">
      <c r="A5" s="28">
        <v>0.0</v>
      </c>
      <c r="B5" s="28" t="s">
        <v>121</v>
      </c>
      <c r="C5" s="28" t="s">
        <v>122</v>
      </c>
      <c r="D5" s="28" t="b">
        <v>0</v>
      </c>
      <c r="E5" s="28" t="b">
        <v>0</v>
      </c>
      <c r="F5" s="28" t="b">
        <v>0</v>
      </c>
      <c r="G5" s="28" t="b">
        <v>0</v>
      </c>
      <c r="H5" s="28" t="b">
        <v>0</v>
      </c>
      <c r="I5" s="28" t="b">
        <v>1</v>
      </c>
      <c r="J5" s="28" t="b">
        <v>0</v>
      </c>
      <c r="K5" s="28" t="b"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37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9" t="s">
        <v>123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  <c r="H1" s="29" t="s">
        <v>124</v>
      </c>
      <c r="I1" s="29" t="s">
        <v>125</v>
      </c>
      <c r="J1" s="29" t="s">
        <v>95</v>
      </c>
      <c r="K1" s="29" t="s">
        <v>126</v>
      </c>
      <c r="L1" s="29" t="s">
        <v>127</v>
      </c>
      <c r="M1" s="29" t="s">
        <v>128</v>
      </c>
      <c r="N1" s="29" t="s">
        <v>129</v>
      </c>
      <c r="O1" s="29" t="s">
        <v>130</v>
      </c>
      <c r="P1" s="29" t="s">
        <v>61</v>
      </c>
      <c r="Q1" s="29" t="s">
        <v>131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F5E9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63"/>
    <col customWidth="1" min="2" max="2" width="15.13"/>
    <col customWidth="1" min="3" max="3" width="50.13"/>
    <col customWidth="1" min="4" max="4" width="25.13"/>
  </cols>
  <sheetData>
    <row r="1" ht="25.5" customHeight="1">
      <c r="A1" s="30" t="s">
        <v>132</v>
      </c>
    </row>
    <row r="3" ht="19.5" customHeight="1">
      <c r="A3" s="18" t="s">
        <v>133</v>
      </c>
    </row>
    <row r="4" ht="18.0" customHeight="1">
      <c r="A4" s="31" t="s">
        <v>134</v>
      </c>
      <c r="B4" s="31" t="s">
        <v>135</v>
      </c>
      <c r="C4" s="31" t="s">
        <v>136</v>
      </c>
      <c r="D4" s="31" t="s">
        <v>137</v>
      </c>
    </row>
    <row r="5" ht="30.0" customHeight="1">
      <c r="A5" s="32" t="s">
        <v>138</v>
      </c>
      <c r="B5" s="33" t="s">
        <v>139</v>
      </c>
      <c r="C5" s="34" t="s">
        <v>140</v>
      </c>
      <c r="D5" s="35" t="s">
        <v>141</v>
      </c>
    </row>
    <row r="6" ht="30.0" customHeight="1">
      <c r="A6" s="36" t="s">
        <v>142</v>
      </c>
      <c r="B6" s="37" t="s">
        <v>143</v>
      </c>
      <c r="C6" s="38" t="s">
        <v>144</v>
      </c>
      <c r="D6" s="39" t="s">
        <v>145</v>
      </c>
    </row>
    <row r="7" ht="30.0" customHeight="1">
      <c r="A7" s="32" t="s">
        <v>146</v>
      </c>
      <c r="B7" s="33" t="s">
        <v>147</v>
      </c>
      <c r="C7" s="34" t="s">
        <v>148</v>
      </c>
      <c r="D7" s="35" t="s">
        <v>149</v>
      </c>
    </row>
    <row r="9" ht="19.5" customHeight="1">
      <c r="A9" s="18" t="s">
        <v>150</v>
      </c>
    </row>
    <row r="10" ht="18.0" customHeight="1">
      <c r="A10" s="31" t="s">
        <v>134</v>
      </c>
      <c r="B10" s="31" t="s">
        <v>135</v>
      </c>
      <c r="C10" s="31" t="s">
        <v>136</v>
      </c>
      <c r="D10" s="31" t="s">
        <v>137</v>
      </c>
    </row>
    <row r="11" ht="30.0" customHeight="1">
      <c r="A11" s="32" t="s">
        <v>108</v>
      </c>
      <c r="B11" s="33" t="s">
        <v>151</v>
      </c>
      <c r="C11" s="34" t="s">
        <v>152</v>
      </c>
      <c r="D11" s="35" t="s">
        <v>153</v>
      </c>
    </row>
    <row r="12" ht="30.0" customHeight="1">
      <c r="A12" s="36" t="s">
        <v>154</v>
      </c>
      <c r="B12" s="37" t="s">
        <v>155</v>
      </c>
      <c r="C12" s="38" t="s">
        <v>156</v>
      </c>
      <c r="D12" s="39" t="s">
        <v>157</v>
      </c>
    </row>
    <row r="13" ht="30.0" customHeight="1">
      <c r="A13" s="32" t="s">
        <v>158</v>
      </c>
      <c r="B13" s="33" t="s">
        <v>159</v>
      </c>
      <c r="C13" s="34" t="s">
        <v>160</v>
      </c>
      <c r="D13" s="35" t="s">
        <v>161</v>
      </c>
    </row>
    <row r="14" ht="30.0" customHeight="1">
      <c r="A14" s="36" t="s">
        <v>162</v>
      </c>
      <c r="B14" s="37" t="s">
        <v>163</v>
      </c>
      <c r="C14" s="38" t="s">
        <v>164</v>
      </c>
      <c r="D14" s="39" t="s">
        <v>165</v>
      </c>
    </row>
    <row r="16" ht="19.5" customHeight="1">
      <c r="A16" s="18" t="s">
        <v>166</v>
      </c>
    </row>
    <row r="17" ht="18.0" customHeight="1">
      <c r="A17" s="31" t="s">
        <v>134</v>
      </c>
      <c r="B17" s="31" t="s">
        <v>135</v>
      </c>
      <c r="C17" s="31" t="s">
        <v>136</v>
      </c>
      <c r="D17" s="31" t="s">
        <v>137</v>
      </c>
    </row>
    <row r="18" ht="30.0" customHeight="1">
      <c r="A18" s="32" t="s">
        <v>167</v>
      </c>
      <c r="B18" s="33" t="s">
        <v>168</v>
      </c>
      <c r="C18" s="34" t="s">
        <v>169</v>
      </c>
      <c r="D18" s="35" t="s">
        <v>170</v>
      </c>
    </row>
    <row r="19" ht="30.0" customHeight="1">
      <c r="A19" s="36" t="s">
        <v>171</v>
      </c>
      <c r="B19" s="37" t="s">
        <v>172</v>
      </c>
      <c r="C19" s="38" t="s">
        <v>173</v>
      </c>
      <c r="D19" s="39" t="s">
        <v>174</v>
      </c>
    </row>
    <row r="20" ht="30.0" customHeight="1">
      <c r="A20" s="32" t="s">
        <v>175</v>
      </c>
      <c r="B20" s="33" t="s">
        <v>176</v>
      </c>
      <c r="C20" s="34" t="s">
        <v>177</v>
      </c>
      <c r="D20" s="35" t="s">
        <v>178</v>
      </c>
    </row>
    <row r="21" ht="30.0" customHeight="1">
      <c r="A21" s="36" t="s">
        <v>179</v>
      </c>
      <c r="B21" s="37" t="s">
        <v>180</v>
      </c>
      <c r="C21" s="38" t="s">
        <v>181</v>
      </c>
      <c r="D21" s="39" t="s">
        <v>182</v>
      </c>
    </row>
    <row r="22" ht="30.0" customHeight="1">
      <c r="A22" s="32" t="s">
        <v>183</v>
      </c>
      <c r="B22" s="33" t="s">
        <v>184</v>
      </c>
      <c r="C22" s="34" t="s">
        <v>185</v>
      </c>
      <c r="D22" s="35" t="s">
        <v>186</v>
      </c>
    </row>
    <row r="24" ht="19.5" customHeight="1">
      <c r="A24" s="18" t="s">
        <v>187</v>
      </c>
    </row>
    <row r="25" ht="18.0" customHeight="1">
      <c r="A25" s="31" t="s">
        <v>134</v>
      </c>
      <c r="B25" s="31" t="s">
        <v>135</v>
      </c>
      <c r="C25" s="31" t="s">
        <v>136</v>
      </c>
      <c r="D25" s="31" t="s">
        <v>137</v>
      </c>
    </row>
    <row r="26" ht="30.0" customHeight="1">
      <c r="A26" s="32" t="s">
        <v>188</v>
      </c>
      <c r="B26" s="33" t="s">
        <v>189</v>
      </c>
      <c r="C26" s="34" t="s">
        <v>190</v>
      </c>
      <c r="D26" s="35" t="s">
        <v>191</v>
      </c>
    </row>
    <row r="27" ht="30.0" customHeight="1">
      <c r="A27" s="36" t="s">
        <v>192</v>
      </c>
      <c r="B27" s="37" t="s">
        <v>159</v>
      </c>
      <c r="C27" s="38" t="s">
        <v>193</v>
      </c>
      <c r="D27" s="39" t="s">
        <v>194</v>
      </c>
    </row>
    <row r="28" ht="30.0" customHeight="1">
      <c r="A28" s="32" t="s">
        <v>195</v>
      </c>
      <c r="B28" s="33" t="s">
        <v>196</v>
      </c>
      <c r="C28" s="34" t="s">
        <v>197</v>
      </c>
      <c r="D28" s="35" t="s">
        <v>198</v>
      </c>
    </row>
    <row r="29" ht="30.0" customHeight="1">
      <c r="A29" s="36" t="s">
        <v>122</v>
      </c>
      <c r="B29" s="37" t="s">
        <v>196</v>
      </c>
      <c r="C29" s="38" t="s">
        <v>199</v>
      </c>
      <c r="D29" s="39" t="s">
        <v>200</v>
      </c>
    </row>
    <row r="31" ht="19.5" customHeight="1">
      <c r="A31" s="18" t="s">
        <v>201</v>
      </c>
    </row>
    <row r="32" ht="18.0" customHeight="1">
      <c r="A32" s="31" t="s">
        <v>134</v>
      </c>
      <c r="B32" s="31" t="s">
        <v>135</v>
      </c>
      <c r="C32" s="31" t="s">
        <v>136</v>
      </c>
      <c r="D32" s="31" t="s">
        <v>137</v>
      </c>
    </row>
    <row r="33" ht="30.0" customHeight="1">
      <c r="A33" s="32" t="s">
        <v>202</v>
      </c>
      <c r="B33" s="33" t="s">
        <v>203</v>
      </c>
      <c r="C33" s="34" t="s">
        <v>204</v>
      </c>
      <c r="D33" s="35" t="s">
        <v>205</v>
      </c>
    </row>
    <row r="34" ht="30.0" customHeight="1">
      <c r="A34" s="36" t="s">
        <v>206</v>
      </c>
      <c r="B34" s="37" t="s">
        <v>207</v>
      </c>
      <c r="C34" s="38" t="s">
        <v>208</v>
      </c>
      <c r="D34" s="39" t="s">
        <v>209</v>
      </c>
    </row>
    <row r="35" ht="30.0" customHeight="1">
      <c r="A35" s="32" t="s">
        <v>210</v>
      </c>
      <c r="B35" s="33" t="s">
        <v>211</v>
      </c>
      <c r="C35" s="34" t="s">
        <v>212</v>
      </c>
      <c r="D35" s="35" t="s">
        <v>213</v>
      </c>
    </row>
    <row r="36" ht="30.0" customHeight="1">
      <c r="A36" s="36" t="s">
        <v>214</v>
      </c>
      <c r="B36" s="37" t="s">
        <v>215</v>
      </c>
      <c r="C36" s="38" t="s">
        <v>216</v>
      </c>
      <c r="D36" s="39" t="s">
        <v>217</v>
      </c>
    </row>
    <row r="37" ht="30.0" customHeight="1">
      <c r="A37" s="32" t="s">
        <v>218</v>
      </c>
      <c r="B37" s="33" t="s">
        <v>219</v>
      </c>
      <c r="C37" s="34" t="s">
        <v>220</v>
      </c>
      <c r="D37" s="35" t="s">
        <v>221</v>
      </c>
    </row>
    <row r="38" ht="30.0" customHeight="1">
      <c r="A38" s="36" t="s">
        <v>222</v>
      </c>
      <c r="B38" s="37" t="s">
        <v>223</v>
      </c>
      <c r="C38" s="38" t="s">
        <v>224</v>
      </c>
      <c r="D38" s="39" t="s">
        <v>225</v>
      </c>
    </row>
  </sheetData>
  <mergeCells count="6">
    <mergeCell ref="A1:H1"/>
    <mergeCell ref="A3:J3"/>
    <mergeCell ref="A9:J9"/>
    <mergeCell ref="A16:J16"/>
    <mergeCell ref="A24:J24"/>
    <mergeCell ref="A31:J3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A6B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0.13"/>
    <col customWidth="1" min="2" max="2" width="30.13"/>
    <col customWidth="1" min="3" max="3" width="16.38"/>
    <col customWidth="1" min="4" max="4" width="8.25"/>
    <col customWidth="1" min="5" max="5" width="18.88"/>
    <col customWidth="1" min="6" max="6" width="13.88"/>
    <col customWidth="1" min="7" max="7" width="11.38"/>
    <col customWidth="1" min="8" max="9" width="16.38"/>
    <col customWidth="1" min="10" max="10" width="11.38"/>
    <col customWidth="1" min="11" max="11" width="13.88"/>
    <col customWidth="1" min="12" max="12" width="11.38"/>
  </cols>
  <sheetData>
    <row r="1" ht="25.5" customHeight="1">
      <c r="A1" s="30" t="s">
        <v>226</v>
      </c>
    </row>
    <row r="2" ht="25.5" customHeight="1">
      <c r="A2" s="40" t="s">
        <v>227</v>
      </c>
    </row>
    <row r="3">
      <c r="A3" s="41" t="s">
        <v>228</v>
      </c>
    </row>
    <row r="4" ht="24.0" customHeight="1">
      <c r="A4" s="31" t="s">
        <v>52</v>
      </c>
      <c r="B4" s="31" t="s">
        <v>53</v>
      </c>
      <c r="C4" s="31" t="s">
        <v>54</v>
      </c>
      <c r="D4" s="31" t="s">
        <v>55</v>
      </c>
      <c r="E4" s="31" t="s">
        <v>56</v>
      </c>
      <c r="F4" s="31" t="s">
        <v>229</v>
      </c>
      <c r="G4" s="31" t="s">
        <v>230</v>
      </c>
      <c r="H4" s="31" t="s">
        <v>231</v>
      </c>
      <c r="I4" s="31" t="s">
        <v>232</v>
      </c>
      <c r="J4" s="31" t="s">
        <v>233</v>
      </c>
      <c r="K4" s="31" t="s">
        <v>234</v>
      </c>
      <c r="L4" s="31" t="s">
        <v>235</v>
      </c>
    </row>
    <row r="5" ht="15.0" customHeight="1">
      <c r="A5" s="42" t="s">
        <v>236</v>
      </c>
      <c r="B5" s="43" t="s">
        <v>237</v>
      </c>
      <c r="C5" s="44" t="s">
        <v>238</v>
      </c>
      <c r="D5" s="45" t="s">
        <v>239</v>
      </c>
      <c r="E5" s="46"/>
      <c r="F5" s="47">
        <v>8.5</v>
      </c>
      <c r="G5" s="44" t="s">
        <v>240</v>
      </c>
      <c r="H5" s="46"/>
      <c r="I5" s="46"/>
      <c r="J5" s="48"/>
      <c r="K5" s="49"/>
      <c r="L5" s="50" t="str">
        <f>IFERROR(IF(OR(F5="",K5=""),"",((F5-K5)/K5)*100),"")</f>
        <v>#ERROR!</v>
      </c>
    </row>
    <row r="6" ht="15.0" customHeight="1">
      <c r="A6" s="42" t="s">
        <v>241</v>
      </c>
      <c r="B6" s="51" t="s">
        <v>242</v>
      </c>
      <c r="C6" s="52" t="s">
        <v>238</v>
      </c>
      <c r="D6" s="53" t="s">
        <v>239</v>
      </c>
      <c r="E6" s="54"/>
      <c r="F6" s="47">
        <v>5.5</v>
      </c>
      <c r="G6" s="52" t="s">
        <v>240</v>
      </c>
      <c r="H6" s="54"/>
      <c r="I6" s="54"/>
      <c r="J6" s="48"/>
      <c r="K6" s="49"/>
      <c r="L6" s="50" t="str">
        <f>IFERROR(IF(OR(F6="",K6=""),"",((F6-K6)/K6)*100),"")</f>
        <v>#ERROR!</v>
      </c>
    </row>
    <row r="7" ht="15.0" customHeight="1">
      <c r="A7" s="42" t="s">
        <v>243</v>
      </c>
      <c r="B7" s="43" t="s">
        <v>244</v>
      </c>
      <c r="C7" s="44" t="s">
        <v>238</v>
      </c>
      <c r="D7" s="45" t="s">
        <v>239</v>
      </c>
      <c r="E7" s="46"/>
      <c r="F7" s="47">
        <v>4.5</v>
      </c>
      <c r="G7" s="44" t="s">
        <v>240</v>
      </c>
      <c r="H7" s="46"/>
      <c r="I7" s="46"/>
      <c r="J7" s="48"/>
      <c r="K7" s="49"/>
      <c r="L7" s="50" t="str">
        <f>IFERROR(IF(OR(F7="",K7=""),"",((F7-K7)/K7)*100),"")</f>
        <v>#ERROR!</v>
      </c>
    </row>
    <row r="8" ht="15.0" customHeight="1">
      <c r="A8" s="42" t="s">
        <v>245</v>
      </c>
      <c r="B8" s="51" t="s">
        <v>246</v>
      </c>
      <c r="C8" s="52" t="s">
        <v>238</v>
      </c>
      <c r="D8" s="53" t="s">
        <v>239</v>
      </c>
      <c r="E8" s="54"/>
      <c r="F8" s="47">
        <v>2.8</v>
      </c>
      <c r="G8" s="52" t="s">
        <v>240</v>
      </c>
      <c r="H8" s="54"/>
      <c r="I8" s="54"/>
      <c r="J8" s="48"/>
      <c r="K8" s="49"/>
      <c r="L8" s="50" t="str">
        <f>IFERROR(IF(OR(F8="",K8=""),"",((F8-K8)/K8)*100),"")</f>
        <v>#ERROR!</v>
      </c>
    </row>
    <row r="9" ht="15.0" customHeight="1">
      <c r="A9" s="42" t="s">
        <v>247</v>
      </c>
      <c r="B9" s="43" t="s">
        <v>248</v>
      </c>
      <c r="C9" s="44" t="s">
        <v>238</v>
      </c>
      <c r="D9" s="45" t="s">
        <v>239</v>
      </c>
      <c r="E9" s="46"/>
      <c r="F9" s="47">
        <v>14.0</v>
      </c>
      <c r="G9" s="44" t="s">
        <v>240</v>
      </c>
      <c r="H9" s="46"/>
      <c r="I9" s="46"/>
      <c r="J9" s="48"/>
      <c r="K9" s="49"/>
      <c r="L9" s="50" t="str">
        <f>IFERROR(IF(OR(F9="",K9=""),"",((F9-K9)/K9)*100),"")</f>
        <v>#ERROR!</v>
      </c>
    </row>
    <row r="10" ht="15.0" customHeight="1">
      <c r="A10" s="42" t="s">
        <v>249</v>
      </c>
      <c r="B10" s="51" t="s">
        <v>250</v>
      </c>
      <c r="C10" s="52" t="s">
        <v>251</v>
      </c>
      <c r="D10" s="53" t="s">
        <v>239</v>
      </c>
      <c r="E10" s="54"/>
      <c r="F10" s="47">
        <v>13.5</v>
      </c>
      <c r="G10" s="52" t="s">
        <v>240</v>
      </c>
      <c r="H10" s="54"/>
      <c r="I10" s="54"/>
      <c r="J10" s="48"/>
      <c r="K10" s="49"/>
      <c r="L10" s="50" t="str">
        <f>IFERROR(IF(OR(F10="",K10=""),"",((F10-K10)/K10)*100),"")</f>
        <v>#ERROR!</v>
      </c>
    </row>
    <row r="11" ht="15.0" customHeight="1">
      <c r="A11" s="42" t="s">
        <v>252</v>
      </c>
      <c r="B11" s="43" t="s">
        <v>253</v>
      </c>
      <c r="C11" s="44" t="s">
        <v>254</v>
      </c>
      <c r="D11" s="45" t="s">
        <v>239</v>
      </c>
      <c r="E11" s="46"/>
      <c r="F11" s="47">
        <v>14.5</v>
      </c>
      <c r="G11" s="44" t="s">
        <v>240</v>
      </c>
      <c r="H11" s="46"/>
      <c r="I11" s="46"/>
      <c r="J11" s="48"/>
      <c r="K11" s="49"/>
      <c r="L11" s="50" t="str">
        <f>IFERROR(IF(OR(F11="",K11=""),"",((F11-K11)/K11)*100),"")</f>
        <v>#ERROR!</v>
      </c>
    </row>
    <row r="12" ht="15.0" customHeight="1">
      <c r="A12" s="42" t="s">
        <v>255</v>
      </c>
      <c r="B12" s="51" t="s">
        <v>256</v>
      </c>
      <c r="C12" s="52" t="s">
        <v>254</v>
      </c>
      <c r="D12" s="53" t="s">
        <v>239</v>
      </c>
      <c r="E12" s="54"/>
      <c r="F12" s="47">
        <v>5.5</v>
      </c>
      <c r="G12" s="52" t="s">
        <v>240</v>
      </c>
      <c r="H12" s="54"/>
      <c r="I12" s="54"/>
      <c r="J12" s="48"/>
      <c r="K12" s="49"/>
      <c r="L12" s="50" t="str">
        <f>IFERROR(IF(OR(F12="",K12=""),"",((F12-K12)/K12)*100),"")</f>
        <v>#ERROR!</v>
      </c>
    </row>
    <row r="13" ht="15.0" customHeight="1">
      <c r="A13" s="42" t="s">
        <v>257</v>
      </c>
      <c r="B13" s="43" t="s">
        <v>258</v>
      </c>
      <c r="C13" s="44" t="s">
        <v>259</v>
      </c>
      <c r="D13" s="45" t="s">
        <v>239</v>
      </c>
      <c r="E13" s="46"/>
      <c r="F13" s="47">
        <v>6.5</v>
      </c>
      <c r="G13" s="44" t="s">
        <v>240</v>
      </c>
      <c r="H13" s="46"/>
      <c r="I13" s="46"/>
      <c r="J13" s="48"/>
      <c r="K13" s="49"/>
      <c r="L13" s="50" t="str">
        <f>IFERROR(IF(OR(F13="",K13=""),"",((F13-K13)/K13)*100),"")</f>
        <v>#ERROR!</v>
      </c>
    </row>
    <row r="14" ht="15.0" customHeight="1">
      <c r="A14" s="42" t="s">
        <v>260</v>
      </c>
      <c r="B14" s="51" t="s">
        <v>261</v>
      </c>
      <c r="C14" s="52" t="s">
        <v>259</v>
      </c>
      <c r="D14" s="53" t="s">
        <v>239</v>
      </c>
      <c r="E14" s="54"/>
      <c r="F14" s="47">
        <v>1.2</v>
      </c>
      <c r="G14" s="52" t="s">
        <v>240</v>
      </c>
      <c r="H14" s="54"/>
      <c r="I14" s="54"/>
      <c r="J14" s="48"/>
      <c r="K14" s="49"/>
      <c r="L14" s="50" t="str">
        <f>IFERROR(IF(OR(F14="",K14=""),"",((F14-K14)/K14)*100),"")</f>
        <v>#ERROR!</v>
      </c>
    </row>
    <row r="15" ht="15.0" customHeight="1">
      <c r="A15" s="42" t="s">
        <v>262</v>
      </c>
      <c r="B15" s="43" t="s">
        <v>263</v>
      </c>
      <c r="C15" s="44" t="s">
        <v>259</v>
      </c>
      <c r="D15" s="45" t="s">
        <v>239</v>
      </c>
      <c r="E15" s="46"/>
      <c r="F15" s="47">
        <v>1.8</v>
      </c>
      <c r="G15" s="44" t="s">
        <v>240</v>
      </c>
      <c r="H15" s="46"/>
      <c r="I15" s="46"/>
      <c r="J15" s="48"/>
      <c r="K15" s="49"/>
      <c r="L15" s="50" t="str">
        <f>IFERROR(IF(OR(F15="",K15=""),"",((F15-K15)/K15)*100),"")</f>
        <v>#ERROR!</v>
      </c>
    </row>
    <row r="16" ht="15.0" customHeight="1">
      <c r="A16" s="42" t="s">
        <v>264</v>
      </c>
      <c r="B16" s="51" t="s">
        <v>265</v>
      </c>
      <c r="C16" s="52" t="s">
        <v>259</v>
      </c>
      <c r="D16" s="53" t="s">
        <v>239</v>
      </c>
      <c r="E16" s="54"/>
      <c r="F16" s="47">
        <v>2.0</v>
      </c>
      <c r="G16" s="52" t="s">
        <v>240</v>
      </c>
      <c r="H16" s="54"/>
      <c r="I16" s="54"/>
      <c r="J16" s="48"/>
      <c r="K16" s="49"/>
      <c r="L16" s="50" t="str">
        <f>IFERROR(IF(OR(F16="",K16=""),"",((F16-K16)/K16)*100),"")</f>
        <v>#ERROR!</v>
      </c>
    </row>
    <row r="17" ht="15.0" customHeight="1">
      <c r="A17" s="42" t="s">
        <v>266</v>
      </c>
      <c r="B17" s="43" t="s">
        <v>267</v>
      </c>
      <c r="C17" s="44" t="s">
        <v>259</v>
      </c>
      <c r="D17" s="45" t="s">
        <v>239</v>
      </c>
      <c r="E17" s="46"/>
      <c r="F17" s="47">
        <v>3.2</v>
      </c>
      <c r="G17" s="44" t="s">
        <v>240</v>
      </c>
      <c r="H17" s="46"/>
      <c r="I17" s="46"/>
      <c r="J17" s="48"/>
      <c r="K17" s="49"/>
      <c r="L17" s="50" t="str">
        <f>IFERROR(IF(OR(F17="",K17=""),"",((F17-K17)/K17)*100),"")</f>
        <v>#ERROR!</v>
      </c>
    </row>
    <row r="18" ht="15.0" customHeight="1">
      <c r="A18" s="42" t="s">
        <v>268</v>
      </c>
      <c r="B18" s="51" t="s">
        <v>269</v>
      </c>
      <c r="C18" s="52" t="s">
        <v>259</v>
      </c>
      <c r="D18" s="53" t="s">
        <v>239</v>
      </c>
      <c r="E18" s="54"/>
      <c r="F18" s="47">
        <v>2.8</v>
      </c>
      <c r="G18" s="52" t="s">
        <v>240</v>
      </c>
      <c r="H18" s="54"/>
      <c r="I18" s="54"/>
      <c r="J18" s="48"/>
      <c r="K18" s="49"/>
      <c r="L18" s="50" t="str">
        <f>IFERROR(IF(OR(F18="",K18=""),"",((F18-K18)/K18)*100),"")</f>
        <v>#ERROR!</v>
      </c>
    </row>
    <row r="19" ht="15.0" customHeight="1">
      <c r="A19" s="42" t="s">
        <v>270</v>
      </c>
      <c r="B19" s="43" t="s">
        <v>271</v>
      </c>
      <c r="C19" s="44" t="s">
        <v>259</v>
      </c>
      <c r="D19" s="45" t="s">
        <v>239</v>
      </c>
      <c r="E19" s="46"/>
      <c r="F19" s="47">
        <v>1.3</v>
      </c>
      <c r="G19" s="44" t="s">
        <v>240</v>
      </c>
      <c r="H19" s="46"/>
      <c r="I19" s="46"/>
      <c r="J19" s="48"/>
      <c r="K19" s="49"/>
      <c r="L19" s="50" t="str">
        <f>IFERROR(IF(OR(F19="",K19=""),"",((F19-K19)/K19)*100),"")</f>
        <v>#ERROR!</v>
      </c>
    </row>
    <row r="20" ht="15.0" customHeight="1">
      <c r="A20" s="42" t="s">
        <v>272</v>
      </c>
      <c r="B20" s="51" t="s">
        <v>273</v>
      </c>
      <c r="C20" s="52" t="s">
        <v>259</v>
      </c>
      <c r="D20" s="53" t="s">
        <v>239</v>
      </c>
      <c r="E20" s="54"/>
      <c r="F20" s="47">
        <v>1.1</v>
      </c>
      <c r="G20" s="52" t="s">
        <v>240</v>
      </c>
      <c r="H20" s="54"/>
      <c r="I20" s="54"/>
      <c r="J20" s="48"/>
      <c r="K20" s="49"/>
      <c r="L20" s="50" t="str">
        <f>IFERROR(IF(OR(F20="",K20=""),"",((F20-K20)/K20)*100),"")</f>
        <v>#ERROR!</v>
      </c>
    </row>
    <row r="21" ht="15.0" customHeight="1">
      <c r="A21" s="42" t="s">
        <v>274</v>
      </c>
      <c r="B21" s="43" t="s">
        <v>275</v>
      </c>
      <c r="C21" s="44" t="s">
        <v>259</v>
      </c>
      <c r="D21" s="45" t="s">
        <v>239</v>
      </c>
      <c r="E21" s="46"/>
      <c r="F21" s="47">
        <v>1.1</v>
      </c>
      <c r="G21" s="44" t="s">
        <v>240</v>
      </c>
      <c r="H21" s="46"/>
      <c r="I21" s="46"/>
      <c r="J21" s="48"/>
      <c r="K21" s="49"/>
      <c r="L21" s="50" t="str">
        <f>IFERROR(IF(OR(F21="",K21=""),"",((F21-K21)/K21)*100),"")</f>
        <v>#ERROR!</v>
      </c>
    </row>
    <row r="22" ht="15.0" customHeight="1">
      <c r="A22" s="42" t="s">
        <v>276</v>
      </c>
      <c r="B22" s="51" t="s">
        <v>277</v>
      </c>
      <c r="C22" s="52" t="s">
        <v>259</v>
      </c>
      <c r="D22" s="53" t="s">
        <v>239</v>
      </c>
      <c r="E22" s="54"/>
      <c r="F22" s="47">
        <v>1.8</v>
      </c>
      <c r="G22" s="52" t="s">
        <v>240</v>
      </c>
      <c r="H22" s="54"/>
      <c r="I22" s="54"/>
      <c r="J22" s="48"/>
      <c r="K22" s="49"/>
      <c r="L22" s="50" t="str">
        <f>IFERROR(IF(OR(F22="",K22=""),"",((F22-K22)/K22)*100),"")</f>
        <v>#ERROR!</v>
      </c>
    </row>
    <row r="23" ht="15.0" customHeight="1">
      <c r="A23" s="42" t="s">
        <v>278</v>
      </c>
      <c r="B23" s="43" t="s">
        <v>279</v>
      </c>
      <c r="C23" s="44" t="s">
        <v>259</v>
      </c>
      <c r="D23" s="45" t="s">
        <v>239</v>
      </c>
      <c r="E23" s="46"/>
      <c r="F23" s="47">
        <v>2.8</v>
      </c>
      <c r="G23" s="44" t="s">
        <v>240</v>
      </c>
      <c r="H23" s="46"/>
      <c r="I23" s="46"/>
      <c r="J23" s="48"/>
      <c r="K23" s="49"/>
      <c r="L23" s="50" t="str">
        <f>IFERROR(IF(OR(F23="",K23=""),"",((F23-K23)/K23)*100),"")</f>
        <v>#ERROR!</v>
      </c>
    </row>
    <row r="24" ht="15.0" customHeight="1">
      <c r="A24" s="42" t="s">
        <v>280</v>
      </c>
      <c r="B24" s="51" t="s">
        <v>281</v>
      </c>
      <c r="C24" s="52" t="s">
        <v>259</v>
      </c>
      <c r="D24" s="53" t="s">
        <v>239</v>
      </c>
      <c r="E24" s="54"/>
      <c r="F24" s="47">
        <v>0.75</v>
      </c>
      <c r="G24" s="52" t="s">
        <v>240</v>
      </c>
      <c r="H24" s="54"/>
      <c r="I24" s="54"/>
      <c r="J24" s="48"/>
      <c r="K24" s="49"/>
      <c r="L24" s="50" t="str">
        <f>IFERROR(IF(OR(F24="",K24=""),"",((F24-K24)/K24)*100),"")</f>
        <v>#ERROR!</v>
      </c>
    </row>
    <row r="25" ht="15.0" customHeight="1">
      <c r="A25" s="42" t="s">
        <v>282</v>
      </c>
      <c r="B25" s="43" t="s">
        <v>283</v>
      </c>
      <c r="C25" s="44" t="s">
        <v>259</v>
      </c>
      <c r="D25" s="45" t="s">
        <v>239</v>
      </c>
      <c r="E25" s="46"/>
      <c r="F25" s="47">
        <v>0.9</v>
      </c>
      <c r="G25" s="44" t="s">
        <v>240</v>
      </c>
      <c r="H25" s="46"/>
      <c r="I25" s="46"/>
      <c r="J25" s="48"/>
      <c r="K25" s="49"/>
      <c r="L25" s="50" t="str">
        <f>IFERROR(IF(OR(F25="",K25=""),"",((F25-K25)/K25)*100),"")</f>
        <v>#ERROR!</v>
      </c>
    </row>
    <row r="26" ht="15.0" customHeight="1">
      <c r="A26" s="42" t="s">
        <v>284</v>
      </c>
      <c r="B26" s="51" t="s">
        <v>285</v>
      </c>
      <c r="C26" s="52" t="s">
        <v>259</v>
      </c>
      <c r="D26" s="53" t="s">
        <v>239</v>
      </c>
      <c r="E26" s="54"/>
      <c r="F26" s="47">
        <v>2.0</v>
      </c>
      <c r="G26" s="52" t="s">
        <v>240</v>
      </c>
      <c r="H26" s="54"/>
      <c r="I26" s="54"/>
      <c r="J26" s="48"/>
      <c r="K26" s="49"/>
      <c r="L26" s="50" t="str">
        <f>IFERROR(IF(OR(F26="",K26=""),"",((F26-K26)/K26)*100),"")</f>
        <v>#ERROR!</v>
      </c>
    </row>
    <row r="27" ht="15.0" customHeight="1">
      <c r="A27" s="42" t="s">
        <v>286</v>
      </c>
      <c r="B27" s="43" t="s">
        <v>287</v>
      </c>
      <c r="C27" s="44" t="s">
        <v>288</v>
      </c>
      <c r="D27" s="45" t="s">
        <v>239</v>
      </c>
      <c r="E27" s="46"/>
      <c r="F27" s="47">
        <v>3.5</v>
      </c>
      <c r="G27" s="44" t="s">
        <v>240</v>
      </c>
      <c r="H27" s="46"/>
      <c r="I27" s="46"/>
      <c r="J27" s="48"/>
      <c r="K27" s="49"/>
      <c r="L27" s="50" t="str">
        <f>IFERROR(IF(OR(F27="",K27=""),"",((F27-K27)/K27)*100),"")</f>
        <v>#ERROR!</v>
      </c>
    </row>
    <row r="28" ht="15.0" customHeight="1">
      <c r="A28" s="42" t="s">
        <v>289</v>
      </c>
      <c r="B28" s="51" t="s">
        <v>290</v>
      </c>
      <c r="C28" s="52" t="s">
        <v>288</v>
      </c>
      <c r="D28" s="53" t="s">
        <v>239</v>
      </c>
      <c r="E28" s="54"/>
      <c r="F28" s="47">
        <v>9.0</v>
      </c>
      <c r="G28" s="52" t="s">
        <v>240</v>
      </c>
      <c r="H28" s="54"/>
      <c r="I28" s="54"/>
      <c r="J28" s="48"/>
      <c r="K28" s="49"/>
      <c r="L28" s="50" t="str">
        <f>IFERROR(IF(OR(F28="",K28=""),"",((F28-K28)/K28)*100),"")</f>
        <v>#ERROR!</v>
      </c>
    </row>
    <row r="29" ht="15.0" customHeight="1">
      <c r="A29" s="42" t="s">
        <v>291</v>
      </c>
      <c r="B29" s="43" t="s">
        <v>292</v>
      </c>
      <c r="C29" s="44" t="s">
        <v>293</v>
      </c>
      <c r="D29" s="45" t="s">
        <v>239</v>
      </c>
      <c r="E29" s="46"/>
      <c r="F29" s="47">
        <v>4.5</v>
      </c>
      <c r="G29" s="44" t="s">
        <v>240</v>
      </c>
      <c r="H29" s="46"/>
      <c r="I29" s="46"/>
      <c r="J29" s="48"/>
      <c r="K29" s="49"/>
      <c r="L29" s="50" t="str">
        <f>IFERROR(IF(OR(F29="",K29=""),"",((F29-K29)/K29)*100),"")</f>
        <v>#ERROR!</v>
      </c>
    </row>
    <row r="30" ht="15.0" customHeight="1">
      <c r="A30" s="42" t="s">
        <v>294</v>
      </c>
      <c r="B30" s="51" t="s">
        <v>295</v>
      </c>
      <c r="C30" s="52" t="s">
        <v>296</v>
      </c>
      <c r="D30" s="53" t="s">
        <v>239</v>
      </c>
      <c r="E30" s="54"/>
      <c r="F30" s="47">
        <v>0.75</v>
      </c>
      <c r="G30" s="52" t="s">
        <v>240</v>
      </c>
      <c r="H30" s="54"/>
      <c r="I30" s="54"/>
      <c r="J30" s="48"/>
      <c r="K30" s="49"/>
      <c r="L30" s="50" t="str">
        <f>IFERROR(IF(OR(F30="",K30=""),"",((F30-K30)/K30)*100),"")</f>
        <v>#ERROR!</v>
      </c>
    </row>
    <row r="31" ht="15.0" customHeight="1">
      <c r="A31" s="42" t="s">
        <v>297</v>
      </c>
      <c r="B31" s="43" t="s">
        <v>298</v>
      </c>
      <c r="C31" s="44" t="s">
        <v>296</v>
      </c>
      <c r="D31" s="45" t="s">
        <v>239</v>
      </c>
      <c r="E31" s="46"/>
      <c r="F31" s="47">
        <v>1.8</v>
      </c>
      <c r="G31" s="44" t="s">
        <v>240</v>
      </c>
      <c r="H31" s="46"/>
      <c r="I31" s="46"/>
      <c r="J31" s="48"/>
      <c r="K31" s="49"/>
      <c r="L31" s="50" t="str">
        <f>IFERROR(IF(OR(F31="",K31=""),"",((F31-K31)/K31)*100),"")</f>
        <v>#ERROR!</v>
      </c>
    </row>
    <row r="32" ht="15.0" customHeight="1">
      <c r="A32" s="42" t="s">
        <v>299</v>
      </c>
      <c r="B32" s="51" t="s">
        <v>300</v>
      </c>
      <c r="C32" s="52" t="s">
        <v>301</v>
      </c>
      <c r="D32" s="53" t="s">
        <v>239</v>
      </c>
      <c r="E32" s="54"/>
      <c r="F32" s="47">
        <v>9.0</v>
      </c>
      <c r="G32" s="52" t="s">
        <v>240</v>
      </c>
      <c r="H32" s="54"/>
      <c r="I32" s="54"/>
      <c r="J32" s="48"/>
      <c r="K32" s="49"/>
      <c r="L32" s="50" t="str">
        <f>IFERROR(IF(OR(F32="",K32=""),"",((F32-K32)/K32)*100),"")</f>
        <v>#ERROR!</v>
      </c>
    </row>
    <row r="33" ht="15.0" customHeight="1">
      <c r="A33" s="42" t="s">
        <v>302</v>
      </c>
      <c r="B33" s="43" t="s">
        <v>303</v>
      </c>
      <c r="C33" s="44" t="s">
        <v>301</v>
      </c>
      <c r="D33" s="45" t="s">
        <v>239</v>
      </c>
      <c r="E33" s="46"/>
      <c r="F33" s="47">
        <v>4.2</v>
      </c>
      <c r="G33" s="44" t="s">
        <v>240</v>
      </c>
      <c r="H33" s="46"/>
      <c r="I33" s="46"/>
      <c r="J33" s="48"/>
      <c r="K33" s="49"/>
      <c r="L33" s="50" t="str">
        <f>IFERROR(IF(OR(F33="",K33=""),"",((F33-K33)/K33)*100),"")</f>
        <v>#ERROR!</v>
      </c>
    </row>
    <row r="34" ht="15.0" customHeight="1">
      <c r="A34" s="42" t="s">
        <v>304</v>
      </c>
      <c r="B34" s="51" t="s">
        <v>305</v>
      </c>
      <c r="C34" s="52" t="s">
        <v>301</v>
      </c>
      <c r="D34" s="53" t="s">
        <v>239</v>
      </c>
      <c r="E34" s="54"/>
      <c r="F34" s="47">
        <v>4.0</v>
      </c>
      <c r="G34" s="52" t="s">
        <v>240</v>
      </c>
      <c r="H34" s="54"/>
      <c r="I34" s="54"/>
      <c r="J34" s="48"/>
      <c r="K34" s="49"/>
      <c r="L34" s="50" t="str">
        <f>IFERROR(IF(OR(F34="",K34=""),"",((F34-K34)/K34)*100),"")</f>
        <v>#ERROR!</v>
      </c>
    </row>
    <row r="35" ht="15.0" customHeight="1">
      <c r="A35" s="42" t="s">
        <v>306</v>
      </c>
      <c r="B35" s="43" t="s">
        <v>307</v>
      </c>
      <c r="C35" s="44" t="s">
        <v>301</v>
      </c>
      <c r="D35" s="45" t="s">
        <v>308</v>
      </c>
      <c r="E35" s="46"/>
      <c r="F35" s="47">
        <v>3.8</v>
      </c>
      <c r="G35" s="44" t="s">
        <v>240</v>
      </c>
      <c r="H35" s="46"/>
      <c r="I35" s="46"/>
      <c r="J35" s="48"/>
      <c r="K35" s="49"/>
      <c r="L35" s="50" t="str">
        <f>IFERROR(IF(OR(F35="",K35=""),"",((F35-K35)/K35)*100),"")</f>
        <v>#ERROR!</v>
      </c>
    </row>
    <row r="36" ht="15.0" customHeight="1">
      <c r="A36" s="42" t="s">
        <v>309</v>
      </c>
      <c r="B36" s="51" t="s">
        <v>310</v>
      </c>
      <c r="C36" s="52" t="s">
        <v>301</v>
      </c>
      <c r="D36" s="53" t="s">
        <v>239</v>
      </c>
      <c r="E36" s="54"/>
      <c r="F36" s="47">
        <v>6.0</v>
      </c>
      <c r="G36" s="52" t="s">
        <v>240</v>
      </c>
      <c r="H36" s="54"/>
      <c r="I36" s="54"/>
      <c r="J36" s="48"/>
      <c r="K36" s="49"/>
      <c r="L36" s="50" t="str">
        <f>IFERROR(IF(OR(F36="",K36=""),"",((F36-K36)/K36)*100),"")</f>
        <v>#ERROR!</v>
      </c>
    </row>
    <row r="37" ht="15.0" customHeight="1">
      <c r="A37" s="42" t="s">
        <v>311</v>
      </c>
      <c r="B37" s="43" t="s">
        <v>312</v>
      </c>
      <c r="C37" s="44" t="s">
        <v>301</v>
      </c>
      <c r="D37" s="45" t="s">
        <v>308</v>
      </c>
      <c r="E37" s="46"/>
      <c r="F37" s="47">
        <v>0.65</v>
      </c>
      <c r="G37" s="44" t="s">
        <v>240</v>
      </c>
      <c r="H37" s="46"/>
      <c r="I37" s="46"/>
      <c r="J37" s="48"/>
      <c r="K37" s="49"/>
      <c r="L37" s="50" t="str">
        <f>IFERROR(IF(OR(F37="",K37=""),"",((F37-K37)/K37)*100),"")</f>
        <v>#ERROR!</v>
      </c>
    </row>
    <row r="38" ht="15.0" customHeight="1">
      <c r="A38" s="42" t="s">
        <v>313</v>
      </c>
      <c r="B38" s="51" t="s">
        <v>314</v>
      </c>
      <c r="C38" s="52" t="s">
        <v>301</v>
      </c>
      <c r="D38" s="53" t="s">
        <v>239</v>
      </c>
      <c r="E38" s="54"/>
      <c r="F38" s="47">
        <v>3.8</v>
      </c>
      <c r="G38" s="52" t="s">
        <v>240</v>
      </c>
      <c r="H38" s="54"/>
      <c r="I38" s="54"/>
      <c r="J38" s="48"/>
      <c r="K38" s="49"/>
      <c r="L38" s="50" t="str">
        <f>IFERROR(IF(OR(F38="",K38=""),"",((F38-K38)/K38)*100),"")</f>
        <v>#ERROR!</v>
      </c>
    </row>
    <row r="39" ht="15.0" customHeight="1">
      <c r="A39" s="42" t="s">
        <v>315</v>
      </c>
      <c r="B39" s="43" t="s">
        <v>316</v>
      </c>
      <c r="C39" s="44" t="s">
        <v>317</v>
      </c>
      <c r="D39" s="45" t="s">
        <v>308</v>
      </c>
      <c r="E39" s="46"/>
      <c r="F39" s="47">
        <v>3.5</v>
      </c>
      <c r="G39" s="44" t="s">
        <v>240</v>
      </c>
      <c r="H39" s="46"/>
      <c r="I39" s="46"/>
      <c r="J39" s="48"/>
      <c r="K39" s="49"/>
      <c r="L39" s="50" t="str">
        <f>IFERROR(IF(OR(F39="",K39=""),"",((F39-K39)/K39)*100),"")</f>
        <v>#ERROR!</v>
      </c>
    </row>
    <row r="40" ht="15.0" customHeight="1">
      <c r="A40" s="42" t="s">
        <v>318</v>
      </c>
      <c r="B40" s="51" t="s">
        <v>319</v>
      </c>
      <c r="C40" s="52" t="s">
        <v>317</v>
      </c>
      <c r="D40" s="53" t="s">
        <v>239</v>
      </c>
      <c r="E40" s="54"/>
      <c r="F40" s="47">
        <v>18.0</v>
      </c>
      <c r="G40" s="52" t="s">
        <v>240</v>
      </c>
      <c r="H40" s="54"/>
      <c r="I40" s="54"/>
      <c r="J40" s="48"/>
      <c r="K40" s="49"/>
      <c r="L40" s="50" t="str">
        <f>IFERROR(IF(OR(F40="",K40=""),"",((F40-K40)/K40)*100),"")</f>
        <v>#ERROR!</v>
      </c>
    </row>
    <row r="41" ht="15.0" customHeight="1">
      <c r="A41" s="42" t="s">
        <v>320</v>
      </c>
      <c r="B41" s="43" t="s">
        <v>321</v>
      </c>
      <c r="C41" s="44" t="s">
        <v>317</v>
      </c>
      <c r="D41" s="45" t="s">
        <v>239</v>
      </c>
      <c r="E41" s="46"/>
      <c r="F41" s="47">
        <v>16.0</v>
      </c>
      <c r="G41" s="44" t="s">
        <v>240</v>
      </c>
      <c r="H41" s="46"/>
      <c r="I41" s="46"/>
      <c r="J41" s="48"/>
      <c r="K41" s="49"/>
      <c r="L41" s="50" t="str">
        <f>IFERROR(IF(OR(F41="",K41=""),"",((F41-K41)/K41)*100),"")</f>
        <v>#ERROR!</v>
      </c>
    </row>
    <row r="42" ht="15.0" customHeight="1">
      <c r="A42" s="42" t="s">
        <v>322</v>
      </c>
      <c r="B42" s="51" t="s">
        <v>323</v>
      </c>
      <c r="C42" s="52" t="s">
        <v>324</v>
      </c>
      <c r="D42" s="53" t="s">
        <v>239</v>
      </c>
      <c r="E42" s="54"/>
      <c r="F42" s="47">
        <v>8.0</v>
      </c>
      <c r="G42" s="52" t="s">
        <v>240</v>
      </c>
      <c r="H42" s="54"/>
      <c r="I42" s="54"/>
      <c r="J42" s="48"/>
      <c r="K42" s="49"/>
      <c r="L42" s="50" t="str">
        <f>IFERROR(IF(OR(F42="",K42=""),"",((F42-K42)/K42)*100),"")</f>
        <v>#ERROR!</v>
      </c>
    </row>
    <row r="43" ht="15.0" customHeight="1">
      <c r="A43" s="42" t="s">
        <v>325</v>
      </c>
      <c r="B43" s="43" t="s">
        <v>326</v>
      </c>
      <c r="C43" s="44" t="s">
        <v>324</v>
      </c>
      <c r="D43" s="45" t="s">
        <v>239</v>
      </c>
      <c r="E43" s="46"/>
      <c r="F43" s="47">
        <v>9.0</v>
      </c>
      <c r="G43" s="44" t="s">
        <v>240</v>
      </c>
      <c r="H43" s="46"/>
      <c r="I43" s="46"/>
      <c r="J43" s="48"/>
      <c r="K43" s="49"/>
      <c r="L43" s="50" t="str">
        <f>IFERROR(IF(OR(F43="",K43=""),"",((F43-K43)/K43)*100),"")</f>
        <v>#ERROR!</v>
      </c>
    </row>
    <row r="44" ht="15.0" customHeight="1">
      <c r="A44" s="42" t="s">
        <v>327</v>
      </c>
      <c r="B44" s="51" t="s">
        <v>328</v>
      </c>
      <c r="C44" s="52" t="s">
        <v>324</v>
      </c>
      <c r="D44" s="53" t="s">
        <v>239</v>
      </c>
      <c r="E44" s="54"/>
      <c r="F44" s="47">
        <v>12.0</v>
      </c>
      <c r="G44" s="52" t="s">
        <v>240</v>
      </c>
      <c r="H44" s="54"/>
      <c r="I44" s="54"/>
      <c r="J44" s="48"/>
      <c r="K44" s="49"/>
      <c r="L44" s="50" t="str">
        <f>IFERROR(IF(OR(F44="",K44=""),"",((F44-K44)/K44)*100),"")</f>
        <v>#ERROR!</v>
      </c>
    </row>
    <row r="45" ht="15.0" customHeight="1">
      <c r="A45" s="42" t="s">
        <v>329</v>
      </c>
      <c r="B45" s="43" t="s">
        <v>330</v>
      </c>
      <c r="C45" s="44" t="s">
        <v>324</v>
      </c>
      <c r="D45" s="45" t="s">
        <v>239</v>
      </c>
      <c r="E45" s="46"/>
      <c r="F45" s="47">
        <v>18.0</v>
      </c>
      <c r="G45" s="44" t="s">
        <v>240</v>
      </c>
      <c r="H45" s="46"/>
      <c r="I45" s="46"/>
      <c r="J45" s="48"/>
      <c r="K45" s="49"/>
      <c r="L45" s="50" t="str">
        <f>IFERROR(IF(OR(F45="",K45=""),"",((F45-K45)/K45)*100),"")</f>
        <v>#ERROR!</v>
      </c>
    </row>
    <row r="46" ht="15.0" customHeight="1">
      <c r="A46" s="42" t="s">
        <v>331</v>
      </c>
      <c r="B46" s="51" t="s">
        <v>332</v>
      </c>
      <c r="C46" s="52" t="s">
        <v>324</v>
      </c>
      <c r="D46" s="53" t="s">
        <v>239</v>
      </c>
      <c r="E46" s="54"/>
      <c r="F46" s="47">
        <v>12.0</v>
      </c>
      <c r="G46" s="52" t="s">
        <v>240</v>
      </c>
      <c r="H46" s="54"/>
      <c r="I46" s="54"/>
      <c r="J46" s="48"/>
      <c r="K46" s="49"/>
      <c r="L46" s="50" t="str">
        <f>IFERROR(IF(OR(F46="",K46=""),"",((F46-K46)/K46)*100),"")</f>
        <v>#ERROR!</v>
      </c>
    </row>
    <row r="47" ht="15.0" customHeight="1">
      <c r="A47" s="42" t="s">
        <v>333</v>
      </c>
      <c r="B47" s="43" t="s">
        <v>334</v>
      </c>
      <c r="C47" s="44" t="s">
        <v>335</v>
      </c>
      <c r="D47" s="45" t="s">
        <v>239</v>
      </c>
      <c r="E47" s="46"/>
      <c r="F47" s="47">
        <v>22.0</v>
      </c>
      <c r="G47" s="44" t="s">
        <v>240</v>
      </c>
      <c r="H47" s="46"/>
      <c r="I47" s="46"/>
      <c r="J47" s="48"/>
      <c r="K47" s="49"/>
      <c r="L47" s="50" t="str">
        <f>IFERROR(IF(OR(F47="",K47=""),"",((F47-K47)/K47)*100),"")</f>
        <v>#ERROR!</v>
      </c>
    </row>
    <row r="48" ht="15.0" customHeight="1">
      <c r="A48" s="42" t="s">
        <v>336</v>
      </c>
      <c r="B48" s="51" t="s">
        <v>337</v>
      </c>
      <c r="C48" s="52" t="s">
        <v>335</v>
      </c>
      <c r="D48" s="53" t="s">
        <v>239</v>
      </c>
      <c r="E48" s="54"/>
      <c r="F48" s="47">
        <v>18.0</v>
      </c>
      <c r="G48" s="52" t="s">
        <v>240</v>
      </c>
      <c r="H48" s="54"/>
      <c r="I48" s="54"/>
      <c r="J48" s="48"/>
      <c r="K48" s="49"/>
      <c r="L48" s="50" t="str">
        <f>IFERROR(IF(OR(F48="",K48=""),"",((F48-K48)/K48)*100),"")</f>
        <v>#ERROR!</v>
      </c>
    </row>
    <row r="49" ht="15.0" customHeight="1">
      <c r="A49" s="42" t="s">
        <v>338</v>
      </c>
      <c r="B49" s="43" t="s">
        <v>339</v>
      </c>
      <c r="C49" s="44" t="s">
        <v>335</v>
      </c>
      <c r="D49" s="45" t="s">
        <v>239</v>
      </c>
      <c r="E49" s="46"/>
      <c r="F49" s="47">
        <v>12.0</v>
      </c>
      <c r="G49" s="44" t="s">
        <v>240</v>
      </c>
      <c r="H49" s="46"/>
      <c r="I49" s="46"/>
      <c r="J49" s="48"/>
      <c r="K49" s="49"/>
      <c r="L49" s="50" t="str">
        <f>IFERROR(IF(OR(F49="",K49=""),"",((F49-K49)/K49)*100),"")</f>
        <v>#ERROR!</v>
      </c>
    </row>
    <row r="50" ht="15.0" customHeight="1">
      <c r="A50" s="42" t="s">
        <v>340</v>
      </c>
      <c r="B50" s="51" t="s">
        <v>341</v>
      </c>
      <c r="C50" s="52" t="s">
        <v>335</v>
      </c>
      <c r="D50" s="53" t="s">
        <v>239</v>
      </c>
      <c r="E50" s="54"/>
      <c r="F50" s="47">
        <v>35.0</v>
      </c>
      <c r="G50" s="52" t="s">
        <v>240</v>
      </c>
      <c r="H50" s="54"/>
      <c r="I50" s="54"/>
      <c r="J50" s="48"/>
      <c r="K50" s="49"/>
      <c r="L50" s="50" t="str">
        <f>IFERROR(IF(OR(F50="",K50=""),"",((F50-K50)/K50)*100),"")</f>
        <v>#ERROR!</v>
      </c>
    </row>
    <row r="51" ht="15.0" customHeight="1">
      <c r="A51" s="42" t="s">
        <v>342</v>
      </c>
      <c r="B51" s="43" t="s">
        <v>343</v>
      </c>
      <c r="C51" s="44" t="s">
        <v>335</v>
      </c>
      <c r="D51" s="45" t="s">
        <v>239</v>
      </c>
      <c r="E51" s="46"/>
      <c r="F51" s="47">
        <v>18.0</v>
      </c>
      <c r="G51" s="44" t="s">
        <v>240</v>
      </c>
      <c r="H51" s="46"/>
      <c r="I51" s="46"/>
      <c r="J51" s="48"/>
      <c r="K51" s="49"/>
      <c r="L51" s="50" t="str">
        <f>IFERROR(IF(OR(F51="",K51=""),"",((F51-K51)/K51)*100),"")</f>
        <v>#ERROR!</v>
      </c>
    </row>
    <row r="52" ht="15.0" customHeight="1">
      <c r="A52" s="42" t="s">
        <v>344</v>
      </c>
      <c r="B52" s="51" t="s">
        <v>345</v>
      </c>
      <c r="C52" s="52" t="s">
        <v>335</v>
      </c>
      <c r="D52" s="53" t="s">
        <v>239</v>
      </c>
      <c r="E52" s="54"/>
      <c r="F52" s="47">
        <v>14.0</v>
      </c>
      <c r="G52" s="52" t="s">
        <v>240</v>
      </c>
      <c r="H52" s="54"/>
      <c r="I52" s="54"/>
      <c r="J52" s="48"/>
      <c r="K52" s="49"/>
      <c r="L52" s="50" t="str">
        <f>IFERROR(IF(OR(F52="",K52=""),"",((F52-K52)/K52)*100),"")</f>
        <v>#ERROR!</v>
      </c>
    </row>
    <row r="53" ht="15.0" customHeight="1">
      <c r="A53" s="42" t="s">
        <v>346</v>
      </c>
      <c r="B53" s="43" t="s">
        <v>347</v>
      </c>
      <c r="C53" s="44" t="s">
        <v>335</v>
      </c>
      <c r="D53" s="45" t="s">
        <v>239</v>
      </c>
      <c r="E53" s="46"/>
      <c r="F53" s="47">
        <v>12.0</v>
      </c>
      <c r="G53" s="44" t="s">
        <v>240</v>
      </c>
      <c r="H53" s="46"/>
      <c r="I53" s="46"/>
      <c r="J53" s="48"/>
      <c r="K53" s="49"/>
      <c r="L53" s="50" t="str">
        <f>IFERROR(IF(OR(F53="",K53=""),"",((F53-K53)/K53)*100),"")</f>
        <v>#ERROR!</v>
      </c>
    </row>
    <row r="54" ht="15.0" customHeight="1">
      <c r="A54" s="42" t="s">
        <v>348</v>
      </c>
      <c r="B54" s="51" t="s">
        <v>349</v>
      </c>
      <c r="C54" s="52" t="s">
        <v>335</v>
      </c>
      <c r="D54" s="53" t="s">
        <v>239</v>
      </c>
      <c r="E54" s="54"/>
      <c r="F54" s="47">
        <v>13.0</v>
      </c>
      <c r="G54" s="52" t="s">
        <v>240</v>
      </c>
      <c r="H54" s="54"/>
      <c r="I54" s="54"/>
      <c r="J54" s="48"/>
      <c r="K54" s="49"/>
      <c r="L54" s="50" t="str">
        <f>IFERROR(IF(OR(F54="",K54=""),"",((F54-K54)/K54)*100),"")</f>
        <v>#ERROR!</v>
      </c>
    </row>
    <row r="55" ht="15.0" customHeight="1">
      <c r="A55" s="42" t="s">
        <v>350</v>
      </c>
      <c r="B55" s="43" t="s">
        <v>351</v>
      </c>
      <c r="C55" s="44" t="s">
        <v>335</v>
      </c>
      <c r="D55" s="45" t="s">
        <v>239</v>
      </c>
      <c r="E55" s="46"/>
      <c r="F55" s="47">
        <v>0.9</v>
      </c>
      <c r="G55" s="44" t="s">
        <v>240</v>
      </c>
      <c r="H55" s="46"/>
      <c r="I55" s="46"/>
      <c r="J55" s="48"/>
      <c r="K55" s="49"/>
      <c r="L55" s="50" t="str">
        <f>IFERROR(IF(OR(F55="",K55=""),"",((F55-K55)/K55)*100),"")</f>
        <v>#ERROR!</v>
      </c>
    </row>
    <row r="56" ht="15.0" customHeight="1">
      <c r="A56" s="42" t="s">
        <v>352</v>
      </c>
      <c r="B56" s="51" t="s">
        <v>353</v>
      </c>
      <c r="C56" s="52" t="s">
        <v>335</v>
      </c>
      <c r="D56" s="53" t="s">
        <v>239</v>
      </c>
      <c r="E56" s="54"/>
      <c r="F56" s="47">
        <v>1.1</v>
      </c>
      <c r="G56" s="52" t="s">
        <v>240</v>
      </c>
      <c r="H56" s="54"/>
      <c r="I56" s="54"/>
      <c r="J56" s="48"/>
      <c r="K56" s="49"/>
      <c r="L56" s="50" t="str">
        <f>IFERROR(IF(OR(F56="",K56=""),"",((F56-K56)/K56)*100),"")</f>
        <v>#ERROR!</v>
      </c>
    </row>
    <row r="57" ht="15.0" customHeight="1">
      <c r="A57" s="42" t="s">
        <v>354</v>
      </c>
      <c r="B57" s="43" t="s">
        <v>355</v>
      </c>
      <c r="C57" s="44" t="s">
        <v>335</v>
      </c>
      <c r="D57" s="45" t="s">
        <v>239</v>
      </c>
      <c r="E57" s="46"/>
      <c r="F57" s="47">
        <v>1.7</v>
      </c>
      <c r="G57" s="44" t="s">
        <v>240</v>
      </c>
      <c r="H57" s="46"/>
      <c r="I57" s="46"/>
      <c r="J57" s="48"/>
      <c r="K57" s="49"/>
      <c r="L57" s="50" t="str">
        <f>IFERROR(IF(OR(F57="",K57=""),"",((F57-K57)/K57)*100),"")</f>
        <v>#ERROR!</v>
      </c>
    </row>
    <row r="58" ht="15.0" customHeight="1">
      <c r="A58" s="42" t="s">
        <v>356</v>
      </c>
      <c r="B58" s="51" t="s">
        <v>357</v>
      </c>
      <c r="C58" s="52" t="s">
        <v>358</v>
      </c>
      <c r="D58" s="53" t="s">
        <v>239</v>
      </c>
      <c r="E58" s="54"/>
      <c r="F58" s="47">
        <v>7.0</v>
      </c>
      <c r="G58" s="52" t="s">
        <v>240</v>
      </c>
      <c r="H58" s="54"/>
      <c r="I58" s="54"/>
      <c r="J58" s="48"/>
      <c r="K58" s="49"/>
      <c r="L58" s="50" t="str">
        <f>IFERROR(IF(OR(F58="",K58=""),"",((F58-K58)/K58)*100),"")</f>
        <v>#ERROR!</v>
      </c>
    </row>
    <row r="59" ht="15.0" customHeight="1">
      <c r="A59" s="42" t="s">
        <v>359</v>
      </c>
      <c r="B59" s="43" t="s">
        <v>360</v>
      </c>
      <c r="C59" s="44" t="s">
        <v>361</v>
      </c>
      <c r="D59" s="45" t="s">
        <v>239</v>
      </c>
      <c r="E59" s="46"/>
      <c r="F59" s="47">
        <v>16.0</v>
      </c>
      <c r="G59" s="44" t="s">
        <v>240</v>
      </c>
      <c r="H59" s="46"/>
      <c r="I59" s="46"/>
      <c r="J59" s="48"/>
      <c r="K59" s="49"/>
      <c r="L59" s="50" t="str">
        <f>IFERROR(IF(OR(F59="",K59=""),"",((F59-K59)/K59)*100),"")</f>
        <v>#ERROR!</v>
      </c>
    </row>
    <row r="60" ht="15.0" customHeight="1">
      <c r="A60" s="42" t="s">
        <v>362</v>
      </c>
      <c r="B60" s="51" t="s">
        <v>363</v>
      </c>
      <c r="C60" s="52" t="s">
        <v>361</v>
      </c>
      <c r="D60" s="53" t="s">
        <v>239</v>
      </c>
      <c r="E60" s="54"/>
      <c r="F60" s="47">
        <v>95.0</v>
      </c>
      <c r="G60" s="52" t="s">
        <v>240</v>
      </c>
      <c r="H60" s="54"/>
      <c r="I60" s="54"/>
      <c r="J60" s="48"/>
      <c r="K60" s="49"/>
      <c r="L60" s="50" t="str">
        <f>IFERROR(IF(OR(F60="",K60=""),"",((F60-K60)/K60)*100),"")</f>
        <v>#ERROR!</v>
      </c>
    </row>
    <row r="61" ht="15.0" customHeight="1">
      <c r="A61" s="42" t="s">
        <v>364</v>
      </c>
      <c r="B61" s="43" t="s">
        <v>365</v>
      </c>
      <c r="C61" s="44" t="s">
        <v>361</v>
      </c>
      <c r="D61" s="45" t="s">
        <v>239</v>
      </c>
      <c r="E61" s="46"/>
      <c r="F61" s="47">
        <v>120.0</v>
      </c>
      <c r="G61" s="44" t="s">
        <v>240</v>
      </c>
      <c r="H61" s="46"/>
      <c r="I61" s="46"/>
      <c r="J61" s="48"/>
      <c r="K61" s="49"/>
      <c r="L61" s="50" t="str">
        <f>IFERROR(IF(OR(F61="",K61=""),"",((F61-K61)/K61)*100),"")</f>
        <v>#ERROR!</v>
      </c>
    </row>
    <row r="62" ht="15.0" customHeight="1">
      <c r="A62" s="42" t="s">
        <v>366</v>
      </c>
      <c r="B62" s="51" t="s">
        <v>367</v>
      </c>
      <c r="C62" s="52" t="s">
        <v>361</v>
      </c>
      <c r="D62" s="53" t="s">
        <v>239</v>
      </c>
      <c r="E62" s="54"/>
      <c r="F62" s="47">
        <v>280.0</v>
      </c>
      <c r="G62" s="52" t="s">
        <v>240</v>
      </c>
      <c r="H62" s="54"/>
      <c r="I62" s="54"/>
      <c r="J62" s="48"/>
      <c r="K62" s="49"/>
      <c r="L62" s="50" t="str">
        <f>IFERROR(IF(OR(F62="",K62=""),"",((F62-K62)/K62)*100),"")</f>
        <v>#ERROR!</v>
      </c>
    </row>
    <row r="63" ht="15.0" customHeight="1">
      <c r="A63" s="42" t="s">
        <v>368</v>
      </c>
      <c r="B63" s="43" t="s">
        <v>369</v>
      </c>
      <c r="C63" s="44" t="s">
        <v>370</v>
      </c>
      <c r="D63" s="45" t="s">
        <v>308</v>
      </c>
      <c r="E63" s="46"/>
      <c r="F63" s="47">
        <v>9.5</v>
      </c>
      <c r="G63" s="44" t="s">
        <v>240</v>
      </c>
      <c r="H63" s="46"/>
      <c r="I63" s="46"/>
      <c r="J63" s="48"/>
      <c r="K63" s="49"/>
      <c r="L63" s="50" t="str">
        <f>IFERROR(IF(OR(F63="",K63=""),"",((F63-K63)/K63)*100),"")</f>
        <v>#ERROR!</v>
      </c>
    </row>
    <row r="64" ht="15.0" customHeight="1">
      <c r="A64" s="42" t="s">
        <v>371</v>
      </c>
      <c r="B64" s="51" t="s">
        <v>372</v>
      </c>
      <c r="C64" s="52" t="s">
        <v>373</v>
      </c>
      <c r="D64" s="53" t="s">
        <v>308</v>
      </c>
      <c r="E64" s="54"/>
      <c r="F64" s="47">
        <v>28.0</v>
      </c>
      <c r="G64" s="52" t="s">
        <v>240</v>
      </c>
      <c r="H64" s="54"/>
      <c r="I64" s="54"/>
      <c r="J64" s="48"/>
      <c r="K64" s="49"/>
      <c r="L64" s="50" t="str">
        <f>IFERROR(IF(OR(F64="",K64=""),"",((F64-K64)/K64)*100),"")</f>
        <v>#ERROR!</v>
      </c>
    </row>
    <row r="65" ht="15.0" customHeight="1">
      <c r="A65" s="42" t="s">
        <v>374</v>
      </c>
      <c r="B65" s="43" t="s">
        <v>375</v>
      </c>
      <c r="C65" s="44" t="s">
        <v>373</v>
      </c>
      <c r="D65" s="45" t="s">
        <v>308</v>
      </c>
      <c r="E65" s="46"/>
      <c r="F65" s="47">
        <v>4.5</v>
      </c>
      <c r="G65" s="44" t="s">
        <v>240</v>
      </c>
      <c r="H65" s="46"/>
      <c r="I65" s="46"/>
      <c r="J65" s="48"/>
      <c r="K65" s="49"/>
      <c r="L65" s="50" t="str">
        <f>IFERROR(IF(OR(F65="",K65=""),"",((F65-K65)/K65)*100),"")</f>
        <v>#ERROR!</v>
      </c>
    </row>
    <row r="66" ht="15.0" customHeight="1">
      <c r="A66" s="42" t="s">
        <v>376</v>
      </c>
      <c r="B66" s="51" t="s">
        <v>377</v>
      </c>
      <c r="C66" s="52" t="s">
        <v>373</v>
      </c>
      <c r="D66" s="53" t="s">
        <v>308</v>
      </c>
      <c r="E66" s="54"/>
      <c r="F66" s="47">
        <v>12.0</v>
      </c>
      <c r="G66" s="52" t="s">
        <v>240</v>
      </c>
      <c r="H66" s="54"/>
      <c r="I66" s="54"/>
      <c r="J66" s="48"/>
      <c r="K66" s="49"/>
      <c r="L66" s="50" t="str">
        <f>IFERROR(IF(OR(F66="",K66=""),"",((F66-K66)/K66)*100),"")</f>
        <v>#ERROR!</v>
      </c>
    </row>
    <row r="67" ht="15.0" customHeight="1">
      <c r="A67" s="42" t="s">
        <v>378</v>
      </c>
      <c r="B67" s="43" t="s">
        <v>379</v>
      </c>
      <c r="C67" s="44" t="s">
        <v>380</v>
      </c>
      <c r="D67" s="45" t="s">
        <v>308</v>
      </c>
      <c r="E67" s="46"/>
      <c r="F67" s="47">
        <v>0.8</v>
      </c>
      <c r="G67" s="44" t="s">
        <v>240</v>
      </c>
      <c r="H67" s="46"/>
      <c r="I67" s="46"/>
      <c r="J67" s="48"/>
      <c r="K67" s="49"/>
      <c r="L67" s="50" t="str">
        <f>IFERROR(IF(OR(F67="",K67=""),"",((F67-K67)/K67)*100),"")</f>
        <v>#ERROR!</v>
      </c>
    </row>
    <row r="68" ht="15.0" customHeight="1">
      <c r="A68" s="42" t="s">
        <v>381</v>
      </c>
      <c r="B68" s="51" t="s">
        <v>382</v>
      </c>
      <c r="C68" s="52" t="s">
        <v>380</v>
      </c>
      <c r="D68" s="53" t="s">
        <v>308</v>
      </c>
      <c r="E68" s="54"/>
      <c r="F68" s="47">
        <v>0.6</v>
      </c>
      <c r="G68" s="52" t="s">
        <v>240</v>
      </c>
      <c r="H68" s="54"/>
      <c r="I68" s="54"/>
      <c r="J68" s="48"/>
      <c r="K68" s="49"/>
      <c r="L68" s="50" t="str">
        <f>IFERROR(IF(OR(F68="",K68=""),"",((F68-K68)/K68)*100),"")</f>
        <v>#ERROR!</v>
      </c>
    </row>
    <row r="69" ht="15.0" customHeight="1">
      <c r="A69" s="42" t="s">
        <v>383</v>
      </c>
      <c r="B69" s="43" t="s">
        <v>384</v>
      </c>
      <c r="C69" s="44" t="s">
        <v>385</v>
      </c>
      <c r="D69" s="45" t="s">
        <v>386</v>
      </c>
      <c r="E69" s="46"/>
      <c r="F69" s="47">
        <v>1.35</v>
      </c>
      <c r="G69" s="44" t="s">
        <v>240</v>
      </c>
      <c r="H69" s="46"/>
      <c r="I69" s="46"/>
      <c r="J69" s="48"/>
      <c r="K69" s="49"/>
      <c r="L69" s="50" t="str">
        <f>IFERROR(IF(OR(F69="",K69=""),"",((F69-K69)/K69)*100),"")</f>
        <v>#ERROR!</v>
      </c>
    </row>
    <row r="70" ht="15.0" customHeight="1">
      <c r="A70" s="42" t="s">
        <v>387</v>
      </c>
      <c r="B70" s="51" t="s">
        <v>388</v>
      </c>
      <c r="C70" s="52" t="s">
        <v>385</v>
      </c>
      <c r="D70" s="53" t="s">
        <v>386</v>
      </c>
      <c r="E70" s="54"/>
      <c r="F70" s="47">
        <v>1.45</v>
      </c>
      <c r="G70" s="52" t="s">
        <v>240</v>
      </c>
      <c r="H70" s="54"/>
      <c r="I70" s="54"/>
      <c r="J70" s="48"/>
      <c r="K70" s="49"/>
      <c r="L70" s="50" t="str">
        <f>IFERROR(IF(OR(F70="",K70=""),"",((F70-K70)/K70)*100),"")</f>
        <v>#ERROR!</v>
      </c>
    </row>
    <row r="71" ht="15.0" customHeight="1">
      <c r="A71" s="42" t="s">
        <v>389</v>
      </c>
      <c r="B71" s="43" t="s">
        <v>390</v>
      </c>
      <c r="C71" s="44" t="s">
        <v>385</v>
      </c>
      <c r="D71" s="45" t="s">
        <v>386</v>
      </c>
      <c r="E71" s="46"/>
      <c r="F71" s="47">
        <v>1.65</v>
      </c>
      <c r="G71" s="44" t="s">
        <v>240</v>
      </c>
      <c r="H71" s="46"/>
      <c r="I71" s="46"/>
      <c r="J71" s="48"/>
      <c r="K71" s="49"/>
      <c r="L71" s="50" t="str">
        <f>IFERROR(IF(OR(F71="",K71=""),"",((F71-K71)/K71)*100),"")</f>
        <v>#ERROR!</v>
      </c>
    </row>
    <row r="72" ht="15.0" customHeight="1">
      <c r="A72" s="42" t="s">
        <v>391</v>
      </c>
      <c r="B72" s="51" t="s">
        <v>392</v>
      </c>
      <c r="C72" s="52" t="s">
        <v>385</v>
      </c>
      <c r="D72" s="53" t="s">
        <v>386</v>
      </c>
      <c r="E72" s="54"/>
      <c r="F72" s="47">
        <v>1.85</v>
      </c>
      <c r="G72" s="52" t="s">
        <v>240</v>
      </c>
      <c r="H72" s="54"/>
      <c r="I72" s="54"/>
      <c r="J72" s="48"/>
      <c r="K72" s="49"/>
      <c r="L72" s="50" t="str">
        <f>IFERROR(IF(OR(F72="",K72=""),"",((F72-K72)/K72)*100),"")</f>
        <v>#ERROR!</v>
      </c>
    </row>
    <row r="73" ht="15.0" customHeight="1">
      <c r="A73" s="42" t="s">
        <v>393</v>
      </c>
      <c r="B73" s="43" t="s">
        <v>394</v>
      </c>
      <c r="C73" s="44" t="s">
        <v>385</v>
      </c>
      <c r="D73" s="45" t="s">
        <v>386</v>
      </c>
      <c r="E73" s="46"/>
      <c r="F73" s="47">
        <v>2.1</v>
      </c>
      <c r="G73" s="44" t="s">
        <v>240</v>
      </c>
      <c r="H73" s="46"/>
      <c r="I73" s="46"/>
      <c r="J73" s="48"/>
      <c r="K73" s="49"/>
      <c r="L73" s="50" t="str">
        <f>IFERROR(IF(OR(F73="",K73=""),"",((F73-K73)/K73)*100),"")</f>
        <v>#ERROR!</v>
      </c>
    </row>
    <row r="74" ht="15.0" customHeight="1">
      <c r="A74" s="42" t="s">
        <v>395</v>
      </c>
      <c r="B74" s="51" t="s">
        <v>396</v>
      </c>
      <c r="C74" s="52" t="s">
        <v>385</v>
      </c>
      <c r="D74" s="53" t="s">
        <v>386</v>
      </c>
      <c r="E74" s="54"/>
      <c r="F74" s="47">
        <v>2.4</v>
      </c>
      <c r="G74" s="52" t="s">
        <v>240</v>
      </c>
      <c r="H74" s="54"/>
      <c r="I74" s="54"/>
      <c r="J74" s="48"/>
      <c r="K74" s="49"/>
      <c r="L74" s="50" t="str">
        <f>IFERROR(IF(OR(F74="",K74=""),"",((F74-K74)/K74)*100),"")</f>
        <v>#ERROR!</v>
      </c>
    </row>
    <row r="75" ht="15.0" customHeight="1">
      <c r="A75" s="42" t="s">
        <v>397</v>
      </c>
      <c r="B75" s="43" t="s">
        <v>398</v>
      </c>
      <c r="C75" s="44" t="s">
        <v>385</v>
      </c>
      <c r="D75" s="45" t="s">
        <v>386</v>
      </c>
      <c r="E75" s="46"/>
      <c r="F75" s="47">
        <v>0.9</v>
      </c>
      <c r="G75" s="44" t="s">
        <v>240</v>
      </c>
      <c r="H75" s="46"/>
      <c r="I75" s="46"/>
      <c r="J75" s="48"/>
      <c r="K75" s="49"/>
      <c r="L75" s="50" t="str">
        <f>IFERROR(IF(OR(F75="",K75=""),"",((F75-K75)/K75)*100),"")</f>
        <v>#ERROR!</v>
      </c>
    </row>
    <row r="76" ht="15.0" customHeight="1">
      <c r="A76" s="42" t="s">
        <v>399</v>
      </c>
      <c r="B76" s="51" t="s">
        <v>400</v>
      </c>
      <c r="C76" s="52" t="s">
        <v>385</v>
      </c>
      <c r="D76" s="53" t="s">
        <v>386</v>
      </c>
      <c r="E76" s="54"/>
      <c r="F76" s="47">
        <v>0.95</v>
      </c>
      <c r="G76" s="52" t="s">
        <v>240</v>
      </c>
      <c r="H76" s="54"/>
      <c r="I76" s="54"/>
      <c r="J76" s="48"/>
      <c r="K76" s="49"/>
      <c r="L76" s="50" t="str">
        <f>IFERROR(IF(OR(F76="",K76=""),"",((F76-K76)/K76)*100),"")</f>
        <v>#ERROR!</v>
      </c>
    </row>
    <row r="77" ht="15.0" customHeight="1">
      <c r="A77" s="42" t="s">
        <v>401</v>
      </c>
      <c r="B77" s="43" t="s">
        <v>402</v>
      </c>
      <c r="C77" s="44" t="s">
        <v>385</v>
      </c>
      <c r="D77" s="45" t="s">
        <v>386</v>
      </c>
      <c r="E77" s="46"/>
      <c r="F77" s="47">
        <v>1.1</v>
      </c>
      <c r="G77" s="44" t="s">
        <v>240</v>
      </c>
      <c r="H77" s="46"/>
      <c r="I77" s="46"/>
      <c r="J77" s="48"/>
      <c r="K77" s="49"/>
      <c r="L77" s="50" t="str">
        <f>IFERROR(IF(OR(F77="",K77=""),"",((F77-K77)/K77)*100),"")</f>
        <v>#ERROR!</v>
      </c>
    </row>
    <row r="78">
      <c r="A78" s="27" t="s">
        <v>403</v>
      </c>
      <c r="B78" s="27" t="s">
        <v>404</v>
      </c>
      <c r="C78" s="27" t="s">
        <v>405</v>
      </c>
      <c r="D78" s="27" t="s">
        <v>406</v>
      </c>
      <c r="E78" s="27" t="s">
        <v>407</v>
      </c>
      <c r="F78" s="55">
        <v>2.0</v>
      </c>
      <c r="G78" s="27" t="s">
        <v>240</v>
      </c>
    </row>
    <row r="79" ht="18.0" customHeight="1">
      <c r="A79" s="56" t="s">
        <v>408</v>
      </c>
    </row>
    <row r="80" ht="15.0" customHeight="1">
      <c r="A80" s="57" t="s">
        <v>366</v>
      </c>
      <c r="B80" s="57" t="s">
        <v>409</v>
      </c>
      <c r="C80" s="57" t="s">
        <v>410</v>
      </c>
      <c r="D80" s="57" t="s">
        <v>239</v>
      </c>
      <c r="E80" s="57" t="s">
        <v>411</v>
      </c>
      <c r="F80" s="58">
        <v>15.45</v>
      </c>
      <c r="G80" s="57" t="s">
        <v>412</v>
      </c>
      <c r="H80" s="59"/>
      <c r="I80" s="59"/>
      <c r="J80" s="59"/>
      <c r="K80" s="59"/>
      <c r="L80" s="59"/>
    </row>
    <row r="81" ht="15.0" customHeight="1">
      <c r="A81" s="60" t="s">
        <v>413</v>
      </c>
      <c r="B81" s="60" t="s">
        <v>409</v>
      </c>
      <c r="C81" s="60" t="s">
        <v>410</v>
      </c>
      <c r="D81" s="60" t="s">
        <v>239</v>
      </c>
      <c r="E81" s="60" t="s">
        <v>411</v>
      </c>
      <c r="F81" s="61">
        <v>15.51</v>
      </c>
      <c r="G81" s="60" t="s">
        <v>412</v>
      </c>
      <c r="H81" s="62"/>
      <c r="I81" s="62"/>
      <c r="J81" s="62"/>
      <c r="K81" s="62"/>
      <c r="L81" s="62"/>
    </row>
    <row r="82" ht="15.0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ht="15.0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</row>
    <row r="84" ht="15.0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</row>
    <row r="85" ht="15.0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</row>
    <row r="86" ht="15.0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</row>
    <row r="87" ht="15.0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</row>
    <row r="88" ht="15.0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</row>
    <row r="89" ht="15.0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</row>
    <row r="90" ht="15.0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</row>
    <row r="91" ht="15.0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</row>
    <row r="92" ht="15.0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</row>
    <row r="93" ht="15.0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</row>
    <row r="94" ht="15.0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</row>
    <row r="95" ht="15.0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</row>
    <row r="96" ht="15.0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</row>
    <row r="97" ht="15.0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</row>
    <row r="98" ht="15.0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</row>
    <row r="99" ht="15.0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</row>
    <row r="100" ht="15.0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</row>
    <row r="101" ht="15.0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</row>
    <row r="102" ht="15.0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</row>
    <row r="103" ht="15.0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</row>
    <row r="104" ht="15.0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</row>
    <row r="105" ht="15.0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</row>
    <row r="106" ht="15.0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</row>
    <row r="107" ht="15.0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</row>
    <row r="108" ht="15.0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</row>
    <row r="109" ht="15.0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</row>
  </sheetData>
  <mergeCells count="4">
    <mergeCell ref="A1:J1"/>
    <mergeCell ref="A2:J2"/>
    <mergeCell ref="A3:J3"/>
    <mergeCell ref="A79:L79"/>
  </mergeCells>
  <conditionalFormatting sqref="L5:L77">
    <cfRule type="cellIs" dxfId="0" priority="1" stopIfTrue="1" operator="greaterThan">
      <formula>10</formula>
    </cfRule>
  </conditionalFormatting>
  <conditionalFormatting sqref="L5:L77">
    <cfRule type="cellIs" dxfId="1" priority="2" stopIfTrue="1" operator="lessThan">
      <formula>-5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392B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63"/>
    <col customWidth="1" min="2" max="2" width="27.63"/>
    <col customWidth="1" min="3" max="3" width="16.38"/>
    <col customWidth="1" min="4" max="4" width="15.13"/>
    <col customWidth="1" min="5" max="6" width="11.38"/>
    <col customWidth="1" min="7" max="8" width="10.13"/>
    <col customWidth="1" min="9" max="9" width="8.88"/>
    <col customWidth="1" min="10" max="10" width="13.88"/>
    <col customWidth="1" min="11" max="11" width="12.63"/>
    <col customWidth="1" min="12" max="16" width="8.88"/>
    <col customWidth="1" min="17" max="17" width="16.38"/>
    <col customWidth="1" min="18" max="23" width="10.13"/>
  </cols>
  <sheetData>
    <row r="1" ht="25.5" customHeight="1">
      <c r="A1" s="30" t="s">
        <v>414</v>
      </c>
    </row>
    <row r="2" ht="25.5" customHeight="1">
      <c r="A2" s="40" t="s">
        <v>415</v>
      </c>
    </row>
    <row r="3" ht="21.0" customHeight="1">
      <c r="A3" s="31" t="s">
        <v>416</v>
      </c>
      <c r="B3" s="31" t="s">
        <v>417</v>
      </c>
      <c r="C3" s="31" t="s">
        <v>77</v>
      </c>
      <c r="D3" s="31" t="s">
        <v>418</v>
      </c>
      <c r="E3" s="31" t="s">
        <v>419</v>
      </c>
      <c r="F3" s="31" t="s">
        <v>420</v>
      </c>
      <c r="G3" s="31" t="s">
        <v>421</v>
      </c>
      <c r="H3" s="31" t="s">
        <v>105</v>
      </c>
      <c r="I3" s="31" t="s">
        <v>422</v>
      </c>
      <c r="J3" s="31" t="s">
        <v>423</v>
      </c>
      <c r="K3" s="31" t="s">
        <v>424</v>
      </c>
      <c r="L3" s="31" t="s">
        <v>425</v>
      </c>
      <c r="M3" s="31" t="s">
        <v>426</v>
      </c>
      <c r="N3" s="31" t="s">
        <v>427</v>
      </c>
      <c r="O3" s="31" t="s">
        <v>428</v>
      </c>
      <c r="P3" s="31" t="s">
        <v>429</v>
      </c>
      <c r="Q3" s="31" t="s">
        <v>430</v>
      </c>
      <c r="R3" s="31" t="s">
        <v>431</v>
      </c>
      <c r="S3" s="31" t="s">
        <v>432</v>
      </c>
      <c r="T3" s="31" t="s">
        <v>433</v>
      </c>
      <c r="U3" s="31" t="s">
        <v>434</v>
      </c>
      <c r="V3" s="31" t="s">
        <v>435</v>
      </c>
      <c r="W3" s="31" t="s">
        <v>233</v>
      </c>
    </row>
    <row r="4" ht="16.5" customHeight="1">
      <c r="A4" s="42" t="s">
        <v>436</v>
      </c>
      <c r="B4" s="63" t="s">
        <v>437</v>
      </c>
      <c r="C4" s="64" t="s">
        <v>438</v>
      </c>
      <c r="D4" s="65" t="s">
        <v>439</v>
      </c>
      <c r="E4" s="66">
        <v>85.0</v>
      </c>
      <c r="F4" s="67">
        <v>5.0</v>
      </c>
      <c r="G4" s="67">
        <v>3.5</v>
      </c>
      <c r="H4" s="4" t="s">
        <v>440</v>
      </c>
      <c r="I4" s="68" t="str">
        <f>IFERROR(COUNTIF('Detail Recettes'!A:A,"RC"),"")</f>
        <v>#ERROR!</v>
      </c>
      <c r="J4" s="69" t="str">
        <f>IFERROR(SUMPRODUCT(('Detail Recettes'!A:A="RC")*'Detail Recettes'!D:D*IFERROR(INDEX('MP Referentiel'!F:F,MATCH('Detail Recettes'!B:B,'MP Referentiel'!A:A,0)),0))/5,"")</f>
        <v>#ERROR!</v>
      </c>
      <c r="K4" s="70" t="s">
        <v>240</v>
      </c>
      <c r="L4" s="71" t="s">
        <v>441</v>
      </c>
      <c r="M4" s="72"/>
      <c r="N4" s="72"/>
      <c r="O4" s="72"/>
      <c r="P4" s="72"/>
      <c r="Q4" s="72"/>
      <c r="R4" s="72"/>
      <c r="S4" s="73"/>
      <c r="T4" s="73"/>
      <c r="U4" s="73"/>
      <c r="V4" s="73"/>
      <c r="W4" s="73"/>
    </row>
    <row r="5" ht="16.5" customHeight="1">
      <c r="A5" s="42" t="s">
        <v>442</v>
      </c>
      <c r="B5" s="63" t="s">
        <v>443</v>
      </c>
      <c r="C5" s="64" t="s">
        <v>444</v>
      </c>
      <c r="D5" s="51" t="s">
        <v>439</v>
      </c>
      <c r="E5" s="74">
        <v>88.0</v>
      </c>
      <c r="F5" s="75">
        <v>5.0</v>
      </c>
      <c r="G5" s="75">
        <v>4.0</v>
      </c>
      <c r="H5" s="4" t="s">
        <v>440</v>
      </c>
      <c r="I5" s="76" t="str">
        <f>IFERROR(COUNTIF('Detail Recettes'!A:A,"PC"),"")</f>
        <v>#ERROR!</v>
      </c>
      <c r="J5" s="77" t="str">
        <f>IFERROR(SUMPRODUCT(('Detail Recettes'!A:A="PC")*'Detail Recettes'!D:D*IFERROR(INDEX('MP Referentiel'!F:F,MATCH('Detail Recettes'!B:B,'MP Referentiel'!A:A,0)),0))/5,"")</f>
        <v>#ERROR!</v>
      </c>
      <c r="K5" s="52" t="s">
        <v>240</v>
      </c>
      <c r="L5" s="71" t="s">
        <v>441</v>
      </c>
      <c r="M5" s="72"/>
      <c r="N5" s="72"/>
      <c r="O5" s="72"/>
      <c r="P5" s="72"/>
      <c r="Q5" s="72"/>
      <c r="R5" s="72"/>
      <c r="S5" s="73"/>
      <c r="T5" s="73"/>
      <c r="U5" s="73"/>
      <c r="V5" s="73"/>
      <c r="W5" s="73"/>
    </row>
    <row r="6" ht="16.5" customHeight="1">
      <c r="A6" s="42" t="s">
        <v>445</v>
      </c>
      <c r="B6" s="78" t="s">
        <v>446</v>
      </c>
      <c r="C6" s="79" t="s">
        <v>447</v>
      </c>
      <c r="D6" s="80" t="s">
        <v>448</v>
      </c>
      <c r="E6" s="81">
        <v>82.0</v>
      </c>
      <c r="F6" s="82">
        <v>4.0</v>
      </c>
      <c r="G6" s="82">
        <v>2.5</v>
      </c>
      <c r="H6" s="4" t="s">
        <v>440</v>
      </c>
      <c r="I6" s="83" t="str">
        <f>IFERROR(COUNTIF('Detail Recettes'!A:A,"MC"),"")</f>
        <v>#ERROR!</v>
      </c>
      <c r="J6" s="84" t="str">
        <f>IFERROR(SUMPRODUCT(('Detail Recettes'!A:A="MC")*'Detail Recettes'!D:D*IFERROR(INDEX('MP Referentiel'!F:F,MATCH('Detail Recettes'!B:B,'MP Referentiel'!A:A,0)),0))/4,"")</f>
        <v>#ERROR!</v>
      </c>
      <c r="K6" s="85" t="s">
        <v>240</v>
      </c>
      <c r="L6" s="71" t="s">
        <v>441</v>
      </c>
      <c r="M6" s="72"/>
      <c r="N6" s="72"/>
      <c r="O6" s="72"/>
      <c r="P6" s="72"/>
      <c r="Q6" s="72"/>
      <c r="R6" s="72"/>
      <c r="S6" s="73"/>
      <c r="T6" s="73"/>
      <c r="U6" s="73"/>
      <c r="V6" s="73"/>
      <c r="W6" s="73"/>
    </row>
    <row r="7" ht="16.5" customHeight="1">
      <c r="A7" s="42" t="s">
        <v>449</v>
      </c>
      <c r="B7" s="86" t="s">
        <v>450</v>
      </c>
      <c r="C7" s="87" t="s">
        <v>451</v>
      </c>
      <c r="D7" s="51" t="s">
        <v>452</v>
      </c>
      <c r="E7" s="74">
        <v>80.0</v>
      </c>
      <c r="F7" s="75">
        <v>6.0</v>
      </c>
      <c r="G7" s="75">
        <v>3.5</v>
      </c>
      <c r="H7" s="4" t="s">
        <v>440</v>
      </c>
      <c r="I7" s="76" t="str">
        <f>IFERROR(COUNTIF('Detail Recettes'!A:A,"TC"),"")</f>
        <v>#ERROR!</v>
      </c>
      <c r="J7" s="77" t="str">
        <f>IFERROR(SUMPRODUCT(('Detail Recettes'!A:A="TC")*'Detail Recettes'!D:D*IFERROR(INDEX('MP Referentiel'!F:F,MATCH('Detail Recettes'!B:B,'MP Referentiel'!A:A,0)),0))/6,"")</f>
        <v>#ERROR!</v>
      </c>
      <c r="K7" s="52" t="s">
        <v>240</v>
      </c>
      <c r="L7" s="71" t="s">
        <v>441</v>
      </c>
      <c r="M7" s="72"/>
      <c r="N7" s="72"/>
      <c r="O7" s="72"/>
      <c r="P7" s="72"/>
      <c r="Q7" s="72"/>
      <c r="R7" s="72"/>
      <c r="S7" s="73"/>
      <c r="T7" s="73"/>
      <c r="U7" s="73"/>
      <c r="V7" s="73"/>
      <c r="W7" s="73"/>
    </row>
    <row r="8" ht="16.5" customHeight="1">
      <c r="A8" s="42" t="s">
        <v>453</v>
      </c>
      <c r="B8" s="88" t="s">
        <v>454</v>
      </c>
      <c r="C8" s="89" t="s">
        <v>455</v>
      </c>
      <c r="D8" s="90" t="s">
        <v>456</v>
      </c>
      <c r="E8" s="91">
        <v>95.0</v>
      </c>
      <c r="F8" s="92">
        <v>4.0</v>
      </c>
      <c r="G8" s="92">
        <v>2.0</v>
      </c>
      <c r="H8" s="4" t="s">
        <v>440</v>
      </c>
      <c r="I8" s="93" t="str">
        <f>IFERROR(COUNTIF('Detail Recettes'!A:A,"DC"),"")</f>
        <v>#ERROR!</v>
      </c>
      <c r="J8" s="94" t="str">
        <f>IFERROR(SUMPRODUCT(('Detail Recettes'!A:A="DC")*'Detail Recettes'!D:D*IFERROR(INDEX('MP Referentiel'!F:F,MATCH('Detail Recettes'!B:B,'MP Referentiel'!A:A,0)),0))/4,"")</f>
        <v>#ERROR!</v>
      </c>
      <c r="K8" s="95" t="s">
        <v>240</v>
      </c>
      <c r="L8" s="71" t="s">
        <v>441</v>
      </c>
      <c r="M8" s="72"/>
      <c r="N8" s="72"/>
      <c r="O8" s="72"/>
      <c r="P8" s="72"/>
      <c r="Q8" s="72"/>
      <c r="R8" s="72"/>
      <c r="S8" s="73"/>
      <c r="T8" s="73"/>
      <c r="U8" s="73"/>
      <c r="V8" s="73"/>
      <c r="W8" s="73"/>
    </row>
    <row r="9" ht="16.5" customHeight="1">
      <c r="A9" s="42" t="s">
        <v>457</v>
      </c>
      <c r="B9" s="63" t="s">
        <v>458</v>
      </c>
      <c r="C9" s="64" t="s">
        <v>444</v>
      </c>
      <c r="D9" s="51" t="s">
        <v>439</v>
      </c>
      <c r="E9" s="74">
        <v>88.0</v>
      </c>
      <c r="F9" s="75">
        <v>5.0</v>
      </c>
      <c r="G9" s="75">
        <v>4.0</v>
      </c>
      <c r="H9" s="4" t="s">
        <v>440</v>
      </c>
      <c r="I9" s="76" t="str">
        <f>IFERROR(COUNTIF('Detail Recettes'!A:A,"P01"),"")</f>
        <v>#ERROR!</v>
      </c>
      <c r="J9" s="77" t="str">
        <f>IFERROR(SUMPRODUCT(('Detail Recettes'!A:A="P01")*'Detail Recettes'!D:D*IFERROR(INDEX('MP Referentiel'!F:F,MATCH('Detail Recettes'!B:B,'MP Referentiel'!A:A,0)),0))/5,"")</f>
        <v>#ERROR!</v>
      </c>
      <c r="K9" s="52" t="s">
        <v>240</v>
      </c>
      <c r="L9" s="71" t="s">
        <v>441</v>
      </c>
      <c r="M9" s="72"/>
      <c r="N9" s="72"/>
      <c r="O9" s="72"/>
      <c r="P9" s="72"/>
      <c r="Q9" s="72"/>
      <c r="R9" s="72"/>
      <c r="S9" s="73"/>
      <c r="T9" s="73"/>
      <c r="U9" s="73"/>
      <c r="V9" s="73"/>
      <c r="W9" s="73"/>
    </row>
    <row r="10" ht="16.5" customHeight="1">
      <c r="A10" s="42" t="s">
        <v>459</v>
      </c>
      <c r="B10" s="63" t="s">
        <v>460</v>
      </c>
      <c r="C10" s="64" t="s">
        <v>444</v>
      </c>
      <c r="D10" s="65" t="s">
        <v>439</v>
      </c>
      <c r="E10" s="66">
        <v>88.0</v>
      </c>
      <c r="F10" s="67">
        <v>5.0</v>
      </c>
      <c r="G10" s="67">
        <v>4.0</v>
      </c>
      <c r="H10" s="4" t="s">
        <v>440</v>
      </c>
      <c r="I10" s="68" t="str">
        <f>IFERROR(COUNTIF('Detail Recettes'!A:A,"P02"),"")</f>
        <v>#ERROR!</v>
      </c>
      <c r="J10" s="69" t="str">
        <f>IFERROR(SUMPRODUCT(('Detail Recettes'!A:A="P02")*'Detail Recettes'!D:D*IFERROR(INDEX('MP Referentiel'!F:F,MATCH('Detail Recettes'!B:B,'MP Referentiel'!A:A,0)),0))/5,"")</f>
        <v>#ERROR!</v>
      </c>
      <c r="K10" s="70" t="s">
        <v>240</v>
      </c>
      <c r="L10" s="71" t="s">
        <v>441</v>
      </c>
      <c r="M10" s="72"/>
      <c r="N10" s="72"/>
      <c r="O10" s="72"/>
      <c r="P10" s="72"/>
      <c r="Q10" s="72"/>
      <c r="R10" s="72"/>
      <c r="S10" s="73"/>
      <c r="T10" s="73"/>
      <c r="U10" s="73"/>
      <c r="V10" s="73"/>
      <c r="W10" s="73"/>
    </row>
    <row r="11" ht="16.5" customHeight="1">
      <c r="A11" s="42" t="s">
        <v>461</v>
      </c>
      <c r="B11" s="63" t="s">
        <v>462</v>
      </c>
      <c r="C11" s="64" t="s">
        <v>444</v>
      </c>
      <c r="D11" s="51" t="s">
        <v>439</v>
      </c>
      <c r="E11" s="74">
        <v>87.0</v>
      </c>
      <c r="F11" s="75">
        <v>5.0</v>
      </c>
      <c r="G11" s="75">
        <v>4.5</v>
      </c>
      <c r="H11" s="4" t="s">
        <v>440</v>
      </c>
      <c r="I11" s="76" t="str">
        <f>IFERROR(COUNTIF('Detail Recettes'!A:A,"P03"),"")</f>
        <v>#ERROR!</v>
      </c>
      <c r="J11" s="77" t="str">
        <f>IFERROR(SUMPRODUCT(('Detail Recettes'!A:A="P03")*'Detail Recettes'!D:D*IFERROR(INDEX('MP Referentiel'!F:F,MATCH('Detail Recettes'!B:B,'MP Referentiel'!A:A,0)),0))/5,"")</f>
        <v>#ERROR!</v>
      </c>
      <c r="K11" s="52" t="s">
        <v>240</v>
      </c>
      <c r="L11" s="71" t="s">
        <v>441</v>
      </c>
      <c r="M11" s="72"/>
      <c r="N11" s="72"/>
      <c r="O11" s="72"/>
      <c r="P11" s="72"/>
      <c r="Q11" s="72"/>
      <c r="R11" s="72"/>
      <c r="S11" s="73"/>
      <c r="T11" s="73"/>
      <c r="U11" s="73"/>
      <c r="V11" s="73"/>
      <c r="W11" s="73"/>
    </row>
    <row r="12" ht="16.5" customHeight="1">
      <c r="A12" s="42" t="s">
        <v>463</v>
      </c>
      <c r="B12" s="63" t="s">
        <v>464</v>
      </c>
      <c r="C12" s="64" t="s">
        <v>444</v>
      </c>
      <c r="D12" s="65" t="s">
        <v>439</v>
      </c>
      <c r="E12" s="66">
        <v>86.0</v>
      </c>
      <c r="F12" s="67">
        <v>5.0</v>
      </c>
      <c r="G12" s="67">
        <v>4.5</v>
      </c>
      <c r="H12" s="4" t="s">
        <v>440</v>
      </c>
      <c r="I12" s="68" t="str">
        <f>IFERROR(COUNTIF('Detail Recettes'!A:A,"P04"),"")</f>
        <v>#ERROR!</v>
      </c>
      <c r="J12" s="69" t="str">
        <f>IFERROR(SUMPRODUCT(('Detail Recettes'!A:A="P04")*'Detail Recettes'!D:D*IFERROR(INDEX('MP Referentiel'!F:F,MATCH('Detail Recettes'!B:B,'MP Referentiel'!A:A,0)),0))/5,"")</f>
        <v>#ERROR!</v>
      </c>
      <c r="K12" s="70" t="s">
        <v>240</v>
      </c>
      <c r="L12" s="71" t="s">
        <v>441</v>
      </c>
      <c r="M12" s="72"/>
      <c r="N12" s="72"/>
      <c r="O12" s="72"/>
      <c r="P12" s="72"/>
      <c r="Q12" s="72"/>
      <c r="R12" s="72"/>
      <c r="S12" s="73"/>
      <c r="T12" s="73"/>
      <c r="U12" s="73"/>
      <c r="V12" s="73"/>
      <c r="W12" s="73"/>
    </row>
    <row r="13" ht="16.5" customHeight="1">
      <c r="A13" s="42" t="s">
        <v>465</v>
      </c>
      <c r="B13" s="63" t="s">
        <v>466</v>
      </c>
      <c r="C13" s="64" t="s">
        <v>444</v>
      </c>
      <c r="D13" s="51" t="s">
        <v>439</v>
      </c>
      <c r="E13" s="74">
        <v>87.0</v>
      </c>
      <c r="F13" s="75">
        <v>5.0</v>
      </c>
      <c r="G13" s="75">
        <v>4.5</v>
      </c>
      <c r="H13" s="4" t="s">
        <v>440</v>
      </c>
      <c r="I13" s="76" t="str">
        <f>IFERROR(COUNTIF('Detail Recettes'!A:A,"P07"),"")</f>
        <v>#ERROR!</v>
      </c>
      <c r="J13" s="77" t="str">
        <f>IFERROR(SUMPRODUCT(('Detail Recettes'!A:A="P07")*'Detail Recettes'!D:D*IFERROR(INDEX('MP Referentiel'!F:F,MATCH('Detail Recettes'!B:B,'MP Referentiel'!A:A,0)),0))/5,"")</f>
        <v>#ERROR!</v>
      </c>
      <c r="K13" s="52" t="s">
        <v>240</v>
      </c>
      <c r="L13" s="71" t="s">
        <v>441</v>
      </c>
      <c r="M13" s="72"/>
      <c r="N13" s="72"/>
      <c r="O13" s="72"/>
      <c r="P13" s="72"/>
      <c r="Q13" s="72"/>
      <c r="R13" s="72"/>
      <c r="S13" s="73"/>
      <c r="T13" s="73"/>
      <c r="U13" s="73"/>
      <c r="V13" s="73"/>
      <c r="W13" s="73"/>
    </row>
    <row r="14" ht="16.5" customHeight="1">
      <c r="A14" s="42" t="s">
        <v>467</v>
      </c>
      <c r="B14" s="63" t="s">
        <v>468</v>
      </c>
      <c r="C14" s="64" t="s">
        <v>444</v>
      </c>
      <c r="D14" s="65" t="s">
        <v>439</v>
      </c>
      <c r="E14" s="66">
        <v>88.0</v>
      </c>
      <c r="F14" s="67">
        <v>5.0</v>
      </c>
      <c r="G14" s="67">
        <v>4.0</v>
      </c>
      <c r="H14" s="4" t="s">
        <v>440</v>
      </c>
      <c r="I14" s="68" t="str">
        <f>IFERROR(COUNTIF('Detail Recettes'!A:A,"P49"),"")</f>
        <v>#ERROR!</v>
      </c>
      <c r="J14" s="69" t="str">
        <f>IFERROR(SUMPRODUCT(('Detail Recettes'!A:A="P49")*'Detail Recettes'!D:D*IFERROR(INDEX('MP Referentiel'!F:F,MATCH('Detail Recettes'!B:B,'MP Referentiel'!A:A,0)),0))/5,"")</f>
        <v>#ERROR!</v>
      </c>
      <c r="K14" s="70" t="s">
        <v>240</v>
      </c>
      <c r="L14" s="71" t="s">
        <v>441</v>
      </c>
      <c r="M14" s="72"/>
      <c r="N14" s="72"/>
      <c r="O14" s="72"/>
      <c r="P14" s="72"/>
      <c r="Q14" s="72"/>
      <c r="R14" s="72"/>
      <c r="S14" s="73"/>
      <c r="T14" s="73"/>
      <c r="U14" s="73"/>
      <c r="V14" s="73"/>
      <c r="W14" s="73"/>
    </row>
    <row r="15" ht="16.5" customHeight="1">
      <c r="A15" s="42" t="s">
        <v>469</v>
      </c>
      <c r="B15" s="63" t="s">
        <v>470</v>
      </c>
      <c r="C15" s="64" t="s">
        <v>438</v>
      </c>
      <c r="D15" s="51" t="s">
        <v>439</v>
      </c>
      <c r="E15" s="74">
        <v>85.0</v>
      </c>
      <c r="F15" s="75">
        <v>5.0</v>
      </c>
      <c r="G15" s="75">
        <v>3.5</v>
      </c>
      <c r="H15" s="4" t="s">
        <v>440</v>
      </c>
      <c r="I15" s="76" t="str">
        <f>IFERROR(COUNTIF('Detail Recettes'!A:A,"R41"),"")</f>
        <v>#ERROR!</v>
      </c>
      <c r="J15" s="77" t="str">
        <f>IFERROR(SUMPRODUCT(('Detail Recettes'!A:A="R41")*'Detail Recettes'!D:D*IFERROR(INDEX('MP Referentiel'!F:F,MATCH('Detail Recettes'!B:B,'MP Referentiel'!A:A,0)),0))/5,"")</f>
        <v>#ERROR!</v>
      </c>
      <c r="K15" s="52" t="s">
        <v>240</v>
      </c>
      <c r="L15" s="71" t="s">
        <v>441</v>
      </c>
      <c r="M15" s="72"/>
      <c r="N15" s="72"/>
      <c r="O15" s="72"/>
      <c r="P15" s="72"/>
      <c r="Q15" s="72"/>
      <c r="R15" s="72"/>
      <c r="S15" s="73"/>
      <c r="T15" s="73"/>
      <c r="U15" s="73"/>
      <c r="V15" s="73"/>
      <c r="W15" s="73"/>
    </row>
    <row r="16" ht="16.5" customHeight="1">
      <c r="A16" s="42" t="s">
        <v>471</v>
      </c>
      <c r="B16" s="63" t="s">
        <v>472</v>
      </c>
      <c r="C16" s="64" t="s">
        <v>438</v>
      </c>
      <c r="D16" s="65" t="s">
        <v>439</v>
      </c>
      <c r="E16" s="66">
        <v>84.0</v>
      </c>
      <c r="F16" s="67">
        <v>5.0</v>
      </c>
      <c r="G16" s="67">
        <v>4.0</v>
      </c>
      <c r="H16" s="4" t="s">
        <v>440</v>
      </c>
      <c r="I16" s="68" t="str">
        <f>IFERROR(COUNTIF('Detail Recettes'!A:A,"R42"),"")</f>
        <v>#ERROR!</v>
      </c>
      <c r="J16" s="69" t="str">
        <f>IFERROR(SUMPRODUCT(('Detail Recettes'!A:A="R42")*'Detail Recettes'!D:D*IFERROR(INDEX('MP Referentiel'!F:F,MATCH('Detail Recettes'!B:B,'MP Referentiel'!A:A,0)),0))/5,"")</f>
        <v>#ERROR!</v>
      </c>
      <c r="K16" s="70" t="s">
        <v>240</v>
      </c>
      <c r="L16" s="71" t="s">
        <v>441</v>
      </c>
      <c r="M16" s="72"/>
      <c r="N16" s="72"/>
      <c r="O16" s="72"/>
      <c r="P16" s="72"/>
      <c r="Q16" s="72"/>
      <c r="R16" s="72"/>
      <c r="S16" s="73"/>
      <c r="T16" s="73"/>
      <c r="U16" s="73"/>
      <c r="V16" s="73"/>
      <c r="W16" s="73"/>
    </row>
    <row r="17" ht="16.5" customHeight="1">
      <c r="A17" s="42" t="s">
        <v>473</v>
      </c>
      <c r="B17" s="63" t="s">
        <v>474</v>
      </c>
      <c r="C17" s="64" t="s">
        <v>438</v>
      </c>
      <c r="D17" s="51" t="s">
        <v>448</v>
      </c>
      <c r="E17" s="74">
        <v>85.0</v>
      </c>
      <c r="F17" s="75">
        <v>5.0</v>
      </c>
      <c r="G17" s="75">
        <v>3.5</v>
      </c>
      <c r="H17" s="4" t="s">
        <v>440</v>
      </c>
      <c r="I17" s="76" t="str">
        <f>IFERROR(COUNTIF('Detail Recettes'!A:A,"R43"),"")</f>
        <v>#ERROR!</v>
      </c>
      <c r="J17" s="77" t="str">
        <f>IFERROR(SUMPRODUCT(('Detail Recettes'!A:A="R43")*'Detail Recettes'!D:D*IFERROR(INDEX('MP Referentiel'!F:F,MATCH('Detail Recettes'!B:B,'MP Referentiel'!A:A,0)),0))/5,"")</f>
        <v>#ERROR!</v>
      </c>
      <c r="K17" s="52" t="s">
        <v>240</v>
      </c>
      <c r="L17" s="71" t="s">
        <v>441</v>
      </c>
      <c r="M17" s="72"/>
      <c r="N17" s="72"/>
      <c r="O17" s="72"/>
      <c r="P17" s="72"/>
      <c r="Q17" s="72"/>
      <c r="R17" s="72"/>
      <c r="S17" s="73"/>
      <c r="T17" s="73"/>
      <c r="U17" s="73"/>
      <c r="V17" s="73"/>
      <c r="W17" s="73"/>
    </row>
    <row r="18" ht="16.5" customHeight="1">
      <c r="A18" s="42" t="s">
        <v>475</v>
      </c>
      <c r="B18" s="63" t="s">
        <v>476</v>
      </c>
      <c r="C18" s="64" t="s">
        <v>438</v>
      </c>
      <c r="D18" s="65" t="s">
        <v>448</v>
      </c>
      <c r="E18" s="66">
        <v>85.0</v>
      </c>
      <c r="F18" s="67">
        <v>5.0</v>
      </c>
      <c r="G18" s="67">
        <v>3.5</v>
      </c>
      <c r="H18" s="4" t="s">
        <v>440</v>
      </c>
      <c r="I18" s="68" t="str">
        <f>IFERROR(COUNTIF('Detail Recettes'!A:A,"R44"),"")</f>
        <v>#ERROR!</v>
      </c>
      <c r="J18" s="69" t="str">
        <f>IFERROR(SUMPRODUCT(('Detail Recettes'!A:A="R44")*'Detail Recettes'!D:D*IFERROR(INDEX('MP Referentiel'!F:F,MATCH('Detail Recettes'!B:B,'MP Referentiel'!A:A,0)),0))/5,"")</f>
        <v>#ERROR!</v>
      </c>
      <c r="K18" s="70" t="s">
        <v>240</v>
      </c>
      <c r="L18" s="71" t="s">
        <v>441</v>
      </c>
      <c r="M18" s="72"/>
      <c r="N18" s="72"/>
      <c r="O18" s="72"/>
      <c r="P18" s="72"/>
      <c r="Q18" s="72"/>
      <c r="R18" s="72"/>
      <c r="S18" s="73"/>
      <c r="T18" s="73"/>
      <c r="U18" s="73"/>
      <c r="V18" s="73"/>
      <c r="W18" s="73"/>
    </row>
    <row r="19" ht="16.5" customHeight="1">
      <c r="A19" s="42" t="s">
        <v>477</v>
      </c>
      <c r="B19" s="63" t="s">
        <v>478</v>
      </c>
      <c r="C19" s="64" t="s">
        <v>438</v>
      </c>
      <c r="D19" s="51" t="s">
        <v>448</v>
      </c>
      <c r="E19" s="74">
        <v>84.0</v>
      </c>
      <c r="F19" s="75">
        <v>5.0</v>
      </c>
      <c r="G19" s="75">
        <v>4.0</v>
      </c>
      <c r="H19" s="4" t="s">
        <v>440</v>
      </c>
      <c r="I19" s="76" t="str">
        <f>IFERROR(COUNTIF('Detail Recettes'!A:A,"R59"),"")</f>
        <v>#ERROR!</v>
      </c>
      <c r="J19" s="77" t="str">
        <f>IFERROR(SUMPRODUCT(('Detail Recettes'!A:A="R59")*'Detail Recettes'!D:D*IFERROR(INDEX('MP Referentiel'!F:F,MATCH('Detail Recettes'!B:B,'MP Referentiel'!A:A,0)),0))/5,"")</f>
        <v>#ERROR!</v>
      </c>
      <c r="K19" s="52" t="s">
        <v>240</v>
      </c>
      <c r="L19" s="71" t="s">
        <v>441</v>
      </c>
      <c r="M19" s="72"/>
      <c r="N19" s="72"/>
      <c r="O19" s="72"/>
      <c r="P19" s="72"/>
      <c r="Q19" s="72"/>
      <c r="R19" s="72"/>
      <c r="S19" s="73"/>
      <c r="T19" s="73"/>
      <c r="U19" s="73"/>
      <c r="V19" s="73"/>
      <c r="W19" s="73"/>
    </row>
    <row r="20" ht="16.5" customHeight="1">
      <c r="A20" s="42" t="s">
        <v>479</v>
      </c>
      <c r="B20" s="63" t="s">
        <v>480</v>
      </c>
      <c r="C20" s="64" t="s">
        <v>438</v>
      </c>
      <c r="D20" s="65" t="s">
        <v>448</v>
      </c>
      <c r="E20" s="66">
        <v>85.0</v>
      </c>
      <c r="F20" s="67">
        <v>5.0</v>
      </c>
      <c r="G20" s="67">
        <v>3.5</v>
      </c>
      <c r="H20" s="4" t="s">
        <v>440</v>
      </c>
      <c r="I20" s="68" t="str">
        <f>IFERROR(COUNTIF('Detail Recettes'!A:A,"R974"),"")</f>
        <v>#ERROR!</v>
      </c>
      <c r="J20" s="69" t="str">
        <f>IFERROR(SUMPRODUCT(('Detail Recettes'!A:A="R974")*'Detail Recettes'!D:D*IFERROR(INDEX('MP Referentiel'!F:F,MATCH('Detail Recettes'!B:B,'MP Referentiel'!A:A,0)),0))/5,"")</f>
        <v>#ERROR!</v>
      </c>
      <c r="K20" s="70" t="s">
        <v>240</v>
      </c>
      <c r="L20" s="71" t="s">
        <v>441</v>
      </c>
      <c r="M20" s="72"/>
      <c r="N20" s="72"/>
      <c r="O20" s="72"/>
      <c r="P20" s="72"/>
      <c r="Q20" s="72"/>
      <c r="R20" s="72"/>
      <c r="S20" s="73"/>
      <c r="T20" s="73"/>
      <c r="U20" s="73"/>
      <c r="V20" s="73"/>
      <c r="W20" s="73"/>
    </row>
    <row r="21" ht="16.5" customHeight="1">
      <c r="A21" s="42" t="s">
        <v>481</v>
      </c>
      <c r="B21" s="78" t="s">
        <v>482</v>
      </c>
      <c r="C21" s="79" t="s">
        <v>447</v>
      </c>
      <c r="D21" s="51" t="s">
        <v>448</v>
      </c>
      <c r="E21" s="74">
        <v>82.0</v>
      </c>
      <c r="F21" s="75">
        <v>4.0</v>
      </c>
      <c r="G21" s="75">
        <v>2.5</v>
      </c>
      <c r="H21" s="4" t="s">
        <v>440</v>
      </c>
      <c r="I21" s="76" t="str">
        <f>IFERROR(COUNTIF('Detail Recettes'!A:A,"M13"),"")</f>
        <v>#ERROR!</v>
      </c>
      <c r="J21" s="77" t="str">
        <f>IFERROR(SUMPRODUCT(('Detail Recettes'!A:A="M13")*'Detail Recettes'!D:D*IFERROR(INDEX('MP Referentiel'!F:F,MATCH('Detail Recettes'!B:B,'MP Referentiel'!A:A,0)),0))/4,"")</f>
        <v>#ERROR!</v>
      </c>
      <c r="K21" s="52" t="s">
        <v>240</v>
      </c>
      <c r="L21" s="71" t="s">
        <v>441</v>
      </c>
      <c r="M21" s="72"/>
      <c r="N21" s="72"/>
      <c r="O21" s="72"/>
      <c r="P21" s="72"/>
      <c r="Q21" s="72"/>
      <c r="R21" s="72"/>
      <c r="S21" s="73"/>
      <c r="T21" s="73"/>
      <c r="U21" s="73"/>
      <c r="V21" s="73"/>
      <c r="W21" s="73"/>
    </row>
    <row r="22" ht="16.5" customHeight="1">
      <c r="A22" s="42" t="s">
        <v>483</v>
      </c>
      <c r="B22" s="86" t="s">
        <v>484</v>
      </c>
      <c r="C22" s="87" t="s">
        <v>451</v>
      </c>
      <c r="D22" s="96" t="s">
        <v>452</v>
      </c>
      <c r="E22" s="97">
        <v>82.0</v>
      </c>
      <c r="F22" s="98">
        <v>6.0</v>
      </c>
      <c r="G22" s="98">
        <v>3.0</v>
      </c>
      <c r="H22" s="4" t="s">
        <v>440</v>
      </c>
      <c r="I22" s="99" t="str">
        <f>IFERROR(COUNTIF('Detail Recettes'!A:A,"PC01"),"")</f>
        <v>#ERROR!</v>
      </c>
      <c r="J22" s="100" t="str">
        <f>IFERROR(SUMPRODUCT(('Detail Recettes'!A:A="PC01")*'Detail Recettes'!D:D*IFERROR(INDEX('MP Referentiel'!F:F,MATCH('Detail Recettes'!B:B,'MP Referentiel'!A:A,0)),0))/6,"")</f>
        <v>#ERROR!</v>
      </c>
      <c r="K22" s="101" t="s">
        <v>240</v>
      </c>
      <c r="L22" s="71" t="s">
        <v>441</v>
      </c>
      <c r="M22" s="72"/>
      <c r="N22" s="72"/>
      <c r="O22" s="72"/>
      <c r="P22" s="72"/>
      <c r="Q22" s="72"/>
      <c r="R22" s="72"/>
      <c r="S22" s="73"/>
      <c r="T22" s="73"/>
      <c r="U22" s="73"/>
      <c r="V22" s="73"/>
      <c r="W22" s="73"/>
    </row>
    <row r="23" ht="16.5" customHeight="1">
      <c r="A23" s="42" t="s">
        <v>485</v>
      </c>
      <c r="B23" s="86" t="s">
        <v>486</v>
      </c>
      <c r="C23" s="87" t="s">
        <v>451</v>
      </c>
      <c r="D23" s="51" t="s">
        <v>452</v>
      </c>
      <c r="E23" s="74">
        <v>78.0</v>
      </c>
      <c r="F23" s="75">
        <v>6.0</v>
      </c>
      <c r="G23" s="75">
        <v>4.5</v>
      </c>
      <c r="H23" s="4" t="s">
        <v>440</v>
      </c>
      <c r="I23" s="76" t="str">
        <f>IFERROR(COUNTIF('Detail Recettes'!A:A,"PC02"),"")</f>
        <v>#ERROR!</v>
      </c>
      <c r="J23" s="77" t="str">
        <f>IFERROR(SUMPRODUCT(('Detail Recettes'!A:A="PC02")*'Detail Recettes'!D:D*IFERROR(INDEX('MP Referentiel'!F:F,MATCH('Detail Recettes'!B:B,'MP Referentiel'!A:A,0)),0))/6,"")</f>
        <v>#ERROR!</v>
      </c>
      <c r="K23" s="52" t="s">
        <v>240</v>
      </c>
      <c r="L23" s="71" t="s">
        <v>441</v>
      </c>
      <c r="M23" s="72"/>
      <c r="N23" s="72"/>
      <c r="O23" s="72"/>
      <c r="P23" s="72"/>
      <c r="Q23" s="72"/>
      <c r="R23" s="72"/>
      <c r="S23" s="73"/>
      <c r="T23" s="73"/>
      <c r="U23" s="73"/>
      <c r="V23" s="73"/>
      <c r="W23" s="73"/>
    </row>
    <row r="24" ht="16.5" customHeight="1">
      <c r="A24" s="42" t="s">
        <v>487</v>
      </c>
      <c r="B24" s="86" t="s">
        <v>488</v>
      </c>
      <c r="C24" s="87" t="s">
        <v>451</v>
      </c>
      <c r="D24" s="96" t="s">
        <v>489</v>
      </c>
      <c r="E24" s="97">
        <v>80.0</v>
      </c>
      <c r="F24" s="98">
        <v>6.0</v>
      </c>
      <c r="G24" s="98">
        <v>5.0</v>
      </c>
      <c r="H24" s="4" t="s">
        <v>440</v>
      </c>
      <c r="I24" s="99" t="str">
        <f>IFERROR(COUNTIF('Detail Recettes'!A:A,"PC03"),"")</f>
        <v>#ERROR!</v>
      </c>
      <c r="J24" s="100" t="str">
        <f>IFERROR(SUMPRODUCT(('Detail Recettes'!A:A="PC03")*'Detail Recettes'!D:D*IFERROR(INDEX('MP Referentiel'!F:F,MATCH('Detail Recettes'!B:B,'MP Referentiel'!A:A,0)),0))/6,"")</f>
        <v>#ERROR!</v>
      </c>
      <c r="K24" s="101" t="s">
        <v>240</v>
      </c>
      <c r="L24" s="71" t="s">
        <v>441</v>
      </c>
      <c r="M24" s="72"/>
      <c r="N24" s="72"/>
      <c r="O24" s="72"/>
      <c r="P24" s="72"/>
      <c r="Q24" s="72"/>
      <c r="R24" s="72"/>
      <c r="S24" s="73"/>
      <c r="T24" s="73"/>
      <c r="U24" s="73"/>
      <c r="V24" s="73"/>
      <c r="W24" s="73"/>
    </row>
    <row r="25" ht="16.5" customHeight="1">
      <c r="A25" s="42" t="s">
        <v>490</v>
      </c>
      <c r="B25" s="86" t="s">
        <v>491</v>
      </c>
      <c r="C25" s="87" t="s">
        <v>451</v>
      </c>
      <c r="D25" s="51" t="s">
        <v>452</v>
      </c>
      <c r="E25" s="74">
        <v>83.0</v>
      </c>
      <c r="F25" s="75">
        <v>6.0</v>
      </c>
      <c r="G25" s="75">
        <v>3.0</v>
      </c>
      <c r="H25" s="4" t="s">
        <v>440</v>
      </c>
      <c r="I25" s="76" t="str">
        <f>IFERROR(COUNTIF('Detail Recettes'!A:A,"PC04"),"")</f>
        <v>#ERROR!</v>
      </c>
      <c r="J25" s="77" t="str">
        <f>IFERROR(SUMPRODUCT(('Detail Recettes'!A:A="PC04")*'Detail Recettes'!D:D*IFERROR(INDEX('MP Referentiel'!F:F,MATCH('Detail Recettes'!B:B,'MP Referentiel'!A:A,0)),0))/6,"")</f>
        <v>#ERROR!</v>
      </c>
      <c r="K25" s="52" t="s">
        <v>240</v>
      </c>
      <c r="L25" s="71" t="s">
        <v>441</v>
      </c>
      <c r="M25" s="72"/>
      <c r="N25" s="72"/>
      <c r="O25" s="72"/>
      <c r="P25" s="72"/>
      <c r="Q25" s="72"/>
      <c r="R25" s="72"/>
      <c r="S25" s="73"/>
      <c r="T25" s="73"/>
      <c r="U25" s="73"/>
      <c r="V25" s="73"/>
      <c r="W25" s="73"/>
    </row>
    <row r="26" ht="16.5" customHeight="1">
      <c r="A26" s="42" t="s">
        <v>492</v>
      </c>
      <c r="B26" s="86" t="s">
        <v>493</v>
      </c>
      <c r="C26" s="87" t="s">
        <v>451</v>
      </c>
      <c r="D26" s="96" t="s">
        <v>452</v>
      </c>
      <c r="E26" s="97">
        <v>80.0</v>
      </c>
      <c r="F26" s="98">
        <v>6.0</v>
      </c>
      <c r="G26" s="98">
        <v>4.0</v>
      </c>
      <c r="H26" s="4" t="s">
        <v>440</v>
      </c>
      <c r="I26" s="99" t="str">
        <f>IFERROR(COUNTIF('Detail Recettes'!A:A,"T31"),"")</f>
        <v>#ERROR!</v>
      </c>
      <c r="J26" s="100" t="str">
        <f>IFERROR(SUMPRODUCT(('Detail Recettes'!A:A="T31")*'Detail Recettes'!D:D*IFERROR(INDEX('MP Referentiel'!F:F,MATCH('Detail Recettes'!B:B,'MP Referentiel'!A:A,0)),0))/6,"")</f>
        <v>#ERROR!</v>
      </c>
      <c r="K26" s="101" t="s">
        <v>240</v>
      </c>
      <c r="L26" s="71" t="s">
        <v>441</v>
      </c>
      <c r="M26" s="72"/>
      <c r="N26" s="72"/>
      <c r="O26" s="72"/>
      <c r="P26" s="72"/>
      <c r="Q26" s="72"/>
      <c r="R26" s="72"/>
      <c r="S26" s="73"/>
      <c r="T26" s="73"/>
      <c r="U26" s="73"/>
      <c r="V26" s="73"/>
      <c r="W26" s="73"/>
    </row>
    <row r="27" ht="16.5" customHeight="1">
      <c r="A27" s="42" t="s">
        <v>494</v>
      </c>
      <c r="B27" s="102" t="s">
        <v>495</v>
      </c>
      <c r="C27" s="103" t="s">
        <v>496</v>
      </c>
      <c r="D27" s="51" t="s">
        <v>452</v>
      </c>
      <c r="E27" s="74">
        <v>85.0</v>
      </c>
      <c r="F27" s="75">
        <v>5.0</v>
      </c>
      <c r="G27" s="75">
        <v>3.0</v>
      </c>
      <c r="H27" s="4" t="s">
        <v>440</v>
      </c>
      <c r="I27" s="76" t="str">
        <f>IFERROR(COUNTIF('Detail Recettes'!A:A,"S64"),"")</f>
        <v>#ERROR!</v>
      </c>
      <c r="J27" s="77" t="str">
        <f>IFERROR(SUMPRODUCT(('Detail Recettes'!A:A="S64")*'Detail Recettes'!D:D*IFERROR(INDEX('MP Referentiel'!F:F,MATCH('Detail Recettes'!B:B,'MP Referentiel'!A:A,0)),0))/5,"")</f>
        <v>#ERROR!</v>
      </c>
      <c r="K27" s="52" t="s">
        <v>240</v>
      </c>
      <c r="L27" s="71" t="s">
        <v>441</v>
      </c>
      <c r="M27" s="72"/>
      <c r="N27" s="72"/>
      <c r="O27" s="72"/>
      <c r="P27" s="72"/>
      <c r="Q27" s="72"/>
      <c r="R27" s="72"/>
      <c r="S27" s="73"/>
      <c r="T27" s="73"/>
      <c r="U27" s="73"/>
      <c r="V27" s="73"/>
      <c r="W27" s="73"/>
    </row>
    <row r="28" ht="16.5" customHeight="1">
      <c r="A28" s="42" t="s">
        <v>497</v>
      </c>
      <c r="B28" s="88" t="s">
        <v>498</v>
      </c>
      <c r="C28" s="89" t="s">
        <v>455</v>
      </c>
      <c r="D28" s="90" t="s">
        <v>456</v>
      </c>
      <c r="E28" s="91">
        <v>95.0</v>
      </c>
      <c r="F28" s="92">
        <v>4.0</v>
      </c>
      <c r="G28" s="92">
        <v>2.0</v>
      </c>
      <c r="H28" s="4" t="s">
        <v>440</v>
      </c>
      <c r="I28" s="93" t="str">
        <f>IFERROR(COUNTIF('Detail Recettes'!A:A,"D01"),"")</f>
        <v>#ERROR!</v>
      </c>
      <c r="J28" s="94" t="str">
        <f>IFERROR(SUMPRODUCT(('Detail Recettes'!A:A="D01")*'Detail Recettes'!D:D*IFERROR(INDEX('MP Referentiel'!F:F,MATCH('Detail Recettes'!B:B,'MP Referentiel'!A:A,0)),0))/4,"")</f>
        <v>#ERROR!</v>
      </c>
      <c r="K28" s="95" t="s">
        <v>240</v>
      </c>
      <c r="L28" s="71" t="s">
        <v>441</v>
      </c>
      <c r="M28" s="72"/>
      <c r="N28" s="72"/>
      <c r="O28" s="72"/>
      <c r="P28" s="72"/>
      <c r="Q28" s="72"/>
      <c r="R28" s="72"/>
      <c r="S28" s="73"/>
      <c r="T28" s="73"/>
      <c r="U28" s="73"/>
      <c r="V28" s="73"/>
      <c r="W28" s="73"/>
    </row>
    <row r="29" ht="16.5" customHeight="1">
      <c r="A29" s="42" t="s">
        <v>499</v>
      </c>
      <c r="B29" s="88" t="s">
        <v>500</v>
      </c>
      <c r="C29" s="89" t="s">
        <v>455</v>
      </c>
      <c r="D29" s="51" t="s">
        <v>456</v>
      </c>
      <c r="E29" s="74">
        <v>95.0</v>
      </c>
      <c r="F29" s="75">
        <v>4.0</v>
      </c>
      <c r="G29" s="75">
        <v>2.0</v>
      </c>
      <c r="H29" s="4" t="s">
        <v>440</v>
      </c>
      <c r="I29" s="76" t="str">
        <f>IFERROR(COUNTIF('Detail Recettes'!A:A,"D02"),"")</f>
        <v>#ERROR!</v>
      </c>
      <c r="J29" s="77" t="str">
        <f>IFERROR(SUMPRODUCT(('Detail Recettes'!A:A="D02")*'Detail Recettes'!D:D*IFERROR(INDEX('MP Referentiel'!F:F,MATCH('Detail Recettes'!B:B,'MP Referentiel'!A:A,0)),0))/4,"")</f>
        <v>#ERROR!</v>
      </c>
      <c r="K29" s="52" t="s">
        <v>240</v>
      </c>
      <c r="L29" s="71" t="s">
        <v>441</v>
      </c>
      <c r="M29" s="72"/>
      <c r="N29" s="72"/>
      <c r="O29" s="72"/>
      <c r="P29" s="72"/>
      <c r="Q29" s="72"/>
      <c r="R29" s="72"/>
      <c r="S29" s="73"/>
      <c r="T29" s="73"/>
      <c r="U29" s="73"/>
      <c r="V29" s="73"/>
      <c r="W29" s="73"/>
    </row>
    <row r="30" ht="16.5" customHeight="1">
      <c r="A30" s="42" t="s">
        <v>501</v>
      </c>
      <c r="B30" s="88" t="s">
        <v>502</v>
      </c>
      <c r="C30" s="89" t="s">
        <v>455</v>
      </c>
      <c r="D30" s="90" t="s">
        <v>456</v>
      </c>
      <c r="E30" s="91">
        <v>94.0</v>
      </c>
      <c r="F30" s="92">
        <v>4.0</v>
      </c>
      <c r="G30" s="92">
        <v>2.5</v>
      </c>
      <c r="H30" s="4" t="s">
        <v>440</v>
      </c>
      <c r="I30" s="93" t="str">
        <f>IFERROR(COUNTIF('Detail Recettes'!A:A,"D03"),"")</f>
        <v>#ERROR!</v>
      </c>
      <c r="J30" s="94" t="str">
        <f>IFERROR(SUMPRODUCT(('Detail Recettes'!A:A="D03")*'Detail Recettes'!D:D*IFERROR(INDEX('MP Referentiel'!F:F,MATCH('Detail Recettes'!B:B,'MP Referentiel'!A:A,0)),0))/4,"")</f>
        <v>#ERROR!</v>
      </c>
      <c r="K30" s="95" t="s">
        <v>240</v>
      </c>
      <c r="L30" s="71" t="s">
        <v>441</v>
      </c>
      <c r="M30" s="72"/>
      <c r="N30" s="72"/>
      <c r="O30" s="72"/>
      <c r="P30" s="72"/>
      <c r="Q30" s="72"/>
      <c r="R30" s="72"/>
      <c r="S30" s="73"/>
      <c r="T30" s="73"/>
      <c r="U30" s="73"/>
      <c r="V30" s="73"/>
      <c r="W30" s="73"/>
    </row>
    <row r="31" ht="16.5" customHeight="1">
      <c r="A31" s="42" t="s">
        <v>503</v>
      </c>
      <c r="B31" s="88" t="s">
        <v>504</v>
      </c>
      <c r="C31" s="89" t="s">
        <v>455</v>
      </c>
      <c r="D31" s="51" t="s">
        <v>448</v>
      </c>
      <c r="E31" s="74">
        <v>92.0</v>
      </c>
      <c r="F31" s="75">
        <v>4.0</v>
      </c>
      <c r="G31" s="75">
        <v>1.5</v>
      </c>
      <c r="H31" s="4" t="s">
        <v>440</v>
      </c>
      <c r="I31" s="76" t="str">
        <f>IFERROR(COUNTIF('Detail Recettes'!A:A,"D04"),"")</f>
        <v>#ERROR!</v>
      </c>
      <c r="J31" s="77" t="str">
        <f>IFERROR(SUMPRODUCT(('Detail Recettes'!A:A="D04")*'Detail Recettes'!D:D*IFERROR(INDEX('MP Referentiel'!F:F,MATCH('Detail Recettes'!B:B,'MP Referentiel'!A:A,0)),0))/4,"")</f>
        <v>#ERROR!</v>
      </c>
      <c r="K31" s="52" t="s">
        <v>240</v>
      </c>
      <c r="L31" s="71" t="s">
        <v>441</v>
      </c>
      <c r="M31" s="72"/>
      <c r="N31" s="72"/>
      <c r="O31" s="72"/>
      <c r="P31" s="72"/>
      <c r="Q31" s="72"/>
      <c r="R31" s="72"/>
      <c r="S31" s="73"/>
      <c r="T31" s="73"/>
      <c r="U31" s="73"/>
      <c r="V31" s="73"/>
      <c r="W31" s="73"/>
    </row>
    <row r="32" ht="16.5" customHeight="1">
      <c r="A32" s="42" t="s">
        <v>505</v>
      </c>
      <c r="B32" s="88" t="s">
        <v>506</v>
      </c>
      <c r="C32" s="89" t="s">
        <v>455</v>
      </c>
      <c r="D32" s="90" t="s">
        <v>448</v>
      </c>
      <c r="E32" s="91">
        <v>88.0</v>
      </c>
      <c r="F32" s="92">
        <v>4.0</v>
      </c>
      <c r="G32" s="92">
        <v>2.0</v>
      </c>
      <c r="H32" s="4" t="s">
        <v>440</v>
      </c>
      <c r="I32" s="93" t="str">
        <f>IFERROR(COUNTIF('Detail Recettes'!A:A,"D29"),"")</f>
        <v>#ERROR!</v>
      </c>
      <c r="J32" s="94" t="str">
        <f>IFERROR(SUMPRODUCT(('Detail Recettes'!A:A="D29")*'Detail Recettes'!D:D*IFERROR(INDEX('MP Referentiel'!F:F,MATCH('Detail Recettes'!B:B,'MP Referentiel'!A:A,0)),0))/4,"")</f>
        <v>#ERROR!</v>
      </c>
      <c r="K32" s="95" t="s">
        <v>240</v>
      </c>
      <c r="L32" s="71" t="s">
        <v>441</v>
      </c>
      <c r="M32" s="72"/>
      <c r="N32" s="72"/>
      <c r="O32" s="72"/>
      <c r="P32" s="72"/>
      <c r="Q32" s="72"/>
      <c r="R32" s="72"/>
      <c r="S32" s="73"/>
      <c r="T32" s="73"/>
      <c r="U32" s="73"/>
      <c r="V32" s="73"/>
      <c r="W32" s="73"/>
    </row>
    <row r="33">
      <c r="A33" s="27" t="s">
        <v>436</v>
      </c>
      <c r="B33" s="27" t="s">
        <v>437</v>
      </c>
      <c r="C33" s="27" t="s">
        <v>438</v>
      </c>
      <c r="D33" s="27" t="s">
        <v>507</v>
      </c>
      <c r="G33" s="55">
        <v>115.0</v>
      </c>
      <c r="H33" s="55">
        <v>24.0</v>
      </c>
      <c r="Q33" s="104">
        <v>46110.0</v>
      </c>
      <c r="R33" s="104">
        <v>46110.0</v>
      </c>
    </row>
    <row r="34" ht="18.0" customHeight="1">
      <c r="A34" s="56" t="s">
        <v>508</v>
      </c>
    </row>
    <row r="35" ht="15.0" customHeight="1">
      <c r="A35" s="57" t="s">
        <v>509</v>
      </c>
      <c r="B35" s="57" t="s">
        <v>510</v>
      </c>
      <c r="C35" s="57" t="s">
        <v>438</v>
      </c>
      <c r="D35" s="59"/>
      <c r="E35" s="58">
        <v>95.0</v>
      </c>
      <c r="F35" s="59"/>
      <c r="G35" s="59"/>
      <c r="H35" s="57" t="s">
        <v>440</v>
      </c>
      <c r="I35" s="59"/>
      <c r="J35" s="59"/>
      <c r="K35" s="105">
        <v>46113.0</v>
      </c>
      <c r="L35" s="59"/>
    </row>
    <row r="36" ht="15.0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</row>
    <row r="37" ht="15.0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</row>
    <row r="38" ht="15.0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</row>
    <row r="39" ht="15.0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</row>
    <row r="40" ht="15.0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ht="15.0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</row>
    <row r="42" ht="15.0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</row>
    <row r="43" ht="15.0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</row>
    <row r="44" ht="15.0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</row>
    <row r="45" ht="15.0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ht="15.0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</row>
    <row r="47" ht="15.0" customHeight="1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ht="15.0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</row>
    <row r="49" ht="15.0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0" ht="15.0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</row>
    <row r="51" ht="15.0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</row>
    <row r="52" ht="15.0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</row>
    <row r="53" ht="15.0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</row>
    <row r="54" ht="15.0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</row>
    <row r="55" ht="15.0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</row>
    <row r="56" ht="15.0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</row>
    <row r="57" ht="15.0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ht="15.0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</row>
    <row r="59" ht="15.0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</row>
    <row r="60" ht="15.0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</row>
    <row r="61" ht="15.0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</row>
    <row r="62" ht="15.0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</row>
    <row r="63" ht="15.0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</row>
    <row r="64" ht="15.0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</row>
  </sheetData>
  <mergeCells count="3">
    <mergeCell ref="A1:L1"/>
    <mergeCell ref="A2:L2"/>
    <mergeCell ref="A34:L34"/>
  </mergeCells>
  <conditionalFormatting sqref="H4:H32">
    <cfRule type="cellIs" dxfId="2" priority="1" stopIfTrue="1" operator="equal">
      <formula>"Rupture"</formula>
    </cfRule>
  </conditionalFormatting>
  <conditionalFormatting sqref="H4:H32">
    <cfRule type="cellIs" dxfId="2" priority="2" stopIfTrue="1" operator="equal">
      <formula>"NC"</formula>
    </cfRule>
  </conditionalFormatting>
  <conditionalFormatting sqref="H4:H32">
    <cfRule type="cellIs" dxfId="2" priority="3" stopIfTrue="1" operator="equal">
      <formula>"Expire"</formula>
    </cfRule>
  </conditionalFormatting>
  <conditionalFormatting sqref="H4:H32">
    <cfRule type="cellIs" dxfId="2" priority="4" stopIfTrue="1" operator="equal">
      <formula>"URGENT"</formula>
    </cfRule>
  </conditionalFormatting>
  <conditionalFormatting sqref="H4:H32">
    <cfRule type="cellIs" dxfId="2" priority="5" stopIfTrue="1" operator="equal">
      <formula>"Bloque"</formula>
    </cfRule>
  </conditionalFormatting>
  <conditionalFormatting sqref="H4:H32">
    <cfRule type="cellIs" dxfId="3" priority="6" stopIfTrue="1" operator="equal">
      <formula>"Proche"</formula>
    </cfRule>
  </conditionalFormatting>
  <conditionalFormatting sqref="H4:H32">
    <cfRule type="cellIs" dxfId="3" priority="7" stopIfTrue="1" operator="equal">
      <formula>"A PRODUIRE"</formula>
    </cfRule>
  </conditionalFormatting>
  <conditionalFormatting sqref="H4:H32">
    <cfRule type="cellIs" dxfId="3" priority="8" stopIfTrue="1" operator="equal">
      <formula>"Sous-temperature"</formula>
    </cfRule>
  </conditionalFormatting>
  <conditionalFormatting sqref="H4:H32">
    <cfRule type="cellIs" dxfId="4" priority="9" stopIfTrue="1" operator="equal">
      <formula>"OK"</formula>
    </cfRule>
  </conditionalFormatting>
  <conditionalFormatting sqref="H4:H32">
    <cfRule type="cellIs" dxfId="4" priority="10" stopIfTrue="1" operator="equal">
      <formula>"Valide"</formula>
    </cfRule>
  </conditionalFormatting>
  <conditionalFormatting sqref="H4:H32">
    <cfRule type="cellIs" dxfId="4" priority="11" stopIfTrue="1" operator="equal">
      <formula>"Termine"</formula>
    </cfRule>
  </conditionalFormatting>
  <conditionalFormatting sqref="H4:H32">
    <cfRule type="cellIs" dxfId="4" priority="12" stopIfTrue="1" operator="equal">
      <formula>"Actif"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392B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3.88"/>
    <col customWidth="1" min="2" max="2" width="11.38"/>
    <col customWidth="1" min="3" max="3" width="27.63"/>
    <col customWidth="1" min="4" max="4" width="13.88"/>
    <col customWidth="1" min="5" max="5" width="8.88"/>
    <col customWidth="1" min="6" max="6" width="13.88"/>
    <col customWidth="1" min="7" max="7" width="15.13"/>
    <col customWidth="1" min="8" max="8" width="13.88"/>
    <col customWidth="1" min="9" max="9" width="16.38"/>
    <col customWidth="1" min="10" max="10" width="11.38"/>
  </cols>
  <sheetData>
    <row r="1" ht="25.5" customHeight="1">
      <c r="A1" s="30" t="s">
        <v>511</v>
      </c>
    </row>
    <row r="2" ht="25.5" customHeight="1">
      <c r="A2" s="40" t="s">
        <v>512</v>
      </c>
    </row>
    <row r="3">
      <c r="A3" s="41" t="s">
        <v>513</v>
      </c>
    </row>
    <row r="4" ht="21.0" customHeight="1">
      <c r="A4" s="31" t="s">
        <v>514</v>
      </c>
      <c r="B4" s="31" t="s">
        <v>52</v>
      </c>
      <c r="C4" s="31" t="s">
        <v>515</v>
      </c>
      <c r="D4" s="31" t="s">
        <v>516</v>
      </c>
      <c r="E4" s="31" t="s">
        <v>55</v>
      </c>
      <c r="F4" s="31" t="s">
        <v>517</v>
      </c>
      <c r="G4" s="31" t="s">
        <v>518</v>
      </c>
      <c r="H4" s="31" t="s">
        <v>519</v>
      </c>
      <c r="I4" s="31" t="s">
        <v>520</v>
      </c>
      <c r="J4" s="31" t="s">
        <v>521</v>
      </c>
    </row>
    <row r="5" ht="15.0" customHeight="1">
      <c r="A5" s="106" t="s">
        <v>442</v>
      </c>
      <c r="B5" s="42" t="s">
        <v>236</v>
      </c>
      <c r="C5" s="51" t="s">
        <v>522</v>
      </c>
      <c r="D5" s="107">
        <v>0.54</v>
      </c>
      <c r="E5" s="53" t="s">
        <v>239</v>
      </c>
      <c r="F5" s="108" t="str">
        <f>IFERROR(INDEX('MP Referentiel'!F:F,MATCH(B14,'MP Referentiel'!A:A,0)),"")</f>
        <v>#ERROR!</v>
      </c>
      <c r="G5" s="109" t="str">
        <f>IFERROR(D14*F14,"")</f>
        <v>#ERROR!</v>
      </c>
      <c r="H5" s="110" t="str">
        <f>IFERROR(G14/SUMPRODUCT(('Detail Recettes'!A$5:A$183=A14)*'Detail Recettes'!G$5:G$183),"")</f>
        <v>#ERROR!</v>
      </c>
      <c r="I5" s="111" t="str">
        <f>IFERROR(INDEX(Recettes!C:C,MATCH(A14,Recettes!A:A,0)),"")</f>
        <v>#ERROR!</v>
      </c>
      <c r="J5" s="111" t="str">
        <f>IFERROR(INDEX(Recettes!F:F,MATCH(A14,Recettes!A:A,0)),"")</f>
        <v>#ERROR!</v>
      </c>
    </row>
    <row r="6" ht="15.0" customHeight="1">
      <c r="A6" s="106" t="s">
        <v>442</v>
      </c>
      <c r="B6" s="42" t="s">
        <v>241</v>
      </c>
      <c r="C6" s="43" t="s">
        <v>523</v>
      </c>
      <c r="D6" s="112">
        <v>0.16</v>
      </c>
      <c r="E6" s="45" t="s">
        <v>239</v>
      </c>
      <c r="F6" s="113" t="str">
        <f>IFERROR(INDEX('MP Referentiel'!F:F,MATCH(B15,'MP Referentiel'!A:A,0)),"")</f>
        <v>#ERROR!</v>
      </c>
      <c r="G6" s="114" t="str">
        <f>IFERROR(D15*F15,"")</f>
        <v>#ERROR!</v>
      </c>
      <c r="H6" s="115" t="str">
        <f>IFERROR(G15/SUMPRODUCT(('Detail Recettes'!A$5:A$183=A15)*'Detail Recettes'!G$5:G$183),"")</f>
        <v>#ERROR!</v>
      </c>
      <c r="I6" s="48" t="str">
        <f>IFERROR(INDEX(Recettes!C:C,MATCH(A15,Recettes!A:A,0)),"")</f>
        <v>#ERROR!</v>
      </c>
      <c r="J6" s="48" t="str">
        <f>IFERROR(INDEX(Recettes!F:F,MATCH(A15,Recettes!A:A,0)),"")</f>
        <v>#ERROR!</v>
      </c>
    </row>
    <row r="7" ht="15.0" customHeight="1">
      <c r="A7" s="106" t="s">
        <v>442</v>
      </c>
      <c r="B7" s="42" t="s">
        <v>243</v>
      </c>
      <c r="C7" s="51" t="s">
        <v>524</v>
      </c>
      <c r="D7" s="107">
        <v>0.08</v>
      </c>
      <c r="E7" s="53" t="s">
        <v>239</v>
      </c>
      <c r="F7" s="108" t="str">
        <f>IFERROR(INDEX('MP Referentiel'!F:F,MATCH(B16,'MP Referentiel'!A:A,0)),"")</f>
        <v>#ERROR!</v>
      </c>
      <c r="G7" s="109" t="str">
        <f>IFERROR(D16*F16,"")</f>
        <v>#ERROR!</v>
      </c>
      <c r="H7" s="110" t="str">
        <f>IFERROR(G16/SUMPRODUCT(('Detail Recettes'!A$5:A$183=A16)*'Detail Recettes'!G$5:G$183),"")</f>
        <v>#ERROR!</v>
      </c>
      <c r="I7" s="111" t="str">
        <f>IFERROR(INDEX(Recettes!C:C,MATCH(A16,Recettes!A:A,0)),"")</f>
        <v>#ERROR!</v>
      </c>
      <c r="J7" s="111" t="str">
        <f>IFERROR(INDEX(Recettes!F:F,MATCH(A16,Recettes!A:A,0)),"")</f>
        <v>#ERROR!</v>
      </c>
    </row>
    <row r="8" ht="15.0" customHeight="1">
      <c r="A8" s="106" t="s">
        <v>442</v>
      </c>
      <c r="B8" s="42" t="s">
        <v>313</v>
      </c>
      <c r="C8" s="43" t="s">
        <v>314</v>
      </c>
      <c r="D8" s="112">
        <v>0.06</v>
      </c>
      <c r="E8" s="45" t="s">
        <v>239</v>
      </c>
      <c r="F8" s="113" t="str">
        <f>IFERROR(INDEX('MP Referentiel'!F:F,MATCH(B17,'MP Referentiel'!A:A,0)),"")</f>
        <v>#ERROR!</v>
      </c>
      <c r="G8" s="114" t="str">
        <f>IFERROR(D17*F17,"")</f>
        <v>#ERROR!</v>
      </c>
      <c r="H8" s="115" t="str">
        <f>IFERROR(G17/SUMPRODUCT(('Detail Recettes'!A$5:A$183=A17)*'Detail Recettes'!G$5:G$183),"")</f>
        <v>#ERROR!</v>
      </c>
      <c r="I8" s="48" t="str">
        <f>IFERROR(INDEX(Recettes!C:C,MATCH(A17,Recettes!A:A,0)),"")</f>
        <v>#ERROR!</v>
      </c>
      <c r="J8" s="48" t="str">
        <f>IFERROR(INDEX(Recettes!F:F,MATCH(A17,Recettes!A:A,0)),"")</f>
        <v>#ERROR!</v>
      </c>
    </row>
    <row r="9" ht="15.0" customHeight="1">
      <c r="A9" s="106" t="s">
        <v>442</v>
      </c>
      <c r="B9" s="42" t="s">
        <v>272</v>
      </c>
      <c r="C9" s="51" t="s">
        <v>273</v>
      </c>
      <c r="D9" s="107">
        <v>0.04</v>
      </c>
      <c r="E9" s="53" t="s">
        <v>239</v>
      </c>
      <c r="F9" s="108" t="str">
        <f>IFERROR(INDEX('MP Referentiel'!F:F,MATCH(B18,'MP Referentiel'!A:A,0)),"")</f>
        <v>#ERROR!</v>
      </c>
      <c r="G9" s="109" t="str">
        <f>IFERROR(D18*F18,"")</f>
        <v>#ERROR!</v>
      </c>
      <c r="H9" s="110" t="str">
        <f>IFERROR(G18/SUMPRODUCT(('Detail Recettes'!A$5:A$183=A18)*'Detail Recettes'!G$5:G$183),"")</f>
        <v>#ERROR!</v>
      </c>
      <c r="I9" s="111" t="str">
        <f>IFERROR(INDEX(Recettes!C:C,MATCH(A18,Recettes!A:A,0)),"")</f>
        <v>#ERROR!</v>
      </c>
      <c r="J9" s="111" t="str">
        <f>IFERROR(INDEX(Recettes!F:F,MATCH(A18,Recettes!A:A,0)),"")</f>
        <v>#ERROR!</v>
      </c>
    </row>
    <row r="10" ht="15.0" customHeight="1">
      <c r="A10" s="106" t="s">
        <v>442</v>
      </c>
      <c r="B10" s="42" t="s">
        <v>371</v>
      </c>
      <c r="C10" s="43" t="s">
        <v>372</v>
      </c>
      <c r="D10" s="112">
        <v>0.02</v>
      </c>
      <c r="E10" s="45" t="s">
        <v>308</v>
      </c>
      <c r="F10" s="113" t="str">
        <f>IFERROR(INDEX('MP Referentiel'!F:F,MATCH(B19,'MP Referentiel'!A:A,0)),"")</f>
        <v>#ERROR!</v>
      </c>
      <c r="G10" s="114" t="str">
        <f>IFERROR(D19*F19,"")</f>
        <v>#ERROR!</v>
      </c>
      <c r="H10" s="115" t="str">
        <f>IFERROR(G19/SUMPRODUCT(('Detail Recettes'!A$5:A$183=A19)*'Detail Recettes'!G$5:G$183),"")</f>
        <v>#ERROR!</v>
      </c>
      <c r="I10" s="48" t="str">
        <f>IFERROR(INDEX(Recettes!C:C,MATCH(A19,Recettes!A:A,0)),"")</f>
        <v>#ERROR!</v>
      </c>
      <c r="J10" s="48" t="str">
        <f>IFERROR(INDEX(Recettes!F:F,MATCH(A19,Recettes!A:A,0)),"")</f>
        <v>#ERROR!</v>
      </c>
    </row>
    <row r="11" ht="15.0" customHeight="1">
      <c r="A11" s="106" t="s">
        <v>442</v>
      </c>
      <c r="B11" s="42" t="s">
        <v>350</v>
      </c>
      <c r="C11" s="51" t="s">
        <v>351</v>
      </c>
      <c r="D11" s="107">
        <v>0.015</v>
      </c>
      <c r="E11" s="53" t="s">
        <v>239</v>
      </c>
      <c r="F11" s="108" t="str">
        <f>IFERROR(INDEX('MP Referentiel'!F:F,MATCH(B20,'MP Referentiel'!A:A,0)),"")</f>
        <v>#ERROR!</v>
      </c>
      <c r="G11" s="109" t="str">
        <f>IFERROR(D20*F20,"")</f>
        <v>#ERROR!</v>
      </c>
      <c r="H11" s="110" t="str">
        <f>IFERROR(G20/SUMPRODUCT(('Detail Recettes'!A$5:A$183=A20)*'Detail Recettes'!G$5:G$183),"")</f>
        <v>#ERROR!</v>
      </c>
      <c r="I11" s="111" t="str">
        <f>IFERROR(INDEX(Recettes!C:C,MATCH(A20,Recettes!A:A,0)),"")</f>
        <v>#ERROR!</v>
      </c>
      <c r="J11" s="111" t="str">
        <f>IFERROR(INDEX(Recettes!F:F,MATCH(A20,Recettes!A:A,0)),"")</f>
        <v>#ERROR!</v>
      </c>
    </row>
    <row r="12" ht="15.0" customHeight="1">
      <c r="A12" s="106" t="s">
        <v>442</v>
      </c>
      <c r="B12" s="42" t="s">
        <v>348</v>
      </c>
      <c r="C12" s="43" t="s">
        <v>349</v>
      </c>
      <c r="D12" s="112">
        <v>0.003</v>
      </c>
      <c r="E12" s="45" t="s">
        <v>239</v>
      </c>
      <c r="F12" s="113" t="str">
        <f>IFERROR(INDEX('MP Referentiel'!F:F,MATCH(B21,'MP Referentiel'!A:A,0)),"")</f>
        <v>#ERROR!</v>
      </c>
      <c r="G12" s="114" t="str">
        <f>IFERROR(D21*F21,"")</f>
        <v>#ERROR!</v>
      </c>
      <c r="H12" s="115" t="str">
        <f>IFERROR(G21/SUMPRODUCT(('Detail Recettes'!A$5:A$183=A21)*'Detail Recettes'!G$5:G$183),"")</f>
        <v>#ERROR!</v>
      </c>
      <c r="I12" s="48" t="str">
        <f>IFERROR(INDEX(Recettes!C:C,MATCH(A21,Recettes!A:A,0)),"")</f>
        <v>#ERROR!</v>
      </c>
      <c r="J12" s="48" t="str">
        <f>IFERROR(INDEX(Recettes!F:F,MATCH(A21,Recettes!A:A,0)),"")</f>
        <v>#ERROR!</v>
      </c>
    </row>
    <row r="13" ht="15.0" customHeight="1">
      <c r="A13" s="106" t="s">
        <v>442</v>
      </c>
      <c r="B13" s="42" t="s">
        <v>291</v>
      </c>
      <c r="C13" s="51" t="s">
        <v>525</v>
      </c>
      <c r="D13" s="107">
        <v>0.001</v>
      </c>
      <c r="E13" s="53" t="s">
        <v>239</v>
      </c>
      <c r="F13" s="108" t="str">
        <f>IFERROR(INDEX('MP Referentiel'!F:F,MATCH(B22,'MP Referentiel'!A:A,0)),"")</f>
        <v>#ERROR!</v>
      </c>
      <c r="G13" s="109" t="str">
        <f>IFERROR(D22*F22,"")</f>
        <v>#ERROR!</v>
      </c>
      <c r="H13" s="110" t="str">
        <f>IFERROR(G22/SUMPRODUCT(('Detail Recettes'!A$5:A$183=A22)*'Detail Recettes'!G$5:G$183),"")</f>
        <v>#ERROR!</v>
      </c>
      <c r="I13" s="111" t="str">
        <f>IFERROR(INDEX(Recettes!C:C,MATCH(A22,Recettes!A:A,0)),"")</f>
        <v>#ERROR!</v>
      </c>
      <c r="J13" s="111" t="str">
        <f>IFERROR(INDEX(Recettes!F:F,MATCH(A22,Recettes!A:A,0)),"")</f>
        <v>#ERROR!</v>
      </c>
    </row>
    <row r="14" ht="15.0" customHeight="1">
      <c r="A14" s="106" t="s">
        <v>442</v>
      </c>
      <c r="B14" s="42" t="s">
        <v>331</v>
      </c>
      <c r="C14" s="43" t="s">
        <v>332</v>
      </c>
      <c r="D14" s="112">
        <v>0.003</v>
      </c>
      <c r="E14" s="45" t="s">
        <v>239</v>
      </c>
      <c r="F14" s="113" t="str">
        <f>IFERROR(INDEX('MP Referentiel'!F:F,MATCH(B23,'MP Referentiel'!A:A,0)),"")</f>
        <v>#ERROR!</v>
      </c>
      <c r="G14" s="114" t="str">
        <f>IFERROR(D23*F23,"")</f>
        <v>#ERROR!</v>
      </c>
      <c r="H14" s="115" t="str">
        <f>IFERROR(G23/SUMPRODUCT(('Detail Recettes'!A$5:A$183=A23)*'Detail Recettes'!G$5:G$183),"")</f>
        <v>#ERROR!</v>
      </c>
      <c r="I14" s="48" t="str">
        <f>IFERROR(INDEX(Recettes!C:C,MATCH(A23,Recettes!A:A,0)),"")</f>
        <v>#ERROR!</v>
      </c>
      <c r="J14" s="48" t="str">
        <f>IFERROR(INDEX(Recettes!F:F,MATCH(A23,Recettes!A:A,0)),"")</f>
        <v>#ERROR!</v>
      </c>
    </row>
    <row r="15" ht="15.0" customHeight="1">
      <c r="A15" s="106" t="s">
        <v>442</v>
      </c>
      <c r="B15" s="42" t="s">
        <v>325</v>
      </c>
      <c r="C15" s="51" t="s">
        <v>326</v>
      </c>
      <c r="D15" s="107">
        <v>0.002</v>
      </c>
      <c r="E15" s="53" t="s">
        <v>239</v>
      </c>
      <c r="F15" s="108" t="str">
        <f>IFERROR(INDEX('MP Referentiel'!F:F,MATCH(B24,'MP Referentiel'!A:A,0)),"")</f>
        <v>#ERROR!</v>
      </c>
      <c r="G15" s="109" t="str">
        <f>IFERROR(D24*F24,"")</f>
        <v>#ERROR!</v>
      </c>
      <c r="H15" s="110" t="str">
        <f>IFERROR(G24/SUMPRODUCT(('Detail Recettes'!A$5:A$183=A24)*'Detail Recettes'!G$5:G$183),"")</f>
        <v>#ERROR!</v>
      </c>
      <c r="I15" s="111" t="str">
        <f>IFERROR(INDEX(Recettes!C:C,MATCH(A24,Recettes!A:A,0)),"")</f>
        <v>#ERROR!</v>
      </c>
      <c r="J15" s="111" t="str">
        <f>IFERROR(INDEX(Recettes!F:F,MATCH(A24,Recettes!A:A,0)),"")</f>
        <v>#ERROR!</v>
      </c>
    </row>
    <row r="16" ht="15.0" customHeight="1">
      <c r="A16" s="116" t="s">
        <v>445</v>
      </c>
      <c r="B16" s="42" t="s">
        <v>243</v>
      </c>
      <c r="C16" s="43" t="s">
        <v>524</v>
      </c>
      <c r="D16" s="112">
        <v>0.52</v>
      </c>
      <c r="E16" s="45" t="s">
        <v>239</v>
      </c>
      <c r="F16" s="113" t="str">
        <f>IFERROR(INDEX('MP Referentiel'!F:F,MATCH(B25,'MP Referentiel'!A:A,0)),"")</f>
        <v>#ERROR!</v>
      </c>
      <c r="G16" s="114" t="str">
        <f>IFERROR(D25*F25,"")</f>
        <v>#ERROR!</v>
      </c>
      <c r="H16" s="115" t="str">
        <f>IFERROR(G25/SUMPRODUCT(('Detail Recettes'!A$5:A$183=A25)*'Detail Recettes'!G$5:G$183),"")</f>
        <v>#ERROR!</v>
      </c>
      <c r="I16" s="48" t="str">
        <f>IFERROR(INDEX(Recettes!C:C,MATCH(A25,Recettes!A:A,0)),"")</f>
        <v>#ERROR!</v>
      </c>
      <c r="J16" s="48" t="str">
        <f>IFERROR(INDEX(Recettes!F:F,MATCH(A25,Recettes!A:A,0)),"")</f>
        <v>#ERROR!</v>
      </c>
    </row>
    <row r="17" ht="15.0" customHeight="1">
      <c r="A17" s="116" t="s">
        <v>445</v>
      </c>
      <c r="B17" s="42" t="s">
        <v>236</v>
      </c>
      <c r="C17" s="51" t="s">
        <v>522</v>
      </c>
      <c r="D17" s="107">
        <v>0.2</v>
      </c>
      <c r="E17" s="53" t="s">
        <v>239</v>
      </c>
      <c r="F17" s="108" t="str">
        <f>IFERROR(INDEX('MP Referentiel'!F:F,MATCH(B26,'MP Referentiel'!A:A,0)),"")</f>
        <v>#ERROR!</v>
      </c>
      <c r="G17" s="109" t="str">
        <f>IFERROR(D26*F26,"")</f>
        <v>#ERROR!</v>
      </c>
      <c r="H17" s="110" t="str">
        <f>IFERROR(G26/SUMPRODUCT(('Detail Recettes'!A$5:A$183=A26)*'Detail Recettes'!G$5:G$183),"")</f>
        <v>#ERROR!</v>
      </c>
      <c r="I17" s="111" t="str">
        <f>IFERROR(INDEX(Recettes!C:C,MATCH(A26,Recettes!A:A,0)),"")</f>
        <v>#ERROR!</v>
      </c>
      <c r="J17" s="111" t="str">
        <f>IFERROR(INDEX(Recettes!F:F,MATCH(A26,Recettes!A:A,0)),"")</f>
        <v>#ERROR!</v>
      </c>
    </row>
    <row r="18" ht="15.0" customHeight="1">
      <c r="A18" s="116" t="s">
        <v>445</v>
      </c>
      <c r="B18" s="42" t="s">
        <v>304</v>
      </c>
      <c r="C18" s="43" t="s">
        <v>305</v>
      </c>
      <c r="D18" s="112">
        <v>0.15</v>
      </c>
      <c r="E18" s="45" t="s">
        <v>239</v>
      </c>
      <c r="F18" s="113" t="str">
        <f>IFERROR(INDEX('MP Referentiel'!F:F,MATCH(B27,'MP Referentiel'!A:A,0)),"")</f>
        <v>#ERROR!</v>
      </c>
      <c r="G18" s="114" t="str">
        <f>IFERROR(D27*F27,"")</f>
        <v>#ERROR!</v>
      </c>
      <c r="H18" s="115" t="str">
        <f>IFERROR(G27/SUMPRODUCT(('Detail Recettes'!A$5:A$183=A27)*'Detail Recettes'!G$5:G$183),"")</f>
        <v>#ERROR!</v>
      </c>
      <c r="I18" s="48" t="str">
        <f>IFERROR(INDEX(Recettes!C:C,MATCH(A27,Recettes!A:A,0)),"")</f>
        <v>#ERROR!</v>
      </c>
      <c r="J18" s="48" t="str">
        <f>IFERROR(INDEX(Recettes!F:F,MATCH(A27,Recettes!A:A,0)),"")</f>
        <v>#ERROR!</v>
      </c>
    </row>
    <row r="19" ht="15.0" customHeight="1">
      <c r="A19" s="116" t="s">
        <v>445</v>
      </c>
      <c r="B19" s="42" t="s">
        <v>299</v>
      </c>
      <c r="C19" s="51" t="s">
        <v>300</v>
      </c>
      <c r="D19" s="107">
        <v>0.06</v>
      </c>
      <c r="E19" s="53" t="s">
        <v>239</v>
      </c>
      <c r="F19" s="108" t="str">
        <f>IFERROR(INDEX('MP Referentiel'!F:F,MATCH(B28,'MP Referentiel'!A:A,0)),"")</f>
        <v>#ERROR!</v>
      </c>
      <c r="G19" s="109" t="str">
        <f>IFERROR(D28*F28,"")</f>
        <v>#ERROR!</v>
      </c>
      <c r="H19" s="110" t="str">
        <f>IFERROR(G28/SUMPRODUCT(('Detail Recettes'!A$5:A$183=A28)*'Detail Recettes'!G$5:G$183),"")</f>
        <v>#ERROR!</v>
      </c>
      <c r="I19" s="111" t="str">
        <f>IFERROR(INDEX(Recettes!C:C,MATCH(A28,Recettes!A:A,0)),"")</f>
        <v>#ERROR!</v>
      </c>
      <c r="J19" s="111" t="str">
        <f>IFERROR(INDEX(Recettes!F:F,MATCH(A28,Recettes!A:A,0)),"")</f>
        <v>#ERROR!</v>
      </c>
    </row>
    <row r="20" ht="15.0" customHeight="1">
      <c r="A20" s="116" t="s">
        <v>445</v>
      </c>
      <c r="B20" s="42" t="s">
        <v>313</v>
      </c>
      <c r="C20" s="43" t="s">
        <v>314</v>
      </c>
      <c r="D20" s="112">
        <v>0.08</v>
      </c>
      <c r="E20" s="45" t="s">
        <v>239</v>
      </c>
      <c r="F20" s="113" t="str">
        <f>IFERROR(INDEX('MP Referentiel'!F:F,MATCH(B29,'MP Referentiel'!A:A,0)),"")</f>
        <v>#ERROR!</v>
      </c>
      <c r="G20" s="114" t="str">
        <f>IFERROR(D29*F29,"")</f>
        <v>#ERROR!</v>
      </c>
      <c r="H20" s="115" t="str">
        <f>IFERROR(G29/SUMPRODUCT(('Detail Recettes'!A$5:A$183=A29)*'Detail Recettes'!G$5:G$183),"")</f>
        <v>#ERROR!</v>
      </c>
      <c r="I20" s="48" t="str">
        <f>IFERROR(INDEX(Recettes!C:C,MATCH(A29,Recettes!A:A,0)),"")</f>
        <v>#ERROR!</v>
      </c>
      <c r="J20" s="48" t="str">
        <f>IFERROR(INDEX(Recettes!F:F,MATCH(A29,Recettes!A:A,0)),"")</f>
        <v>#ERROR!</v>
      </c>
    </row>
    <row r="21" ht="15.0" customHeight="1">
      <c r="A21" s="116" t="s">
        <v>445</v>
      </c>
      <c r="B21" s="42" t="s">
        <v>350</v>
      </c>
      <c r="C21" s="51" t="s">
        <v>351</v>
      </c>
      <c r="D21" s="107">
        <v>0.01</v>
      </c>
      <c r="E21" s="53" t="s">
        <v>239</v>
      </c>
      <c r="F21" s="108" t="str">
        <f>IFERROR(INDEX('MP Referentiel'!F:F,MATCH(B30,'MP Referentiel'!A:A,0)),"")</f>
        <v>#ERROR!</v>
      </c>
      <c r="G21" s="109" t="str">
        <f>IFERROR(D30*F30,"")</f>
        <v>#ERROR!</v>
      </c>
      <c r="H21" s="110" t="str">
        <f>IFERROR(G30/SUMPRODUCT(('Detail Recettes'!A$5:A$183=A30)*'Detail Recettes'!G$5:G$183),"")</f>
        <v>#ERROR!</v>
      </c>
      <c r="I21" s="111" t="str">
        <f>IFERROR(INDEX(Recettes!C:C,MATCH(A30,Recettes!A:A,0)),"")</f>
        <v>#ERROR!</v>
      </c>
      <c r="J21" s="111" t="str">
        <f>IFERROR(INDEX(Recettes!F:F,MATCH(A30,Recettes!A:A,0)),"")</f>
        <v>#ERROR!</v>
      </c>
    </row>
    <row r="22" ht="15.0" customHeight="1">
      <c r="A22" s="116" t="s">
        <v>445</v>
      </c>
      <c r="B22" s="42" t="s">
        <v>348</v>
      </c>
      <c r="C22" s="43" t="s">
        <v>349</v>
      </c>
      <c r="D22" s="112">
        <v>0.002</v>
      </c>
      <c r="E22" s="45" t="s">
        <v>239</v>
      </c>
      <c r="F22" s="113" t="str">
        <f>IFERROR(INDEX('MP Referentiel'!F:F,MATCH(B31,'MP Referentiel'!A:A,0)),"")</f>
        <v>#ERROR!</v>
      </c>
      <c r="G22" s="114" t="str">
        <f>IFERROR(D31*F31,"")</f>
        <v>#ERROR!</v>
      </c>
      <c r="H22" s="115" t="str">
        <f>IFERROR(G31/SUMPRODUCT(('Detail Recettes'!A$5:A$183=A31)*'Detail Recettes'!G$5:G$183),"")</f>
        <v>#ERROR!</v>
      </c>
      <c r="I22" s="48" t="str">
        <f>IFERROR(INDEX(Recettes!C:C,MATCH(A31,Recettes!A:A,0)),"")</f>
        <v>#ERROR!</v>
      </c>
      <c r="J22" s="48" t="str">
        <f>IFERROR(INDEX(Recettes!F:F,MATCH(A31,Recettes!A:A,0)),"")</f>
        <v>#ERROR!</v>
      </c>
    </row>
    <row r="23" ht="15.0" customHeight="1">
      <c r="A23" s="117" t="s">
        <v>449</v>
      </c>
      <c r="B23" s="42" t="s">
        <v>249</v>
      </c>
      <c r="C23" s="51" t="s">
        <v>250</v>
      </c>
      <c r="D23" s="107">
        <v>1.5</v>
      </c>
      <c r="E23" s="53" t="s">
        <v>239</v>
      </c>
      <c r="F23" s="108" t="str">
        <f>IFERROR(INDEX('MP Referentiel'!F:F,MATCH(B32,'MP Referentiel'!A:A,0)),"")</f>
        <v>#ERROR!</v>
      </c>
      <c r="G23" s="109" t="str">
        <f>IFERROR(D32*F32,"")</f>
        <v>#ERROR!</v>
      </c>
      <c r="H23" s="110" t="str">
        <f>IFERROR(G32/SUMPRODUCT(('Detail Recettes'!A$5:A$183=A32)*'Detail Recettes'!G$5:G$183),"")</f>
        <v>#ERROR!</v>
      </c>
      <c r="I23" s="111" t="str">
        <f>IFERROR(INDEX(Recettes!C:C,MATCH(A32,Recettes!A:A,0)),"")</f>
        <v>#ERROR!</v>
      </c>
      <c r="J23" s="111" t="str">
        <f>IFERROR(INDEX(Recettes!F:F,MATCH(A32,Recettes!A:A,0)),"")</f>
        <v>#ERROR!</v>
      </c>
    </row>
    <row r="24" ht="15.0" customHeight="1">
      <c r="A24" s="117" t="s">
        <v>449</v>
      </c>
      <c r="B24" s="42" t="s">
        <v>291</v>
      </c>
      <c r="C24" s="43" t="s">
        <v>292</v>
      </c>
      <c r="D24" s="112">
        <v>2.0</v>
      </c>
      <c r="E24" s="45" t="s">
        <v>239</v>
      </c>
      <c r="F24" s="113" t="str">
        <f>IFERROR(INDEX('MP Referentiel'!F:F,MATCH(B33,'MP Referentiel'!A:A,0)),"")</f>
        <v>#ERROR!</v>
      </c>
      <c r="G24" s="114" t="str">
        <f>IFERROR(D33*F33,"")</f>
        <v>#ERROR!</v>
      </c>
      <c r="H24" s="115" t="str">
        <f>IFERROR(G33/SUMPRODUCT(('Detail Recettes'!A$5:A$183=A33)*'Detail Recettes'!G$5:G$183),"")</f>
        <v>#ERROR!</v>
      </c>
      <c r="I24" s="48" t="str">
        <f>IFERROR(INDEX(Recettes!C:C,MATCH(A33,Recettes!A:A,0)),"")</f>
        <v>#ERROR!</v>
      </c>
      <c r="J24" s="48" t="str">
        <f>IFERROR(INDEX(Recettes!F:F,MATCH(A33,Recettes!A:A,0)),"")</f>
        <v>#ERROR!</v>
      </c>
    </row>
    <row r="25" ht="15.0" customHeight="1">
      <c r="A25" s="117" t="s">
        <v>449</v>
      </c>
      <c r="B25" s="42" t="s">
        <v>272</v>
      </c>
      <c r="C25" s="51" t="s">
        <v>273</v>
      </c>
      <c r="D25" s="107">
        <v>0.3</v>
      </c>
      <c r="E25" s="53" t="s">
        <v>239</v>
      </c>
      <c r="F25" s="108" t="str">
        <f>IFERROR(INDEX('MP Referentiel'!F:F,MATCH(B34,'MP Referentiel'!A:A,0)),"")</f>
        <v>#ERROR!</v>
      </c>
      <c r="G25" s="109" t="str">
        <f>IFERROR(D34*F34,"")</f>
        <v>#ERROR!</v>
      </c>
      <c r="H25" s="110" t="str">
        <f>IFERROR(G34/SUMPRODUCT(('Detail Recettes'!A$5:A$183=A34)*'Detail Recettes'!G$5:G$183),"")</f>
        <v>#ERROR!</v>
      </c>
      <c r="I25" s="111" t="str">
        <f>IFERROR(INDEX(Recettes!C:C,MATCH(A34,Recettes!A:A,0)),"")</f>
        <v>#ERROR!</v>
      </c>
      <c r="J25" s="111" t="str">
        <f>IFERROR(INDEX(Recettes!F:F,MATCH(A34,Recettes!A:A,0)),"")</f>
        <v>#ERROR!</v>
      </c>
    </row>
    <row r="26" ht="15.0" customHeight="1">
      <c r="A26" s="117" t="s">
        <v>449</v>
      </c>
      <c r="B26" s="42" t="s">
        <v>260</v>
      </c>
      <c r="C26" s="43" t="s">
        <v>261</v>
      </c>
      <c r="D26" s="112">
        <v>0.3</v>
      </c>
      <c r="E26" s="45" t="s">
        <v>239</v>
      </c>
      <c r="F26" s="113" t="str">
        <f>IFERROR(INDEX('MP Referentiel'!F:F,MATCH(B35,'MP Referentiel'!A:A,0)),"")</f>
        <v>#ERROR!</v>
      </c>
      <c r="G26" s="114" t="str">
        <f>IFERROR(D35*F35,"")</f>
        <v>#ERROR!</v>
      </c>
      <c r="H26" s="115" t="str">
        <f>IFERROR(G35/SUMPRODUCT(('Detail Recettes'!A$5:A$183=A35)*'Detail Recettes'!G$5:G$183),"")</f>
        <v>#ERROR!</v>
      </c>
      <c r="I26" s="48" t="str">
        <f>IFERROR(INDEX(Recettes!C:C,MATCH(A35,Recettes!A:A,0)),"")</f>
        <v>#ERROR!</v>
      </c>
      <c r="J26" s="48" t="str">
        <f>IFERROR(INDEX(Recettes!F:F,MATCH(A35,Recettes!A:A,0)),"")</f>
        <v>#ERROR!</v>
      </c>
    </row>
    <row r="27" ht="15.0" customHeight="1">
      <c r="A27" s="117" t="s">
        <v>449</v>
      </c>
      <c r="B27" s="42" t="s">
        <v>257</v>
      </c>
      <c r="C27" s="51" t="s">
        <v>258</v>
      </c>
      <c r="D27" s="107">
        <v>0.03</v>
      </c>
      <c r="E27" s="53" t="s">
        <v>239</v>
      </c>
      <c r="F27" s="108" t="str">
        <f>IFERROR(INDEX('MP Referentiel'!F:F,MATCH(B36,'MP Referentiel'!A:A,0)),"")</f>
        <v>#ERROR!</v>
      </c>
      <c r="G27" s="109" t="str">
        <f>IFERROR(D36*F36,"")</f>
        <v>#ERROR!</v>
      </c>
      <c r="H27" s="110" t="str">
        <f>IFERROR(G36/SUMPRODUCT(('Detail Recettes'!A$5:A$183=A36)*'Detail Recettes'!G$5:G$183),"")</f>
        <v>#ERROR!</v>
      </c>
      <c r="I27" s="111" t="str">
        <f>IFERROR(INDEX(Recettes!C:C,MATCH(A36,Recettes!A:A,0)),"")</f>
        <v>#ERROR!</v>
      </c>
      <c r="J27" s="111" t="str">
        <f>IFERROR(INDEX(Recettes!F:F,MATCH(A36,Recettes!A:A,0)),"")</f>
        <v>#ERROR!</v>
      </c>
    </row>
    <row r="28" ht="15.0" customHeight="1">
      <c r="A28" s="117" t="s">
        <v>449</v>
      </c>
      <c r="B28" s="42" t="s">
        <v>381</v>
      </c>
      <c r="C28" s="43" t="s">
        <v>382</v>
      </c>
      <c r="D28" s="112">
        <v>0.5</v>
      </c>
      <c r="E28" s="45" t="s">
        <v>308</v>
      </c>
      <c r="F28" s="113" t="str">
        <f>IFERROR(INDEX('MP Referentiel'!F:F,MATCH(B37,'MP Referentiel'!A:A,0)),"")</f>
        <v>#ERROR!</v>
      </c>
      <c r="G28" s="114" t="str">
        <f>IFERROR(D37*F37,"")</f>
        <v>#ERROR!</v>
      </c>
      <c r="H28" s="115" t="str">
        <f>IFERROR(G37/SUMPRODUCT(('Detail Recettes'!A$5:A$183=A37)*'Detail Recettes'!G$5:G$183),"")</f>
        <v>#ERROR!</v>
      </c>
      <c r="I28" s="48" t="str">
        <f>IFERROR(INDEX(Recettes!C:C,MATCH(A37,Recettes!A:A,0)),"")</f>
        <v>#ERROR!</v>
      </c>
      <c r="J28" s="48" t="str">
        <f>IFERROR(INDEX(Recettes!F:F,MATCH(A37,Recettes!A:A,0)),"")</f>
        <v>#ERROR!</v>
      </c>
    </row>
    <row r="29" ht="15.0" customHeight="1">
      <c r="A29" s="117" t="s">
        <v>449</v>
      </c>
      <c r="B29" s="42" t="s">
        <v>350</v>
      </c>
      <c r="C29" s="51" t="s">
        <v>351</v>
      </c>
      <c r="D29" s="107">
        <v>0.05</v>
      </c>
      <c r="E29" s="53" t="s">
        <v>239</v>
      </c>
      <c r="F29" s="108" t="str">
        <f>IFERROR(INDEX('MP Referentiel'!F:F,MATCH(B38,'MP Referentiel'!A:A,0)),"")</f>
        <v>#ERROR!</v>
      </c>
      <c r="G29" s="109" t="str">
        <f>IFERROR(D38*F38,"")</f>
        <v>#ERROR!</v>
      </c>
      <c r="H29" s="110" t="str">
        <f>IFERROR(G38/SUMPRODUCT(('Detail Recettes'!A$5:A$183=A38)*'Detail Recettes'!G$5:G$183),"")</f>
        <v>#ERROR!</v>
      </c>
      <c r="I29" s="111" t="str">
        <f>IFERROR(INDEX(Recettes!C:C,MATCH(A38,Recettes!A:A,0)),"")</f>
        <v>#ERROR!</v>
      </c>
      <c r="J29" s="111" t="str">
        <f>IFERROR(INDEX(Recettes!F:F,MATCH(A38,Recettes!A:A,0)),"")</f>
        <v>#ERROR!</v>
      </c>
    </row>
    <row r="30" ht="15.0" customHeight="1">
      <c r="A30" s="118" t="s">
        <v>453</v>
      </c>
      <c r="B30" s="42" t="s">
        <v>311</v>
      </c>
      <c r="C30" s="43" t="s">
        <v>312</v>
      </c>
      <c r="D30" s="112">
        <v>1.5</v>
      </c>
      <c r="E30" s="45" t="s">
        <v>308</v>
      </c>
      <c r="F30" s="113" t="str">
        <f>IFERROR(INDEX('MP Referentiel'!F:F,MATCH(B39,'MP Referentiel'!A:A,0)),"")</f>
        <v>#ERROR!</v>
      </c>
      <c r="G30" s="114" t="str">
        <f>IFERROR(D39*F39,"")</f>
        <v>#ERROR!</v>
      </c>
      <c r="H30" s="115" t="str">
        <f>IFERROR(G39/SUMPRODUCT(('Detail Recettes'!A$5:A$183=A39)*'Detail Recettes'!G$5:G$183),"")</f>
        <v>#ERROR!</v>
      </c>
      <c r="I30" s="48" t="str">
        <f>IFERROR(INDEX(Recettes!C:C,MATCH(A39,Recettes!A:A,0)),"")</f>
        <v>#ERROR!</v>
      </c>
      <c r="J30" s="48" t="str">
        <f>IFERROR(INDEX(Recettes!F:F,MATCH(A39,Recettes!A:A,0)),"")</f>
        <v>#ERROR!</v>
      </c>
    </row>
    <row r="31" ht="15.0" customHeight="1">
      <c r="A31" s="118" t="s">
        <v>453</v>
      </c>
      <c r="B31" s="42" t="s">
        <v>306</v>
      </c>
      <c r="C31" s="51" t="s">
        <v>307</v>
      </c>
      <c r="D31" s="107">
        <v>0.5</v>
      </c>
      <c r="E31" s="53" t="s">
        <v>308</v>
      </c>
      <c r="F31" s="108" t="str">
        <f>IFERROR(INDEX('MP Referentiel'!F:F,MATCH(B40,'MP Referentiel'!A:A,0)),"")</f>
        <v>#ERROR!</v>
      </c>
      <c r="G31" s="109" t="str">
        <f>IFERROR(D40*F40,"")</f>
        <v>#ERROR!</v>
      </c>
      <c r="H31" s="110" t="str">
        <f>IFERROR(G40/SUMPRODUCT(('Detail Recettes'!A$5:A$183=A40)*'Detail Recettes'!G$5:G$183),"")</f>
        <v>#ERROR!</v>
      </c>
      <c r="I31" s="111" t="str">
        <f>IFERROR(INDEX(Recettes!C:C,MATCH(A40,Recettes!A:A,0)),"")</f>
        <v>#ERROR!</v>
      </c>
      <c r="J31" s="111" t="str">
        <f>IFERROR(INDEX(Recettes!F:F,MATCH(A40,Recettes!A:A,0)),"")</f>
        <v>#ERROR!</v>
      </c>
    </row>
    <row r="32" ht="15.0" customHeight="1">
      <c r="A32" s="118" t="s">
        <v>453</v>
      </c>
      <c r="B32" s="42" t="s">
        <v>313</v>
      </c>
      <c r="C32" s="43" t="s">
        <v>314</v>
      </c>
      <c r="D32" s="112">
        <v>0.6</v>
      </c>
      <c r="E32" s="45" t="s">
        <v>239</v>
      </c>
      <c r="F32" s="113" t="str">
        <f>IFERROR(INDEX('MP Referentiel'!F:F,MATCH(B41,'MP Referentiel'!A:A,0)),"")</f>
        <v>#ERROR!</v>
      </c>
      <c r="G32" s="114" t="str">
        <f>IFERROR(D41*F41,"")</f>
        <v>#ERROR!</v>
      </c>
      <c r="H32" s="115" t="str">
        <f>IFERROR(G41/SUMPRODUCT(('Detail Recettes'!A$5:A$183=A41)*'Detail Recettes'!G$5:G$183),"")</f>
        <v>#ERROR!</v>
      </c>
      <c r="I32" s="48" t="str">
        <f>IFERROR(INDEX(Recettes!C:C,MATCH(A41,Recettes!A:A,0)),"")</f>
        <v>#ERROR!</v>
      </c>
      <c r="J32" s="48" t="str">
        <f>IFERROR(INDEX(Recettes!F:F,MATCH(A41,Recettes!A:A,0)),"")</f>
        <v>#ERROR!</v>
      </c>
    </row>
    <row r="33" ht="15.0" customHeight="1">
      <c r="A33" s="118" t="s">
        <v>453</v>
      </c>
      <c r="B33" s="42" t="s">
        <v>309</v>
      </c>
      <c r="C33" s="51" t="s">
        <v>310</v>
      </c>
      <c r="D33" s="107">
        <v>0.1</v>
      </c>
      <c r="E33" s="53" t="s">
        <v>239</v>
      </c>
      <c r="F33" s="108" t="str">
        <f>IFERROR(INDEX('MP Referentiel'!F:F,MATCH(B42,'MP Referentiel'!A:A,0)),"")</f>
        <v>#ERROR!</v>
      </c>
      <c r="G33" s="109" t="str">
        <f>IFERROR(D42*F42,"")</f>
        <v>#ERROR!</v>
      </c>
      <c r="H33" s="110" t="str">
        <f>IFERROR(G42/SUMPRODUCT(('Detail Recettes'!A$5:A$183=A42)*'Detail Recettes'!G$5:G$183),"")</f>
        <v>#ERROR!</v>
      </c>
      <c r="I33" s="111" t="str">
        <f>IFERROR(INDEX(Recettes!C:C,MATCH(A42,Recettes!A:A,0)),"")</f>
        <v>#ERROR!</v>
      </c>
      <c r="J33" s="111" t="str">
        <f>IFERROR(INDEX(Recettes!F:F,MATCH(A42,Recettes!A:A,0)),"")</f>
        <v>#ERROR!</v>
      </c>
    </row>
    <row r="34" ht="15.0" customHeight="1">
      <c r="A34" s="118" t="s">
        <v>453</v>
      </c>
      <c r="B34" s="42" t="s">
        <v>352</v>
      </c>
      <c r="C34" s="43" t="s">
        <v>353</v>
      </c>
      <c r="D34" s="112">
        <v>0.4</v>
      </c>
      <c r="E34" s="45" t="s">
        <v>239</v>
      </c>
      <c r="F34" s="113" t="str">
        <f>IFERROR(INDEX('MP Referentiel'!F:F,MATCH(B43,'MP Referentiel'!A:A,0)),"")</f>
        <v>#ERROR!</v>
      </c>
      <c r="G34" s="114" t="str">
        <f>IFERROR(D43*F43,"")</f>
        <v>#ERROR!</v>
      </c>
      <c r="H34" s="115" t="str">
        <f>IFERROR(G43/SUMPRODUCT(('Detail Recettes'!A$5:A$183=A43)*'Detail Recettes'!G$5:G$183),"")</f>
        <v>#ERROR!</v>
      </c>
      <c r="I34" s="48" t="str">
        <f>IFERROR(INDEX(Recettes!C:C,MATCH(A43,Recettes!A:A,0)),"")</f>
        <v>#ERROR!</v>
      </c>
      <c r="J34" s="48" t="str">
        <f>IFERROR(INDEX(Recettes!F:F,MATCH(A43,Recettes!A:A,0)),"")</f>
        <v>#ERROR!</v>
      </c>
    </row>
    <row r="35" ht="15.0" customHeight="1">
      <c r="A35" s="118" t="s">
        <v>453</v>
      </c>
      <c r="B35" s="42" t="s">
        <v>366</v>
      </c>
      <c r="C35" s="51" t="s">
        <v>367</v>
      </c>
      <c r="D35" s="107">
        <v>0.008</v>
      </c>
      <c r="E35" s="53" t="s">
        <v>239</v>
      </c>
      <c r="F35" s="108" t="str">
        <f>IFERROR(INDEX('MP Referentiel'!F:F,MATCH(B44,'MP Referentiel'!A:A,0)),"")</f>
        <v>#ERROR!</v>
      </c>
      <c r="G35" s="109" t="str">
        <f>IFERROR(D44*F44,"")</f>
        <v>#ERROR!</v>
      </c>
      <c r="H35" s="110" t="str">
        <f>IFERROR(G44/SUMPRODUCT(('Detail Recettes'!A$5:A$183=A44)*'Detail Recettes'!G$5:G$183),"")</f>
        <v>#ERROR!</v>
      </c>
      <c r="I35" s="111" t="str">
        <f>IFERROR(INDEX(Recettes!C:C,MATCH(A44,Recettes!A:A,0)),"")</f>
        <v>#ERROR!</v>
      </c>
      <c r="J35" s="111" t="str">
        <f>IFERROR(INDEX(Recettes!F:F,MATCH(A44,Recettes!A:A,0)),"")</f>
        <v>#ERROR!</v>
      </c>
    </row>
    <row r="36" ht="15.0" customHeight="1">
      <c r="A36" s="106" t="s">
        <v>457</v>
      </c>
      <c r="B36" s="42" t="s">
        <v>236</v>
      </c>
      <c r="C36" s="43" t="s">
        <v>522</v>
      </c>
      <c r="D36" s="112">
        <v>3.0</v>
      </c>
      <c r="E36" s="45" t="s">
        <v>239</v>
      </c>
      <c r="F36" s="113" t="str">
        <f>IFERROR(INDEX('MP Referentiel'!F:F,MATCH(B45,'MP Referentiel'!A:A,0)),"")</f>
        <v>#ERROR!</v>
      </c>
      <c r="G36" s="114" t="str">
        <f>IFERROR(D45*F45,"")</f>
        <v>#ERROR!</v>
      </c>
      <c r="H36" s="115" t="str">
        <f>IFERROR(G45/SUMPRODUCT(('Detail Recettes'!A$5:A$183=A45)*'Detail Recettes'!G$5:G$183),"")</f>
        <v>#ERROR!</v>
      </c>
      <c r="I36" s="48" t="str">
        <f>IFERROR(INDEX(Recettes!C:C,MATCH(A45,Recettes!A:A,0)),"")</f>
        <v>#ERROR!</v>
      </c>
      <c r="J36" s="48" t="str">
        <f>IFERROR(INDEX(Recettes!F:F,MATCH(A45,Recettes!A:A,0)),"")</f>
        <v>#ERROR!</v>
      </c>
    </row>
    <row r="37" ht="15.0" customHeight="1">
      <c r="A37" s="106" t="s">
        <v>457</v>
      </c>
      <c r="B37" s="42" t="s">
        <v>241</v>
      </c>
      <c r="C37" s="51" t="s">
        <v>523</v>
      </c>
      <c r="D37" s="107">
        <v>1.0</v>
      </c>
      <c r="E37" s="53" t="s">
        <v>239</v>
      </c>
      <c r="F37" s="108" t="str">
        <f>IFERROR(INDEX('MP Referentiel'!F:F,MATCH(B46,'MP Referentiel'!A:A,0)),"")</f>
        <v>#ERROR!</v>
      </c>
      <c r="G37" s="109" t="str">
        <f>IFERROR(D46*F46,"")</f>
        <v>#ERROR!</v>
      </c>
      <c r="H37" s="110" t="str">
        <f>IFERROR(G46/SUMPRODUCT(('Detail Recettes'!A$5:A$183=A46)*'Detail Recettes'!G$5:G$183),"")</f>
        <v>#ERROR!</v>
      </c>
      <c r="I37" s="111" t="str">
        <f>IFERROR(INDEX(Recettes!C:C,MATCH(A46,Recettes!A:A,0)),"")</f>
        <v>#ERROR!</v>
      </c>
      <c r="J37" s="111" t="str">
        <f>IFERROR(INDEX(Recettes!F:F,MATCH(A46,Recettes!A:A,0)),"")</f>
        <v>#ERROR!</v>
      </c>
    </row>
    <row r="38" ht="15.0" customHeight="1">
      <c r="A38" s="106" t="s">
        <v>457</v>
      </c>
      <c r="B38" s="42" t="s">
        <v>243</v>
      </c>
      <c r="C38" s="43" t="s">
        <v>524</v>
      </c>
      <c r="D38" s="112">
        <v>0.5</v>
      </c>
      <c r="E38" s="45" t="s">
        <v>239</v>
      </c>
      <c r="F38" s="113" t="str">
        <f>IFERROR(INDEX('MP Referentiel'!F:F,MATCH(B47,'MP Referentiel'!A:A,0)),"")</f>
        <v>#ERROR!</v>
      </c>
      <c r="G38" s="114" t="str">
        <f>IFERROR(D47*F47,"")</f>
        <v>#ERROR!</v>
      </c>
      <c r="H38" s="115" t="str">
        <f>IFERROR(G47/SUMPRODUCT(('Detail Recettes'!A$5:A$183=A47)*'Detail Recettes'!G$5:G$183),"")</f>
        <v>#ERROR!</v>
      </c>
      <c r="I38" s="48" t="str">
        <f>IFERROR(INDEX(Recettes!C:C,MATCH(A47,Recettes!A:A,0)),"")</f>
        <v>#ERROR!</v>
      </c>
      <c r="J38" s="48" t="str">
        <f>IFERROR(INDEX(Recettes!F:F,MATCH(A47,Recettes!A:A,0)),"")</f>
        <v>#ERROR!</v>
      </c>
    </row>
    <row r="39" ht="15.0" customHeight="1">
      <c r="A39" s="106" t="s">
        <v>457</v>
      </c>
      <c r="B39" s="42" t="s">
        <v>272</v>
      </c>
      <c r="C39" s="51" t="s">
        <v>273</v>
      </c>
      <c r="D39" s="107">
        <v>0.2</v>
      </c>
      <c r="E39" s="53" t="s">
        <v>239</v>
      </c>
      <c r="F39" s="108" t="str">
        <f>IFERROR(INDEX('MP Referentiel'!F:F,MATCH(B48,'MP Referentiel'!A:A,0)),"")</f>
        <v>#ERROR!</v>
      </c>
      <c r="G39" s="109" t="str">
        <f>IFERROR(D48*F48,"")</f>
        <v>#ERROR!</v>
      </c>
      <c r="H39" s="110" t="str">
        <f>IFERROR(G48/SUMPRODUCT(('Detail Recettes'!A$5:A$183=A48)*'Detail Recettes'!G$5:G$183),"")</f>
        <v>#ERROR!</v>
      </c>
      <c r="I39" s="111" t="str">
        <f>IFERROR(INDEX(Recettes!C:C,MATCH(A48,Recettes!A:A,0)),"")</f>
        <v>#ERROR!</v>
      </c>
      <c r="J39" s="111" t="str">
        <f>IFERROR(INDEX(Recettes!F:F,MATCH(A48,Recettes!A:A,0)),"")</f>
        <v>#ERROR!</v>
      </c>
    </row>
    <row r="40" ht="15.0" customHeight="1">
      <c r="A40" s="106" t="s">
        <v>457</v>
      </c>
      <c r="B40" s="42" t="s">
        <v>257</v>
      </c>
      <c r="C40" s="43" t="s">
        <v>258</v>
      </c>
      <c r="D40" s="112">
        <v>0.03</v>
      </c>
      <c r="E40" s="45" t="s">
        <v>239</v>
      </c>
      <c r="F40" s="113" t="str">
        <f>IFERROR(INDEX('MP Referentiel'!F:F,MATCH(B49,'MP Referentiel'!A:A,0)),"")</f>
        <v>#ERROR!</v>
      </c>
      <c r="G40" s="114" t="str">
        <f>IFERROR(D49*F49,"")</f>
        <v>#ERROR!</v>
      </c>
      <c r="H40" s="115" t="str">
        <f>IFERROR(G49/SUMPRODUCT(('Detail Recettes'!A$5:A$183=A49)*'Detail Recettes'!G$5:G$183),"")</f>
        <v>#ERROR!</v>
      </c>
      <c r="I40" s="48" t="str">
        <f>IFERROR(INDEX(Recettes!C:C,MATCH(A49,Recettes!A:A,0)),"")</f>
        <v>#ERROR!</v>
      </c>
      <c r="J40" s="48" t="str">
        <f>IFERROR(INDEX(Recettes!F:F,MATCH(A49,Recettes!A:A,0)),"")</f>
        <v>#ERROR!</v>
      </c>
    </row>
    <row r="41" ht="15.0" customHeight="1">
      <c r="A41" s="106" t="s">
        <v>457</v>
      </c>
      <c r="B41" s="42" t="s">
        <v>371</v>
      </c>
      <c r="C41" s="51" t="s">
        <v>372</v>
      </c>
      <c r="D41" s="107">
        <v>0.04</v>
      </c>
      <c r="E41" s="53" t="s">
        <v>308</v>
      </c>
      <c r="F41" s="108" t="str">
        <f>IFERROR(INDEX('MP Referentiel'!F:F,MATCH(B50,'MP Referentiel'!A:A,0)),"")</f>
        <v>#ERROR!</v>
      </c>
      <c r="G41" s="109" t="str">
        <f>IFERROR(D50*F50,"")</f>
        <v>#ERROR!</v>
      </c>
      <c r="H41" s="110" t="str">
        <f>IFERROR(G50/SUMPRODUCT(('Detail Recettes'!A$5:A$183=A50)*'Detail Recettes'!G$5:G$183),"")</f>
        <v>#ERROR!</v>
      </c>
      <c r="I41" s="111" t="str">
        <f>IFERROR(INDEX(Recettes!C:C,MATCH(A50,Recettes!A:A,0)),"")</f>
        <v>#ERROR!</v>
      </c>
      <c r="J41" s="111" t="str">
        <f>IFERROR(INDEX(Recettes!F:F,MATCH(A50,Recettes!A:A,0)),"")</f>
        <v>#ERROR!</v>
      </c>
    </row>
    <row r="42" ht="15.0" customHeight="1">
      <c r="A42" s="106" t="s">
        <v>457</v>
      </c>
      <c r="B42" s="42" t="s">
        <v>350</v>
      </c>
      <c r="C42" s="43" t="s">
        <v>351</v>
      </c>
      <c r="D42" s="112">
        <v>0.08</v>
      </c>
      <c r="E42" s="45" t="s">
        <v>239</v>
      </c>
      <c r="F42" s="113" t="str">
        <f>IFERROR(INDEX('MP Referentiel'!F:F,MATCH(B51,'MP Referentiel'!A:A,0)),"")</f>
        <v>#ERROR!</v>
      </c>
      <c r="G42" s="114" t="str">
        <f>IFERROR(D51*F51,"")</f>
        <v>#ERROR!</v>
      </c>
      <c r="H42" s="115" t="str">
        <f>IFERROR(G51/SUMPRODUCT(('Detail Recettes'!A$5:A$183=A51)*'Detail Recettes'!G$5:G$183),"")</f>
        <v>#ERROR!</v>
      </c>
      <c r="I42" s="48" t="str">
        <f>IFERROR(INDEX(Recettes!C:C,MATCH(A51,Recettes!A:A,0)),"")</f>
        <v>#ERROR!</v>
      </c>
      <c r="J42" s="48" t="str">
        <f>IFERROR(INDEX(Recettes!F:F,MATCH(A51,Recettes!A:A,0)),"")</f>
        <v>#ERROR!</v>
      </c>
    </row>
    <row r="43" ht="15.0" customHeight="1">
      <c r="A43" s="106" t="s">
        <v>457</v>
      </c>
      <c r="B43" s="42" t="s">
        <v>348</v>
      </c>
      <c r="C43" s="51" t="s">
        <v>349</v>
      </c>
      <c r="D43" s="107">
        <v>0.006</v>
      </c>
      <c r="E43" s="53" t="s">
        <v>239</v>
      </c>
      <c r="F43" s="108" t="str">
        <f>IFERROR(INDEX('MP Referentiel'!F:F,MATCH(B52,'MP Referentiel'!A:A,0)),"")</f>
        <v>#ERROR!</v>
      </c>
      <c r="G43" s="109" t="str">
        <f>IFERROR(D52*F52,"")</f>
        <v>#ERROR!</v>
      </c>
      <c r="H43" s="110" t="str">
        <f>IFERROR(G52/SUMPRODUCT(('Detail Recettes'!A$5:A$183=A52)*'Detail Recettes'!G$5:G$183),"")</f>
        <v>#ERROR!</v>
      </c>
      <c r="I43" s="111" t="str">
        <f>IFERROR(INDEX(Recettes!C:C,MATCH(A52,Recettes!A:A,0)),"")</f>
        <v>#ERROR!</v>
      </c>
      <c r="J43" s="111" t="str">
        <f>IFERROR(INDEX(Recettes!F:F,MATCH(A52,Recettes!A:A,0)),"")</f>
        <v>#ERROR!</v>
      </c>
    </row>
    <row r="44" ht="15.0" customHeight="1">
      <c r="A44" s="106" t="s">
        <v>457</v>
      </c>
      <c r="B44" s="42" t="s">
        <v>342</v>
      </c>
      <c r="C44" s="43" t="s">
        <v>343</v>
      </c>
      <c r="D44" s="112">
        <v>0.002</v>
      </c>
      <c r="E44" s="45" t="s">
        <v>239</v>
      </c>
      <c r="F44" s="113" t="str">
        <f>IFERROR(INDEX('MP Referentiel'!F:F,MATCH(B53,'MP Referentiel'!A:A,0)),"")</f>
        <v>#ERROR!</v>
      </c>
      <c r="G44" s="114" t="str">
        <f>IFERROR(D53*F53,"")</f>
        <v>#ERROR!</v>
      </c>
      <c r="H44" s="115" t="str">
        <f>IFERROR(G53/SUMPRODUCT(('Detail Recettes'!A$5:A$183=A53)*'Detail Recettes'!G$5:G$183),"")</f>
        <v>#ERROR!</v>
      </c>
      <c r="I44" s="48" t="str">
        <f>IFERROR(INDEX(Recettes!C:C,MATCH(A53,Recettes!A:A,0)),"")</f>
        <v>#ERROR!</v>
      </c>
      <c r="J44" s="48" t="str">
        <f>IFERROR(INDEX(Recettes!F:F,MATCH(A53,Recettes!A:A,0)),"")</f>
        <v>#ERROR!</v>
      </c>
    </row>
    <row r="45" ht="15.0" customHeight="1">
      <c r="A45" s="106" t="s">
        <v>459</v>
      </c>
      <c r="B45" s="42" t="s">
        <v>236</v>
      </c>
      <c r="C45" s="51" t="s">
        <v>522</v>
      </c>
      <c r="D45" s="107">
        <v>3.0</v>
      </c>
      <c r="E45" s="53" t="s">
        <v>239</v>
      </c>
      <c r="F45" s="108" t="str">
        <f>IFERROR(INDEX('MP Referentiel'!F:F,MATCH(B54,'MP Referentiel'!A:A,0)),"")</f>
        <v>#ERROR!</v>
      </c>
      <c r="G45" s="109" t="str">
        <f>IFERROR(D54*F54,"")</f>
        <v>#ERROR!</v>
      </c>
      <c r="H45" s="110" t="str">
        <f>IFERROR(G54/SUMPRODUCT(('Detail Recettes'!A$5:A$183=A54)*'Detail Recettes'!G$5:G$183),"")</f>
        <v>#ERROR!</v>
      </c>
      <c r="I45" s="111" t="str">
        <f>IFERROR(INDEX(Recettes!C:C,MATCH(A54,Recettes!A:A,0)),"")</f>
        <v>#ERROR!</v>
      </c>
      <c r="J45" s="111" t="str">
        <f>IFERROR(INDEX(Recettes!F:F,MATCH(A54,Recettes!A:A,0)),"")</f>
        <v>#ERROR!</v>
      </c>
    </row>
    <row r="46" ht="15.0" customHeight="1">
      <c r="A46" s="106" t="s">
        <v>459</v>
      </c>
      <c r="B46" s="42" t="s">
        <v>241</v>
      </c>
      <c r="C46" s="43" t="s">
        <v>523</v>
      </c>
      <c r="D46" s="112">
        <v>1.0</v>
      </c>
      <c r="E46" s="45" t="s">
        <v>239</v>
      </c>
      <c r="F46" s="113" t="str">
        <f>IFERROR(INDEX('MP Referentiel'!F:F,MATCH(B55,'MP Referentiel'!A:A,0)),"")</f>
        <v>#ERROR!</v>
      </c>
      <c r="G46" s="114" t="str">
        <f>IFERROR(D55*F55,"")</f>
        <v>#ERROR!</v>
      </c>
      <c r="H46" s="115" t="str">
        <f>IFERROR(G55/SUMPRODUCT(('Detail Recettes'!A$5:A$183=A55)*'Detail Recettes'!G$5:G$183),"")</f>
        <v>#ERROR!</v>
      </c>
      <c r="I46" s="48" t="str">
        <f>IFERROR(INDEX(Recettes!C:C,MATCH(A55,Recettes!A:A,0)),"")</f>
        <v>#ERROR!</v>
      </c>
      <c r="J46" s="48" t="str">
        <f>IFERROR(INDEX(Recettes!F:F,MATCH(A55,Recettes!A:A,0)),"")</f>
        <v>#ERROR!</v>
      </c>
    </row>
    <row r="47" ht="15.0" customHeight="1">
      <c r="A47" s="106" t="s">
        <v>459</v>
      </c>
      <c r="B47" s="42" t="s">
        <v>243</v>
      </c>
      <c r="C47" s="51" t="s">
        <v>524</v>
      </c>
      <c r="D47" s="107">
        <v>0.4</v>
      </c>
      <c r="E47" s="53" t="s">
        <v>239</v>
      </c>
      <c r="F47" s="108" t="str">
        <f>IFERROR(INDEX('MP Referentiel'!F:F,MATCH(B56,'MP Referentiel'!A:A,0)),"")</f>
        <v>#ERROR!</v>
      </c>
      <c r="G47" s="109" t="str">
        <f>IFERROR(D56*F56,"")</f>
        <v>#ERROR!</v>
      </c>
      <c r="H47" s="110" t="str">
        <f>IFERROR(G56/SUMPRODUCT(('Detail Recettes'!A$5:A$183=A56)*'Detail Recettes'!G$5:G$183),"")</f>
        <v>#ERROR!</v>
      </c>
      <c r="I47" s="111" t="str">
        <f>IFERROR(INDEX(Recettes!C:C,MATCH(A56,Recettes!A:A,0)),"")</f>
        <v>#ERROR!</v>
      </c>
      <c r="J47" s="111" t="str">
        <f>IFERROR(INDEX(Recettes!F:F,MATCH(A56,Recettes!A:A,0)),"")</f>
        <v>#ERROR!</v>
      </c>
    </row>
    <row r="48" ht="15.0" customHeight="1">
      <c r="A48" s="106" t="s">
        <v>459</v>
      </c>
      <c r="B48" s="42" t="s">
        <v>268</v>
      </c>
      <c r="C48" s="43" t="s">
        <v>269</v>
      </c>
      <c r="D48" s="112">
        <v>0.3</v>
      </c>
      <c r="E48" s="45" t="s">
        <v>239</v>
      </c>
      <c r="F48" s="113" t="str">
        <f>IFERROR(INDEX('MP Referentiel'!F:F,MATCH(B57,'MP Referentiel'!A:A,0)),"")</f>
        <v>#ERROR!</v>
      </c>
      <c r="G48" s="114" t="str">
        <f>IFERROR(D57*F57,"")</f>
        <v>#ERROR!</v>
      </c>
      <c r="H48" s="115" t="str">
        <f>IFERROR(G57/SUMPRODUCT(('Detail Recettes'!A$5:A$183=A57)*'Detail Recettes'!G$5:G$183),"")</f>
        <v>#ERROR!</v>
      </c>
      <c r="I48" s="48" t="str">
        <f>IFERROR(INDEX(Recettes!C:C,MATCH(A57,Recettes!A:A,0)),"")</f>
        <v>#ERROR!</v>
      </c>
      <c r="J48" s="48" t="str">
        <f>IFERROR(INDEX(Recettes!F:F,MATCH(A57,Recettes!A:A,0)),"")</f>
        <v>#ERROR!</v>
      </c>
    </row>
    <row r="49" ht="15.0" customHeight="1">
      <c r="A49" s="106" t="s">
        <v>459</v>
      </c>
      <c r="B49" s="42" t="s">
        <v>329</v>
      </c>
      <c r="C49" s="51" t="s">
        <v>330</v>
      </c>
      <c r="D49" s="107">
        <v>0.008</v>
      </c>
      <c r="E49" s="53" t="s">
        <v>239</v>
      </c>
      <c r="F49" s="108" t="str">
        <f>IFERROR(INDEX('MP Referentiel'!F:F,MATCH(B58,'MP Referentiel'!A:A,0)),"")</f>
        <v>#ERROR!</v>
      </c>
      <c r="G49" s="109" t="str">
        <f>IFERROR(D58*F58,"")</f>
        <v>#ERROR!</v>
      </c>
      <c r="H49" s="110" t="str">
        <f>IFERROR(G58/SUMPRODUCT(('Detail Recettes'!A$5:A$183=A58)*'Detail Recettes'!G$5:G$183),"")</f>
        <v>#ERROR!</v>
      </c>
      <c r="I49" s="111" t="str">
        <f>IFERROR(INDEX(Recettes!C:C,MATCH(A58,Recettes!A:A,0)),"")</f>
        <v>#ERROR!</v>
      </c>
      <c r="J49" s="111" t="str">
        <f>IFERROR(INDEX(Recettes!F:F,MATCH(A58,Recettes!A:A,0)),"")</f>
        <v>#ERROR!</v>
      </c>
    </row>
    <row r="50" ht="15.0" customHeight="1">
      <c r="A50" s="106" t="s">
        <v>459</v>
      </c>
      <c r="B50" s="42" t="s">
        <v>371</v>
      </c>
      <c r="C50" s="43" t="s">
        <v>372</v>
      </c>
      <c r="D50" s="112">
        <v>0.04</v>
      </c>
      <c r="E50" s="45" t="s">
        <v>308</v>
      </c>
      <c r="F50" s="113" t="str">
        <f>IFERROR(INDEX('MP Referentiel'!F:F,MATCH(B59,'MP Referentiel'!A:A,0)),"")</f>
        <v>#ERROR!</v>
      </c>
      <c r="G50" s="114" t="str">
        <f>IFERROR(D59*F59,"")</f>
        <v>#ERROR!</v>
      </c>
      <c r="H50" s="115" t="str">
        <f>IFERROR(G59/SUMPRODUCT(('Detail Recettes'!A$5:A$183=A59)*'Detail Recettes'!G$5:G$183),"")</f>
        <v>#ERROR!</v>
      </c>
      <c r="I50" s="48" t="str">
        <f>IFERROR(INDEX(Recettes!C:C,MATCH(A59,Recettes!A:A,0)),"")</f>
        <v>#ERROR!</v>
      </c>
      <c r="J50" s="48" t="str">
        <f>IFERROR(INDEX(Recettes!F:F,MATCH(A59,Recettes!A:A,0)),"")</f>
        <v>#ERROR!</v>
      </c>
    </row>
    <row r="51" ht="15.0" customHeight="1">
      <c r="A51" s="106" t="s">
        <v>459</v>
      </c>
      <c r="B51" s="42" t="s">
        <v>350</v>
      </c>
      <c r="C51" s="51" t="s">
        <v>351</v>
      </c>
      <c r="D51" s="107">
        <v>0.08</v>
      </c>
      <c r="E51" s="53" t="s">
        <v>239</v>
      </c>
      <c r="F51" s="108" t="str">
        <f>IFERROR(INDEX('MP Referentiel'!F:F,MATCH(B60,'MP Referentiel'!A:A,0)),"")</f>
        <v>#ERROR!</v>
      </c>
      <c r="G51" s="109" t="str">
        <f>IFERROR(D60*F60,"")</f>
        <v>#ERROR!</v>
      </c>
      <c r="H51" s="110" t="str">
        <f>IFERROR(G60/SUMPRODUCT(('Detail Recettes'!A$5:A$183=A60)*'Detail Recettes'!G$5:G$183),"")</f>
        <v>#ERROR!</v>
      </c>
      <c r="I51" s="111" t="str">
        <f>IFERROR(INDEX(Recettes!C:C,MATCH(A60,Recettes!A:A,0)),"")</f>
        <v>#ERROR!</v>
      </c>
      <c r="J51" s="111" t="str">
        <f>IFERROR(INDEX(Recettes!F:F,MATCH(A60,Recettes!A:A,0)),"")</f>
        <v>#ERROR!</v>
      </c>
    </row>
    <row r="52" ht="15.0" customHeight="1">
      <c r="A52" s="106" t="s">
        <v>461</v>
      </c>
      <c r="B52" s="42" t="s">
        <v>236</v>
      </c>
      <c r="C52" s="43" t="s">
        <v>522</v>
      </c>
      <c r="D52" s="112">
        <v>3.0</v>
      </c>
      <c r="E52" s="45" t="s">
        <v>239</v>
      </c>
      <c r="F52" s="113" t="str">
        <f>IFERROR(INDEX('MP Referentiel'!F:F,MATCH(B61,'MP Referentiel'!A:A,0)),"")</f>
        <v>#ERROR!</v>
      </c>
      <c r="G52" s="114" t="str">
        <f>IFERROR(D61*F61,"")</f>
        <v>#ERROR!</v>
      </c>
      <c r="H52" s="115" t="str">
        <f>IFERROR(G61/SUMPRODUCT(('Detail Recettes'!A$5:A$183=A61)*'Detail Recettes'!G$5:G$183),"")</f>
        <v>#ERROR!</v>
      </c>
      <c r="I52" s="48" t="str">
        <f>IFERROR(INDEX(Recettes!C:C,MATCH(A61,Recettes!A:A,0)),"")</f>
        <v>#ERROR!</v>
      </c>
      <c r="J52" s="48" t="str">
        <f>IFERROR(INDEX(Recettes!F:F,MATCH(A61,Recettes!A:A,0)),"")</f>
        <v>#ERROR!</v>
      </c>
    </row>
    <row r="53" ht="15.0" customHeight="1">
      <c r="A53" s="106" t="s">
        <v>461</v>
      </c>
      <c r="B53" s="42" t="s">
        <v>241</v>
      </c>
      <c r="C53" s="51" t="s">
        <v>523</v>
      </c>
      <c r="D53" s="107">
        <v>1.0</v>
      </c>
      <c r="E53" s="53" t="s">
        <v>239</v>
      </c>
      <c r="F53" s="108" t="str">
        <f>IFERROR(INDEX('MP Referentiel'!F:F,MATCH(B62,'MP Referentiel'!A:A,0)),"")</f>
        <v>#ERROR!</v>
      </c>
      <c r="G53" s="109" t="str">
        <f>IFERROR(D62*F62,"")</f>
        <v>#ERROR!</v>
      </c>
      <c r="H53" s="110" t="str">
        <f>IFERROR(G62/SUMPRODUCT(('Detail Recettes'!A$5:A$183=A62)*'Detail Recettes'!G$5:G$183),"")</f>
        <v>#ERROR!</v>
      </c>
      <c r="I53" s="111" t="str">
        <f>IFERROR(INDEX(Recettes!C:C,MATCH(A62,Recettes!A:A,0)),"")</f>
        <v>#ERROR!</v>
      </c>
      <c r="J53" s="111" t="str">
        <f>IFERROR(INDEX(Recettes!F:F,MATCH(A62,Recettes!A:A,0)),"")</f>
        <v>#ERROR!</v>
      </c>
    </row>
    <row r="54" ht="15.0" customHeight="1">
      <c r="A54" s="106" t="s">
        <v>461</v>
      </c>
      <c r="B54" s="42" t="s">
        <v>243</v>
      </c>
      <c r="C54" s="43" t="s">
        <v>524</v>
      </c>
      <c r="D54" s="112">
        <v>0.4</v>
      </c>
      <c r="E54" s="45" t="s">
        <v>239</v>
      </c>
      <c r="F54" s="113" t="str">
        <f>IFERROR(INDEX('MP Referentiel'!F:F,MATCH(B63,'MP Referentiel'!A:A,0)),"")</f>
        <v>#ERROR!</v>
      </c>
      <c r="G54" s="114" t="str">
        <f>IFERROR(D63*F63,"")</f>
        <v>#ERROR!</v>
      </c>
      <c r="H54" s="115" t="str">
        <f>IFERROR(G63/SUMPRODUCT(('Detail Recettes'!A$5:A$183=A63)*'Detail Recettes'!G$5:G$183),"")</f>
        <v>#ERROR!</v>
      </c>
      <c r="I54" s="48" t="str">
        <f>IFERROR(INDEX(Recettes!C:C,MATCH(A63,Recettes!A:A,0)),"")</f>
        <v>#ERROR!</v>
      </c>
      <c r="J54" s="48" t="str">
        <f>IFERROR(INDEX(Recettes!F:F,MATCH(A63,Recettes!A:A,0)),"")</f>
        <v>#ERROR!</v>
      </c>
    </row>
    <row r="55" ht="15.0" customHeight="1">
      <c r="A55" s="106" t="s">
        <v>461</v>
      </c>
      <c r="B55" s="42" t="s">
        <v>362</v>
      </c>
      <c r="C55" s="51" t="s">
        <v>363</v>
      </c>
      <c r="D55" s="107">
        <v>0.015</v>
      </c>
      <c r="E55" s="53" t="s">
        <v>239</v>
      </c>
      <c r="F55" s="108" t="str">
        <f>IFERROR(INDEX('MP Referentiel'!F:F,MATCH(B64,'MP Referentiel'!A:A,0)),"")</f>
        <v>#ERROR!</v>
      </c>
      <c r="G55" s="109" t="str">
        <f>IFERROR(D64*F64,"")</f>
        <v>#ERROR!</v>
      </c>
      <c r="H55" s="110" t="str">
        <f>IFERROR(G64/SUMPRODUCT(('Detail Recettes'!A$5:A$183=A64)*'Detail Recettes'!G$5:G$183),"")</f>
        <v>#ERROR!</v>
      </c>
      <c r="I55" s="111" t="str">
        <f>IFERROR(INDEX(Recettes!C:C,MATCH(A64,Recettes!A:A,0)),"")</f>
        <v>#ERROR!</v>
      </c>
      <c r="J55" s="111" t="str">
        <f>IFERROR(INDEX(Recettes!F:F,MATCH(A64,Recettes!A:A,0)),"")</f>
        <v>#ERROR!</v>
      </c>
    </row>
    <row r="56" ht="15.0" customHeight="1">
      <c r="A56" s="106" t="s">
        <v>461</v>
      </c>
      <c r="B56" s="42" t="s">
        <v>371</v>
      </c>
      <c r="C56" s="43" t="s">
        <v>372</v>
      </c>
      <c r="D56" s="112">
        <v>0.04</v>
      </c>
      <c r="E56" s="45" t="s">
        <v>308</v>
      </c>
      <c r="F56" s="113" t="str">
        <f>IFERROR(INDEX('MP Referentiel'!F:F,MATCH(B65,'MP Referentiel'!A:A,0)),"")</f>
        <v>#ERROR!</v>
      </c>
      <c r="G56" s="114" t="str">
        <f>IFERROR(D65*F65,"")</f>
        <v>#ERROR!</v>
      </c>
      <c r="H56" s="115" t="str">
        <f>IFERROR(G65/SUMPRODUCT(('Detail Recettes'!A$5:A$183=A65)*'Detail Recettes'!G$5:G$183),"")</f>
        <v>#ERROR!</v>
      </c>
      <c r="I56" s="48" t="str">
        <f>IFERROR(INDEX(Recettes!C:C,MATCH(A65,Recettes!A:A,0)),"")</f>
        <v>#ERROR!</v>
      </c>
      <c r="J56" s="48" t="str">
        <f>IFERROR(INDEX(Recettes!F:F,MATCH(A65,Recettes!A:A,0)),"")</f>
        <v>#ERROR!</v>
      </c>
    </row>
    <row r="57" ht="15.0" customHeight="1">
      <c r="A57" s="106" t="s">
        <v>461</v>
      </c>
      <c r="B57" s="42" t="s">
        <v>350</v>
      </c>
      <c r="C57" s="51" t="s">
        <v>351</v>
      </c>
      <c r="D57" s="107">
        <v>0.08</v>
      </c>
      <c r="E57" s="53" t="s">
        <v>239</v>
      </c>
      <c r="F57" s="108" t="str">
        <f>IFERROR(INDEX('MP Referentiel'!F:F,MATCH(B66,'MP Referentiel'!A:A,0)),"")</f>
        <v>#ERROR!</v>
      </c>
      <c r="G57" s="109" t="str">
        <f>IFERROR(D66*F66,"")</f>
        <v>#ERROR!</v>
      </c>
      <c r="H57" s="110" t="str">
        <f>IFERROR(G66/SUMPRODUCT(('Detail Recettes'!A$5:A$183=A66)*'Detail Recettes'!G$5:G$183),"")</f>
        <v>#ERROR!</v>
      </c>
      <c r="I57" s="111" t="str">
        <f>IFERROR(INDEX(Recettes!C:C,MATCH(A66,Recettes!A:A,0)),"")</f>
        <v>#ERROR!</v>
      </c>
      <c r="J57" s="111" t="str">
        <f>IFERROR(INDEX(Recettes!F:F,MATCH(A66,Recettes!A:A,0)),"")</f>
        <v>#ERROR!</v>
      </c>
    </row>
    <row r="58" ht="15.0" customHeight="1">
      <c r="A58" s="106" t="s">
        <v>463</v>
      </c>
      <c r="B58" s="42" t="s">
        <v>236</v>
      </c>
      <c r="C58" s="43" t="s">
        <v>522</v>
      </c>
      <c r="D58" s="112">
        <v>3.0</v>
      </c>
      <c r="E58" s="45" t="s">
        <v>239</v>
      </c>
      <c r="F58" s="113" t="str">
        <f>IFERROR(INDEX('MP Referentiel'!F:F,MATCH(B67,'MP Referentiel'!A:A,0)),"")</f>
        <v>#ERROR!</v>
      </c>
      <c r="G58" s="114" t="str">
        <f>IFERROR(D67*F67,"")</f>
        <v>#ERROR!</v>
      </c>
      <c r="H58" s="115" t="str">
        <f>IFERROR(G67/SUMPRODUCT(('Detail Recettes'!A$5:A$183=A67)*'Detail Recettes'!G$5:G$183),"")</f>
        <v>#ERROR!</v>
      </c>
      <c r="I58" s="48" t="str">
        <f>IFERROR(INDEX(Recettes!C:C,MATCH(A67,Recettes!A:A,0)),"")</f>
        <v>#ERROR!</v>
      </c>
      <c r="J58" s="48" t="str">
        <f>IFERROR(INDEX(Recettes!F:F,MATCH(A67,Recettes!A:A,0)),"")</f>
        <v>#ERROR!</v>
      </c>
    </row>
    <row r="59" ht="15.0" customHeight="1">
      <c r="A59" s="106" t="s">
        <v>463</v>
      </c>
      <c r="B59" s="42" t="s">
        <v>241</v>
      </c>
      <c r="C59" s="51" t="s">
        <v>523</v>
      </c>
      <c r="D59" s="107">
        <v>0.8</v>
      </c>
      <c r="E59" s="53" t="s">
        <v>239</v>
      </c>
      <c r="F59" s="108" t="str">
        <f>IFERROR(INDEX('MP Referentiel'!F:F,MATCH(B68,'MP Referentiel'!A:A,0)),"")</f>
        <v>#ERROR!</v>
      </c>
      <c r="G59" s="109" t="str">
        <f>IFERROR(D68*F68,"")</f>
        <v>#ERROR!</v>
      </c>
      <c r="H59" s="110" t="str">
        <f>IFERROR(G68/SUMPRODUCT(('Detail Recettes'!A$5:A$183=A68)*'Detail Recettes'!G$5:G$183),"")</f>
        <v>#ERROR!</v>
      </c>
      <c r="I59" s="111" t="str">
        <f>IFERROR(INDEX(Recettes!C:C,MATCH(A68,Recettes!A:A,0)),"")</f>
        <v>#ERROR!</v>
      </c>
      <c r="J59" s="111" t="str">
        <f>IFERROR(INDEX(Recettes!F:F,MATCH(A68,Recettes!A:A,0)),"")</f>
        <v>#ERROR!</v>
      </c>
    </row>
    <row r="60" ht="15.0" customHeight="1">
      <c r="A60" s="106" t="s">
        <v>463</v>
      </c>
      <c r="B60" s="42" t="s">
        <v>243</v>
      </c>
      <c r="C60" s="43" t="s">
        <v>524</v>
      </c>
      <c r="D60" s="112">
        <v>0.4</v>
      </c>
      <c r="E60" s="45" t="s">
        <v>239</v>
      </c>
      <c r="F60" s="113" t="str">
        <f>IFERROR(INDEX('MP Referentiel'!F:F,MATCH(B69,'MP Referentiel'!A:A,0)),"")</f>
        <v>#ERROR!</v>
      </c>
      <c r="G60" s="114" t="str">
        <f>IFERROR(D69*F69,"")</f>
        <v>#ERROR!</v>
      </c>
      <c r="H60" s="115" t="str">
        <f>IFERROR(G69/SUMPRODUCT(('Detail Recettes'!A$5:A$183=A69)*'Detail Recettes'!G$5:G$183),"")</f>
        <v>#ERROR!</v>
      </c>
      <c r="I60" s="48" t="str">
        <f>IFERROR(INDEX(Recettes!C:C,MATCH(A69,Recettes!A:A,0)),"")</f>
        <v>#ERROR!</v>
      </c>
      <c r="J60" s="48" t="str">
        <f>IFERROR(INDEX(Recettes!F:F,MATCH(A69,Recettes!A:A,0)),"")</f>
        <v>#ERROR!</v>
      </c>
    </row>
    <row r="61" ht="15.0" customHeight="1">
      <c r="A61" s="106" t="s">
        <v>463</v>
      </c>
      <c r="B61" s="42" t="s">
        <v>289</v>
      </c>
      <c r="C61" s="51" t="s">
        <v>290</v>
      </c>
      <c r="D61" s="107">
        <v>0.5</v>
      </c>
      <c r="E61" s="53" t="s">
        <v>239</v>
      </c>
      <c r="F61" s="108" t="str">
        <f>IFERROR(INDEX('MP Referentiel'!F:F,MATCH(B70,'MP Referentiel'!A:A,0)),"")</f>
        <v>#ERROR!</v>
      </c>
      <c r="G61" s="109" t="str">
        <f>IFERROR(D70*F70,"")</f>
        <v>#ERROR!</v>
      </c>
      <c r="H61" s="110" t="str">
        <f>IFERROR(G70/SUMPRODUCT(('Detail Recettes'!A$5:A$183=A70)*'Detail Recettes'!G$5:G$183),"")</f>
        <v>#ERROR!</v>
      </c>
      <c r="I61" s="111" t="str">
        <f>IFERROR(INDEX(Recettes!C:C,MATCH(A70,Recettes!A:A,0)),"")</f>
        <v>#ERROR!</v>
      </c>
      <c r="J61" s="111" t="str">
        <f>IFERROR(INDEX(Recettes!F:F,MATCH(A70,Recettes!A:A,0)),"")</f>
        <v>#ERROR!</v>
      </c>
    </row>
    <row r="62" ht="15.0" customHeight="1">
      <c r="A62" s="106" t="s">
        <v>463</v>
      </c>
      <c r="B62" s="42" t="s">
        <v>327</v>
      </c>
      <c r="C62" s="43" t="s">
        <v>328</v>
      </c>
      <c r="D62" s="112">
        <v>0.08</v>
      </c>
      <c r="E62" s="45" t="s">
        <v>239</v>
      </c>
      <c r="F62" s="113" t="str">
        <f>IFERROR(INDEX('MP Referentiel'!F:F,MATCH(B71,'MP Referentiel'!A:A,0)),"")</f>
        <v>#ERROR!</v>
      </c>
      <c r="G62" s="114" t="str">
        <f>IFERROR(D71*F71,"")</f>
        <v>#ERROR!</v>
      </c>
      <c r="H62" s="115" t="str">
        <f>IFERROR(G71/SUMPRODUCT(('Detail Recettes'!A$5:A$183=A71)*'Detail Recettes'!G$5:G$183),"")</f>
        <v>#ERROR!</v>
      </c>
      <c r="I62" s="48" t="str">
        <f>IFERROR(INDEX(Recettes!C:C,MATCH(A71,Recettes!A:A,0)),"")</f>
        <v>#ERROR!</v>
      </c>
      <c r="J62" s="48" t="str">
        <f>IFERROR(INDEX(Recettes!F:F,MATCH(A71,Recettes!A:A,0)),"")</f>
        <v>#ERROR!</v>
      </c>
    </row>
    <row r="63" ht="15.0" customHeight="1">
      <c r="A63" s="106" t="s">
        <v>463</v>
      </c>
      <c r="B63" s="42" t="s">
        <v>350</v>
      </c>
      <c r="C63" s="51" t="s">
        <v>351</v>
      </c>
      <c r="D63" s="107">
        <v>0.08</v>
      </c>
      <c r="E63" s="53" t="s">
        <v>239</v>
      </c>
      <c r="F63" s="108" t="str">
        <f>IFERROR(INDEX('MP Referentiel'!F:F,MATCH(B72,'MP Referentiel'!A:A,0)),"")</f>
        <v>#ERROR!</v>
      </c>
      <c r="G63" s="109" t="str">
        <f>IFERROR(D72*F72,"")</f>
        <v>#ERROR!</v>
      </c>
      <c r="H63" s="110" t="str">
        <f>IFERROR(G72/SUMPRODUCT(('Detail Recettes'!A$5:A$183=A72)*'Detail Recettes'!G$5:G$183),"")</f>
        <v>#ERROR!</v>
      </c>
      <c r="I63" s="111" t="str">
        <f>IFERROR(INDEX(Recettes!C:C,MATCH(A72,Recettes!A:A,0)),"")</f>
        <v>#ERROR!</v>
      </c>
      <c r="J63" s="111" t="str">
        <f>IFERROR(INDEX(Recettes!F:F,MATCH(A72,Recettes!A:A,0)),"")</f>
        <v>#ERROR!</v>
      </c>
    </row>
    <row r="64" ht="15.0" customHeight="1">
      <c r="A64" s="106" t="s">
        <v>465</v>
      </c>
      <c r="B64" s="42" t="s">
        <v>236</v>
      </c>
      <c r="C64" s="43" t="s">
        <v>522</v>
      </c>
      <c r="D64" s="112">
        <v>0.55</v>
      </c>
      <c r="E64" s="45" t="s">
        <v>239</v>
      </c>
      <c r="F64" s="113" t="str">
        <f>IFERROR(INDEX('MP Referentiel'!F:F,MATCH(B73,'MP Referentiel'!A:A,0)),"")</f>
        <v>#ERROR!</v>
      </c>
      <c r="G64" s="114" t="str">
        <f>IFERROR(D73*F73,"")</f>
        <v>#ERROR!</v>
      </c>
      <c r="H64" s="115" t="str">
        <f>IFERROR(G73/SUMPRODUCT(('Detail Recettes'!A$5:A$183=A73)*'Detail Recettes'!G$5:G$183),"")</f>
        <v>#ERROR!</v>
      </c>
      <c r="I64" s="48" t="str">
        <f>IFERROR(INDEX(Recettes!C:C,MATCH(A73,Recettes!A:A,0)),"")</f>
        <v>#ERROR!</v>
      </c>
      <c r="J64" s="48" t="str">
        <f>IFERROR(INDEX(Recettes!F:F,MATCH(A73,Recettes!A:A,0)),"")</f>
        <v>#ERROR!</v>
      </c>
    </row>
    <row r="65" ht="15.0" customHeight="1">
      <c r="A65" s="106" t="s">
        <v>465</v>
      </c>
      <c r="B65" s="42" t="s">
        <v>241</v>
      </c>
      <c r="C65" s="51" t="s">
        <v>523</v>
      </c>
      <c r="D65" s="107">
        <v>0.16</v>
      </c>
      <c r="E65" s="53" t="s">
        <v>239</v>
      </c>
      <c r="F65" s="108" t="str">
        <f>IFERROR(INDEX('MP Referentiel'!F:F,MATCH(B74,'MP Referentiel'!A:A,0)),"")</f>
        <v>#ERROR!</v>
      </c>
      <c r="G65" s="109" t="str">
        <f>IFERROR(D74*F74,"")</f>
        <v>#ERROR!</v>
      </c>
      <c r="H65" s="110" t="str">
        <f>IFERROR(G74/SUMPRODUCT(('Detail Recettes'!A$5:A$183=A74)*'Detail Recettes'!G$5:G$183),"")</f>
        <v>#ERROR!</v>
      </c>
      <c r="I65" s="111" t="str">
        <f>IFERROR(INDEX(Recettes!C:C,MATCH(A74,Recettes!A:A,0)),"")</f>
        <v>#ERROR!</v>
      </c>
      <c r="J65" s="111" t="str">
        <f>IFERROR(INDEX(Recettes!F:F,MATCH(A74,Recettes!A:A,0)),"")</f>
        <v>#ERROR!</v>
      </c>
    </row>
    <row r="66" ht="15.0" customHeight="1">
      <c r="A66" s="106" t="s">
        <v>465</v>
      </c>
      <c r="B66" s="42" t="s">
        <v>243</v>
      </c>
      <c r="C66" s="43" t="s">
        <v>524</v>
      </c>
      <c r="D66" s="112">
        <v>0.08</v>
      </c>
      <c r="E66" s="45" t="s">
        <v>239</v>
      </c>
      <c r="F66" s="113" t="str">
        <f>IFERROR(INDEX('MP Referentiel'!F:F,MATCH(B75,'MP Referentiel'!A:A,0)),"")</f>
        <v>#ERROR!</v>
      </c>
      <c r="G66" s="114" t="str">
        <f>IFERROR(D75*F75,"")</f>
        <v>#ERROR!</v>
      </c>
      <c r="H66" s="115" t="str">
        <f>IFERROR(G75/SUMPRODUCT(('Detail Recettes'!A$5:A$183=A75)*'Detail Recettes'!G$5:G$183),"")</f>
        <v>#ERROR!</v>
      </c>
      <c r="I66" s="48" t="str">
        <f>IFERROR(INDEX(Recettes!C:C,MATCH(A75,Recettes!A:A,0)),"")</f>
        <v>#ERROR!</v>
      </c>
      <c r="J66" s="48" t="str">
        <f>IFERROR(INDEX(Recettes!F:F,MATCH(A75,Recettes!A:A,0)),"")</f>
        <v>#ERROR!</v>
      </c>
    </row>
    <row r="67" ht="15.0" customHeight="1">
      <c r="A67" s="106" t="s">
        <v>465</v>
      </c>
      <c r="B67" s="42" t="s">
        <v>309</v>
      </c>
      <c r="C67" s="51" t="s">
        <v>310</v>
      </c>
      <c r="D67" s="107">
        <v>0.04</v>
      </c>
      <c r="E67" s="53" t="s">
        <v>239</v>
      </c>
      <c r="F67" s="108" t="str">
        <f>IFERROR(INDEX('MP Referentiel'!F:F,MATCH(B76,'MP Referentiel'!A:A,0)),"")</f>
        <v>#ERROR!</v>
      </c>
      <c r="G67" s="109" t="str">
        <f>IFERROR(D76*F76,"")</f>
        <v>#ERROR!</v>
      </c>
      <c r="H67" s="110" t="str">
        <f>IFERROR(G76/SUMPRODUCT(('Detail Recettes'!A$5:A$183=A76)*'Detail Recettes'!G$5:G$183),"")</f>
        <v>#ERROR!</v>
      </c>
      <c r="I67" s="111" t="str">
        <f>IFERROR(INDEX(Recettes!C:C,MATCH(A76,Recettes!A:A,0)),"")</f>
        <v>#ERROR!</v>
      </c>
      <c r="J67" s="111" t="str">
        <f>IFERROR(INDEX(Recettes!F:F,MATCH(A76,Recettes!A:A,0)),"")</f>
        <v>#ERROR!</v>
      </c>
    </row>
    <row r="68" ht="15.0" customHeight="1">
      <c r="A68" s="106" t="s">
        <v>465</v>
      </c>
      <c r="B68" s="42" t="s">
        <v>350</v>
      </c>
      <c r="C68" s="43" t="s">
        <v>351</v>
      </c>
      <c r="D68" s="112">
        <v>0.014</v>
      </c>
      <c r="E68" s="45" t="s">
        <v>239</v>
      </c>
      <c r="F68" s="113" t="str">
        <f>IFERROR(INDEX('MP Referentiel'!F:F,MATCH(B77,'MP Referentiel'!A:A,0)),"")</f>
        <v>#ERROR!</v>
      </c>
      <c r="G68" s="114" t="str">
        <f>IFERROR(D77*F77,"")</f>
        <v>#ERROR!</v>
      </c>
      <c r="H68" s="115" t="str">
        <f>IFERROR(G77/SUMPRODUCT(('Detail Recettes'!A$5:A$183=A77)*'Detail Recettes'!G$5:G$183),"")</f>
        <v>#ERROR!</v>
      </c>
      <c r="I68" s="48" t="str">
        <f>IFERROR(INDEX(Recettes!C:C,MATCH(A77,Recettes!A:A,0)),"")</f>
        <v>#ERROR!</v>
      </c>
      <c r="J68" s="48" t="str">
        <f>IFERROR(INDEX(Recettes!F:F,MATCH(A77,Recettes!A:A,0)),"")</f>
        <v>#ERROR!</v>
      </c>
    </row>
    <row r="69" ht="15.0" customHeight="1">
      <c r="A69" s="106" t="s">
        <v>467</v>
      </c>
      <c r="B69" s="42" t="s">
        <v>236</v>
      </c>
      <c r="C69" s="51" t="s">
        <v>522</v>
      </c>
      <c r="D69" s="107">
        <v>0.52</v>
      </c>
      <c r="E69" s="53" t="s">
        <v>239</v>
      </c>
      <c r="F69" s="108" t="str">
        <f>IFERROR(INDEX('MP Referentiel'!F:F,MATCH(B78,'MP Referentiel'!A:A,0)),"")</f>
        <v>#ERROR!</v>
      </c>
      <c r="G69" s="109" t="str">
        <f>IFERROR(D78*F78,"")</f>
        <v>#ERROR!</v>
      </c>
      <c r="H69" s="110" t="str">
        <f>IFERROR(G78/SUMPRODUCT(('Detail Recettes'!A$5:A$183=A78)*'Detail Recettes'!G$5:G$183),"")</f>
        <v>#ERROR!</v>
      </c>
      <c r="I69" s="111" t="str">
        <f>IFERROR(INDEX(Recettes!C:C,MATCH(A78,Recettes!A:A,0)),"")</f>
        <v>#ERROR!</v>
      </c>
      <c r="J69" s="111" t="str">
        <f>IFERROR(INDEX(Recettes!F:F,MATCH(A78,Recettes!A:A,0)),"")</f>
        <v>#ERROR!</v>
      </c>
    </row>
    <row r="70" ht="15.0" customHeight="1">
      <c r="A70" s="106" t="s">
        <v>467</v>
      </c>
      <c r="B70" s="42" t="s">
        <v>241</v>
      </c>
      <c r="C70" s="43" t="s">
        <v>523</v>
      </c>
      <c r="D70" s="112">
        <v>0.15</v>
      </c>
      <c r="E70" s="45" t="s">
        <v>239</v>
      </c>
      <c r="F70" s="113" t="str">
        <f>IFERROR(INDEX('MP Referentiel'!F:F,MATCH(B79,'MP Referentiel'!A:A,0)),"")</f>
        <v>#ERROR!</v>
      </c>
      <c r="G70" s="114" t="str">
        <f>IFERROR(D79*F79,"")</f>
        <v>#ERROR!</v>
      </c>
      <c r="H70" s="115" t="str">
        <f>IFERROR(G79/SUMPRODUCT(('Detail Recettes'!A$5:A$183=A79)*'Detail Recettes'!G$5:G$183),"")</f>
        <v>#ERROR!</v>
      </c>
      <c r="I70" s="48" t="str">
        <f>IFERROR(INDEX(Recettes!C:C,MATCH(A79,Recettes!A:A,0)),"")</f>
        <v>#ERROR!</v>
      </c>
      <c r="J70" s="48" t="str">
        <f>IFERROR(INDEX(Recettes!F:F,MATCH(A79,Recettes!A:A,0)),"")</f>
        <v>#ERROR!</v>
      </c>
    </row>
    <row r="71" ht="15.0" customHeight="1">
      <c r="A71" s="106" t="s">
        <v>467</v>
      </c>
      <c r="B71" s="42" t="s">
        <v>243</v>
      </c>
      <c r="C71" s="51" t="s">
        <v>524</v>
      </c>
      <c r="D71" s="107">
        <v>0.08</v>
      </c>
      <c r="E71" s="53" t="s">
        <v>239</v>
      </c>
      <c r="F71" s="108" t="str">
        <f>IFERROR(INDEX('MP Referentiel'!F:F,MATCH(B80,'MP Referentiel'!A:A,0)),"")</f>
        <v>#ERROR!</v>
      </c>
      <c r="G71" s="109" t="str">
        <f>IFERROR(D80*F80,"")</f>
        <v>#ERROR!</v>
      </c>
      <c r="H71" s="110" t="str">
        <f>IFERROR(G80/SUMPRODUCT(('Detail Recettes'!A$5:A$183=A80)*'Detail Recettes'!G$5:G$183),"")</f>
        <v>#ERROR!</v>
      </c>
      <c r="I71" s="111" t="str">
        <f>IFERROR(INDEX(Recettes!C:C,MATCH(A80,Recettes!A:A,0)),"")</f>
        <v>#ERROR!</v>
      </c>
      <c r="J71" s="111" t="str">
        <f>IFERROR(INDEX(Recettes!F:F,MATCH(A80,Recettes!A:A,0)),"")</f>
        <v>#ERROR!</v>
      </c>
    </row>
    <row r="72" ht="15.0" customHeight="1">
      <c r="A72" s="106" t="s">
        <v>467</v>
      </c>
      <c r="B72" s="42" t="s">
        <v>268</v>
      </c>
      <c r="C72" s="43" t="s">
        <v>269</v>
      </c>
      <c r="D72" s="112">
        <v>0.12</v>
      </c>
      <c r="E72" s="45" t="s">
        <v>239</v>
      </c>
      <c r="F72" s="113" t="str">
        <f>IFERROR(INDEX('MP Referentiel'!F:F,MATCH(B81,'MP Referentiel'!A:A,0)),"")</f>
        <v>#ERROR!</v>
      </c>
      <c r="G72" s="114" t="str">
        <f>IFERROR(D81*F81,"")</f>
        <v>#ERROR!</v>
      </c>
      <c r="H72" s="115" t="str">
        <f>IFERROR(G81/SUMPRODUCT(('Detail Recettes'!A$5:A$183=A81)*'Detail Recettes'!G$5:G$183),"")</f>
        <v>#ERROR!</v>
      </c>
      <c r="I72" s="48" t="str">
        <f>IFERROR(INDEX(Recettes!C:C,MATCH(A81,Recettes!A:A,0)),"")</f>
        <v>#ERROR!</v>
      </c>
      <c r="J72" s="48" t="str">
        <f>IFERROR(INDEX(Recettes!F:F,MATCH(A81,Recettes!A:A,0)),"")</f>
        <v>#ERROR!</v>
      </c>
    </row>
    <row r="73" ht="15.0" customHeight="1">
      <c r="A73" s="106" t="s">
        <v>467</v>
      </c>
      <c r="B73" s="42" t="s">
        <v>329</v>
      </c>
      <c r="C73" s="51" t="s">
        <v>330</v>
      </c>
      <c r="D73" s="107">
        <v>0.005</v>
      </c>
      <c r="E73" s="53" t="s">
        <v>239</v>
      </c>
      <c r="F73" s="108" t="str">
        <f>IFERROR(INDEX('MP Referentiel'!F:F,MATCH(B82,'MP Referentiel'!A:A,0)),"")</f>
        <v>#ERROR!</v>
      </c>
      <c r="G73" s="109" t="str">
        <f>IFERROR(D82*F82,"")</f>
        <v>#ERROR!</v>
      </c>
      <c r="H73" s="110" t="str">
        <f>IFERROR(G82/SUMPRODUCT(('Detail Recettes'!A$5:A$183=A82)*'Detail Recettes'!G$5:G$183),"")</f>
        <v>#ERROR!</v>
      </c>
      <c r="I73" s="111" t="str">
        <f>IFERROR(INDEX(Recettes!C:C,MATCH(A82,Recettes!A:A,0)),"")</f>
        <v>#ERROR!</v>
      </c>
      <c r="J73" s="111" t="str">
        <f>IFERROR(INDEX(Recettes!F:F,MATCH(A82,Recettes!A:A,0)),"")</f>
        <v>#ERROR!</v>
      </c>
    </row>
    <row r="74" ht="15.0" customHeight="1">
      <c r="A74" s="106" t="s">
        <v>467</v>
      </c>
      <c r="B74" s="42" t="s">
        <v>350</v>
      </c>
      <c r="C74" s="43" t="s">
        <v>351</v>
      </c>
      <c r="D74" s="112">
        <v>0.014</v>
      </c>
      <c r="E74" s="45" t="s">
        <v>239</v>
      </c>
      <c r="F74" s="113" t="str">
        <f>IFERROR(INDEX('MP Referentiel'!F:F,MATCH(B83,'MP Referentiel'!A:A,0)),"")</f>
        <v>#ERROR!</v>
      </c>
      <c r="G74" s="114" t="str">
        <f>IFERROR(D83*F83,"")</f>
        <v>#ERROR!</v>
      </c>
      <c r="H74" s="115" t="str">
        <f>IFERROR(G83/SUMPRODUCT(('Detail Recettes'!A$5:A$183=A83)*'Detail Recettes'!G$5:G$183),"")</f>
        <v>#ERROR!</v>
      </c>
      <c r="I74" s="48" t="str">
        <f>IFERROR(INDEX(Recettes!C:C,MATCH(A83,Recettes!A:A,0)),"")</f>
        <v>#ERROR!</v>
      </c>
      <c r="J74" s="48" t="str">
        <f>IFERROR(INDEX(Recettes!F:F,MATCH(A83,Recettes!A:A,0)),"")</f>
        <v>#ERROR!</v>
      </c>
    </row>
    <row r="75" ht="15.0" customHeight="1">
      <c r="A75" s="106" t="s">
        <v>469</v>
      </c>
      <c r="B75" s="42" t="s">
        <v>236</v>
      </c>
      <c r="C75" s="51" t="s">
        <v>522</v>
      </c>
      <c r="D75" s="107">
        <v>3.5</v>
      </c>
      <c r="E75" s="53" t="s">
        <v>239</v>
      </c>
      <c r="F75" s="108" t="str">
        <f>IFERROR(INDEX('MP Referentiel'!F:F,MATCH(B84,'MP Referentiel'!A:A,0)),"")</f>
        <v>#ERROR!</v>
      </c>
      <c r="G75" s="109" t="str">
        <f>IFERROR(D84*F84,"")</f>
        <v>#ERROR!</v>
      </c>
      <c r="H75" s="110" t="str">
        <f>IFERROR(G84/SUMPRODUCT(('Detail Recettes'!A$5:A$183=A84)*'Detail Recettes'!G$5:G$183),"")</f>
        <v>#ERROR!</v>
      </c>
      <c r="I75" s="111" t="str">
        <f>IFERROR(INDEX(Recettes!C:C,MATCH(A84,Recettes!A:A,0)),"")</f>
        <v>#ERROR!</v>
      </c>
      <c r="J75" s="111" t="str">
        <f>IFERROR(INDEX(Recettes!F:F,MATCH(A84,Recettes!A:A,0)),"")</f>
        <v>#ERROR!</v>
      </c>
    </row>
    <row r="76" ht="15.0" customHeight="1">
      <c r="A76" s="106" t="s">
        <v>469</v>
      </c>
      <c r="B76" s="42" t="s">
        <v>241</v>
      </c>
      <c r="C76" s="43" t="s">
        <v>523</v>
      </c>
      <c r="D76" s="112">
        <v>1.5</v>
      </c>
      <c r="E76" s="45" t="s">
        <v>239</v>
      </c>
      <c r="F76" s="113" t="str">
        <f>IFERROR(INDEX('MP Referentiel'!F:F,MATCH(B85,'MP Referentiel'!A:A,0)),"")</f>
        <v>#ERROR!</v>
      </c>
      <c r="G76" s="114" t="str">
        <f>IFERROR(D85*F85,"")</f>
        <v>#ERROR!</v>
      </c>
      <c r="H76" s="115" t="str">
        <f>IFERROR(G85/SUMPRODUCT(('Detail Recettes'!A$5:A$183=A85)*'Detail Recettes'!G$5:G$183),"")</f>
        <v>#ERROR!</v>
      </c>
      <c r="I76" s="48" t="str">
        <f>IFERROR(INDEX(Recettes!C:C,MATCH(A85,Recettes!A:A,0)),"")</f>
        <v>#ERROR!</v>
      </c>
      <c r="J76" s="48" t="str">
        <f>IFERROR(INDEX(Recettes!F:F,MATCH(A85,Recettes!A:A,0)),"")</f>
        <v>#ERROR!</v>
      </c>
    </row>
    <row r="77" ht="15.0" customHeight="1">
      <c r="A77" s="106" t="s">
        <v>469</v>
      </c>
      <c r="B77" s="42" t="s">
        <v>331</v>
      </c>
      <c r="C77" s="51" t="s">
        <v>332</v>
      </c>
      <c r="D77" s="107">
        <v>0.01</v>
      </c>
      <c r="E77" s="53" t="s">
        <v>239</v>
      </c>
      <c r="F77" s="108" t="str">
        <f>IFERROR(INDEX('MP Referentiel'!F:F,MATCH(B86,'MP Referentiel'!A:A,0)),"")</f>
        <v>#ERROR!</v>
      </c>
      <c r="G77" s="109" t="str">
        <f>IFERROR(D86*F86,"")</f>
        <v>#ERROR!</v>
      </c>
      <c r="H77" s="110" t="str">
        <f>IFERROR(G86/SUMPRODUCT(('Detail Recettes'!A$5:A$183=A86)*'Detail Recettes'!G$5:G$183),"")</f>
        <v>#ERROR!</v>
      </c>
      <c r="I77" s="111" t="str">
        <f>IFERROR(INDEX(Recettes!C:C,MATCH(A86,Recettes!A:A,0)),"")</f>
        <v>#ERROR!</v>
      </c>
      <c r="J77" s="111" t="str">
        <f>IFERROR(INDEX(Recettes!F:F,MATCH(A86,Recettes!A:A,0)),"")</f>
        <v>#ERROR!</v>
      </c>
    </row>
    <row r="78" ht="15.0" customHeight="1">
      <c r="A78" s="106" t="s">
        <v>469</v>
      </c>
      <c r="B78" s="42" t="s">
        <v>325</v>
      </c>
      <c r="C78" s="43" t="s">
        <v>326</v>
      </c>
      <c r="D78" s="112">
        <v>0.005</v>
      </c>
      <c r="E78" s="45" t="s">
        <v>239</v>
      </c>
      <c r="F78" s="113" t="str">
        <f>IFERROR(INDEX('MP Referentiel'!F:F,MATCH(B87,'MP Referentiel'!A:A,0)),"")</f>
        <v>#ERROR!</v>
      </c>
      <c r="G78" s="114" t="str">
        <f>IFERROR(D87*F87,"")</f>
        <v>#ERROR!</v>
      </c>
      <c r="H78" s="115" t="str">
        <f>IFERROR(G87/SUMPRODUCT(('Detail Recettes'!A$5:A$183=A87)*'Detail Recettes'!G$5:G$183),"")</f>
        <v>#ERROR!</v>
      </c>
      <c r="I78" s="48" t="str">
        <f>IFERROR(INDEX(Recettes!C:C,MATCH(A87,Recettes!A:A,0)),"")</f>
        <v>#ERROR!</v>
      </c>
      <c r="J78" s="48" t="str">
        <f>IFERROR(INDEX(Recettes!F:F,MATCH(A87,Recettes!A:A,0)),"")</f>
        <v>#ERROR!</v>
      </c>
    </row>
    <row r="79" ht="15.0" customHeight="1">
      <c r="A79" s="106" t="s">
        <v>469</v>
      </c>
      <c r="B79" s="42" t="s">
        <v>257</v>
      </c>
      <c r="C79" s="51" t="s">
        <v>258</v>
      </c>
      <c r="D79" s="107">
        <v>0.02</v>
      </c>
      <c r="E79" s="53" t="s">
        <v>239</v>
      </c>
      <c r="F79" s="108" t="str">
        <f>IFERROR(INDEX('MP Referentiel'!F:F,MATCH(B88,'MP Referentiel'!A:A,0)),"")</f>
        <v>#ERROR!</v>
      </c>
      <c r="G79" s="109" t="str">
        <f>IFERROR(D88*F88,"")</f>
        <v>#ERROR!</v>
      </c>
      <c r="H79" s="110" t="str">
        <f>IFERROR(G88/SUMPRODUCT(('Detail Recettes'!A$5:A$183=A88)*'Detail Recettes'!G$5:G$183),"")</f>
        <v>#ERROR!</v>
      </c>
      <c r="I79" s="111" t="str">
        <f>IFERROR(INDEX(Recettes!C:C,MATCH(A88,Recettes!A:A,0)),"")</f>
        <v>#ERROR!</v>
      </c>
      <c r="J79" s="111" t="str">
        <f>IFERROR(INDEX(Recettes!F:F,MATCH(A88,Recettes!A:A,0)),"")</f>
        <v>#ERROR!</v>
      </c>
    </row>
    <row r="80" ht="15.0" customHeight="1">
      <c r="A80" s="106" t="s">
        <v>469</v>
      </c>
      <c r="B80" s="42" t="s">
        <v>350</v>
      </c>
      <c r="C80" s="43" t="s">
        <v>351</v>
      </c>
      <c r="D80" s="112">
        <v>0.07</v>
      </c>
      <c r="E80" s="45" t="s">
        <v>239</v>
      </c>
      <c r="F80" s="113" t="str">
        <f>IFERROR(INDEX('MP Referentiel'!F:F,MATCH(B89,'MP Referentiel'!A:A,0)),"")</f>
        <v>#ERROR!</v>
      </c>
      <c r="G80" s="114" t="str">
        <f>IFERROR(D89*F89,"")</f>
        <v>#ERROR!</v>
      </c>
      <c r="H80" s="115" t="str">
        <f>IFERROR(G89/SUMPRODUCT(('Detail Recettes'!A$5:A$183=A89)*'Detail Recettes'!G$5:G$183),"")</f>
        <v>#ERROR!</v>
      </c>
      <c r="I80" s="48" t="str">
        <f>IFERROR(INDEX(Recettes!C:C,MATCH(A89,Recettes!A:A,0)),"")</f>
        <v>#ERROR!</v>
      </c>
      <c r="J80" s="48" t="str">
        <f>IFERROR(INDEX(Recettes!F:F,MATCH(A89,Recettes!A:A,0)),"")</f>
        <v>#ERROR!</v>
      </c>
    </row>
    <row r="81" ht="15.0" customHeight="1">
      <c r="A81" s="106" t="s">
        <v>471</v>
      </c>
      <c r="B81" s="42" t="s">
        <v>236</v>
      </c>
      <c r="C81" s="51" t="s">
        <v>522</v>
      </c>
      <c r="D81" s="107">
        <v>3.0</v>
      </c>
      <c r="E81" s="53" t="s">
        <v>239</v>
      </c>
      <c r="F81" s="108" t="str">
        <f>IFERROR(INDEX('MP Referentiel'!F:F,MATCH(B90,'MP Referentiel'!A:A,0)),"")</f>
        <v>#ERROR!</v>
      </c>
      <c r="G81" s="109" t="str">
        <f>IFERROR(D90*F90,"")</f>
        <v>#ERROR!</v>
      </c>
      <c r="H81" s="110" t="str">
        <f>IFERROR(G90/SUMPRODUCT(('Detail Recettes'!A$5:A$183=A90)*'Detail Recettes'!G$5:G$183),"")</f>
        <v>#ERROR!</v>
      </c>
      <c r="I81" s="111" t="str">
        <f>IFERROR(INDEX(Recettes!C:C,MATCH(A90,Recettes!A:A,0)),"")</f>
        <v>#ERROR!</v>
      </c>
      <c r="J81" s="111" t="str">
        <f>IFERROR(INDEX(Recettes!F:F,MATCH(A90,Recettes!A:A,0)),"")</f>
        <v>#ERROR!</v>
      </c>
    </row>
    <row r="82" ht="15.0" customHeight="1">
      <c r="A82" s="106" t="s">
        <v>471</v>
      </c>
      <c r="B82" s="42" t="s">
        <v>241</v>
      </c>
      <c r="C82" s="43" t="s">
        <v>523</v>
      </c>
      <c r="D82" s="112">
        <v>1.2</v>
      </c>
      <c r="E82" s="45" t="s">
        <v>239</v>
      </c>
      <c r="F82" s="113" t="str">
        <f>IFERROR(INDEX('MP Referentiel'!F:F,MATCH(B91,'MP Referentiel'!A:A,0)),"")</f>
        <v>#ERROR!</v>
      </c>
      <c r="G82" s="114" t="str">
        <f>IFERROR(D91*F91,"")</f>
        <v>#ERROR!</v>
      </c>
      <c r="H82" s="115" t="str">
        <f>IFERROR(G91/SUMPRODUCT(('Detail Recettes'!A$5:A$183=A91)*'Detail Recettes'!G$5:G$183),"")</f>
        <v>#ERROR!</v>
      </c>
      <c r="I82" s="48" t="str">
        <f>IFERROR(INDEX(Recettes!C:C,MATCH(A91,Recettes!A:A,0)),"")</f>
        <v>#ERROR!</v>
      </c>
      <c r="J82" s="48" t="str">
        <f>IFERROR(INDEX(Recettes!F:F,MATCH(A91,Recettes!A:A,0)),"")</f>
        <v>#ERROR!</v>
      </c>
    </row>
    <row r="83" ht="15.0" customHeight="1">
      <c r="A83" s="106" t="s">
        <v>471</v>
      </c>
      <c r="B83" s="42" t="s">
        <v>276</v>
      </c>
      <c r="C83" s="51" t="s">
        <v>277</v>
      </c>
      <c r="D83" s="107">
        <v>0.5</v>
      </c>
      <c r="E83" s="53" t="s">
        <v>239</v>
      </c>
      <c r="F83" s="108" t="str">
        <f>IFERROR(INDEX('MP Referentiel'!F:F,MATCH(B92,'MP Referentiel'!A:A,0)),"")</f>
        <v>#ERROR!</v>
      </c>
      <c r="G83" s="109" t="str">
        <f>IFERROR(D92*F92,"")</f>
        <v>#ERROR!</v>
      </c>
      <c r="H83" s="110" t="str">
        <f>IFERROR(G92/SUMPRODUCT(('Detail Recettes'!A$5:A$183=A92)*'Detail Recettes'!G$5:G$183),"")</f>
        <v>#ERROR!</v>
      </c>
      <c r="I83" s="111" t="str">
        <f>IFERROR(INDEX(Recettes!C:C,MATCH(A92,Recettes!A:A,0)),"")</f>
        <v>#ERROR!</v>
      </c>
      <c r="J83" s="111" t="str">
        <f>IFERROR(INDEX(Recettes!F:F,MATCH(A92,Recettes!A:A,0)),"")</f>
        <v>#ERROR!</v>
      </c>
    </row>
    <row r="84" ht="15.0" customHeight="1">
      <c r="A84" s="106" t="s">
        <v>471</v>
      </c>
      <c r="B84" s="42" t="s">
        <v>299</v>
      </c>
      <c r="C84" s="43" t="s">
        <v>300</v>
      </c>
      <c r="D84" s="112">
        <v>0.1</v>
      </c>
      <c r="E84" s="45" t="s">
        <v>239</v>
      </c>
      <c r="F84" s="113" t="str">
        <f>IFERROR(INDEX('MP Referentiel'!F:F,MATCH(B93,'MP Referentiel'!A:A,0)),"")</f>
        <v>#ERROR!</v>
      </c>
      <c r="G84" s="114" t="str">
        <f>IFERROR(D93*F93,"")</f>
        <v>#ERROR!</v>
      </c>
      <c r="H84" s="115" t="str">
        <f>IFERROR(G93/SUMPRODUCT(('Detail Recettes'!A$5:A$183=A93)*'Detail Recettes'!G$5:G$183),"")</f>
        <v>#ERROR!</v>
      </c>
      <c r="I84" s="48" t="str">
        <f>IFERROR(INDEX(Recettes!C:C,MATCH(A93,Recettes!A:A,0)),"")</f>
        <v>#ERROR!</v>
      </c>
      <c r="J84" s="48" t="str">
        <f>IFERROR(INDEX(Recettes!F:F,MATCH(A93,Recettes!A:A,0)),"")</f>
        <v>#ERROR!</v>
      </c>
    </row>
    <row r="85" ht="15.0" customHeight="1">
      <c r="A85" s="106" t="s">
        <v>471</v>
      </c>
      <c r="B85" s="42" t="s">
        <v>350</v>
      </c>
      <c r="C85" s="51" t="s">
        <v>351</v>
      </c>
      <c r="D85" s="107">
        <v>0.07</v>
      </c>
      <c r="E85" s="53" t="s">
        <v>239</v>
      </c>
      <c r="F85" s="108" t="str">
        <f>IFERROR(INDEX('MP Referentiel'!F:F,MATCH(B94,'MP Referentiel'!A:A,0)),"")</f>
        <v>#ERROR!</v>
      </c>
      <c r="G85" s="109" t="str">
        <f>IFERROR(D94*F94,"")</f>
        <v>#ERROR!</v>
      </c>
      <c r="H85" s="110" t="str">
        <f>IFERROR(G94/SUMPRODUCT(('Detail Recettes'!A$5:A$183=A94)*'Detail Recettes'!G$5:G$183),"")</f>
        <v>#ERROR!</v>
      </c>
      <c r="I85" s="111" t="str">
        <f>IFERROR(INDEX(Recettes!C:C,MATCH(A94,Recettes!A:A,0)),"")</f>
        <v>#ERROR!</v>
      </c>
      <c r="J85" s="111" t="str">
        <f>IFERROR(INDEX(Recettes!F:F,MATCH(A94,Recettes!A:A,0)),"")</f>
        <v>#ERROR!</v>
      </c>
    </row>
    <row r="86" ht="15.0" customHeight="1">
      <c r="A86" s="106" t="s">
        <v>473</v>
      </c>
      <c r="B86" s="42" t="s">
        <v>236</v>
      </c>
      <c r="C86" s="43" t="s">
        <v>522</v>
      </c>
      <c r="D86" s="112">
        <v>3.2</v>
      </c>
      <c r="E86" s="45" t="s">
        <v>239</v>
      </c>
      <c r="F86" s="113" t="str">
        <f>IFERROR(INDEX('MP Referentiel'!F:F,MATCH(B95,'MP Referentiel'!A:A,0)),"")</f>
        <v>#ERROR!</v>
      </c>
      <c r="G86" s="114" t="str">
        <f>IFERROR(D95*F95,"")</f>
        <v>#ERROR!</v>
      </c>
      <c r="H86" s="115" t="str">
        <f>IFERROR(G95/SUMPRODUCT(('Detail Recettes'!A$5:A$183=A95)*'Detail Recettes'!G$5:G$183),"")</f>
        <v>#ERROR!</v>
      </c>
      <c r="I86" s="48" t="str">
        <f>IFERROR(INDEX(Recettes!C:C,MATCH(A95,Recettes!A:A,0)),"")</f>
        <v>#ERROR!</v>
      </c>
      <c r="J86" s="48" t="str">
        <f>IFERROR(INDEX(Recettes!F:F,MATCH(A95,Recettes!A:A,0)),"")</f>
        <v>#ERROR!</v>
      </c>
    </row>
    <row r="87" ht="15.0" customHeight="1">
      <c r="A87" s="106" t="s">
        <v>473</v>
      </c>
      <c r="B87" s="42" t="s">
        <v>241</v>
      </c>
      <c r="C87" s="51" t="s">
        <v>523</v>
      </c>
      <c r="D87" s="107">
        <v>1.3</v>
      </c>
      <c r="E87" s="53" t="s">
        <v>239</v>
      </c>
      <c r="F87" s="108" t="str">
        <f>IFERROR(INDEX('MP Referentiel'!F:F,MATCH(B96,'MP Referentiel'!A:A,0)),"")</f>
        <v>#ERROR!</v>
      </c>
      <c r="G87" s="109" t="str">
        <f>IFERROR(D96*F96,"")</f>
        <v>#ERROR!</v>
      </c>
      <c r="H87" s="110" t="str">
        <f>IFERROR(G96/SUMPRODUCT(('Detail Recettes'!A$5:A$183=A96)*'Detail Recettes'!G$5:G$183),"")</f>
        <v>#ERROR!</v>
      </c>
      <c r="I87" s="111" t="str">
        <f>IFERROR(INDEX(Recettes!C:C,MATCH(A96,Recettes!A:A,0)),"")</f>
        <v>#ERROR!</v>
      </c>
      <c r="J87" s="111" t="str">
        <f>IFERROR(INDEX(Recettes!F:F,MATCH(A96,Recettes!A:A,0)),"")</f>
        <v>#ERROR!</v>
      </c>
    </row>
    <row r="88" ht="15.0" customHeight="1">
      <c r="A88" s="106" t="s">
        <v>473</v>
      </c>
      <c r="B88" s="42" t="s">
        <v>356</v>
      </c>
      <c r="C88" s="43" t="s">
        <v>357</v>
      </c>
      <c r="D88" s="112">
        <v>0.08</v>
      </c>
      <c r="E88" s="45" t="s">
        <v>239</v>
      </c>
      <c r="F88" s="113" t="str">
        <f>IFERROR(INDEX('MP Referentiel'!F:F,MATCH(B97,'MP Referentiel'!A:A,0)),"")</f>
        <v>#ERROR!</v>
      </c>
      <c r="G88" s="114" t="str">
        <f>IFERROR(D97*F97,"")</f>
        <v>#ERROR!</v>
      </c>
      <c r="H88" s="115" t="str">
        <f>IFERROR(G97/SUMPRODUCT(('Detail Recettes'!A$5:A$183=A97)*'Detail Recettes'!G$5:G$183),"")</f>
        <v>#ERROR!</v>
      </c>
      <c r="I88" s="48" t="str">
        <f>IFERROR(INDEX(Recettes!C:C,MATCH(A97,Recettes!A:A,0)),"")</f>
        <v>#ERROR!</v>
      </c>
      <c r="J88" s="48" t="str">
        <f>IFERROR(INDEX(Recettes!F:F,MATCH(A97,Recettes!A:A,0)),"")</f>
        <v>#ERROR!</v>
      </c>
    </row>
    <row r="89" ht="15.0" customHeight="1">
      <c r="A89" s="106" t="s">
        <v>473</v>
      </c>
      <c r="B89" s="42" t="s">
        <v>315</v>
      </c>
      <c r="C89" s="51" t="s">
        <v>316</v>
      </c>
      <c r="D89" s="107">
        <v>0.06</v>
      </c>
      <c r="E89" s="53" t="s">
        <v>308</v>
      </c>
      <c r="F89" s="108" t="str">
        <f>IFERROR(INDEX('MP Referentiel'!F:F,MATCH(B98,'MP Referentiel'!A:A,0)),"")</f>
        <v>#ERROR!</v>
      </c>
      <c r="G89" s="109" t="str">
        <f>IFERROR(D98*F98,"")</f>
        <v>#ERROR!</v>
      </c>
      <c r="H89" s="110" t="str">
        <f>IFERROR(G98/SUMPRODUCT(('Detail Recettes'!A$5:A$183=A98)*'Detail Recettes'!G$5:G$183),"")</f>
        <v>#ERROR!</v>
      </c>
      <c r="I89" s="111" t="str">
        <f>IFERROR(INDEX(Recettes!C:C,MATCH(A98,Recettes!A:A,0)),"")</f>
        <v>#ERROR!</v>
      </c>
      <c r="J89" s="111" t="str">
        <f>IFERROR(INDEX(Recettes!F:F,MATCH(A98,Recettes!A:A,0)),"")</f>
        <v>#ERROR!</v>
      </c>
    </row>
    <row r="90" ht="15.0" customHeight="1">
      <c r="A90" s="106" t="s">
        <v>473</v>
      </c>
      <c r="B90" s="42" t="s">
        <v>318</v>
      </c>
      <c r="C90" s="43" t="s">
        <v>319</v>
      </c>
      <c r="D90" s="112">
        <v>0.02</v>
      </c>
      <c r="E90" s="45" t="s">
        <v>239</v>
      </c>
      <c r="F90" s="113" t="str">
        <f>IFERROR(INDEX('MP Referentiel'!F:F,MATCH(B99,'MP Referentiel'!A:A,0)),"")</f>
        <v>#ERROR!</v>
      </c>
      <c r="G90" s="114" t="str">
        <f>IFERROR(D99*F99,"")</f>
        <v>#ERROR!</v>
      </c>
      <c r="H90" s="115" t="str">
        <f>IFERROR(G99/SUMPRODUCT(('Detail Recettes'!A$5:A$183=A99)*'Detail Recettes'!G$5:G$183),"")</f>
        <v>#ERROR!</v>
      </c>
      <c r="I90" s="48" t="str">
        <f>IFERROR(INDEX(Recettes!C:C,MATCH(A99,Recettes!A:A,0)),"")</f>
        <v>#ERROR!</v>
      </c>
      <c r="J90" s="48" t="str">
        <f>IFERROR(INDEX(Recettes!F:F,MATCH(A99,Recettes!A:A,0)),"")</f>
        <v>#ERROR!</v>
      </c>
    </row>
    <row r="91" ht="15.0" customHeight="1">
      <c r="A91" s="106" t="s">
        <v>473</v>
      </c>
      <c r="B91" s="42" t="s">
        <v>350</v>
      </c>
      <c r="C91" s="51" t="s">
        <v>351</v>
      </c>
      <c r="D91" s="107">
        <v>0.07</v>
      </c>
      <c r="E91" s="53" t="s">
        <v>239</v>
      </c>
      <c r="F91" s="108" t="str">
        <f>IFERROR(INDEX('MP Referentiel'!F:F,MATCH(B100,'MP Referentiel'!A:A,0)),"")</f>
        <v>#ERROR!</v>
      </c>
      <c r="G91" s="109" t="str">
        <f>IFERROR(D100*F100,"")</f>
        <v>#ERROR!</v>
      </c>
      <c r="H91" s="110" t="str">
        <f>IFERROR(G100/SUMPRODUCT(('Detail Recettes'!A$5:A$183=A100)*'Detail Recettes'!G$5:G$183),"")</f>
        <v>#ERROR!</v>
      </c>
      <c r="I91" s="111" t="str">
        <f>IFERROR(INDEX(Recettes!C:C,MATCH(A100,Recettes!A:A,0)),"")</f>
        <v>#ERROR!</v>
      </c>
      <c r="J91" s="111" t="str">
        <f>IFERROR(INDEX(Recettes!F:F,MATCH(A100,Recettes!A:A,0)),"")</f>
        <v>#ERROR!</v>
      </c>
    </row>
    <row r="92" ht="15.0" customHeight="1">
      <c r="A92" s="106" t="s">
        <v>475</v>
      </c>
      <c r="B92" s="42" t="s">
        <v>236</v>
      </c>
      <c r="C92" s="43" t="s">
        <v>522</v>
      </c>
      <c r="D92" s="112">
        <v>3.2</v>
      </c>
      <c r="E92" s="45" t="s">
        <v>239</v>
      </c>
      <c r="F92" s="113" t="str">
        <f>IFERROR(INDEX('MP Referentiel'!F:F,MATCH(B101,'MP Referentiel'!A:A,0)),"")</f>
        <v>#ERROR!</v>
      </c>
      <c r="G92" s="114" t="str">
        <f>IFERROR(D101*F101,"")</f>
        <v>#ERROR!</v>
      </c>
      <c r="H92" s="115" t="str">
        <f>IFERROR(G101/SUMPRODUCT(('Detail Recettes'!A$5:A$183=A101)*'Detail Recettes'!G$5:G$183),"")</f>
        <v>#ERROR!</v>
      </c>
      <c r="I92" s="48" t="str">
        <f>IFERROR(INDEX(Recettes!C:C,MATCH(A101,Recettes!A:A,0)),"")</f>
        <v>#ERROR!</v>
      </c>
      <c r="J92" s="48" t="str">
        <f>IFERROR(INDEX(Recettes!F:F,MATCH(A101,Recettes!A:A,0)),"")</f>
        <v>#ERROR!</v>
      </c>
    </row>
    <row r="93" ht="15.0" customHeight="1">
      <c r="A93" s="106" t="s">
        <v>475</v>
      </c>
      <c r="B93" s="42" t="s">
        <v>241</v>
      </c>
      <c r="C93" s="51" t="s">
        <v>523</v>
      </c>
      <c r="D93" s="107">
        <v>1.3</v>
      </c>
      <c r="E93" s="53" t="s">
        <v>239</v>
      </c>
      <c r="F93" s="108" t="str">
        <f>IFERROR(INDEX('MP Referentiel'!F:F,MATCH(B102,'MP Referentiel'!A:A,0)),"")</f>
        <v>#ERROR!</v>
      </c>
      <c r="G93" s="109" t="str">
        <f>IFERROR(D102*F102,"")</f>
        <v>#ERROR!</v>
      </c>
      <c r="H93" s="110" t="str">
        <f>IFERROR(G102/SUMPRODUCT(('Detail Recettes'!A$5:A$183=A102)*'Detail Recettes'!G$5:G$183),"")</f>
        <v>#ERROR!</v>
      </c>
      <c r="I93" s="111" t="str">
        <f>IFERROR(INDEX(Recettes!C:C,MATCH(A102,Recettes!A:A,0)),"")</f>
        <v>#ERROR!</v>
      </c>
      <c r="J93" s="111" t="str">
        <f>IFERROR(INDEX(Recettes!F:F,MATCH(A102,Recettes!A:A,0)),"")</f>
        <v>#ERROR!</v>
      </c>
    </row>
    <row r="94" ht="15.0" customHeight="1">
      <c r="A94" s="106" t="s">
        <v>475</v>
      </c>
      <c r="B94" s="42" t="s">
        <v>364</v>
      </c>
      <c r="C94" s="43" t="s">
        <v>365</v>
      </c>
      <c r="D94" s="112">
        <v>0.012</v>
      </c>
      <c r="E94" s="45" t="s">
        <v>239</v>
      </c>
      <c r="F94" s="113" t="str">
        <f>IFERROR(INDEX('MP Referentiel'!F:F,MATCH(B103,'MP Referentiel'!A:A,0)),"")</f>
        <v>#ERROR!</v>
      </c>
      <c r="G94" s="114" t="str">
        <f>IFERROR(D103*F103,"")</f>
        <v>#ERROR!</v>
      </c>
      <c r="H94" s="115" t="str">
        <f>IFERROR(G103/SUMPRODUCT(('Detail Recettes'!A$5:A$183=A103)*'Detail Recettes'!G$5:G$183),"")</f>
        <v>#ERROR!</v>
      </c>
      <c r="I94" s="48" t="str">
        <f>IFERROR(INDEX(Recettes!C:C,MATCH(A103,Recettes!A:A,0)),"")</f>
        <v>#ERROR!</v>
      </c>
      <c r="J94" s="48" t="str">
        <f>IFERROR(INDEX(Recettes!F:F,MATCH(A103,Recettes!A:A,0)),"")</f>
        <v>#ERROR!</v>
      </c>
    </row>
    <row r="95" ht="15.0" customHeight="1">
      <c r="A95" s="106" t="s">
        <v>475</v>
      </c>
      <c r="B95" s="42" t="s">
        <v>350</v>
      </c>
      <c r="C95" s="51" t="s">
        <v>351</v>
      </c>
      <c r="D95" s="107">
        <v>0.07</v>
      </c>
      <c r="E95" s="53" t="s">
        <v>239</v>
      </c>
      <c r="F95" s="108" t="str">
        <f>IFERROR(INDEX('MP Referentiel'!F:F,MATCH(B104,'MP Referentiel'!A:A,0)),"")</f>
        <v>#ERROR!</v>
      </c>
      <c r="G95" s="109" t="str">
        <f>IFERROR(D104*F104,"")</f>
        <v>#ERROR!</v>
      </c>
      <c r="H95" s="110" t="str">
        <f>IFERROR(G104/SUMPRODUCT(('Detail Recettes'!A$5:A$183=A104)*'Detail Recettes'!G$5:G$183),"")</f>
        <v>#ERROR!</v>
      </c>
      <c r="I95" s="111" t="str">
        <f>IFERROR(INDEX(Recettes!C:C,MATCH(A104,Recettes!A:A,0)),"")</f>
        <v>#ERROR!</v>
      </c>
      <c r="J95" s="111" t="str">
        <f>IFERROR(INDEX(Recettes!F:F,MATCH(A104,Recettes!A:A,0)),"")</f>
        <v>#ERROR!</v>
      </c>
    </row>
    <row r="96" ht="15.0" customHeight="1">
      <c r="A96" s="106" t="s">
        <v>477</v>
      </c>
      <c r="B96" s="42" t="s">
        <v>236</v>
      </c>
      <c r="C96" s="43" t="s">
        <v>522</v>
      </c>
      <c r="D96" s="112">
        <v>3.0</v>
      </c>
      <c r="E96" s="45" t="s">
        <v>239</v>
      </c>
      <c r="F96" s="113" t="str">
        <f>IFERROR(INDEX('MP Referentiel'!F:F,MATCH(B105,'MP Referentiel'!A:A,0)),"")</f>
        <v>#ERROR!</v>
      </c>
      <c r="G96" s="114" t="str">
        <f>IFERROR(D105*F105,"")</f>
        <v>#ERROR!</v>
      </c>
      <c r="H96" s="115" t="str">
        <f>IFERROR(G105/SUMPRODUCT(('Detail Recettes'!A$5:A$183=A105)*'Detail Recettes'!G$5:G$183),"")</f>
        <v>#ERROR!</v>
      </c>
      <c r="I96" s="48" t="str">
        <f>IFERROR(INDEX(Recettes!C:C,MATCH(A105,Recettes!A:A,0)),"")</f>
        <v>#ERROR!</v>
      </c>
      <c r="J96" s="48" t="str">
        <f>IFERROR(INDEX(Recettes!F:F,MATCH(A105,Recettes!A:A,0)),"")</f>
        <v>#ERROR!</v>
      </c>
    </row>
    <row r="97" ht="15.0" customHeight="1">
      <c r="A97" s="106" t="s">
        <v>477</v>
      </c>
      <c r="B97" s="42" t="s">
        <v>241</v>
      </c>
      <c r="C97" s="51" t="s">
        <v>523</v>
      </c>
      <c r="D97" s="107">
        <v>1.2</v>
      </c>
      <c r="E97" s="53" t="s">
        <v>239</v>
      </c>
      <c r="F97" s="108" t="str">
        <f>IFERROR(INDEX('MP Referentiel'!F:F,MATCH(B106,'MP Referentiel'!A:A,0)),"")</f>
        <v>#ERROR!</v>
      </c>
      <c r="G97" s="109" t="str">
        <f>IFERROR(D106*F106,"")</f>
        <v>#ERROR!</v>
      </c>
      <c r="H97" s="110" t="str">
        <f>IFERROR(G106/SUMPRODUCT(('Detail Recettes'!A$5:A$183=A106)*'Detail Recettes'!G$5:G$183),"")</f>
        <v>#ERROR!</v>
      </c>
      <c r="I97" s="111" t="str">
        <f>IFERROR(INDEX(Recettes!C:C,MATCH(A106,Recettes!A:A,0)),"")</f>
        <v>#ERROR!</v>
      </c>
      <c r="J97" s="111" t="str">
        <f>IFERROR(INDEX(Recettes!F:F,MATCH(A106,Recettes!A:A,0)),"")</f>
        <v>#ERROR!</v>
      </c>
    </row>
    <row r="98" ht="15.0" customHeight="1">
      <c r="A98" s="106" t="s">
        <v>477</v>
      </c>
      <c r="B98" s="42" t="s">
        <v>276</v>
      </c>
      <c r="C98" s="43" t="s">
        <v>277</v>
      </c>
      <c r="D98" s="112">
        <v>0.6</v>
      </c>
      <c r="E98" s="45" t="s">
        <v>239</v>
      </c>
      <c r="F98" s="113" t="str">
        <f>IFERROR(INDEX('MP Referentiel'!F:F,MATCH(B107,'MP Referentiel'!A:A,0)),"")</f>
        <v>#ERROR!</v>
      </c>
      <c r="G98" s="114" t="str">
        <f>IFERROR(D107*F107,"")</f>
        <v>#ERROR!</v>
      </c>
      <c r="H98" s="115" t="str">
        <f>IFERROR(G107/SUMPRODUCT(('Detail Recettes'!A$5:A$183=A107)*'Detail Recettes'!G$5:G$183),"")</f>
        <v>#ERROR!</v>
      </c>
      <c r="I98" s="48" t="str">
        <f>IFERROR(INDEX(Recettes!C:C,MATCH(A107,Recettes!A:A,0)),"")</f>
        <v>#ERROR!</v>
      </c>
      <c r="J98" s="48" t="str">
        <f>IFERROR(INDEX(Recettes!F:F,MATCH(A107,Recettes!A:A,0)),"")</f>
        <v>#ERROR!</v>
      </c>
    </row>
    <row r="99" ht="15.0" customHeight="1">
      <c r="A99" s="106" t="s">
        <v>477</v>
      </c>
      <c r="B99" s="42" t="s">
        <v>299</v>
      </c>
      <c r="C99" s="51" t="s">
        <v>300</v>
      </c>
      <c r="D99" s="107">
        <v>0.1</v>
      </c>
      <c r="E99" s="53" t="s">
        <v>239</v>
      </c>
      <c r="F99" s="108" t="str">
        <f>IFERROR(INDEX('MP Referentiel'!F:F,MATCH(B108,'MP Referentiel'!A:A,0)),"")</f>
        <v>#ERROR!</v>
      </c>
      <c r="G99" s="109" t="str">
        <f>IFERROR(D108*F108,"")</f>
        <v>#ERROR!</v>
      </c>
      <c r="H99" s="110" t="str">
        <f>IFERROR(G108/SUMPRODUCT(('Detail Recettes'!A$5:A$183=A108)*'Detail Recettes'!G$5:G$183),"")</f>
        <v>#ERROR!</v>
      </c>
      <c r="I99" s="111" t="str">
        <f>IFERROR(INDEX(Recettes!C:C,MATCH(A108,Recettes!A:A,0)),"")</f>
        <v>#ERROR!</v>
      </c>
      <c r="J99" s="111" t="str">
        <f>IFERROR(INDEX(Recettes!F:F,MATCH(A108,Recettes!A:A,0)),"")</f>
        <v>#ERROR!</v>
      </c>
    </row>
    <row r="100" ht="15.0" customHeight="1">
      <c r="A100" s="106" t="s">
        <v>477</v>
      </c>
      <c r="B100" s="42" t="s">
        <v>350</v>
      </c>
      <c r="C100" s="43" t="s">
        <v>351</v>
      </c>
      <c r="D100" s="112">
        <v>0.07</v>
      </c>
      <c r="E100" s="45" t="s">
        <v>239</v>
      </c>
      <c r="F100" s="113" t="str">
        <f>IFERROR(INDEX('MP Referentiel'!F:F,MATCH(B109,'MP Referentiel'!A:A,0)),"")</f>
        <v>#ERROR!</v>
      </c>
      <c r="G100" s="114" t="str">
        <f>IFERROR(D109*F109,"")</f>
        <v>#ERROR!</v>
      </c>
      <c r="H100" s="115" t="str">
        <f>IFERROR(G109/SUMPRODUCT(('Detail Recettes'!A$5:A$183=A109)*'Detail Recettes'!G$5:G$183),"")</f>
        <v>#ERROR!</v>
      </c>
      <c r="I100" s="48" t="str">
        <f>IFERROR(INDEX(Recettes!C:C,MATCH(A109,Recettes!A:A,0)),"")</f>
        <v>#ERROR!</v>
      </c>
      <c r="J100" s="48" t="str">
        <f>IFERROR(INDEX(Recettes!F:F,MATCH(A109,Recettes!A:A,0)),"")</f>
        <v>#ERROR!</v>
      </c>
    </row>
    <row r="101" ht="15.0" customHeight="1">
      <c r="A101" s="106" t="s">
        <v>479</v>
      </c>
      <c r="B101" s="42" t="s">
        <v>236</v>
      </c>
      <c r="C101" s="51" t="s">
        <v>522</v>
      </c>
      <c r="D101" s="107">
        <v>3.0</v>
      </c>
      <c r="E101" s="53" t="s">
        <v>239</v>
      </c>
      <c r="F101" s="108" t="str">
        <f>IFERROR(INDEX('MP Referentiel'!F:F,MATCH(B110,'MP Referentiel'!A:A,0)),"")</f>
        <v>#ERROR!</v>
      </c>
      <c r="G101" s="109" t="str">
        <f>IFERROR(D110*F110,"")</f>
        <v>#ERROR!</v>
      </c>
      <c r="H101" s="110" t="str">
        <f>IFERROR(G110/SUMPRODUCT(('Detail Recettes'!A$5:A$183=A110)*'Detail Recettes'!G$5:G$183),"")</f>
        <v>#ERROR!</v>
      </c>
      <c r="I101" s="111" t="str">
        <f>IFERROR(INDEX(Recettes!C:C,MATCH(A110,Recettes!A:A,0)),"")</f>
        <v>#ERROR!</v>
      </c>
      <c r="J101" s="111" t="str">
        <f>IFERROR(INDEX(Recettes!F:F,MATCH(A110,Recettes!A:A,0)),"")</f>
        <v>#ERROR!</v>
      </c>
    </row>
    <row r="102" ht="15.0" customHeight="1">
      <c r="A102" s="106" t="s">
        <v>479</v>
      </c>
      <c r="B102" s="42" t="s">
        <v>241</v>
      </c>
      <c r="C102" s="43" t="s">
        <v>523</v>
      </c>
      <c r="D102" s="112">
        <v>1.2</v>
      </c>
      <c r="E102" s="45" t="s">
        <v>239</v>
      </c>
      <c r="F102" s="113" t="str">
        <f>IFERROR(INDEX('MP Referentiel'!F:F,MATCH(B111,'MP Referentiel'!A:A,0)),"")</f>
        <v>#ERROR!</v>
      </c>
      <c r="G102" s="114" t="str">
        <f>IFERROR(D111*F111,"")</f>
        <v>#ERROR!</v>
      </c>
      <c r="H102" s="115" t="str">
        <f>IFERROR(G111/SUMPRODUCT(('Detail Recettes'!A$5:A$183=A111)*'Detail Recettes'!G$5:G$183),"")</f>
        <v>#ERROR!</v>
      </c>
      <c r="I102" s="48" t="str">
        <f>IFERROR(INDEX(Recettes!C:C,MATCH(A111,Recettes!A:A,0)),"")</f>
        <v>#ERROR!</v>
      </c>
      <c r="J102" s="48" t="str">
        <f>IFERROR(INDEX(Recettes!F:F,MATCH(A111,Recettes!A:A,0)),"")</f>
        <v>#ERROR!</v>
      </c>
    </row>
    <row r="103" ht="15.0" customHeight="1">
      <c r="A103" s="106" t="s">
        <v>479</v>
      </c>
      <c r="B103" s="42" t="s">
        <v>338</v>
      </c>
      <c r="C103" s="51" t="s">
        <v>339</v>
      </c>
      <c r="D103" s="107">
        <v>0.015</v>
      </c>
      <c r="E103" s="53" t="s">
        <v>239</v>
      </c>
      <c r="F103" s="108" t="str">
        <f>IFERROR(INDEX('MP Referentiel'!F:F,MATCH(B112,'MP Referentiel'!A:A,0)),"")</f>
        <v>#ERROR!</v>
      </c>
      <c r="G103" s="109" t="str">
        <f>IFERROR(D112*F112,"")</f>
        <v>#ERROR!</v>
      </c>
      <c r="H103" s="110" t="str">
        <f>IFERROR(G112/SUMPRODUCT(('Detail Recettes'!A$5:A$183=A112)*'Detail Recettes'!G$5:G$183),"")</f>
        <v>#ERROR!</v>
      </c>
      <c r="I103" s="111" t="str">
        <f>IFERROR(INDEX(Recettes!C:C,MATCH(A112,Recettes!A:A,0)),"")</f>
        <v>#ERROR!</v>
      </c>
      <c r="J103" s="111" t="str">
        <f>IFERROR(INDEX(Recettes!F:F,MATCH(A112,Recettes!A:A,0)),"")</f>
        <v>#ERROR!</v>
      </c>
    </row>
    <row r="104" ht="15.0" customHeight="1">
      <c r="A104" s="106" t="s">
        <v>479</v>
      </c>
      <c r="B104" s="42" t="s">
        <v>356</v>
      </c>
      <c r="C104" s="43" t="s">
        <v>357</v>
      </c>
      <c r="D104" s="112">
        <v>0.06</v>
      </c>
      <c r="E104" s="45" t="s">
        <v>239</v>
      </c>
      <c r="F104" s="113" t="str">
        <f>IFERROR(INDEX('MP Referentiel'!F:F,MATCH(B113,'MP Referentiel'!A:A,0)),"")</f>
        <v>#ERROR!</v>
      </c>
      <c r="G104" s="114" t="str">
        <f>IFERROR(D113*F113,"")</f>
        <v>#ERROR!</v>
      </c>
      <c r="H104" s="115" t="str">
        <f>IFERROR(G113/SUMPRODUCT(('Detail Recettes'!A$5:A$183=A113)*'Detail Recettes'!G$5:G$183),"")</f>
        <v>#ERROR!</v>
      </c>
      <c r="I104" s="48" t="str">
        <f>IFERROR(INDEX(Recettes!C:C,MATCH(A113,Recettes!A:A,0)),"")</f>
        <v>#ERROR!</v>
      </c>
      <c r="J104" s="48" t="str">
        <f>IFERROR(INDEX(Recettes!F:F,MATCH(A113,Recettes!A:A,0)),"")</f>
        <v>#ERROR!</v>
      </c>
    </row>
    <row r="105" ht="15.0" customHeight="1">
      <c r="A105" s="106" t="s">
        <v>479</v>
      </c>
      <c r="B105" s="42" t="s">
        <v>350</v>
      </c>
      <c r="C105" s="51" t="s">
        <v>351</v>
      </c>
      <c r="D105" s="107">
        <v>0.07</v>
      </c>
      <c r="E105" s="53" t="s">
        <v>239</v>
      </c>
      <c r="F105" s="108" t="str">
        <f>IFERROR(INDEX('MP Referentiel'!F:F,MATCH(B114,'MP Referentiel'!A:A,0)),"")</f>
        <v>#ERROR!</v>
      </c>
      <c r="G105" s="109" t="str">
        <f>IFERROR(D114*F114,"")</f>
        <v>#ERROR!</v>
      </c>
      <c r="H105" s="110" t="str">
        <f>IFERROR(G114/SUMPRODUCT(('Detail Recettes'!A$5:A$183=A114)*'Detail Recettes'!G$5:G$183),"")</f>
        <v>#ERROR!</v>
      </c>
      <c r="I105" s="111" t="str">
        <f>IFERROR(INDEX(Recettes!C:C,MATCH(A114,Recettes!A:A,0)),"")</f>
        <v>#ERROR!</v>
      </c>
      <c r="J105" s="111" t="str">
        <f>IFERROR(INDEX(Recettes!F:F,MATCH(A114,Recettes!A:A,0)),"")</f>
        <v>#ERROR!</v>
      </c>
    </row>
    <row r="106" ht="15.0" customHeight="1">
      <c r="A106" s="116" t="s">
        <v>481</v>
      </c>
      <c r="B106" s="42" t="s">
        <v>350</v>
      </c>
      <c r="C106" s="43" t="s">
        <v>351</v>
      </c>
      <c r="D106" s="112">
        <v>0.01</v>
      </c>
      <c r="E106" s="45" t="s">
        <v>239</v>
      </c>
      <c r="F106" s="113" t="str">
        <f>IFERROR(INDEX('MP Referentiel'!F:F,MATCH(B115,'MP Referentiel'!A:A,0)),"")</f>
        <v>#ERROR!</v>
      </c>
      <c r="G106" s="114" t="str">
        <f>IFERROR(D115*F115,"")</f>
        <v>#ERROR!</v>
      </c>
      <c r="H106" s="115" t="str">
        <f>IFERROR(G115/SUMPRODUCT(('Detail Recettes'!A$5:A$183=A115)*'Detail Recettes'!G$5:G$183),"")</f>
        <v>#ERROR!</v>
      </c>
      <c r="I106" s="48" t="str">
        <f>IFERROR(INDEX(Recettes!C:C,MATCH(A115,Recettes!A:A,0)),"")</f>
        <v>#ERROR!</v>
      </c>
      <c r="J106" s="48" t="str">
        <f>IFERROR(INDEX(Recettes!F:F,MATCH(A115,Recettes!A:A,0)),"")</f>
        <v>#ERROR!</v>
      </c>
    </row>
    <row r="107" ht="15.0" customHeight="1">
      <c r="A107" s="116" t="s">
        <v>481</v>
      </c>
      <c r="B107" s="42" t="s">
        <v>368</v>
      </c>
      <c r="C107" s="51" t="s">
        <v>369</v>
      </c>
      <c r="D107" s="107">
        <v>0.1</v>
      </c>
      <c r="E107" s="53" t="s">
        <v>308</v>
      </c>
      <c r="F107" s="108" t="str">
        <f>IFERROR(INDEX('MP Referentiel'!F:F,MATCH(B116,'MP Referentiel'!A:A,0)),"")</f>
        <v>#ERROR!</v>
      </c>
      <c r="G107" s="109" t="str">
        <f>IFERROR(D116*F116,"")</f>
        <v>#ERROR!</v>
      </c>
      <c r="H107" s="110" t="str">
        <f>IFERROR(G116/SUMPRODUCT(('Detail Recettes'!A$5:A$183=A116)*'Detail Recettes'!G$5:G$183),"")</f>
        <v>#ERROR!</v>
      </c>
      <c r="I107" s="111" t="str">
        <f>IFERROR(INDEX(Recettes!C:C,MATCH(A116,Recettes!A:A,0)),"")</f>
        <v>#ERROR!</v>
      </c>
      <c r="J107" s="111" t="str">
        <f>IFERROR(INDEX(Recettes!F:F,MATCH(A116,Recettes!A:A,0)),"")</f>
        <v>#ERROR!</v>
      </c>
    </row>
    <row r="108" ht="15.0" customHeight="1">
      <c r="A108" s="116" t="s">
        <v>481</v>
      </c>
      <c r="B108" s="42" t="s">
        <v>257</v>
      </c>
      <c r="C108" s="43" t="s">
        <v>258</v>
      </c>
      <c r="D108" s="112">
        <v>0.02</v>
      </c>
      <c r="E108" s="45" t="s">
        <v>239</v>
      </c>
      <c r="F108" s="113" t="str">
        <f>IFERROR(INDEX('MP Referentiel'!F:F,MATCH(B117,'MP Referentiel'!A:A,0)),"")</f>
        <v>#ERROR!</v>
      </c>
      <c r="G108" s="114" t="str">
        <f>IFERROR(D117*F117,"")</f>
        <v>#ERROR!</v>
      </c>
      <c r="H108" s="115" t="str">
        <f>IFERROR(G117/SUMPRODUCT(('Detail Recettes'!A$5:A$183=A117)*'Detail Recettes'!G$5:G$183),"")</f>
        <v>#ERROR!</v>
      </c>
      <c r="I108" s="48" t="str">
        <f>IFERROR(INDEX(Recettes!C:C,MATCH(A117,Recettes!A:A,0)),"")</f>
        <v>#ERROR!</v>
      </c>
      <c r="J108" s="48" t="str">
        <f>IFERROR(INDEX(Recettes!F:F,MATCH(A117,Recettes!A:A,0)),"")</f>
        <v>#ERROR!</v>
      </c>
    </row>
    <row r="109" ht="15.0" customHeight="1">
      <c r="A109" s="116" t="s">
        <v>481</v>
      </c>
      <c r="B109" s="42" t="s">
        <v>306</v>
      </c>
      <c r="C109" s="51" t="s">
        <v>307</v>
      </c>
      <c r="D109" s="107">
        <v>0.15</v>
      </c>
      <c r="E109" s="53" t="s">
        <v>308</v>
      </c>
      <c r="F109" s="108" t="str">
        <f>IFERROR(INDEX('MP Referentiel'!F:F,MATCH(B118,'MP Referentiel'!A:A,0)),"")</f>
        <v>#ERROR!</v>
      </c>
      <c r="G109" s="109" t="str">
        <f>IFERROR(D118*F118,"")</f>
        <v>#ERROR!</v>
      </c>
      <c r="H109" s="110" t="str">
        <f>IFERROR(G118/SUMPRODUCT(('Detail Recettes'!A$5:A$183=A118)*'Detail Recettes'!G$5:G$183),"")</f>
        <v>#ERROR!</v>
      </c>
      <c r="I109" s="111" t="str">
        <f>IFERROR(INDEX(Recettes!C:C,MATCH(A118,Recettes!A:A,0)),"")</f>
        <v>#ERROR!</v>
      </c>
      <c r="J109" s="111" t="str">
        <f>IFERROR(INDEX(Recettes!F:F,MATCH(A118,Recettes!A:A,0)),"")</f>
        <v>#ERROR!</v>
      </c>
    </row>
    <row r="110" ht="15.0" customHeight="1">
      <c r="A110" s="117" t="s">
        <v>483</v>
      </c>
      <c r="B110" s="42" t="s">
        <v>249</v>
      </c>
      <c r="C110" s="43" t="s">
        <v>250</v>
      </c>
      <c r="D110" s="112">
        <v>2.0</v>
      </c>
      <c r="E110" s="45" t="s">
        <v>239</v>
      </c>
      <c r="F110" s="113" t="str">
        <f>IFERROR(INDEX('MP Referentiel'!F:F,MATCH(B119,'MP Referentiel'!A:A,0)),"")</f>
        <v>#ERROR!</v>
      </c>
      <c r="G110" s="114" t="str">
        <f>IFERROR(D119*F119,"")</f>
        <v>#ERROR!</v>
      </c>
      <c r="H110" s="115" t="str">
        <f>IFERROR(G119/SUMPRODUCT(('Detail Recettes'!A$5:A$183=A119)*'Detail Recettes'!G$5:G$183),"")</f>
        <v>#ERROR!</v>
      </c>
      <c r="I110" s="48" t="str">
        <f>IFERROR(INDEX(Recettes!C:C,MATCH(A119,Recettes!A:A,0)),"")</f>
        <v>#ERROR!</v>
      </c>
      <c r="J110" s="48" t="str">
        <f>IFERROR(INDEX(Recettes!F:F,MATCH(A119,Recettes!A:A,0)),"")</f>
        <v>#ERROR!</v>
      </c>
    </row>
    <row r="111" ht="15.0" customHeight="1">
      <c r="A111" s="117" t="s">
        <v>483</v>
      </c>
      <c r="B111" s="42" t="s">
        <v>291</v>
      </c>
      <c r="C111" s="51" t="s">
        <v>292</v>
      </c>
      <c r="D111" s="107">
        <v>2.5</v>
      </c>
      <c r="E111" s="53" t="s">
        <v>239</v>
      </c>
      <c r="F111" s="108" t="str">
        <f>IFERROR(INDEX('MP Referentiel'!F:F,MATCH(B120,'MP Referentiel'!A:A,0)),"")</f>
        <v>#ERROR!</v>
      </c>
      <c r="G111" s="109" t="str">
        <f>IFERROR(D120*F120,"")</f>
        <v>#ERROR!</v>
      </c>
      <c r="H111" s="110" t="str">
        <f>IFERROR(G120/SUMPRODUCT(('Detail Recettes'!A$5:A$183=A120)*'Detail Recettes'!G$5:G$183),"")</f>
        <v>#ERROR!</v>
      </c>
      <c r="I111" s="111" t="str">
        <f>IFERROR(INDEX(Recettes!C:C,MATCH(A120,Recettes!A:A,0)),"")</f>
        <v>#ERROR!</v>
      </c>
      <c r="J111" s="111" t="str">
        <f>IFERROR(INDEX(Recettes!F:F,MATCH(A120,Recettes!A:A,0)),"")</f>
        <v>#ERROR!</v>
      </c>
    </row>
    <row r="112" ht="15.0" customHeight="1">
      <c r="A112" s="117" t="s">
        <v>483</v>
      </c>
      <c r="B112" s="42" t="s">
        <v>272</v>
      </c>
      <c r="C112" s="43" t="s">
        <v>273</v>
      </c>
      <c r="D112" s="112">
        <v>0.3</v>
      </c>
      <c r="E112" s="45" t="s">
        <v>239</v>
      </c>
      <c r="F112" s="113" t="str">
        <f>IFERROR(INDEX('MP Referentiel'!F:F,MATCH(B121,'MP Referentiel'!A:A,0)),"")</f>
        <v>#ERROR!</v>
      </c>
      <c r="G112" s="114" t="str">
        <f>IFERROR(D121*F121,"")</f>
        <v>#ERROR!</v>
      </c>
      <c r="H112" s="115" t="str">
        <f>IFERROR(G121/SUMPRODUCT(('Detail Recettes'!A$5:A$183=A121)*'Detail Recettes'!G$5:G$183),"")</f>
        <v>#ERROR!</v>
      </c>
      <c r="I112" s="48" t="str">
        <f>IFERROR(INDEX(Recettes!C:C,MATCH(A121,Recettes!A:A,0)),"")</f>
        <v>#ERROR!</v>
      </c>
      <c r="J112" s="48" t="str">
        <f>IFERROR(INDEX(Recettes!F:F,MATCH(A121,Recettes!A:A,0)),"")</f>
        <v>#ERROR!</v>
      </c>
    </row>
    <row r="113" ht="15.0" customHeight="1">
      <c r="A113" s="117" t="s">
        <v>483</v>
      </c>
      <c r="B113" s="42" t="s">
        <v>260</v>
      </c>
      <c r="C113" s="51" t="s">
        <v>261</v>
      </c>
      <c r="D113" s="107">
        <v>0.3</v>
      </c>
      <c r="E113" s="53" t="s">
        <v>239</v>
      </c>
      <c r="F113" s="108" t="str">
        <f>IFERROR(INDEX('MP Referentiel'!F:F,MATCH(B122,'MP Referentiel'!A:A,0)),"")</f>
        <v>#ERROR!</v>
      </c>
      <c r="G113" s="109" t="str">
        <f>IFERROR(D122*F122,"")</f>
        <v>#ERROR!</v>
      </c>
      <c r="H113" s="110" t="str">
        <f>IFERROR(G122/SUMPRODUCT(('Detail Recettes'!A$5:A$183=A122)*'Detail Recettes'!G$5:G$183),"")</f>
        <v>#ERROR!</v>
      </c>
      <c r="I113" s="111" t="str">
        <f>IFERROR(INDEX(Recettes!C:C,MATCH(A122,Recettes!A:A,0)),"")</f>
        <v>#ERROR!</v>
      </c>
      <c r="J113" s="111" t="str">
        <f>IFERROR(INDEX(Recettes!F:F,MATCH(A122,Recettes!A:A,0)),"")</f>
        <v>#ERROR!</v>
      </c>
    </row>
    <row r="114" ht="15.0" customHeight="1">
      <c r="A114" s="117" t="s">
        <v>483</v>
      </c>
      <c r="B114" s="42" t="s">
        <v>257</v>
      </c>
      <c r="C114" s="43" t="s">
        <v>258</v>
      </c>
      <c r="D114" s="112">
        <v>0.03</v>
      </c>
      <c r="E114" s="45" t="s">
        <v>239</v>
      </c>
      <c r="F114" s="113" t="str">
        <f>IFERROR(INDEX('MP Referentiel'!F:F,MATCH(B123,'MP Referentiel'!A:A,0)),"")</f>
        <v>#ERROR!</v>
      </c>
      <c r="G114" s="114" t="str">
        <f>IFERROR(D123*F123,"")</f>
        <v>#ERROR!</v>
      </c>
      <c r="H114" s="115" t="str">
        <f>IFERROR(G123/SUMPRODUCT(('Detail Recettes'!A$5:A$183=A123)*'Detail Recettes'!G$5:G$183),"")</f>
        <v>#ERROR!</v>
      </c>
      <c r="I114" s="48" t="str">
        <f>IFERROR(INDEX(Recettes!C:C,MATCH(A123,Recettes!A:A,0)),"")</f>
        <v>#ERROR!</v>
      </c>
      <c r="J114" s="48" t="str">
        <f>IFERROR(INDEX(Recettes!F:F,MATCH(A123,Recettes!A:A,0)),"")</f>
        <v>#ERROR!</v>
      </c>
    </row>
    <row r="115" ht="15.0" customHeight="1">
      <c r="A115" s="117" t="s">
        <v>483</v>
      </c>
      <c r="B115" s="42" t="s">
        <v>381</v>
      </c>
      <c r="C115" s="51" t="s">
        <v>382</v>
      </c>
      <c r="D115" s="107">
        <v>0.5</v>
      </c>
      <c r="E115" s="53" t="s">
        <v>308</v>
      </c>
      <c r="F115" s="108" t="str">
        <f>IFERROR(INDEX('MP Referentiel'!F:F,MATCH(B124,'MP Referentiel'!A:A,0)),"")</f>
        <v>#ERROR!</v>
      </c>
      <c r="G115" s="109" t="str">
        <f>IFERROR(D124*F124,"")</f>
        <v>#ERROR!</v>
      </c>
      <c r="H115" s="110" t="str">
        <f>IFERROR(G124/SUMPRODUCT(('Detail Recettes'!A$5:A$183=A124)*'Detail Recettes'!G$5:G$183),"")</f>
        <v>#ERROR!</v>
      </c>
      <c r="I115" s="111" t="str">
        <f>IFERROR(INDEX(Recettes!C:C,MATCH(A124,Recettes!A:A,0)),"")</f>
        <v>#ERROR!</v>
      </c>
      <c r="J115" s="111" t="str">
        <f>IFERROR(INDEX(Recettes!F:F,MATCH(A124,Recettes!A:A,0)),"")</f>
        <v>#ERROR!</v>
      </c>
    </row>
    <row r="116" ht="15.0" customHeight="1">
      <c r="A116" s="117" t="s">
        <v>483</v>
      </c>
      <c r="B116" s="42" t="s">
        <v>350</v>
      </c>
      <c r="C116" s="43" t="s">
        <v>351</v>
      </c>
      <c r="D116" s="112">
        <v>0.05</v>
      </c>
      <c r="E116" s="45" t="s">
        <v>239</v>
      </c>
      <c r="F116" s="113" t="str">
        <f>IFERROR(INDEX('MP Referentiel'!F:F,MATCH(B125,'MP Referentiel'!A:A,0)),"")</f>
        <v>#ERROR!</v>
      </c>
      <c r="G116" s="114" t="str">
        <f>IFERROR(D125*F125,"")</f>
        <v>#ERROR!</v>
      </c>
      <c r="H116" s="115" t="str">
        <f>IFERROR(G125/SUMPRODUCT(('Detail Recettes'!A$5:A$183=A125)*'Detail Recettes'!G$5:G$183),"")</f>
        <v>#ERROR!</v>
      </c>
      <c r="I116" s="48" t="str">
        <f>IFERROR(INDEX(Recettes!C:C,MATCH(A125,Recettes!A:A,0)),"")</f>
        <v>#ERROR!</v>
      </c>
      <c r="J116" s="48" t="str">
        <f>IFERROR(INDEX(Recettes!F:F,MATCH(A125,Recettes!A:A,0)),"")</f>
        <v>#ERROR!</v>
      </c>
    </row>
    <row r="117" ht="15.0" customHeight="1">
      <c r="A117" s="117" t="s">
        <v>485</v>
      </c>
      <c r="B117" s="42" t="s">
        <v>252</v>
      </c>
      <c r="C117" s="51" t="s">
        <v>253</v>
      </c>
      <c r="D117" s="107">
        <v>4.0</v>
      </c>
      <c r="E117" s="53" t="s">
        <v>239</v>
      </c>
      <c r="F117" s="108" t="str">
        <f>IFERROR(INDEX('MP Referentiel'!F:F,MATCH(B126,'MP Referentiel'!A:A,0)),"")</f>
        <v>#ERROR!</v>
      </c>
      <c r="G117" s="109" t="str">
        <f>IFERROR(D126*F126,"")</f>
        <v>#ERROR!</v>
      </c>
      <c r="H117" s="110" t="str">
        <f>IFERROR(G126/SUMPRODUCT(('Detail Recettes'!A$5:A$183=A126)*'Detail Recettes'!G$5:G$183),"")</f>
        <v>#ERROR!</v>
      </c>
      <c r="I117" s="111" t="str">
        <f>IFERROR(INDEX(Recettes!C:C,MATCH(A126,Recettes!A:A,0)),"")</f>
        <v>#ERROR!</v>
      </c>
      <c r="J117" s="111" t="str">
        <f>IFERROR(INDEX(Recettes!F:F,MATCH(A126,Recettes!A:A,0)),"")</f>
        <v>#ERROR!</v>
      </c>
    </row>
    <row r="118" ht="15.0" customHeight="1">
      <c r="A118" s="117" t="s">
        <v>485</v>
      </c>
      <c r="B118" s="42" t="s">
        <v>376</v>
      </c>
      <c r="C118" s="43" t="s">
        <v>377</v>
      </c>
      <c r="D118" s="112">
        <v>0.5</v>
      </c>
      <c r="E118" s="45" t="s">
        <v>308</v>
      </c>
      <c r="F118" s="113" t="str">
        <f>IFERROR(INDEX('MP Referentiel'!F:F,MATCH(B127,'MP Referentiel'!A:A,0)),"")</f>
        <v>#ERROR!</v>
      </c>
      <c r="G118" s="114" t="str">
        <f>IFERROR(D127*F127,"")</f>
        <v>#ERROR!</v>
      </c>
      <c r="H118" s="115" t="str">
        <f>IFERROR(G127/SUMPRODUCT(('Detail Recettes'!A$5:A$183=A127)*'Detail Recettes'!G$5:G$183),"")</f>
        <v>#ERROR!</v>
      </c>
      <c r="I118" s="48" t="str">
        <f>IFERROR(INDEX(Recettes!C:C,MATCH(A127,Recettes!A:A,0)),"")</f>
        <v>#ERROR!</v>
      </c>
      <c r="J118" s="48" t="str">
        <f>IFERROR(INDEX(Recettes!F:F,MATCH(A127,Recettes!A:A,0)),"")</f>
        <v>#ERROR!</v>
      </c>
    </row>
    <row r="119" ht="15.0" customHeight="1">
      <c r="A119" s="117" t="s">
        <v>485</v>
      </c>
      <c r="B119" s="42" t="s">
        <v>378</v>
      </c>
      <c r="C119" s="51" t="s">
        <v>379</v>
      </c>
      <c r="D119" s="107">
        <v>0.3</v>
      </c>
      <c r="E119" s="53" t="s">
        <v>308</v>
      </c>
      <c r="F119" s="108" t="str">
        <f>IFERROR(INDEX('MP Referentiel'!F:F,MATCH(B128,'MP Referentiel'!A:A,0)),"")</f>
        <v>#ERROR!</v>
      </c>
      <c r="G119" s="109" t="str">
        <f>IFERROR(D128*F128,"")</f>
        <v>#ERROR!</v>
      </c>
      <c r="H119" s="110" t="str">
        <f>IFERROR(G128/SUMPRODUCT(('Detail Recettes'!A$5:A$183=A128)*'Detail Recettes'!G$5:G$183),"")</f>
        <v>#ERROR!</v>
      </c>
      <c r="I119" s="111" t="str">
        <f>IFERROR(INDEX(Recettes!C:C,MATCH(A128,Recettes!A:A,0)),"")</f>
        <v>#ERROR!</v>
      </c>
      <c r="J119" s="111" t="str">
        <f>IFERROR(INDEX(Recettes!F:F,MATCH(A128,Recettes!A:A,0)),"")</f>
        <v>#ERROR!</v>
      </c>
    </row>
    <row r="120" ht="15.0" customHeight="1">
      <c r="A120" s="117" t="s">
        <v>485</v>
      </c>
      <c r="B120" s="42" t="s">
        <v>272</v>
      </c>
      <c r="C120" s="43" t="s">
        <v>273</v>
      </c>
      <c r="D120" s="112">
        <v>0.4</v>
      </c>
      <c r="E120" s="45" t="s">
        <v>239</v>
      </c>
      <c r="F120" s="113" t="str">
        <f>IFERROR(INDEX('MP Referentiel'!F:F,MATCH(B129,'MP Referentiel'!A:A,0)),"")</f>
        <v>#ERROR!</v>
      </c>
      <c r="G120" s="114" t="str">
        <f>IFERROR(D129*F129,"")</f>
        <v>#ERROR!</v>
      </c>
      <c r="H120" s="115" t="str">
        <f>IFERROR(G129/SUMPRODUCT(('Detail Recettes'!A$5:A$183=A129)*'Detail Recettes'!G$5:G$183),"")</f>
        <v>#ERROR!</v>
      </c>
      <c r="I120" s="48" t="str">
        <f>IFERROR(INDEX(Recettes!C:C,MATCH(A129,Recettes!A:A,0)),"")</f>
        <v>#ERROR!</v>
      </c>
      <c r="J120" s="48" t="str">
        <f>IFERROR(INDEX(Recettes!F:F,MATCH(A129,Recettes!A:A,0)),"")</f>
        <v>#ERROR!</v>
      </c>
    </row>
    <row r="121" ht="15.0" customHeight="1">
      <c r="A121" s="117" t="s">
        <v>485</v>
      </c>
      <c r="B121" s="42" t="s">
        <v>260</v>
      </c>
      <c r="C121" s="51" t="s">
        <v>261</v>
      </c>
      <c r="D121" s="107">
        <v>0.3</v>
      </c>
      <c r="E121" s="53" t="s">
        <v>239</v>
      </c>
      <c r="F121" s="108" t="str">
        <f>IFERROR(INDEX('MP Referentiel'!F:F,MATCH(B130,'MP Referentiel'!A:A,0)),"")</f>
        <v>#ERROR!</v>
      </c>
      <c r="G121" s="109" t="str">
        <f>IFERROR(D130*F130,"")</f>
        <v>#ERROR!</v>
      </c>
      <c r="H121" s="110" t="str">
        <f>IFERROR(G130/SUMPRODUCT(('Detail Recettes'!A$5:A$183=A130)*'Detail Recettes'!G$5:G$183),"")</f>
        <v>#ERROR!</v>
      </c>
      <c r="I121" s="111" t="str">
        <f>IFERROR(INDEX(Recettes!C:C,MATCH(A130,Recettes!A:A,0)),"")</f>
        <v>#ERROR!</v>
      </c>
      <c r="J121" s="111" t="str">
        <f>IFERROR(INDEX(Recettes!F:F,MATCH(A130,Recettes!A:A,0)),"")</f>
        <v>#ERROR!</v>
      </c>
    </row>
    <row r="122" ht="15.0" customHeight="1">
      <c r="A122" s="117" t="s">
        <v>485</v>
      </c>
      <c r="B122" s="42" t="s">
        <v>286</v>
      </c>
      <c r="C122" s="43" t="s">
        <v>287</v>
      </c>
      <c r="D122" s="112">
        <v>0.3</v>
      </c>
      <c r="E122" s="45" t="s">
        <v>239</v>
      </c>
      <c r="F122" s="113" t="str">
        <f>IFERROR(INDEX('MP Referentiel'!F:F,MATCH(B131,'MP Referentiel'!A:A,0)),"")</f>
        <v>#ERROR!</v>
      </c>
      <c r="G122" s="114" t="str">
        <f>IFERROR(D131*F131,"")</f>
        <v>#ERROR!</v>
      </c>
      <c r="H122" s="115" t="str">
        <f>IFERROR(G131/SUMPRODUCT(('Detail Recettes'!A$5:A$183=A131)*'Detail Recettes'!G$5:G$183),"")</f>
        <v>#ERROR!</v>
      </c>
      <c r="I122" s="48" t="str">
        <f>IFERROR(INDEX(Recettes!C:C,MATCH(A131,Recettes!A:A,0)),"")</f>
        <v>#ERROR!</v>
      </c>
      <c r="J122" s="48" t="str">
        <f>IFERROR(INDEX(Recettes!F:F,MATCH(A131,Recettes!A:A,0)),"")</f>
        <v>#ERROR!</v>
      </c>
    </row>
    <row r="123" ht="15.0" customHeight="1">
      <c r="A123" s="117" t="s">
        <v>485</v>
      </c>
      <c r="B123" s="42" t="s">
        <v>350</v>
      </c>
      <c r="C123" s="51" t="s">
        <v>351</v>
      </c>
      <c r="D123" s="107">
        <v>0.05</v>
      </c>
      <c r="E123" s="53" t="s">
        <v>239</v>
      </c>
      <c r="F123" s="108" t="str">
        <f>IFERROR(INDEX('MP Referentiel'!F:F,MATCH(B132,'MP Referentiel'!A:A,0)),"")</f>
        <v>#ERROR!</v>
      </c>
      <c r="G123" s="109" t="str">
        <f>IFERROR(D132*F132,"")</f>
        <v>#ERROR!</v>
      </c>
      <c r="H123" s="110" t="str">
        <f>IFERROR(G132/SUMPRODUCT(('Detail Recettes'!A$5:A$183=A132)*'Detail Recettes'!G$5:G$183),"")</f>
        <v>#ERROR!</v>
      </c>
      <c r="I123" s="111" t="str">
        <f>IFERROR(INDEX(Recettes!C:C,MATCH(A132,Recettes!A:A,0)),"")</f>
        <v>#ERROR!</v>
      </c>
      <c r="J123" s="111" t="str">
        <f>IFERROR(INDEX(Recettes!F:F,MATCH(A132,Recettes!A:A,0)),"")</f>
        <v>#ERROR!</v>
      </c>
    </row>
    <row r="124" ht="15.0" customHeight="1">
      <c r="A124" s="117" t="s">
        <v>487</v>
      </c>
      <c r="B124" s="42" t="s">
        <v>252</v>
      </c>
      <c r="C124" s="43" t="s">
        <v>253</v>
      </c>
      <c r="D124" s="112">
        <v>3.0</v>
      </c>
      <c r="E124" s="45" t="s">
        <v>239</v>
      </c>
      <c r="F124" s="113" t="str">
        <f>IFERROR(INDEX('MP Referentiel'!F:F,MATCH(B133,'MP Referentiel'!A:A,0)),"")</f>
        <v>#ERROR!</v>
      </c>
      <c r="G124" s="114" t="str">
        <f>IFERROR(D133*F133,"")</f>
        <v>#ERROR!</v>
      </c>
      <c r="H124" s="115" t="str">
        <f>IFERROR(G133/SUMPRODUCT(('Detail Recettes'!A$5:A$183=A133)*'Detail Recettes'!G$5:G$183),"")</f>
        <v>#ERROR!</v>
      </c>
      <c r="I124" s="48" t="str">
        <f>IFERROR(INDEX(Recettes!C:C,MATCH(A133,Recettes!A:A,0)),"")</f>
        <v>#ERROR!</v>
      </c>
      <c r="J124" s="48" t="str">
        <f>IFERROR(INDEX(Recettes!F:F,MATCH(A133,Recettes!A:A,0)),"")</f>
        <v>#ERROR!</v>
      </c>
    </row>
    <row r="125" ht="15.0" customHeight="1">
      <c r="A125" s="117" t="s">
        <v>487</v>
      </c>
      <c r="B125" s="42" t="s">
        <v>255</v>
      </c>
      <c r="C125" s="51" t="s">
        <v>256</v>
      </c>
      <c r="D125" s="107">
        <v>0.5</v>
      </c>
      <c r="E125" s="53" t="s">
        <v>239</v>
      </c>
      <c r="F125" s="108" t="str">
        <f>IFERROR(INDEX('MP Referentiel'!F:F,MATCH(B134,'MP Referentiel'!A:A,0)),"")</f>
        <v>#ERROR!</v>
      </c>
      <c r="G125" s="109" t="str">
        <f>IFERROR(D134*F134,"")</f>
        <v>#ERROR!</v>
      </c>
      <c r="H125" s="110" t="str">
        <f>IFERROR(G134/SUMPRODUCT(('Detail Recettes'!A$5:A$183=A134)*'Detail Recettes'!G$5:G$183),"")</f>
        <v>#ERROR!</v>
      </c>
      <c r="I125" s="111" t="str">
        <f>IFERROR(INDEX(Recettes!C:C,MATCH(A134,Recettes!A:A,0)),"")</f>
        <v>#ERROR!</v>
      </c>
      <c r="J125" s="111" t="str">
        <f>IFERROR(INDEX(Recettes!F:F,MATCH(A134,Recettes!A:A,0)),"")</f>
        <v>#ERROR!</v>
      </c>
    </row>
    <row r="126" ht="15.0" customHeight="1">
      <c r="A126" s="117" t="s">
        <v>487</v>
      </c>
      <c r="B126" s="42" t="s">
        <v>260</v>
      </c>
      <c r="C126" s="43" t="s">
        <v>261</v>
      </c>
      <c r="D126" s="112">
        <v>0.5</v>
      </c>
      <c r="E126" s="45" t="s">
        <v>239</v>
      </c>
      <c r="F126" s="113" t="str">
        <f>IFERROR(INDEX('MP Referentiel'!F:F,MATCH(B135,'MP Referentiel'!A:A,0)),"")</f>
        <v>#ERROR!</v>
      </c>
      <c r="G126" s="114" t="str">
        <f>IFERROR(D135*F135,"")</f>
        <v>#ERROR!</v>
      </c>
      <c r="H126" s="115" t="str">
        <f>IFERROR(G135/SUMPRODUCT(('Detail Recettes'!A$5:A$183=A135)*'Detail Recettes'!G$5:G$183),"")</f>
        <v>#ERROR!</v>
      </c>
      <c r="I126" s="48" t="str">
        <f>IFERROR(INDEX(Recettes!C:C,MATCH(A135,Recettes!A:A,0)),"")</f>
        <v>#ERROR!</v>
      </c>
      <c r="J126" s="48" t="str">
        <f>IFERROR(INDEX(Recettes!F:F,MATCH(A135,Recettes!A:A,0)),"")</f>
        <v>#ERROR!</v>
      </c>
    </row>
    <row r="127" ht="15.0" customHeight="1">
      <c r="A127" s="117" t="s">
        <v>487</v>
      </c>
      <c r="B127" s="42" t="s">
        <v>270</v>
      </c>
      <c r="C127" s="51" t="s">
        <v>271</v>
      </c>
      <c r="D127" s="107">
        <v>0.3</v>
      </c>
      <c r="E127" s="53" t="s">
        <v>239</v>
      </c>
      <c r="F127" s="108" t="str">
        <f>IFERROR(INDEX('MP Referentiel'!F:F,MATCH(B136,'MP Referentiel'!A:A,0)),"")</f>
        <v>#ERROR!</v>
      </c>
      <c r="G127" s="109" t="str">
        <f>IFERROR(D136*F136,"")</f>
        <v>#ERROR!</v>
      </c>
      <c r="H127" s="110" t="str">
        <f>IFERROR(G136/SUMPRODUCT(('Detail Recettes'!A$5:A$183=A136)*'Detail Recettes'!G$5:G$183),"")</f>
        <v>#ERROR!</v>
      </c>
      <c r="I127" s="111" t="str">
        <f>IFERROR(INDEX(Recettes!C:C,MATCH(A136,Recettes!A:A,0)),"")</f>
        <v>#ERROR!</v>
      </c>
      <c r="J127" s="111" t="str">
        <f>IFERROR(INDEX(Recettes!F:F,MATCH(A136,Recettes!A:A,0)),"")</f>
        <v>#ERROR!</v>
      </c>
    </row>
    <row r="128" ht="15.0" customHeight="1">
      <c r="A128" s="117" t="s">
        <v>487</v>
      </c>
      <c r="B128" s="42" t="s">
        <v>276</v>
      </c>
      <c r="C128" s="43" t="s">
        <v>277</v>
      </c>
      <c r="D128" s="112">
        <v>0.3</v>
      </c>
      <c r="E128" s="45" t="s">
        <v>239</v>
      </c>
      <c r="F128" s="113" t="str">
        <f>IFERROR(INDEX('MP Referentiel'!F:F,MATCH(B137,'MP Referentiel'!A:A,0)),"")</f>
        <v>#ERROR!</v>
      </c>
      <c r="G128" s="114" t="str">
        <f>IFERROR(D137*F137,"")</f>
        <v>#ERROR!</v>
      </c>
      <c r="H128" s="115" t="str">
        <f>IFERROR(G137/SUMPRODUCT(('Detail Recettes'!A$5:A$183=A137)*'Detail Recettes'!G$5:G$183),"")</f>
        <v>#ERROR!</v>
      </c>
      <c r="I128" s="48" t="str">
        <f>IFERROR(INDEX(Recettes!C:C,MATCH(A137,Recettes!A:A,0)),"")</f>
        <v>#ERROR!</v>
      </c>
      <c r="J128" s="48" t="str">
        <f>IFERROR(INDEX(Recettes!F:F,MATCH(A137,Recettes!A:A,0)),"")</f>
        <v>#ERROR!</v>
      </c>
    </row>
    <row r="129" ht="15.0" customHeight="1">
      <c r="A129" s="117" t="s">
        <v>487</v>
      </c>
      <c r="B129" s="42" t="s">
        <v>262</v>
      </c>
      <c r="C129" s="51" t="s">
        <v>263</v>
      </c>
      <c r="D129" s="107">
        <v>0.2</v>
      </c>
      <c r="E129" s="53" t="s">
        <v>239</v>
      </c>
      <c r="F129" s="108" t="str">
        <f>IFERROR(INDEX('MP Referentiel'!F:F,MATCH(B138,'MP Referentiel'!A:A,0)),"")</f>
        <v>#ERROR!</v>
      </c>
      <c r="G129" s="109" t="str">
        <f>IFERROR(D138*F138,"")</f>
        <v>#ERROR!</v>
      </c>
      <c r="H129" s="110" t="str">
        <f>IFERROR(G138/SUMPRODUCT(('Detail Recettes'!A$5:A$183=A138)*'Detail Recettes'!G$5:G$183),"")</f>
        <v>#ERROR!</v>
      </c>
      <c r="I129" s="111" t="str">
        <f>IFERROR(INDEX(Recettes!C:C,MATCH(A138,Recettes!A:A,0)),"")</f>
        <v>#ERROR!</v>
      </c>
      <c r="J129" s="111" t="str">
        <f>IFERROR(INDEX(Recettes!F:F,MATCH(A138,Recettes!A:A,0)),"")</f>
        <v>#ERROR!</v>
      </c>
    </row>
    <row r="130" ht="15.0" customHeight="1">
      <c r="A130" s="117" t="s">
        <v>487</v>
      </c>
      <c r="B130" s="42" t="s">
        <v>350</v>
      </c>
      <c r="C130" s="43" t="s">
        <v>351</v>
      </c>
      <c r="D130" s="112">
        <v>0.05</v>
      </c>
      <c r="E130" s="45" t="s">
        <v>239</v>
      </c>
      <c r="F130" s="113" t="str">
        <f>IFERROR(INDEX('MP Referentiel'!F:F,MATCH(B139,'MP Referentiel'!A:A,0)),"")</f>
        <v>#ERROR!</v>
      </c>
      <c r="G130" s="114" t="str">
        <f>IFERROR(D139*F139,"")</f>
        <v>#ERROR!</v>
      </c>
      <c r="H130" s="115" t="str">
        <f>IFERROR(G139/SUMPRODUCT(('Detail Recettes'!A$5:A$183=A139)*'Detail Recettes'!G$5:G$183),"")</f>
        <v>#ERROR!</v>
      </c>
      <c r="I130" s="48" t="str">
        <f>IFERROR(INDEX(Recettes!C:C,MATCH(A139,Recettes!A:A,0)),"")</f>
        <v>#ERROR!</v>
      </c>
      <c r="J130" s="48" t="str">
        <f>IFERROR(INDEX(Recettes!F:F,MATCH(A139,Recettes!A:A,0)),"")</f>
        <v>#ERROR!</v>
      </c>
    </row>
    <row r="131" ht="15.0" customHeight="1">
      <c r="A131" s="117" t="s">
        <v>490</v>
      </c>
      <c r="B131" s="42" t="s">
        <v>236</v>
      </c>
      <c r="C131" s="51" t="s">
        <v>522</v>
      </c>
      <c r="D131" s="107">
        <v>3.0</v>
      </c>
      <c r="E131" s="53" t="s">
        <v>239</v>
      </c>
      <c r="F131" s="108" t="str">
        <f>IFERROR(INDEX('MP Referentiel'!F:F,MATCH(B140,'MP Referentiel'!A:A,0)),"")</f>
        <v>#ERROR!</v>
      </c>
      <c r="G131" s="109" t="str">
        <f>IFERROR(D140*F140,"")</f>
        <v>#ERROR!</v>
      </c>
      <c r="H131" s="110" t="str">
        <f>IFERROR(G140/SUMPRODUCT(('Detail Recettes'!A$5:A$183=A140)*'Detail Recettes'!G$5:G$183),"")</f>
        <v>#ERROR!</v>
      </c>
      <c r="I131" s="111" t="str">
        <f>IFERROR(INDEX(Recettes!C:C,MATCH(A140,Recettes!A:A,0)),"")</f>
        <v>#ERROR!</v>
      </c>
      <c r="J131" s="111" t="str">
        <f>IFERROR(INDEX(Recettes!F:F,MATCH(A140,Recettes!A:A,0)),"")</f>
        <v>#ERROR!</v>
      </c>
    </row>
    <row r="132" ht="15.0" customHeight="1">
      <c r="A132" s="117" t="s">
        <v>490</v>
      </c>
      <c r="B132" s="42" t="s">
        <v>280</v>
      </c>
      <c r="C132" s="43" t="s">
        <v>281</v>
      </c>
      <c r="D132" s="112">
        <v>2.0</v>
      </c>
      <c r="E132" s="45" t="s">
        <v>239</v>
      </c>
      <c r="F132" s="113" t="str">
        <f>IFERROR(INDEX('MP Referentiel'!F:F,MATCH(B141,'MP Referentiel'!A:A,0)),"")</f>
        <v>#ERROR!</v>
      </c>
      <c r="G132" s="114" t="str">
        <f>IFERROR(D141*F141,"")</f>
        <v>#ERROR!</v>
      </c>
      <c r="H132" s="115" t="str">
        <f>IFERROR(G141/SUMPRODUCT(('Detail Recettes'!A$5:A$183=A141)*'Detail Recettes'!G$5:G$183),"")</f>
        <v>#ERROR!</v>
      </c>
      <c r="I132" s="48" t="str">
        <f>IFERROR(INDEX(Recettes!C:C,MATCH(A141,Recettes!A:A,0)),"")</f>
        <v>#ERROR!</v>
      </c>
      <c r="J132" s="48" t="str">
        <f>IFERROR(INDEX(Recettes!F:F,MATCH(A141,Recettes!A:A,0)),"")</f>
        <v>#ERROR!</v>
      </c>
    </row>
    <row r="133" ht="15.0" customHeight="1">
      <c r="A133" s="117" t="s">
        <v>490</v>
      </c>
      <c r="B133" s="42" t="s">
        <v>299</v>
      </c>
      <c r="C133" s="51" t="s">
        <v>300</v>
      </c>
      <c r="D133" s="107">
        <v>0.15</v>
      </c>
      <c r="E133" s="53" t="s">
        <v>239</v>
      </c>
      <c r="F133" s="108" t="str">
        <f>IFERROR(INDEX('MP Referentiel'!F:F,MATCH(B142,'MP Referentiel'!A:A,0)),"")</f>
        <v>#ERROR!</v>
      </c>
      <c r="G133" s="109" t="str">
        <f>IFERROR(D142*F142,"")</f>
        <v>#ERROR!</v>
      </c>
      <c r="H133" s="110" t="str">
        <f>IFERROR(G142/SUMPRODUCT(('Detail Recettes'!A$5:A$183=A142)*'Detail Recettes'!G$5:G$183),"")</f>
        <v>#ERROR!</v>
      </c>
      <c r="I133" s="111" t="str">
        <f>IFERROR(INDEX(Recettes!C:C,MATCH(A142,Recettes!A:A,0)),"")</f>
        <v>#ERROR!</v>
      </c>
      <c r="J133" s="111" t="str">
        <f>IFERROR(INDEX(Recettes!F:F,MATCH(A142,Recettes!A:A,0)),"")</f>
        <v>#ERROR!</v>
      </c>
    </row>
    <row r="134" ht="15.0" customHeight="1">
      <c r="A134" s="117" t="s">
        <v>490</v>
      </c>
      <c r="B134" s="42" t="s">
        <v>311</v>
      </c>
      <c r="C134" s="43" t="s">
        <v>312</v>
      </c>
      <c r="D134" s="112">
        <v>0.2</v>
      </c>
      <c r="E134" s="45" t="s">
        <v>308</v>
      </c>
      <c r="F134" s="113" t="str">
        <f>IFERROR(INDEX('MP Referentiel'!F:F,MATCH(B143,'MP Referentiel'!A:A,0)),"")</f>
        <v>#ERROR!</v>
      </c>
      <c r="G134" s="114" t="str">
        <f>IFERROR(D143*F143,"")</f>
        <v>#ERROR!</v>
      </c>
      <c r="H134" s="115" t="str">
        <f>IFERROR(G143/SUMPRODUCT(('Detail Recettes'!A$5:A$183=A143)*'Detail Recettes'!G$5:G$183),"")</f>
        <v>#ERROR!</v>
      </c>
      <c r="I134" s="48" t="str">
        <f>IFERROR(INDEX(Recettes!C:C,MATCH(A143,Recettes!A:A,0)),"")</f>
        <v>#ERROR!</v>
      </c>
      <c r="J134" s="48" t="str">
        <f>IFERROR(INDEX(Recettes!F:F,MATCH(A143,Recettes!A:A,0)),"")</f>
        <v>#ERROR!</v>
      </c>
    </row>
    <row r="135" ht="15.0" customHeight="1">
      <c r="A135" s="117" t="s">
        <v>490</v>
      </c>
      <c r="B135" s="42" t="s">
        <v>350</v>
      </c>
      <c r="C135" s="51" t="s">
        <v>351</v>
      </c>
      <c r="D135" s="107">
        <v>0.06</v>
      </c>
      <c r="E135" s="53" t="s">
        <v>239</v>
      </c>
      <c r="F135" s="108" t="str">
        <f>IFERROR(INDEX('MP Referentiel'!F:F,MATCH(B144,'MP Referentiel'!A:A,0)),"")</f>
        <v>#ERROR!</v>
      </c>
      <c r="G135" s="109" t="str">
        <f>IFERROR(D144*F144,"")</f>
        <v>#ERROR!</v>
      </c>
      <c r="H135" s="110" t="str">
        <f>IFERROR(G144/SUMPRODUCT(('Detail Recettes'!A$5:A$183=A144)*'Detail Recettes'!G$5:G$183),"")</f>
        <v>#ERROR!</v>
      </c>
      <c r="I135" s="111" t="str">
        <f>IFERROR(INDEX(Recettes!C:C,MATCH(A144,Recettes!A:A,0)),"")</f>
        <v>#ERROR!</v>
      </c>
      <c r="J135" s="111" t="str">
        <f>IFERROR(INDEX(Recettes!F:F,MATCH(A144,Recettes!A:A,0)),"")</f>
        <v>#ERROR!</v>
      </c>
    </row>
    <row r="136" ht="15.0" customHeight="1">
      <c r="A136" s="117" t="s">
        <v>492</v>
      </c>
      <c r="B136" s="42" t="s">
        <v>249</v>
      </c>
      <c r="C136" s="43" t="s">
        <v>250</v>
      </c>
      <c r="D136" s="112">
        <v>1.5</v>
      </c>
      <c r="E136" s="45" t="s">
        <v>239</v>
      </c>
      <c r="F136" s="113" t="str">
        <f>IFERROR(INDEX('MP Referentiel'!F:F,MATCH(B145,'MP Referentiel'!A:A,0)),"")</f>
        <v>#ERROR!</v>
      </c>
      <c r="G136" s="114" t="str">
        <f>IFERROR(D145*F145,"")</f>
        <v>#ERROR!</v>
      </c>
      <c r="H136" s="115" t="str">
        <f>IFERROR(G145/SUMPRODUCT(('Detail Recettes'!A$5:A$183=A145)*'Detail Recettes'!G$5:G$183),"")</f>
        <v>#ERROR!</v>
      </c>
      <c r="I136" s="48" t="str">
        <f>IFERROR(INDEX(Recettes!C:C,MATCH(A145,Recettes!A:A,0)),"")</f>
        <v>#ERROR!</v>
      </c>
      <c r="J136" s="48" t="str">
        <f>IFERROR(INDEX(Recettes!F:F,MATCH(A145,Recettes!A:A,0)),"")</f>
        <v>#ERROR!</v>
      </c>
    </row>
    <row r="137" ht="15.0" customHeight="1">
      <c r="A137" s="117" t="s">
        <v>492</v>
      </c>
      <c r="B137" s="42" t="s">
        <v>236</v>
      </c>
      <c r="C137" s="51" t="s">
        <v>522</v>
      </c>
      <c r="D137" s="107">
        <v>1.0</v>
      </c>
      <c r="E137" s="53" t="s">
        <v>239</v>
      </c>
      <c r="F137" s="108" t="str">
        <f>IFERROR(INDEX('MP Referentiel'!F:F,MATCH(B146,'MP Referentiel'!A:A,0)),"")</f>
        <v>#ERROR!</v>
      </c>
      <c r="G137" s="109" t="str">
        <f>IFERROR(D146*F146,"")</f>
        <v>#ERROR!</v>
      </c>
      <c r="H137" s="110" t="str">
        <f>IFERROR(G146/SUMPRODUCT(('Detail Recettes'!A$5:A$183=A146)*'Detail Recettes'!G$5:G$183),"")</f>
        <v>#ERROR!</v>
      </c>
      <c r="I137" s="111" t="str">
        <f>IFERROR(INDEX(Recettes!C:C,MATCH(A146,Recettes!A:A,0)),"")</f>
        <v>#ERROR!</v>
      </c>
      <c r="J137" s="111" t="str">
        <f>IFERROR(INDEX(Recettes!F:F,MATCH(A146,Recettes!A:A,0)),"")</f>
        <v>#ERROR!</v>
      </c>
    </row>
    <row r="138" ht="15.0" customHeight="1">
      <c r="A138" s="117" t="s">
        <v>492</v>
      </c>
      <c r="B138" s="42" t="s">
        <v>272</v>
      </c>
      <c r="C138" s="43" t="s">
        <v>273</v>
      </c>
      <c r="D138" s="112">
        <v>0.4</v>
      </c>
      <c r="E138" s="45" t="s">
        <v>239</v>
      </c>
      <c r="F138" s="113" t="str">
        <f>IFERROR(INDEX('MP Referentiel'!F:F,MATCH(B147,'MP Referentiel'!A:A,0)),"")</f>
        <v>#ERROR!</v>
      </c>
      <c r="G138" s="114" t="str">
        <f>IFERROR(D147*F147,"")</f>
        <v>#ERROR!</v>
      </c>
      <c r="H138" s="115" t="str">
        <f>IFERROR(G147/SUMPRODUCT(('Detail Recettes'!A$5:A$183=A147)*'Detail Recettes'!G$5:G$183),"")</f>
        <v>#ERROR!</v>
      </c>
      <c r="I138" s="48" t="str">
        <f>IFERROR(INDEX(Recettes!C:C,MATCH(A147,Recettes!A:A,0)),"")</f>
        <v>#ERROR!</v>
      </c>
      <c r="J138" s="48" t="str">
        <f>IFERROR(INDEX(Recettes!F:F,MATCH(A147,Recettes!A:A,0)),"")</f>
        <v>#ERROR!</v>
      </c>
    </row>
    <row r="139" ht="15.0" customHeight="1">
      <c r="A139" s="117" t="s">
        <v>492</v>
      </c>
      <c r="B139" s="42" t="s">
        <v>266</v>
      </c>
      <c r="C139" s="51" t="s">
        <v>267</v>
      </c>
      <c r="D139" s="107">
        <v>0.1</v>
      </c>
      <c r="E139" s="53" t="s">
        <v>239</v>
      </c>
      <c r="F139" s="108" t="str">
        <f>IFERROR(INDEX('MP Referentiel'!F:F,MATCH(B148,'MP Referentiel'!A:A,0)),"")</f>
        <v>#ERROR!</v>
      </c>
      <c r="G139" s="109" t="str">
        <f>IFERROR(D148*F148,"")</f>
        <v>#ERROR!</v>
      </c>
      <c r="H139" s="110" t="str">
        <f>IFERROR(G148/SUMPRODUCT(('Detail Recettes'!A$5:A$183=A148)*'Detail Recettes'!G$5:G$183),"")</f>
        <v>#ERROR!</v>
      </c>
      <c r="I139" s="111" t="str">
        <f>IFERROR(INDEX(Recettes!C:C,MATCH(A148,Recettes!A:A,0)),"")</f>
        <v>#ERROR!</v>
      </c>
      <c r="J139" s="111" t="str">
        <f>IFERROR(INDEX(Recettes!F:F,MATCH(A148,Recettes!A:A,0)),"")</f>
        <v>#ERROR!</v>
      </c>
    </row>
    <row r="140" ht="15.0" customHeight="1">
      <c r="A140" s="117" t="s">
        <v>492</v>
      </c>
      <c r="B140" s="42" t="s">
        <v>257</v>
      </c>
      <c r="C140" s="43" t="s">
        <v>258</v>
      </c>
      <c r="D140" s="112">
        <v>0.05</v>
      </c>
      <c r="E140" s="45" t="s">
        <v>239</v>
      </c>
      <c r="F140" s="113" t="str">
        <f>IFERROR(INDEX('MP Referentiel'!F:F,MATCH(B149,'MP Referentiel'!A:A,0)),"")</f>
        <v>#ERROR!</v>
      </c>
      <c r="G140" s="114" t="str">
        <f>IFERROR(D149*F149,"")</f>
        <v>#ERROR!</v>
      </c>
      <c r="H140" s="115" t="str">
        <f>IFERROR(G149/SUMPRODUCT(('Detail Recettes'!A$5:A$183=A149)*'Detail Recettes'!G$5:G$183),"")</f>
        <v>#ERROR!</v>
      </c>
      <c r="I140" s="48" t="str">
        <f>IFERROR(INDEX(Recettes!C:C,MATCH(A149,Recettes!A:A,0)),"")</f>
        <v>#ERROR!</v>
      </c>
      <c r="J140" s="48" t="str">
        <f>IFERROR(INDEX(Recettes!F:F,MATCH(A149,Recettes!A:A,0)),"")</f>
        <v>#ERROR!</v>
      </c>
    </row>
    <row r="141" ht="15.0" customHeight="1">
      <c r="A141" s="117" t="s">
        <v>492</v>
      </c>
      <c r="B141" s="42" t="s">
        <v>322</v>
      </c>
      <c r="C141" s="51" t="s">
        <v>323</v>
      </c>
      <c r="D141" s="107">
        <v>0.01</v>
      </c>
      <c r="E141" s="53" t="s">
        <v>239</v>
      </c>
      <c r="F141" s="108" t="str">
        <f>IFERROR(INDEX('MP Referentiel'!F:F,MATCH(B150,'MP Referentiel'!A:A,0)),"")</f>
        <v>#ERROR!</v>
      </c>
      <c r="G141" s="109" t="str">
        <f>IFERROR(D150*F150,"")</f>
        <v>#ERROR!</v>
      </c>
      <c r="H141" s="110" t="str">
        <f>IFERROR(G150/SUMPRODUCT(('Detail Recettes'!A$5:A$183=A150)*'Detail Recettes'!G$5:G$183),"")</f>
        <v>#ERROR!</v>
      </c>
      <c r="I141" s="111" t="str">
        <f>IFERROR(INDEX(Recettes!C:C,MATCH(A150,Recettes!A:A,0)),"")</f>
        <v>#ERROR!</v>
      </c>
      <c r="J141" s="111" t="str">
        <f>IFERROR(INDEX(Recettes!F:F,MATCH(A150,Recettes!A:A,0)),"")</f>
        <v>#ERROR!</v>
      </c>
    </row>
    <row r="142" ht="15.0" customHeight="1">
      <c r="A142" s="117" t="s">
        <v>492</v>
      </c>
      <c r="B142" s="42" t="s">
        <v>350</v>
      </c>
      <c r="C142" s="43" t="s">
        <v>351</v>
      </c>
      <c r="D142" s="112">
        <v>0.06</v>
      </c>
      <c r="E142" s="45" t="s">
        <v>239</v>
      </c>
      <c r="F142" s="113" t="str">
        <f>IFERROR(INDEX('MP Referentiel'!F:F,MATCH(B151,'MP Referentiel'!A:A,0)),"")</f>
        <v>#ERROR!</v>
      </c>
      <c r="G142" s="114" t="str">
        <f>IFERROR(D151*F151,"")</f>
        <v>#ERROR!</v>
      </c>
      <c r="H142" s="115" t="str">
        <f>IFERROR(G151/SUMPRODUCT(('Detail Recettes'!A$5:A$183=A151)*'Detail Recettes'!G$5:G$183),"")</f>
        <v>#ERROR!</v>
      </c>
      <c r="I142" s="48" t="str">
        <f>IFERROR(INDEX(Recettes!C:C,MATCH(A151,Recettes!A:A,0)),"")</f>
        <v>#ERROR!</v>
      </c>
      <c r="J142" s="48" t="str">
        <f>IFERROR(INDEX(Recettes!F:F,MATCH(A151,Recettes!A:A,0)),"")</f>
        <v>#ERROR!</v>
      </c>
    </row>
    <row r="143" ht="15.0" customHeight="1">
      <c r="A143" s="119" t="s">
        <v>494</v>
      </c>
      <c r="B143" s="42" t="s">
        <v>276</v>
      </c>
      <c r="C143" s="51" t="s">
        <v>277</v>
      </c>
      <c r="D143" s="107">
        <v>0.8</v>
      </c>
      <c r="E143" s="53" t="s">
        <v>239</v>
      </c>
      <c r="F143" s="108" t="str">
        <f>IFERROR(INDEX('MP Referentiel'!F:F,MATCH(B152,'MP Referentiel'!A:A,0)),"")</f>
        <v>#ERROR!</v>
      </c>
      <c r="G143" s="109" t="str">
        <f>IFERROR(D152*F152,"")</f>
        <v>#ERROR!</v>
      </c>
      <c r="H143" s="110" t="str">
        <f>IFERROR(G152/SUMPRODUCT(('Detail Recettes'!A$5:A$183=A152)*'Detail Recettes'!G$5:G$183),"")</f>
        <v>#ERROR!</v>
      </c>
      <c r="I143" s="111" t="str">
        <f>IFERROR(INDEX(Recettes!C:C,MATCH(A152,Recettes!A:A,0)),"")</f>
        <v>#ERROR!</v>
      </c>
      <c r="J143" s="111" t="str">
        <f>IFERROR(INDEX(Recettes!F:F,MATCH(A152,Recettes!A:A,0)),"")</f>
        <v>#ERROR!</v>
      </c>
    </row>
    <row r="144" ht="15.0" customHeight="1">
      <c r="A144" s="119" t="s">
        <v>494</v>
      </c>
      <c r="B144" s="42" t="s">
        <v>260</v>
      </c>
      <c r="C144" s="43" t="s">
        <v>261</v>
      </c>
      <c r="D144" s="112">
        <v>0.5</v>
      </c>
      <c r="E144" s="45" t="s">
        <v>239</v>
      </c>
      <c r="F144" s="113" t="str">
        <f>IFERROR(INDEX('MP Referentiel'!F:F,MATCH(B153,'MP Referentiel'!A:A,0)),"")</f>
        <v>#ERROR!</v>
      </c>
      <c r="G144" s="114" t="str">
        <f>IFERROR(D153*F153,"")</f>
        <v>#ERROR!</v>
      </c>
      <c r="H144" s="115" t="str">
        <f>IFERROR(G153/SUMPRODUCT(('Detail Recettes'!A$5:A$183=A153)*'Detail Recettes'!G$5:G$183),"")</f>
        <v>#ERROR!</v>
      </c>
      <c r="I144" s="48" t="str">
        <f>IFERROR(INDEX(Recettes!C:C,MATCH(A153,Recettes!A:A,0)),"")</f>
        <v>#ERROR!</v>
      </c>
      <c r="J144" s="48" t="str">
        <f>IFERROR(INDEX(Recettes!F:F,MATCH(A153,Recettes!A:A,0)),"")</f>
        <v>#ERROR!</v>
      </c>
    </row>
    <row r="145" ht="15.0" customHeight="1">
      <c r="A145" s="119" t="s">
        <v>494</v>
      </c>
      <c r="B145" s="42" t="s">
        <v>270</v>
      </c>
      <c r="C145" s="51" t="s">
        <v>271</v>
      </c>
      <c r="D145" s="107">
        <v>0.4</v>
      </c>
      <c r="E145" s="53" t="s">
        <v>239</v>
      </c>
      <c r="F145" s="108" t="str">
        <f>IFERROR(INDEX('MP Referentiel'!F:F,MATCH(B154,'MP Referentiel'!A:A,0)),"")</f>
        <v>#ERROR!</v>
      </c>
      <c r="G145" s="109" t="str">
        <f>IFERROR(D154*F154,"")</f>
        <v>#ERROR!</v>
      </c>
      <c r="H145" s="110" t="str">
        <f>IFERROR(G154/SUMPRODUCT(('Detail Recettes'!A$5:A$183=A154)*'Detail Recettes'!G$5:G$183),"")</f>
        <v>#ERROR!</v>
      </c>
      <c r="I145" s="111" t="str">
        <f>IFERROR(INDEX(Recettes!C:C,MATCH(A154,Recettes!A:A,0)),"")</f>
        <v>#ERROR!</v>
      </c>
      <c r="J145" s="111" t="str">
        <f>IFERROR(INDEX(Recettes!F:F,MATCH(A154,Recettes!A:A,0)),"")</f>
        <v>#ERROR!</v>
      </c>
    </row>
    <row r="146" ht="15.0" customHeight="1">
      <c r="A146" s="119" t="s">
        <v>494</v>
      </c>
      <c r="B146" s="42" t="s">
        <v>280</v>
      </c>
      <c r="C146" s="43" t="s">
        <v>281</v>
      </c>
      <c r="D146" s="112">
        <v>0.8</v>
      </c>
      <c r="E146" s="45" t="s">
        <v>239</v>
      </c>
      <c r="F146" s="113" t="str">
        <f>IFERROR(INDEX('MP Referentiel'!F:F,MATCH(B155,'MP Referentiel'!A:A,0)),"")</f>
        <v>#ERROR!</v>
      </c>
      <c r="G146" s="114" t="str">
        <f>IFERROR(D155*F155,"")</f>
        <v>#ERROR!</v>
      </c>
      <c r="H146" s="115" t="str">
        <f>IFERROR(G155/SUMPRODUCT(('Detail Recettes'!A$5:A$183=A155)*'Detail Recettes'!G$5:G$183),"")</f>
        <v>#ERROR!</v>
      </c>
      <c r="I146" s="48" t="str">
        <f>IFERROR(INDEX(Recettes!C:C,MATCH(A155,Recettes!A:A,0)),"")</f>
        <v>#ERROR!</v>
      </c>
      <c r="J146" s="48" t="str">
        <f>IFERROR(INDEX(Recettes!F:F,MATCH(A155,Recettes!A:A,0)),"")</f>
        <v>#ERROR!</v>
      </c>
    </row>
    <row r="147" ht="15.0" customHeight="1">
      <c r="A147" s="119" t="s">
        <v>494</v>
      </c>
      <c r="B147" s="42" t="s">
        <v>236</v>
      </c>
      <c r="C147" s="51" t="s">
        <v>522</v>
      </c>
      <c r="D147" s="107">
        <v>0.5</v>
      </c>
      <c r="E147" s="53" t="s">
        <v>239</v>
      </c>
      <c r="F147" s="108" t="str">
        <f>IFERROR(INDEX('MP Referentiel'!F:F,MATCH(B156,'MP Referentiel'!A:A,0)),"")</f>
        <v>#ERROR!</v>
      </c>
      <c r="G147" s="109" t="str">
        <f>IFERROR(D156*F156,"")</f>
        <v>#ERROR!</v>
      </c>
      <c r="H147" s="110" t="str">
        <f>IFERROR(G156/SUMPRODUCT(('Detail Recettes'!A$5:A$183=A156)*'Detail Recettes'!G$5:G$183),"")</f>
        <v>#ERROR!</v>
      </c>
      <c r="I147" s="111" t="str">
        <f>IFERROR(INDEX(Recettes!C:C,MATCH(A156,Recettes!A:A,0)),"")</f>
        <v>#ERROR!</v>
      </c>
      <c r="J147" s="111" t="str">
        <f>IFERROR(INDEX(Recettes!F:F,MATCH(A156,Recettes!A:A,0)),"")</f>
        <v>#ERROR!</v>
      </c>
    </row>
    <row r="148" ht="15.0" customHeight="1">
      <c r="A148" s="119" t="s">
        <v>494</v>
      </c>
      <c r="B148" s="42" t="s">
        <v>381</v>
      </c>
      <c r="C148" s="43" t="s">
        <v>382</v>
      </c>
      <c r="D148" s="112">
        <v>1.0</v>
      </c>
      <c r="E148" s="45" t="s">
        <v>308</v>
      </c>
      <c r="F148" s="113" t="str">
        <f>IFERROR(INDEX('MP Referentiel'!F:F,MATCH(B157,'MP Referentiel'!A:A,0)),"")</f>
        <v>#ERROR!</v>
      </c>
      <c r="G148" s="114" t="str">
        <f>IFERROR(D157*F157,"")</f>
        <v>#ERROR!</v>
      </c>
      <c r="H148" s="115" t="str">
        <f>IFERROR(G157/SUMPRODUCT(('Detail Recettes'!A$5:A$183=A157)*'Detail Recettes'!G$5:G$183),"")</f>
        <v>#ERROR!</v>
      </c>
      <c r="I148" s="48" t="str">
        <f>IFERROR(INDEX(Recettes!C:C,MATCH(A157,Recettes!A:A,0)),"")</f>
        <v>#ERROR!</v>
      </c>
      <c r="J148" s="48" t="str">
        <f>IFERROR(INDEX(Recettes!F:F,MATCH(A157,Recettes!A:A,0)),"")</f>
        <v>#ERROR!</v>
      </c>
    </row>
    <row r="149" ht="15.0" customHeight="1">
      <c r="A149" s="119" t="s">
        <v>494</v>
      </c>
      <c r="B149" s="42" t="s">
        <v>350</v>
      </c>
      <c r="C149" s="51" t="s">
        <v>351</v>
      </c>
      <c r="D149" s="107">
        <v>0.06</v>
      </c>
      <c r="E149" s="53" t="s">
        <v>239</v>
      </c>
      <c r="F149" s="108" t="str">
        <f>IFERROR(INDEX('MP Referentiel'!F:F,MATCH(B158,'MP Referentiel'!A:A,0)),"")</f>
        <v>#ERROR!</v>
      </c>
      <c r="G149" s="109" t="str">
        <f>IFERROR(D158*F158,"")</f>
        <v>#ERROR!</v>
      </c>
      <c r="H149" s="110" t="str">
        <f>IFERROR(G158/SUMPRODUCT(('Detail Recettes'!A$5:A$183=A158)*'Detail Recettes'!G$5:G$183),"")</f>
        <v>#ERROR!</v>
      </c>
      <c r="I149" s="111" t="str">
        <f>IFERROR(INDEX(Recettes!C:C,MATCH(A158,Recettes!A:A,0)),"")</f>
        <v>#ERROR!</v>
      </c>
      <c r="J149" s="111" t="str">
        <f>IFERROR(INDEX(Recettes!F:F,MATCH(A158,Recettes!A:A,0)),"")</f>
        <v>#ERROR!</v>
      </c>
    </row>
    <row r="150" ht="15.0" customHeight="1">
      <c r="A150" s="118" t="s">
        <v>497</v>
      </c>
      <c r="B150" s="42" t="s">
        <v>311</v>
      </c>
      <c r="C150" s="43" t="s">
        <v>312</v>
      </c>
      <c r="D150" s="112">
        <v>1.5</v>
      </c>
      <c r="E150" s="45" t="s">
        <v>308</v>
      </c>
      <c r="F150" s="113" t="str">
        <f>IFERROR(INDEX('MP Referentiel'!F:F,MATCH(B159,'MP Referentiel'!A:A,0)),"")</f>
        <v>#ERROR!</v>
      </c>
      <c r="G150" s="114" t="str">
        <f>IFERROR(D159*F159,"")</f>
        <v>#ERROR!</v>
      </c>
      <c r="H150" s="115" t="str">
        <f>IFERROR(G159/SUMPRODUCT(('Detail Recettes'!A$5:A$183=A159)*'Detail Recettes'!G$5:G$183),"")</f>
        <v>#ERROR!</v>
      </c>
      <c r="I150" s="48" t="str">
        <f>IFERROR(INDEX(Recettes!C:C,MATCH(A159,Recettes!A:A,0)),"")</f>
        <v>#ERROR!</v>
      </c>
      <c r="J150" s="48" t="str">
        <f>IFERROR(INDEX(Recettes!F:F,MATCH(A159,Recettes!A:A,0)),"")</f>
        <v>#ERROR!</v>
      </c>
    </row>
    <row r="151" ht="15.0" customHeight="1">
      <c r="A151" s="118" t="s">
        <v>497</v>
      </c>
      <c r="B151" s="42" t="s">
        <v>306</v>
      </c>
      <c r="C151" s="51" t="s">
        <v>307</v>
      </c>
      <c r="D151" s="107">
        <v>0.5</v>
      </c>
      <c r="E151" s="53" t="s">
        <v>308</v>
      </c>
      <c r="F151" s="108" t="str">
        <f>IFERROR(INDEX('MP Referentiel'!F:F,MATCH(B160,'MP Referentiel'!A:A,0)),"")</f>
        <v>#ERROR!</v>
      </c>
      <c r="G151" s="109" t="str">
        <f>IFERROR(D160*F160,"")</f>
        <v>#ERROR!</v>
      </c>
      <c r="H151" s="110" t="str">
        <f>IFERROR(G160/SUMPRODUCT(('Detail Recettes'!A$5:A$183=A160)*'Detail Recettes'!G$5:G$183),"")</f>
        <v>#ERROR!</v>
      </c>
      <c r="I151" s="111" t="str">
        <f>IFERROR(INDEX(Recettes!C:C,MATCH(A160,Recettes!A:A,0)),"")</f>
        <v>#ERROR!</v>
      </c>
      <c r="J151" s="111" t="str">
        <f>IFERROR(INDEX(Recettes!F:F,MATCH(A160,Recettes!A:A,0)),"")</f>
        <v>#ERROR!</v>
      </c>
    </row>
    <row r="152" ht="15.0" customHeight="1">
      <c r="A152" s="118" t="s">
        <v>497</v>
      </c>
      <c r="B152" s="42" t="s">
        <v>313</v>
      </c>
      <c r="C152" s="43" t="s">
        <v>314</v>
      </c>
      <c r="D152" s="112">
        <v>0.6</v>
      </c>
      <c r="E152" s="45" t="s">
        <v>239</v>
      </c>
      <c r="F152" s="113" t="str">
        <f>IFERROR(INDEX('MP Referentiel'!F:F,MATCH(B161,'MP Referentiel'!A:A,0)),"")</f>
        <v>#ERROR!</v>
      </c>
      <c r="G152" s="114" t="str">
        <f>IFERROR(D161*F161,"")</f>
        <v>#ERROR!</v>
      </c>
      <c r="H152" s="115" t="str">
        <f>IFERROR(G161/SUMPRODUCT(('Detail Recettes'!A$5:A$183=A161)*'Detail Recettes'!G$5:G$183),"")</f>
        <v>#ERROR!</v>
      </c>
      <c r="I152" s="48" t="str">
        <f>IFERROR(INDEX(Recettes!C:C,MATCH(A161,Recettes!A:A,0)),"")</f>
        <v>#ERROR!</v>
      </c>
      <c r="J152" s="48" t="str">
        <f>IFERROR(INDEX(Recettes!F:F,MATCH(A161,Recettes!A:A,0)),"")</f>
        <v>#ERROR!</v>
      </c>
    </row>
    <row r="153" ht="15.0" customHeight="1">
      <c r="A153" s="118" t="s">
        <v>497</v>
      </c>
      <c r="B153" s="42" t="s">
        <v>309</v>
      </c>
      <c r="C153" s="51" t="s">
        <v>310</v>
      </c>
      <c r="D153" s="107">
        <v>0.1</v>
      </c>
      <c r="E153" s="53" t="s">
        <v>239</v>
      </c>
      <c r="F153" s="108" t="str">
        <f>IFERROR(INDEX('MP Referentiel'!F:F,MATCH(B162,'MP Referentiel'!A:A,0)),"")</f>
        <v>#ERROR!</v>
      </c>
      <c r="G153" s="109" t="str">
        <f>IFERROR(D162*F162,"")</f>
        <v>#ERROR!</v>
      </c>
      <c r="H153" s="110" t="str">
        <f>IFERROR(G162/SUMPRODUCT(('Detail Recettes'!A$5:A$183=A162)*'Detail Recettes'!G$5:G$183),"")</f>
        <v>#ERROR!</v>
      </c>
      <c r="I153" s="111" t="str">
        <f>IFERROR(INDEX(Recettes!C:C,MATCH(A162,Recettes!A:A,0)),"")</f>
        <v>#ERROR!</v>
      </c>
      <c r="J153" s="111" t="str">
        <f>IFERROR(INDEX(Recettes!F:F,MATCH(A162,Recettes!A:A,0)),"")</f>
        <v>#ERROR!</v>
      </c>
    </row>
    <row r="154" ht="15.0" customHeight="1">
      <c r="A154" s="118" t="s">
        <v>497</v>
      </c>
      <c r="B154" s="42" t="s">
        <v>352</v>
      </c>
      <c r="C154" s="43" t="s">
        <v>353</v>
      </c>
      <c r="D154" s="112">
        <v>0.4</v>
      </c>
      <c r="E154" s="45" t="s">
        <v>239</v>
      </c>
      <c r="F154" s="113" t="str">
        <f>IFERROR(INDEX('MP Referentiel'!F:F,MATCH(B163,'MP Referentiel'!A:A,0)),"")</f>
        <v>#ERROR!</v>
      </c>
      <c r="G154" s="114" t="str">
        <f>IFERROR(D163*F163,"")</f>
        <v>#ERROR!</v>
      </c>
      <c r="H154" s="115" t="str">
        <f>IFERROR(G163/SUMPRODUCT(('Detail Recettes'!A$5:A$183=A163)*'Detail Recettes'!G$5:G$183),"")</f>
        <v>#ERROR!</v>
      </c>
      <c r="I154" s="48" t="str">
        <f>IFERROR(INDEX(Recettes!C:C,MATCH(A163,Recettes!A:A,0)),"")</f>
        <v>#ERROR!</v>
      </c>
      <c r="J154" s="48" t="str">
        <f>IFERROR(INDEX(Recettes!F:F,MATCH(A163,Recettes!A:A,0)),"")</f>
        <v>#ERROR!</v>
      </c>
    </row>
    <row r="155" ht="15.0" customHeight="1">
      <c r="A155" s="118" t="s">
        <v>497</v>
      </c>
      <c r="B155" s="42" t="s">
        <v>366</v>
      </c>
      <c r="C155" s="51" t="s">
        <v>367</v>
      </c>
      <c r="D155" s="107">
        <v>0.008</v>
      </c>
      <c r="E155" s="53" t="s">
        <v>239</v>
      </c>
      <c r="F155" s="108" t="str">
        <f>IFERROR(INDEX('MP Referentiel'!F:F,MATCH(B164,'MP Referentiel'!A:A,0)),"")</f>
        <v>#ERROR!</v>
      </c>
      <c r="G155" s="109" t="str">
        <f>IFERROR(D164*F164,"")</f>
        <v>#ERROR!</v>
      </c>
      <c r="H155" s="110" t="str">
        <f>IFERROR(G164/SUMPRODUCT(('Detail Recettes'!A$5:A$183=A164)*'Detail Recettes'!G$5:G$183),"")</f>
        <v>#ERROR!</v>
      </c>
      <c r="I155" s="111" t="str">
        <f>IFERROR(INDEX(Recettes!C:C,MATCH(A164,Recettes!A:A,0)),"")</f>
        <v>#ERROR!</v>
      </c>
      <c r="J155" s="111" t="str">
        <f>IFERROR(INDEX(Recettes!F:F,MATCH(A164,Recettes!A:A,0)),"")</f>
        <v>#ERROR!</v>
      </c>
    </row>
    <row r="156" ht="15.0" customHeight="1">
      <c r="A156" s="118" t="s">
        <v>499</v>
      </c>
      <c r="B156" s="42" t="s">
        <v>311</v>
      </c>
      <c r="C156" s="43" t="s">
        <v>312</v>
      </c>
      <c r="D156" s="112">
        <v>1.5</v>
      </c>
      <c r="E156" s="45" t="s">
        <v>308</v>
      </c>
      <c r="F156" s="113" t="str">
        <f>IFERROR(INDEX('MP Referentiel'!F:F,MATCH(B165,'MP Referentiel'!A:A,0)),"")</f>
        <v>#ERROR!</v>
      </c>
      <c r="G156" s="114" t="str">
        <f>IFERROR(D165*F165,"")</f>
        <v>#ERROR!</v>
      </c>
      <c r="H156" s="115" t="str">
        <f>IFERROR(G165/SUMPRODUCT(('Detail Recettes'!A$5:A$183=A165)*'Detail Recettes'!G$5:G$183),"")</f>
        <v>#ERROR!</v>
      </c>
      <c r="I156" s="48" t="str">
        <f>IFERROR(INDEX(Recettes!C:C,MATCH(A165,Recettes!A:A,0)),"")</f>
        <v>#ERROR!</v>
      </c>
      <c r="J156" s="48" t="str">
        <f>IFERROR(INDEX(Recettes!F:F,MATCH(A165,Recettes!A:A,0)),"")</f>
        <v>#ERROR!</v>
      </c>
    </row>
    <row r="157" ht="15.0" customHeight="1">
      <c r="A157" s="118" t="s">
        <v>499</v>
      </c>
      <c r="B157" s="42" t="s">
        <v>306</v>
      </c>
      <c r="C157" s="51" t="s">
        <v>307</v>
      </c>
      <c r="D157" s="107">
        <v>0.3</v>
      </c>
      <c r="E157" s="53" t="s">
        <v>308</v>
      </c>
      <c r="F157" s="108" t="str">
        <f>IFERROR(INDEX('MP Referentiel'!F:F,MATCH(B166,'MP Referentiel'!A:A,0)),"")</f>
        <v>#ERROR!</v>
      </c>
      <c r="G157" s="109" t="str">
        <f>IFERROR(D166*F166,"")</f>
        <v>#ERROR!</v>
      </c>
      <c r="H157" s="110" t="str">
        <f>IFERROR(G166/SUMPRODUCT(('Detail Recettes'!A$5:A$183=A166)*'Detail Recettes'!G$5:G$183),"")</f>
        <v>#ERROR!</v>
      </c>
      <c r="I157" s="111" t="str">
        <f>IFERROR(INDEX(Recettes!C:C,MATCH(A166,Recettes!A:A,0)),"")</f>
        <v>#ERROR!</v>
      </c>
      <c r="J157" s="111" t="str">
        <f>IFERROR(INDEX(Recettes!F:F,MATCH(A166,Recettes!A:A,0)),"")</f>
        <v>#ERROR!</v>
      </c>
    </row>
    <row r="158" ht="15.0" customHeight="1">
      <c r="A158" s="118" t="s">
        <v>499</v>
      </c>
      <c r="B158" s="42" t="s">
        <v>359</v>
      </c>
      <c r="C158" s="43" t="s">
        <v>360</v>
      </c>
      <c r="D158" s="112">
        <v>0.5</v>
      </c>
      <c r="E158" s="45" t="s">
        <v>239</v>
      </c>
      <c r="F158" s="113" t="str">
        <f>IFERROR(INDEX('MP Referentiel'!F:F,MATCH(B167,'MP Referentiel'!A:A,0)),"")</f>
        <v>#ERROR!</v>
      </c>
      <c r="G158" s="114" t="str">
        <f>IFERROR(D167*F167,"")</f>
        <v>#ERROR!</v>
      </c>
      <c r="H158" s="115" t="str">
        <f>IFERROR(G167/SUMPRODUCT(('Detail Recettes'!A$5:A$183=A167)*'Detail Recettes'!G$5:G$183),"")</f>
        <v>#ERROR!</v>
      </c>
      <c r="I158" s="48" t="str">
        <f>IFERROR(INDEX(Recettes!C:C,MATCH(A167,Recettes!A:A,0)),"")</f>
        <v>#ERROR!</v>
      </c>
      <c r="J158" s="48" t="str">
        <f>IFERROR(INDEX(Recettes!F:F,MATCH(A167,Recettes!A:A,0)),"")</f>
        <v>#ERROR!</v>
      </c>
    </row>
    <row r="159" ht="15.0" customHeight="1">
      <c r="A159" s="118" t="s">
        <v>499</v>
      </c>
      <c r="B159" s="42" t="s">
        <v>313</v>
      </c>
      <c r="C159" s="51" t="s">
        <v>314</v>
      </c>
      <c r="D159" s="107">
        <v>0.5</v>
      </c>
      <c r="E159" s="53" t="s">
        <v>239</v>
      </c>
      <c r="F159" s="108" t="str">
        <f>IFERROR(INDEX('MP Referentiel'!F:F,MATCH(B168,'MP Referentiel'!A:A,0)),"")</f>
        <v>#ERROR!</v>
      </c>
      <c r="G159" s="109" t="str">
        <f>IFERROR(D168*F168,"")</f>
        <v>#ERROR!</v>
      </c>
      <c r="H159" s="110" t="str">
        <f>IFERROR(G168/SUMPRODUCT(('Detail Recettes'!A$5:A$183=A168)*'Detail Recettes'!G$5:G$183),"")</f>
        <v>#ERROR!</v>
      </c>
      <c r="I159" s="111" t="str">
        <f>IFERROR(INDEX(Recettes!C:C,MATCH(A168,Recettes!A:A,0)),"")</f>
        <v>#ERROR!</v>
      </c>
      <c r="J159" s="111" t="str">
        <f>IFERROR(INDEX(Recettes!F:F,MATCH(A168,Recettes!A:A,0)),"")</f>
        <v>#ERROR!</v>
      </c>
    </row>
    <row r="160" ht="15.0" customHeight="1">
      <c r="A160" s="118" t="s">
        <v>499</v>
      </c>
      <c r="B160" s="42" t="s">
        <v>352</v>
      </c>
      <c r="C160" s="43" t="s">
        <v>353</v>
      </c>
      <c r="D160" s="112">
        <v>0.3</v>
      </c>
      <c r="E160" s="45" t="s">
        <v>239</v>
      </c>
      <c r="F160" s="113" t="str">
        <f>IFERROR(INDEX('MP Referentiel'!F:F,MATCH(B169,'MP Referentiel'!A:A,0)),"")</f>
        <v>#ERROR!</v>
      </c>
      <c r="G160" s="114" t="str">
        <f>IFERROR(D169*F169,"")</f>
        <v>#ERROR!</v>
      </c>
      <c r="H160" s="115" t="str">
        <f>IFERROR(G169/SUMPRODUCT(('Detail Recettes'!A$5:A$183=A169)*'Detail Recettes'!G$5:G$183),"")</f>
        <v>#ERROR!</v>
      </c>
      <c r="I160" s="48" t="str">
        <f>IFERROR(INDEX(Recettes!C:C,MATCH(A169,Recettes!A:A,0)),"")</f>
        <v>#ERROR!</v>
      </c>
      <c r="J160" s="48" t="str">
        <f>IFERROR(INDEX(Recettes!F:F,MATCH(A169,Recettes!A:A,0)),"")</f>
        <v>#ERROR!</v>
      </c>
    </row>
    <row r="161" ht="15.0" customHeight="1">
      <c r="A161" s="118" t="s">
        <v>501</v>
      </c>
      <c r="B161" s="42" t="s">
        <v>311</v>
      </c>
      <c r="C161" s="51" t="s">
        <v>312</v>
      </c>
      <c r="D161" s="107">
        <v>1.8</v>
      </c>
      <c r="E161" s="53" t="s">
        <v>308</v>
      </c>
      <c r="F161" s="108" t="str">
        <f>IFERROR(INDEX('MP Referentiel'!F:F,MATCH(B170,'MP Referentiel'!A:A,0)),"")</f>
        <v>#ERROR!</v>
      </c>
      <c r="G161" s="109" t="str">
        <f>IFERROR(D170*F170,"")</f>
        <v>#ERROR!</v>
      </c>
      <c r="H161" s="110" t="str">
        <f>IFERROR(G170/SUMPRODUCT(('Detail Recettes'!A$5:A$183=A170)*'Detail Recettes'!G$5:G$183),"")</f>
        <v>#ERROR!</v>
      </c>
      <c r="I161" s="111" t="str">
        <f>IFERROR(INDEX(Recettes!C:C,MATCH(A170,Recettes!A:A,0)),"")</f>
        <v>#ERROR!</v>
      </c>
      <c r="J161" s="111" t="str">
        <f>IFERROR(INDEX(Recettes!F:F,MATCH(A170,Recettes!A:A,0)),"")</f>
        <v>#ERROR!</v>
      </c>
    </row>
    <row r="162" ht="15.0" customHeight="1">
      <c r="A162" s="118" t="s">
        <v>501</v>
      </c>
      <c r="B162" s="42" t="s">
        <v>313</v>
      </c>
      <c r="C162" s="43" t="s">
        <v>314</v>
      </c>
      <c r="D162" s="112">
        <v>0.6</v>
      </c>
      <c r="E162" s="45" t="s">
        <v>239</v>
      </c>
      <c r="F162" s="113" t="str">
        <f>IFERROR(INDEX('MP Referentiel'!F:F,MATCH(B171,'MP Referentiel'!A:A,0)),"")</f>
        <v>#ERROR!</v>
      </c>
      <c r="G162" s="114" t="str">
        <f>IFERROR(D171*F171,"")</f>
        <v>#ERROR!</v>
      </c>
      <c r="H162" s="115" t="str">
        <f>IFERROR(G171/SUMPRODUCT(('Detail Recettes'!A$5:A$183=A171)*'Detail Recettes'!G$5:G$183),"")</f>
        <v>#ERROR!</v>
      </c>
      <c r="I162" s="48" t="str">
        <f>IFERROR(INDEX(Recettes!C:C,MATCH(A171,Recettes!A:A,0)),"")</f>
        <v>#ERROR!</v>
      </c>
      <c r="J162" s="48" t="str">
        <f>IFERROR(INDEX(Recettes!F:F,MATCH(A171,Recettes!A:A,0)),"")</f>
        <v>#ERROR!</v>
      </c>
    </row>
    <row r="163" ht="15.0" customHeight="1">
      <c r="A163" s="118" t="s">
        <v>501</v>
      </c>
      <c r="B163" s="42" t="s">
        <v>352</v>
      </c>
      <c r="C163" s="51" t="s">
        <v>353</v>
      </c>
      <c r="D163" s="107">
        <v>0.5</v>
      </c>
      <c r="E163" s="53" t="s">
        <v>239</v>
      </c>
      <c r="F163" s="108" t="str">
        <f>IFERROR(INDEX('MP Referentiel'!F:F,MATCH(B172,'MP Referentiel'!A:A,0)),"")</f>
        <v>#ERROR!</v>
      </c>
      <c r="G163" s="109" t="str">
        <f>IFERROR(D172*F172,"")</f>
        <v>#ERROR!</v>
      </c>
      <c r="H163" s="110" t="str">
        <f>IFERROR(G172/SUMPRODUCT(('Detail Recettes'!A$5:A$183=A172)*'Detail Recettes'!G$5:G$183),"")</f>
        <v>#ERROR!</v>
      </c>
      <c r="I163" s="111" t="str">
        <f>IFERROR(INDEX(Recettes!C:C,MATCH(A172,Recettes!A:A,0)),"")</f>
        <v>#ERROR!</v>
      </c>
      <c r="J163" s="111" t="str">
        <f>IFERROR(INDEX(Recettes!F:F,MATCH(A172,Recettes!A:A,0)),"")</f>
        <v>#ERROR!</v>
      </c>
    </row>
    <row r="164" ht="15.0" customHeight="1">
      <c r="A164" s="118" t="s">
        <v>501</v>
      </c>
      <c r="B164" s="42" t="s">
        <v>366</v>
      </c>
      <c r="C164" s="43" t="s">
        <v>367</v>
      </c>
      <c r="D164" s="112">
        <v>0.004</v>
      </c>
      <c r="E164" s="45" t="s">
        <v>239</v>
      </c>
      <c r="F164" s="113" t="str">
        <f>IFERROR(INDEX('MP Referentiel'!F:F,MATCH(B173,'MP Referentiel'!A:A,0)),"")</f>
        <v>#ERROR!</v>
      </c>
      <c r="G164" s="114" t="str">
        <f>IFERROR(D173*F173,"")</f>
        <v>#ERROR!</v>
      </c>
      <c r="H164" s="115" t="str">
        <f>IFERROR(G173/SUMPRODUCT(('Detail Recettes'!A$5:A$183=A173)*'Detail Recettes'!G$5:G$183),"")</f>
        <v>#ERROR!</v>
      </c>
      <c r="I164" s="48" t="str">
        <f>IFERROR(INDEX(Recettes!C:C,MATCH(A173,Recettes!A:A,0)),"")</f>
        <v>#ERROR!</v>
      </c>
      <c r="J164" s="48" t="str">
        <f>IFERROR(INDEX(Recettes!F:F,MATCH(A173,Recettes!A:A,0)),"")</f>
        <v>#ERROR!</v>
      </c>
    </row>
    <row r="165" ht="15.0" customHeight="1">
      <c r="A165" s="118" t="s">
        <v>503</v>
      </c>
      <c r="B165" s="42" t="s">
        <v>297</v>
      </c>
      <c r="C165" s="51" t="s">
        <v>298</v>
      </c>
      <c r="D165" s="107">
        <v>0.5</v>
      </c>
      <c r="E165" s="53" t="s">
        <v>239</v>
      </c>
      <c r="F165" s="108" t="str">
        <f>IFERROR(INDEX('MP Referentiel'!F:F,MATCH(B174,'MP Referentiel'!A:A,0)),"")</f>
        <v>#ERROR!</v>
      </c>
      <c r="G165" s="109" t="str">
        <f>IFERROR(D174*F174,"")</f>
        <v>#ERROR!</v>
      </c>
      <c r="H165" s="110" t="str">
        <f>IFERROR(G174/SUMPRODUCT(('Detail Recettes'!A$5:A$183=A174)*'Detail Recettes'!G$5:G$183),"")</f>
        <v>#ERROR!</v>
      </c>
      <c r="I165" s="111" t="str">
        <f>IFERROR(INDEX(Recettes!C:C,MATCH(A174,Recettes!A:A,0)),"")</f>
        <v>#ERROR!</v>
      </c>
      <c r="J165" s="111" t="str">
        <f>IFERROR(INDEX(Recettes!F:F,MATCH(A174,Recettes!A:A,0)),"")</f>
        <v>#ERROR!</v>
      </c>
    </row>
    <row r="166" ht="15.0" customHeight="1">
      <c r="A166" s="118" t="s">
        <v>503</v>
      </c>
      <c r="B166" s="42" t="s">
        <v>311</v>
      </c>
      <c r="C166" s="43" t="s">
        <v>312</v>
      </c>
      <c r="D166" s="112">
        <v>2.0</v>
      </c>
      <c r="E166" s="45" t="s">
        <v>308</v>
      </c>
      <c r="F166" s="113" t="str">
        <f>IFERROR(INDEX('MP Referentiel'!F:F,MATCH(B175,'MP Referentiel'!A:A,0)),"")</f>
        <v>#ERROR!</v>
      </c>
      <c r="G166" s="114" t="str">
        <f>IFERROR(D175*F175,"")</f>
        <v>#ERROR!</v>
      </c>
      <c r="H166" s="115" t="str">
        <f>IFERROR(G175/SUMPRODUCT(('Detail Recettes'!A$5:A$183=A175)*'Detail Recettes'!G$5:G$183),"")</f>
        <v>#ERROR!</v>
      </c>
      <c r="I166" s="48" t="str">
        <f>IFERROR(INDEX(Recettes!C:C,MATCH(A175,Recettes!A:A,0)),"")</f>
        <v>#ERROR!</v>
      </c>
      <c r="J166" s="48" t="str">
        <f>IFERROR(INDEX(Recettes!F:F,MATCH(A175,Recettes!A:A,0)),"")</f>
        <v>#ERROR!</v>
      </c>
    </row>
    <row r="167" ht="15.0" customHeight="1">
      <c r="A167" s="118" t="s">
        <v>503</v>
      </c>
      <c r="B167" s="42" t="s">
        <v>352</v>
      </c>
      <c r="C167" s="51" t="s">
        <v>353</v>
      </c>
      <c r="D167" s="107">
        <v>0.3</v>
      </c>
      <c r="E167" s="53" t="s">
        <v>239</v>
      </c>
      <c r="F167" s="108" t="str">
        <f>IFERROR(INDEX('MP Referentiel'!F:F,MATCH(B176,'MP Referentiel'!A:A,0)),"")</f>
        <v>#ERROR!</v>
      </c>
      <c r="G167" s="109" t="str">
        <f>IFERROR(D176*F176,"")</f>
        <v>#ERROR!</v>
      </c>
      <c r="H167" s="110" t="str">
        <f>IFERROR(G176/SUMPRODUCT(('Detail Recettes'!A$5:A$183=A176)*'Detail Recettes'!G$5:G$183),"")</f>
        <v>#ERROR!</v>
      </c>
      <c r="I167" s="111" t="str">
        <f>IFERROR(INDEX(Recettes!C:C,MATCH(A176,Recettes!A:A,0)),"")</f>
        <v>#ERROR!</v>
      </c>
      <c r="J167" s="111" t="str">
        <f>IFERROR(INDEX(Recettes!F:F,MATCH(A176,Recettes!A:A,0)),"")</f>
        <v>#ERROR!</v>
      </c>
    </row>
    <row r="168" ht="15.0" customHeight="1">
      <c r="A168" s="118" t="s">
        <v>503</v>
      </c>
      <c r="B168" s="42" t="s">
        <v>333</v>
      </c>
      <c r="C168" s="43" t="s">
        <v>334</v>
      </c>
      <c r="D168" s="112">
        <v>0.006</v>
      </c>
      <c r="E168" s="45" t="s">
        <v>239</v>
      </c>
      <c r="F168" s="113" t="str">
        <f>IFERROR(INDEX('MP Referentiel'!F:F,MATCH(B177,'MP Referentiel'!A:A,0)),"")</f>
        <v>#ERROR!</v>
      </c>
      <c r="G168" s="114" t="str">
        <f>IFERROR(D177*F177,"")</f>
        <v>#ERROR!</v>
      </c>
      <c r="H168" s="115" t="str">
        <f>IFERROR(G177/SUMPRODUCT(('Detail Recettes'!A$5:A$183=A177)*'Detail Recettes'!G$5:G$183),"")</f>
        <v>#ERROR!</v>
      </c>
      <c r="I168" s="48" t="str">
        <f>IFERROR(INDEX(Recettes!C:C,MATCH(A177,Recettes!A:A,0)),"")</f>
        <v>#ERROR!</v>
      </c>
      <c r="J168" s="48" t="str">
        <f>IFERROR(INDEX(Recettes!F:F,MATCH(A177,Recettes!A:A,0)),"")</f>
        <v>#ERROR!</v>
      </c>
    </row>
    <row r="169" ht="15.0" customHeight="1">
      <c r="A169" s="118" t="s">
        <v>503</v>
      </c>
      <c r="B169" s="42" t="s">
        <v>320</v>
      </c>
      <c r="C169" s="51" t="s">
        <v>321</v>
      </c>
      <c r="D169" s="107">
        <v>0.02</v>
      </c>
      <c r="E169" s="53" t="s">
        <v>239</v>
      </c>
      <c r="F169" s="108" t="str">
        <f>IFERROR(INDEX('MP Referentiel'!F:F,MATCH(B178,'MP Referentiel'!A:A,0)),"")</f>
        <v>#ERROR!</v>
      </c>
      <c r="G169" s="109" t="str">
        <f>IFERROR(D178*F178,"")</f>
        <v>#ERROR!</v>
      </c>
      <c r="H169" s="110" t="str">
        <f>IFERROR(G178/SUMPRODUCT(('Detail Recettes'!A$5:A$183=A178)*'Detail Recettes'!G$5:G$183),"")</f>
        <v>#ERROR!</v>
      </c>
      <c r="I169" s="111" t="str">
        <f>IFERROR(INDEX(Recettes!C:C,MATCH(A178,Recettes!A:A,0)),"")</f>
        <v>#ERROR!</v>
      </c>
      <c r="J169" s="111" t="str">
        <f>IFERROR(INDEX(Recettes!F:F,MATCH(A178,Recettes!A:A,0)),"")</f>
        <v>#ERROR!</v>
      </c>
    </row>
    <row r="170" ht="15.0" customHeight="1">
      <c r="A170" s="118" t="s">
        <v>505</v>
      </c>
      <c r="B170" s="42" t="s">
        <v>311</v>
      </c>
      <c r="C170" s="43" t="s">
        <v>312</v>
      </c>
      <c r="D170" s="112">
        <v>1.0</v>
      </c>
      <c r="E170" s="45" t="s">
        <v>308</v>
      </c>
      <c r="F170" s="113" t="str">
        <f>IFERROR(INDEX('MP Referentiel'!F:F,MATCH(B179,'MP Referentiel'!A:A,0)),"")</f>
        <v>#ERROR!</v>
      </c>
      <c r="G170" s="114" t="str">
        <f>IFERROR(D179*F179,"")</f>
        <v>#ERROR!</v>
      </c>
      <c r="H170" s="115" t="str">
        <f>IFERROR(G179/SUMPRODUCT(('Detail Recettes'!A$5:A$183=A179)*'Detail Recettes'!G$5:G$183),"")</f>
        <v>#ERROR!</v>
      </c>
      <c r="I170" s="48" t="str">
        <f>IFERROR(INDEX(Recettes!C:C,MATCH(A179,Recettes!A:A,0)),"")</f>
        <v>#ERROR!</v>
      </c>
      <c r="J170" s="48" t="str">
        <f>IFERROR(INDEX(Recettes!F:F,MATCH(A179,Recettes!A:A,0)),"")</f>
        <v>#ERROR!</v>
      </c>
    </row>
    <row r="171" ht="15.0" customHeight="1">
      <c r="A171" s="118" t="s">
        <v>505</v>
      </c>
      <c r="B171" s="42" t="s">
        <v>313</v>
      </c>
      <c r="C171" s="51" t="s">
        <v>314</v>
      </c>
      <c r="D171" s="107">
        <v>0.5</v>
      </c>
      <c r="E171" s="53" t="s">
        <v>239</v>
      </c>
      <c r="F171" s="108" t="str">
        <f>IFERROR(INDEX('MP Referentiel'!F:F,MATCH(B180,'MP Referentiel'!A:A,0)),"")</f>
        <v>#ERROR!</v>
      </c>
      <c r="G171" s="109" t="str">
        <f>IFERROR(D180*F180,"")</f>
        <v>#ERROR!</v>
      </c>
      <c r="H171" s="110" t="str">
        <f>IFERROR(G180/SUMPRODUCT(('Detail Recettes'!A$5:A$183=A180)*'Detail Recettes'!G$5:G$183),"")</f>
        <v>#ERROR!</v>
      </c>
      <c r="I171" s="111" t="str">
        <f>IFERROR(INDEX(Recettes!C:C,MATCH(A180,Recettes!A:A,0)),"")</f>
        <v>#ERROR!</v>
      </c>
      <c r="J171" s="111" t="str">
        <f>IFERROR(INDEX(Recettes!F:F,MATCH(A180,Recettes!A:A,0)),"")</f>
        <v>#ERROR!</v>
      </c>
    </row>
    <row r="172" ht="15.0" customHeight="1">
      <c r="A172" s="118" t="s">
        <v>505</v>
      </c>
      <c r="B172" s="42" t="s">
        <v>352</v>
      </c>
      <c r="C172" s="43" t="s">
        <v>353</v>
      </c>
      <c r="D172" s="112">
        <v>0.2</v>
      </c>
      <c r="E172" s="45" t="s">
        <v>239</v>
      </c>
      <c r="F172" s="113" t="str">
        <f>IFERROR(INDEX('MP Referentiel'!F:F,MATCH(B181,'MP Referentiel'!A:A,0)),"")</f>
        <v>#ERROR!</v>
      </c>
      <c r="G172" s="114" t="str">
        <f>IFERROR(D181*F181,"")</f>
        <v>#ERROR!</v>
      </c>
      <c r="H172" s="115" t="str">
        <f>IFERROR(G181/SUMPRODUCT(('Detail Recettes'!A$5:A$183=A181)*'Detail Recettes'!G$5:G$183),"")</f>
        <v>#ERROR!</v>
      </c>
      <c r="I172" s="48" t="str">
        <f>IFERROR(INDEX(Recettes!C:C,MATCH(A181,Recettes!A:A,0)),"")</f>
        <v>#ERROR!</v>
      </c>
      <c r="J172" s="48" t="str">
        <f>IFERROR(INDEX(Recettes!F:F,MATCH(A181,Recettes!A:A,0)),"")</f>
        <v>#ERROR!</v>
      </c>
    </row>
    <row r="173" ht="15.0" customHeight="1">
      <c r="A173" s="118" t="s">
        <v>505</v>
      </c>
      <c r="B173" s="42" t="s">
        <v>294</v>
      </c>
      <c r="C173" s="51" t="s">
        <v>295</v>
      </c>
      <c r="D173" s="107">
        <v>0.2</v>
      </c>
      <c r="E173" s="53" t="s">
        <v>239</v>
      </c>
      <c r="F173" s="108" t="str">
        <f>IFERROR(INDEX('MP Referentiel'!F:F,MATCH(B182,'MP Referentiel'!A:A,0)),"")</f>
        <v>#ERROR!</v>
      </c>
      <c r="G173" s="109" t="str">
        <f>IFERROR(D182*F182,"")</f>
        <v>#ERROR!</v>
      </c>
      <c r="H173" s="110" t="str">
        <f>IFERROR(G182/SUMPRODUCT(('Detail Recettes'!A$5:A$183=A182)*'Detail Recettes'!G$5:G$183),"")</f>
        <v>#ERROR!</v>
      </c>
      <c r="I173" s="111" t="str">
        <f>IFERROR(INDEX(Recettes!C:C,MATCH(A182,Recettes!A:A,0)),"")</f>
        <v>#ERROR!</v>
      </c>
      <c r="J173" s="111" t="str">
        <f>IFERROR(INDEX(Recettes!F:F,MATCH(A182,Recettes!A:A,0)),"")</f>
        <v>#ERROR!</v>
      </c>
    </row>
    <row r="174" ht="15.0" customHeight="1">
      <c r="A174" s="118" t="s">
        <v>505</v>
      </c>
      <c r="B174" s="42" t="s">
        <v>299</v>
      </c>
      <c r="C174" s="43" t="s">
        <v>300</v>
      </c>
      <c r="D174" s="112">
        <v>0.08</v>
      </c>
      <c r="E174" s="45" t="s">
        <v>239</v>
      </c>
      <c r="F174" s="113" t="str">
        <f>IFERROR(INDEX('MP Referentiel'!F:F,MATCH(B183,'MP Referentiel'!A:A,0)),"")</f>
        <v>#ERROR!</v>
      </c>
      <c r="G174" s="114" t="str">
        <f>IFERROR(D183*F183,"")</f>
        <v>#ERROR!</v>
      </c>
      <c r="H174" s="115" t="str">
        <f>IFERROR(G183/SUMPRODUCT(('Detail Recettes'!A$5:A$183=A183)*'Detail Recettes'!G$5:G$183),"")</f>
        <v>#ERROR!</v>
      </c>
      <c r="I174" s="48" t="str">
        <f>IFERROR(INDEX(Recettes!C:C,MATCH(A183,Recettes!A:A,0)),"")</f>
        <v>#ERROR!</v>
      </c>
      <c r="J174" s="48" t="str">
        <f>IFERROR(INDEX(Recettes!F:F,MATCH(A183,Recettes!A:A,0)),"")</f>
        <v>#ERROR!</v>
      </c>
    </row>
    <row r="175">
      <c r="A175" s="27" t="s">
        <v>509</v>
      </c>
      <c r="B175" s="27" t="s">
        <v>236</v>
      </c>
      <c r="D175" s="55">
        <v>1.0</v>
      </c>
      <c r="E175" s="27" t="s">
        <v>239</v>
      </c>
    </row>
    <row r="176" ht="18.0" customHeight="1">
      <c r="A176" s="56" t="s">
        <v>509</v>
      </c>
    </row>
    <row r="177" ht="15.0" customHeight="1">
      <c r="A177" s="59"/>
      <c r="B177" s="59"/>
      <c r="C177" s="59"/>
      <c r="D177" s="59"/>
      <c r="E177" s="59"/>
      <c r="F177" s="120" t="str">
        <f>IFERROR(INDEX('MP Referentiel'!F:F,MATCH(B186,'MP Referentiel'!A:A,0)),"")</f>
        <v>#ERROR!</v>
      </c>
      <c r="G177" s="120" t="str">
        <f>IFERROR(D186*F186,"")</f>
        <v>#ERROR!</v>
      </c>
      <c r="H177" s="59"/>
      <c r="I177" s="59"/>
      <c r="J177" s="59"/>
      <c r="K177" s="59"/>
      <c r="L177" s="59"/>
    </row>
    <row r="178" ht="15.0" customHeight="1">
      <c r="A178" s="62"/>
      <c r="B178" s="62"/>
      <c r="C178" s="62"/>
      <c r="D178" s="62"/>
      <c r="E178" s="62"/>
      <c r="F178" s="121" t="str">
        <f>IFERROR(INDEX('MP Referentiel'!F:F,MATCH(B187,'MP Referentiel'!A:A,0)),"")</f>
        <v>#ERROR!</v>
      </c>
      <c r="G178" s="121" t="str">
        <f>IFERROR(D187*F187,"")</f>
        <v>#ERROR!</v>
      </c>
      <c r="H178" s="62"/>
      <c r="I178" s="62"/>
      <c r="J178" s="62"/>
      <c r="K178" s="62"/>
      <c r="L178" s="62"/>
    </row>
    <row r="179" ht="15.0" customHeight="1">
      <c r="A179" s="59"/>
      <c r="B179" s="59"/>
      <c r="C179" s="59"/>
      <c r="D179" s="59"/>
      <c r="E179" s="59"/>
      <c r="F179" s="120" t="str">
        <f>IFERROR(INDEX('MP Referentiel'!F:F,MATCH(B188,'MP Referentiel'!A:A,0)),"")</f>
        <v>#ERROR!</v>
      </c>
      <c r="G179" s="120" t="str">
        <f>IFERROR(D188*F188,"")</f>
        <v>#ERROR!</v>
      </c>
      <c r="H179" s="59"/>
      <c r="I179" s="59"/>
      <c r="J179" s="59"/>
      <c r="K179" s="59"/>
      <c r="L179" s="59"/>
    </row>
    <row r="180" ht="15.0" customHeight="1">
      <c r="A180" s="62"/>
      <c r="B180" s="62"/>
      <c r="C180" s="62"/>
      <c r="D180" s="62"/>
      <c r="E180" s="62"/>
      <c r="F180" s="121" t="str">
        <f>IFERROR(INDEX('MP Referentiel'!F:F,MATCH(B189,'MP Referentiel'!A:A,0)),"")</f>
        <v>#ERROR!</v>
      </c>
      <c r="G180" s="121" t="str">
        <f>IFERROR(D189*F189,"")</f>
        <v>#ERROR!</v>
      </c>
      <c r="H180" s="62"/>
      <c r="I180" s="62"/>
      <c r="J180" s="62"/>
      <c r="K180" s="62"/>
      <c r="L180" s="62"/>
    </row>
    <row r="181" ht="15.0" customHeight="1">
      <c r="A181" s="59"/>
      <c r="B181" s="59"/>
      <c r="C181" s="59"/>
      <c r="D181" s="59"/>
      <c r="E181" s="59"/>
      <c r="F181" s="120" t="str">
        <f>IFERROR(INDEX('MP Referentiel'!F:F,MATCH(B190,'MP Referentiel'!A:A,0)),"")</f>
        <v>#ERROR!</v>
      </c>
      <c r="G181" s="120" t="str">
        <f>IFERROR(D190*F190,"")</f>
        <v>#ERROR!</v>
      </c>
      <c r="H181" s="59"/>
      <c r="I181" s="59"/>
      <c r="J181" s="59"/>
      <c r="K181" s="59"/>
      <c r="L181" s="59"/>
    </row>
    <row r="182" ht="15.0" customHeight="1">
      <c r="A182" s="62"/>
      <c r="B182" s="62"/>
      <c r="C182" s="62"/>
      <c r="D182" s="62"/>
      <c r="E182" s="62"/>
      <c r="F182" s="121" t="str">
        <f>IFERROR(INDEX('MP Referentiel'!F:F,MATCH(B191,'MP Referentiel'!A:A,0)),"")</f>
        <v>#ERROR!</v>
      </c>
      <c r="G182" s="121" t="str">
        <f>IFERROR(D191*F191,"")</f>
        <v>#ERROR!</v>
      </c>
      <c r="H182" s="62"/>
      <c r="I182" s="62"/>
      <c r="J182" s="62"/>
      <c r="K182" s="62"/>
      <c r="L182" s="62"/>
    </row>
    <row r="183" ht="15.0" customHeight="1">
      <c r="A183" s="59"/>
      <c r="B183" s="59"/>
      <c r="C183" s="59"/>
      <c r="D183" s="59"/>
      <c r="E183" s="59"/>
      <c r="F183" s="120" t="str">
        <f>IFERROR(INDEX('MP Referentiel'!F:F,MATCH(B192,'MP Referentiel'!A:A,0)),"")</f>
        <v>#ERROR!</v>
      </c>
      <c r="G183" s="120" t="str">
        <f>IFERROR(D192*F192,"")</f>
        <v>#ERROR!</v>
      </c>
      <c r="H183" s="59"/>
      <c r="I183" s="59"/>
      <c r="J183" s="59"/>
      <c r="K183" s="59"/>
      <c r="L183" s="59"/>
    </row>
    <row r="184" ht="15.0" customHeight="1">
      <c r="A184" s="62"/>
      <c r="B184" s="62"/>
      <c r="C184" s="62"/>
      <c r="D184" s="62"/>
      <c r="E184" s="62"/>
      <c r="F184" s="121" t="str">
        <f>IFERROR(INDEX('MP Referentiel'!F:F,MATCH(B193,'MP Referentiel'!A:A,0)),"")</f>
        <v>#ERROR!</v>
      </c>
      <c r="G184" s="121" t="str">
        <f>IFERROR(D193*F193,"")</f>
        <v>#ERROR!</v>
      </c>
      <c r="H184" s="62"/>
      <c r="I184" s="62"/>
      <c r="J184" s="62"/>
      <c r="K184" s="62"/>
      <c r="L184" s="62"/>
    </row>
    <row r="185" ht="15.0" customHeight="1">
      <c r="A185" s="59"/>
      <c r="B185" s="59"/>
      <c r="C185" s="59"/>
      <c r="D185" s="59"/>
      <c r="E185" s="59"/>
      <c r="F185" s="120" t="str">
        <f>IFERROR(INDEX('MP Referentiel'!F:F,MATCH(B194,'MP Referentiel'!A:A,0)),"")</f>
        <v>#ERROR!</v>
      </c>
      <c r="G185" s="120" t="str">
        <f>IFERROR(D194*F194,"")</f>
        <v>#ERROR!</v>
      </c>
      <c r="H185" s="59"/>
      <c r="I185" s="59"/>
      <c r="J185" s="59"/>
      <c r="K185" s="59"/>
      <c r="L185" s="59"/>
    </row>
    <row r="186" ht="15.0" customHeight="1">
      <c r="A186" s="62"/>
      <c r="B186" s="62"/>
      <c r="C186" s="62"/>
      <c r="D186" s="62"/>
      <c r="E186" s="62"/>
      <c r="F186" s="121" t="str">
        <f>IFERROR(INDEX('MP Referentiel'!F:F,MATCH(B195,'MP Referentiel'!A:A,0)),"")</f>
        <v>#ERROR!</v>
      </c>
      <c r="G186" s="121" t="str">
        <f>IFERROR(D195*F195,"")</f>
        <v>#ERROR!</v>
      </c>
      <c r="H186" s="62"/>
      <c r="I186" s="62"/>
      <c r="J186" s="62"/>
      <c r="K186" s="62"/>
      <c r="L186" s="62"/>
    </row>
    <row r="187" ht="15.0" customHeight="1">
      <c r="A187" s="59"/>
      <c r="B187" s="59"/>
      <c r="C187" s="59"/>
      <c r="D187" s="59"/>
      <c r="E187" s="59"/>
      <c r="F187" s="120" t="str">
        <f>IFERROR(INDEX('MP Referentiel'!F:F,MATCH(B196,'MP Referentiel'!A:A,0)),"")</f>
        <v>#ERROR!</v>
      </c>
      <c r="G187" s="120" t="str">
        <f>IFERROR(D196*F196,"")</f>
        <v>#ERROR!</v>
      </c>
      <c r="H187" s="59"/>
      <c r="I187" s="59"/>
      <c r="J187" s="59"/>
      <c r="K187" s="59"/>
      <c r="L187" s="59"/>
    </row>
    <row r="188" ht="15.0" customHeight="1">
      <c r="A188" s="62"/>
      <c r="B188" s="62"/>
      <c r="C188" s="62"/>
      <c r="D188" s="62"/>
      <c r="E188" s="62"/>
      <c r="F188" s="121" t="str">
        <f>IFERROR(INDEX('MP Referentiel'!F:F,MATCH(B197,'MP Referentiel'!A:A,0)),"")</f>
        <v>#ERROR!</v>
      </c>
      <c r="G188" s="121" t="str">
        <f>IFERROR(D197*F197,"")</f>
        <v>#ERROR!</v>
      </c>
      <c r="H188" s="62"/>
      <c r="I188" s="62"/>
      <c r="J188" s="62"/>
      <c r="K188" s="62"/>
      <c r="L188" s="62"/>
    </row>
    <row r="189" ht="15.0" customHeight="1">
      <c r="A189" s="59"/>
      <c r="B189" s="59"/>
      <c r="C189" s="59"/>
      <c r="D189" s="59"/>
      <c r="E189" s="59"/>
      <c r="F189" s="120" t="str">
        <f>IFERROR(INDEX('MP Referentiel'!F:F,MATCH(B198,'MP Referentiel'!A:A,0)),"")</f>
        <v>#ERROR!</v>
      </c>
      <c r="G189" s="120" t="str">
        <f>IFERROR(D198*F198,"")</f>
        <v>#ERROR!</v>
      </c>
      <c r="H189" s="59"/>
      <c r="I189" s="59"/>
      <c r="J189" s="59"/>
      <c r="K189" s="59"/>
      <c r="L189" s="59"/>
    </row>
    <row r="190" ht="15.0" customHeight="1">
      <c r="A190" s="62"/>
      <c r="B190" s="62"/>
      <c r="C190" s="62"/>
      <c r="D190" s="62"/>
      <c r="E190" s="62"/>
      <c r="F190" s="121" t="str">
        <f>IFERROR(INDEX('MP Referentiel'!F:F,MATCH(B199,'MP Referentiel'!A:A,0)),"")</f>
        <v>#ERROR!</v>
      </c>
      <c r="G190" s="121" t="str">
        <f>IFERROR(D199*F199,"")</f>
        <v>#ERROR!</v>
      </c>
      <c r="H190" s="62"/>
      <c r="I190" s="62"/>
      <c r="J190" s="62"/>
      <c r="K190" s="62"/>
      <c r="L190" s="62"/>
    </row>
    <row r="191" ht="15.0" customHeight="1">
      <c r="A191" s="59"/>
      <c r="B191" s="59"/>
      <c r="C191" s="59"/>
      <c r="D191" s="59"/>
      <c r="E191" s="59"/>
      <c r="F191" s="120" t="str">
        <f>IFERROR(INDEX('MP Referentiel'!F:F,MATCH(B200,'MP Referentiel'!A:A,0)),"")</f>
        <v>#ERROR!</v>
      </c>
      <c r="G191" s="120" t="str">
        <f>IFERROR(D200*F200,"")</f>
        <v>#ERROR!</v>
      </c>
      <c r="H191" s="59"/>
      <c r="I191" s="59"/>
      <c r="J191" s="59"/>
      <c r="K191" s="59"/>
      <c r="L191" s="59"/>
    </row>
    <row r="192" ht="15.0" customHeight="1">
      <c r="A192" s="62"/>
      <c r="B192" s="62"/>
      <c r="C192" s="62"/>
      <c r="D192" s="62"/>
      <c r="E192" s="62"/>
      <c r="F192" s="121" t="str">
        <f>IFERROR(INDEX('MP Referentiel'!F:F,MATCH(B201,'MP Referentiel'!A:A,0)),"")</f>
        <v>#ERROR!</v>
      </c>
      <c r="G192" s="121" t="str">
        <f>IFERROR(D201*F201,"")</f>
        <v>#ERROR!</v>
      </c>
      <c r="H192" s="62"/>
      <c r="I192" s="62"/>
      <c r="J192" s="62"/>
      <c r="K192" s="62"/>
      <c r="L192" s="62"/>
    </row>
    <row r="193" ht="15.0" customHeight="1">
      <c r="A193" s="59"/>
      <c r="B193" s="59"/>
      <c r="C193" s="59"/>
      <c r="D193" s="59"/>
      <c r="E193" s="59"/>
      <c r="F193" s="120" t="str">
        <f>IFERROR(INDEX('MP Referentiel'!F:F,MATCH(B202,'MP Referentiel'!A:A,0)),"")</f>
        <v>#ERROR!</v>
      </c>
      <c r="G193" s="120" t="str">
        <f>IFERROR(D202*F202,"")</f>
        <v>#ERROR!</v>
      </c>
      <c r="H193" s="59"/>
      <c r="I193" s="59"/>
      <c r="J193" s="59"/>
      <c r="K193" s="59"/>
      <c r="L193" s="59"/>
    </row>
    <row r="194" ht="15.0" customHeight="1">
      <c r="A194" s="62"/>
      <c r="B194" s="62"/>
      <c r="C194" s="62"/>
      <c r="D194" s="62"/>
      <c r="E194" s="62"/>
      <c r="F194" s="121" t="str">
        <f>IFERROR(INDEX('MP Referentiel'!F:F,MATCH(B203,'MP Referentiel'!A:A,0)),"")</f>
        <v>#ERROR!</v>
      </c>
      <c r="G194" s="121" t="str">
        <f>IFERROR(D203*F203,"")</f>
        <v>#ERROR!</v>
      </c>
      <c r="H194" s="62"/>
      <c r="I194" s="62"/>
      <c r="J194" s="62"/>
      <c r="K194" s="62"/>
      <c r="L194" s="62"/>
    </row>
    <row r="195" ht="15.0" customHeight="1">
      <c r="A195" s="59"/>
      <c r="B195" s="59"/>
      <c r="C195" s="59"/>
      <c r="D195" s="59"/>
      <c r="E195" s="59"/>
      <c r="F195" s="120" t="str">
        <f>IFERROR(INDEX('MP Referentiel'!F:F,MATCH(B204,'MP Referentiel'!A:A,0)),"")</f>
        <v>#ERROR!</v>
      </c>
      <c r="G195" s="120" t="str">
        <f>IFERROR(D204*F204,"")</f>
        <v>#ERROR!</v>
      </c>
      <c r="H195" s="59"/>
      <c r="I195" s="59"/>
      <c r="J195" s="59"/>
      <c r="K195" s="59"/>
      <c r="L195" s="59"/>
    </row>
    <row r="196" ht="15.0" customHeight="1">
      <c r="A196" s="62"/>
      <c r="B196" s="62"/>
      <c r="C196" s="62"/>
      <c r="D196" s="62"/>
      <c r="E196" s="62"/>
      <c r="F196" s="121" t="str">
        <f>IFERROR(INDEX('MP Referentiel'!F:F,MATCH(B205,'MP Referentiel'!A:A,0)),"")</f>
        <v>#ERROR!</v>
      </c>
      <c r="G196" s="121" t="str">
        <f>IFERROR(D205*F205,"")</f>
        <v>#ERROR!</v>
      </c>
      <c r="H196" s="62"/>
      <c r="I196" s="62"/>
      <c r="J196" s="62"/>
      <c r="K196" s="62"/>
      <c r="L196" s="62"/>
    </row>
    <row r="197" ht="15.0" customHeight="1">
      <c r="A197" s="59"/>
      <c r="B197" s="59"/>
      <c r="C197" s="59"/>
      <c r="D197" s="59"/>
      <c r="E197" s="59"/>
      <c r="F197" s="120" t="str">
        <f>IFERROR(INDEX('MP Referentiel'!F:F,MATCH(B206,'MP Referentiel'!A:A,0)),"")</f>
        <v>#ERROR!</v>
      </c>
      <c r="G197" s="120" t="str">
        <f>IFERROR(D206*F206,"")</f>
        <v>#ERROR!</v>
      </c>
      <c r="H197" s="59"/>
      <c r="I197" s="59"/>
      <c r="J197" s="59"/>
      <c r="K197" s="59"/>
      <c r="L197" s="59"/>
    </row>
    <row r="198" ht="15.0" customHeight="1">
      <c r="A198" s="62"/>
      <c r="B198" s="62"/>
      <c r="C198" s="62"/>
      <c r="D198" s="62"/>
      <c r="E198" s="62"/>
      <c r="F198" s="121" t="str">
        <f>IFERROR(INDEX('MP Referentiel'!F:F,MATCH(B207,'MP Referentiel'!A:A,0)),"")</f>
        <v>#ERROR!</v>
      </c>
      <c r="G198" s="121" t="str">
        <f>IFERROR(D207*F207,"")</f>
        <v>#ERROR!</v>
      </c>
      <c r="H198" s="62"/>
      <c r="I198" s="62"/>
      <c r="J198" s="62"/>
      <c r="K198" s="62"/>
      <c r="L198" s="62"/>
    </row>
    <row r="199" ht="15.0" customHeight="1">
      <c r="A199" s="59"/>
      <c r="B199" s="59"/>
      <c r="C199" s="59"/>
      <c r="D199" s="59"/>
      <c r="E199" s="59"/>
      <c r="F199" s="120" t="str">
        <f>IFERROR(INDEX('MP Referentiel'!F:F,MATCH(B208,'MP Referentiel'!A:A,0)),"")</f>
        <v>#ERROR!</v>
      </c>
      <c r="G199" s="120" t="str">
        <f>IFERROR(D208*F208,"")</f>
        <v>#ERROR!</v>
      </c>
      <c r="H199" s="59"/>
      <c r="I199" s="59"/>
      <c r="J199" s="59"/>
      <c r="K199" s="59"/>
      <c r="L199" s="59"/>
    </row>
    <row r="200" ht="15.0" customHeight="1">
      <c r="A200" s="62"/>
      <c r="B200" s="62"/>
      <c r="C200" s="62"/>
      <c r="D200" s="62"/>
      <c r="E200" s="62"/>
      <c r="F200" s="121" t="str">
        <f>IFERROR(INDEX('MP Referentiel'!F:F,MATCH(B209,'MP Referentiel'!A:A,0)),"")</f>
        <v>#ERROR!</v>
      </c>
      <c r="G200" s="121" t="str">
        <f>IFERROR(D209*F209,"")</f>
        <v>#ERROR!</v>
      </c>
      <c r="H200" s="62"/>
      <c r="I200" s="62"/>
      <c r="J200" s="62"/>
      <c r="K200" s="62"/>
      <c r="L200" s="62"/>
    </row>
    <row r="201" ht="15.0" customHeight="1">
      <c r="A201" s="59"/>
      <c r="B201" s="59"/>
      <c r="C201" s="59"/>
      <c r="D201" s="59"/>
      <c r="E201" s="59"/>
      <c r="F201" s="120" t="str">
        <f>IFERROR(INDEX('MP Referentiel'!F:F,MATCH(B210,'MP Referentiel'!A:A,0)),"")</f>
        <v>#ERROR!</v>
      </c>
      <c r="G201" s="120" t="str">
        <f>IFERROR(D210*F210,"")</f>
        <v>#ERROR!</v>
      </c>
      <c r="H201" s="59"/>
      <c r="I201" s="59"/>
      <c r="J201" s="59"/>
      <c r="K201" s="59"/>
      <c r="L201" s="59"/>
    </row>
    <row r="202" ht="15.0" customHeight="1">
      <c r="A202" s="62"/>
      <c r="B202" s="62"/>
      <c r="C202" s="62"/>
      <c r="D202" s="62"/>
      <c r="E202" s="62"/>
      <c r="F202" s="121" t="str">
        <f>IFERROR(INDEX('MP Referentiel'!F:F,MATCH(B211,'MP Referentiel'!A:A,0)),"")</f>
        <v>#ERROR!</v>
      </c>
      <c r="G202" s="121" t="str">
        <f>IFERROR(D211*F211,"")</f>
        <v>#ERROR!</v>
      </c>
      <c r="H202" s="62"/>
      <c r="I202" s="62"/>
      <c r="J202" s="62"/>
      <c r="K202" s="62"/>
      <c r="L202" s="62"/>
    </row>
    <row r="203" ht="15.0" customHeight="1">
      <c r="A203" s="59"/>
      <c r="B203" s="59"/>
      <c r="C203" s="59"/>
      <c r="D203" s="59"/>
      <c r="E203" s="59"/>
      <c r="F203" s="120" t="str">
        <f>IFERROR(INDEX('MP Referentiel'!F:F,MATCH(B212,'MP Referentiel'!A:A,0)),"")</f>
        <v>#ERROR!</v>
      </c>
      <c r="G203" s="120" t="str">
        <f>IFERROR(D212*F212,"")</f>
        <v>#ERROR!</v>
      </c>
      <c r="H203" s="59"/>
      <c r="I203" s="59"/>
      <c r="J203" s="59"/>
      <c r="K203" s="59"/>
      <c r="L203" s="59"/>
    </row>
    <row r="204" ht="15.0" customHeight="1">
      <c r="A204" s="62"/>
      <c r="B204" s="62"/>
      <c r="C204" s="62"/>
      <c r="D204" s="62"/>
      <c r="E204" s="62"/>
      <c r="F204" s="121" t="str">
        <f>IFERROR(INDEX('MP Referentiel'!F:F,MATCH(B213,'MP Referentiel'!A:A,0)),"")</f>
        <v>#ERROR!</v>
      </c>
      <c r="G204" s="121" t="str">
        <f>IFERROR(D213*F213,"")</f>
        <v>#ERROR!</v>
      </c>
      <c r="H204" s="62"/>
      <c r="I204" s="62"/>
      <c r="J204" s="62"/>
      <c r="K204" s="62"/>
      <c r="L204" s="62"/>
    </row>
    <row r="205" ht="15.0" customHeight="1">
      <c r="A205" s="59"/>
      <c r="B205" s="59"/>
      <c r="C205" s="59"/>
      <c r="D205" s="59"/>
      <c r="E205" s="59"/>
      <c r="F205" s="120" t="str">
        <f>IFERROR(INDEX('MP Referentiel'!F:F,MATCH(B214,'MP Referentiel'!A:A,0)),"")</f>
        <v>#ERROR!</v>
      </c>
      <c r="G205" s="120" t="str">
        <f>IFERROR(D214*F214,"")</f>
        <v>#ERROR!</v>
      </c>
      <c r="H205" s="59"/>
      <c r="I205" s="59"/>
      <c r="J205" s="59"/>
      <c r="K205" s="59"/>
      <c r="L205" s="59"/>
    </row>
    <row r="206" ht="15.0" customHeight="1">
      <c r="A206" s="62"/>
      <c r="B206" s="62"/>
      <c r="C206" s="62"/>
      <c r="D206" s="62"/>
      <c r="E206" s="62"/>
      <c r="F206" s="121" t="str">
        <f>IFERROR(INDEX('MP Referentiel'!F:F,MATCH(B215,'MP Referentiel'!A:A,0)),"")</f>
        <v>#ERROR!</v>
      </c>
      <c r="G206" s="121" t="str">
        <f>IFERROR(D215*F215,"")</f>
        <v>#ERROR!</v>
      </c>
      <c r="H206" s="62"/>
      <c r="I206" s="62"/>
      <c r="J206" s="62"/>
      <c r="K206" s="62"/>
      <c r="L206" s="62"/>
    </row>
    <row r="207" ht="15.0" customHeight="1">
      <c r="A207" s="59"/>
      <c r="B207" s="59"/>
      <c r="C207" s="59"/>
      <c r="D207" s="59"/>
      <c r="E207" s="59"/>
      <c r="F207" s="120" t="str">
        <f>IFERROR(INDEX('MP Referentiel'!F:F,MATCH(B216,'MP Referentiel'!A:A,0)),"")</f>
        <v>#ERROR!</v>
      </c>
      <c r="G207" s="120" t="str">
        <f>IFERROR(D216*F216,"")</f>
        <v>#ERROR!</v>
      </c>
      <c r="H207" s="59"/>
      <c r="I207" s="59"/>
      <c r="J207" s="59"/>
      <c r="K207" s="59"/>
      <c r="L207" s="59"/>
    </row>
    <row r="208" ht="15.0" customHeight="1">
      <c r="A208" s="62"/>
      <c r="B208" s="62"/>
      <c r="C208" s="62"/>
      <c r="D208" s="62"/>
      <c r="E208" s="62"/>
      <c r="F208" s="121" t="str">
        <f>IFERROR(INDEX('MP Referentiel'!F:F,MATCH(B217,'MP Referentiel'!A:A,0)),"")</f>
        <v>#ERROR!</v>
      </c>
      <c r="G208" s="121" t="str">
        <f>IFERROR(D217*F217,"")</f>
        <v>#ERROR!</v>
      </c>
      <c r="H208" s="62"/>
      <c r="I208" s="62"/>
      <c r="J208" s="62"/>
      <c r="K208" s="62"/>
      <c r="L208" s="62"/>
    </row>
    <row r="209" ht="15.0" customHeight="1">
      <c r="A209" s="59"/>
      <c r="B209" s="59"/>
      <c r="C209" s="59"/>
      <c r="D209" s="59"/>
      <c r="E209" s="59"/>
      <c r="F209" s="120" t="str">
        <f>IFERROR(INDEX('MP Referentiel'!F:F,MATCH(B218,'MP Referentiel'!A:A,0)),"")</f>
        <v>#ERROR!</v>
      </c>
      <c r="G209" s="120" t="str">
        <f>IFERROR(D218*F218,"")</f>
        <v>#ERROR!</v>
      </c>
      <c r="H209" s="59"/>
      <c r="I209" s="59"/>
      <c r="J209" s="59"/>
      <c r="K209" s="59"/>
      <c r="L209" s="59"/>
    </row>
    <row r="210" ht="15.0" customHeight="1">
      <c r="A210" s="62"/>
      <c r="B210" s="62"/>
      <c r="C210" s="62"/>
      <c r="D210" s="62"/>
      <c r="E210" s="62"/>
      <c r="F210" s="121" t="str">
        <f>IFERROR(INDEX('MP Referentiel'!F:F,MATCH(B219,'MP Referentiel'!A:A,0)),"")</f>
        <v>#ERROR!</v>
      </c>
      <c r="G210" s="121" t="str">
        <f>IFERROR(D219*F219,"")</f>
        <v>#ERROR!</v>
      </c>
      <c r="H210" s="62"/>
      <c r="I210" s="62"/>
      <c r="J210" s="62"/>
      <c r="K210" s="62"/>
      <c r="L210" s="62"/>
    </row>
    <row r="211" ht="15.0" customHeight="1">
      <c r="A211" s="59"/>
      <c r="B211" s="59"/>
      <c r="C211" s="59"/>
      <c r="D211" s="59"/>
      <c r="E211" s="59"/>
      <c r="F211" s="120" t="str">
        <f>IFERROR(INDEX('MP Referentiel'!F:F,MATCH(B220,'MP Referentiel'!A:A,0)),"")</f>
        <v>#ERROR!</v>
      </c>
      <c r="G211" s="120" t="str">
        <f>IFERROR(D220*F220,"")</f>
        <v>#ERROR!</v>
      </c>
      <c r="H211" s="59"/>
      <c r="I211" s="59"/>
      <c r="J211" s="59"/>
      <c r="K211" s="59"/>
      <c r="L211" s="59"/>
    </row>
    <row r="212" ht="15.0" customHeight="1">
      <c r="A212" s="62"/>
      <c r="B212" s="62"/>
      <c r="C212" s="62"/>
      <c r="D212" s="62"/>
      <c r="E212" s="62"/>
      <c r="F212" s="121" t="str">
        <f>IFERROR(INDEX('MP Referentiel'!F:F,MATCH(B221,'MP Referentiel'!A:A,0)),"")</f>
        <v>#ERROR!</v>
      </c>
      <c r="G212" s="121" t="str">
        <f>IFERROR(D221*F221,"")</f>
        <v>#ERROR!</v>
      </c>
      <c r="H212" s="62"/>
      <c r="I212" s="62"/>
      <c r="J212" s="62"/>
      <c r="K212" s="62"/>
      <c r="L212" s="62"/>
    </row>
    <row r="213" ht="15.0" customHeight="1">
      <c r="A213" s="59"/>
      <c r="B213" s="59"/>
      <c r="C213" s="59"/>
      <c r="D213" s="59"/>
      <c r="E213" s="59"/>
      <c r="F213" s="120" t="str">
        <f>IFERROR(INDEX('MP Referentiel'!F:F,MATCH(B222,'MP Referentiel'!A:A,0)),"")</f>
        <v>#ERROR!</v>
      </c>
      <c r="G213" s="120" t="str">
        <f>IFERROR(D222*F222,"")</f>
        <v>#ERROR!</v>
      </c>
      <c r="H213" s="59"/>
      <c r="I213" s="59"/>
      <c r="J213" s="59"/>
      <c r="K213" s="59"/>
      <c r="L213" s="59"/>
    </row>
    <row r="214" ht="15.0" customHeight="1">
      <c r="A214" s="62"/>
      <c r="B214" s="62"/>
      <c r="C214" s="62"/>
      <c r="D214" s="62"/>
      <c r="E214" s="62"/>
      <c r="F214" s="121" t="str">
        <f>IFERROR(INDEX('MP Referentiel'!F:F,MATCH(B223,'MP Referentiel'!A:A,0)),"")</f>
        <v>#ERROR!</v>
      </c>
      <c r="G214" s="121" t="str">
        <f>IFERROR(D223*F223,"")</f>
        <v>#ERROR!</v>
      </c>
      <c r="H214" s="62"/>
      <c r="I214" s="62"/>
      <c r="J214" s="62"/>
      <c r="K214" s="62"/>
      <c r="L214" s="62"/>
    </row>
    <row r="215" ht="15.0" customHeight="1">
      <c r="A215" s="59"/>
      <c r="B215" s="59"/>
      <c r="C215" s="59"/>
      <c r="D215" s="59"/>
      <c r="E215" s="59"/>
      <c r="F215" s="120" t="str">
        <f>IFERROR(INDEX('MP Referentiel'!F:F,MATCH(B224,'MP Referentiel'!A:A,0)),"")</f>
        <v>#ERROR!</v>
      </c>
      <c r="G215" s="120" t="str">
        <f>IFERROR(D224*F224,"")</f>
        <v>#ERROR!</v>
      </c>
      <c r="H215" s="59"/>
      <c r="I215" s="59"/>
      <c r="J215" s="59"/>
      <c r="K215" s="59"/>
      <c r="L215" s="59"/>
    </row>
    <row r="216" ht="15.0" customHeight="1">
      <c r="A216" s="62"/>
      <c r="B216" s="62"/>
      <c r="C216" s="62"/>
      <c r="D216" s="62"/>
      <c r="E216" s="62"/>
      <c r="F216" s="121" t="str">
        <f>IFERROR(INDEX('MP Referentiel'!F:F,MATCH(B225,'MP Referentiel'!A:A,0)),"")</f>
        <v>#ERROR!</v>
      </c>
      <c r="G216" s="121" t="str">
        <f>IFERROR(D225*F225,"")</f>
        <v>#ERROR!</v>
      </c>
      <c r="H216" s="62"/>
      <c r="I216" s="62"/>
      <c r="J216" s="62"/>
      <c r="K216" s="62"/>
      <c r="L216" s="62"/>
    </row>
    <row r="217" ht="15.0" customHeight="1">
      <c r="A217" s="59"/>
      <c r="B217" s="59"/>
      <c r="C217" s="59"/>
      <c r="D217" s="59"/>
      <c r="E217" s="59"/>
      <c r="F217" s="120" t="str">
        <f>IFERROR(INDEX('MP Referentiel'!F:F,MATCH(B226,'MP Referentiel'!A:A,0)),"")</f>
        <v>#ERROR!</v>
      </c>
      <c r="G217" s="120" t="str">
        <f>IFERROR(D226*F226,"")</f>
        <v>#ERROR!</v>
      </c>
      <c r="H217" s="59"/>
      <c r="I217" s="59"/>
      <c r="J217" s="59"/>
      <c r="K217" s="59"/>
      <c r="L217" s="59"/>
    </row>
    <row r="218" ht="15.0" customHeight="1">
      <c r="A218" s="62"/>
      <c r="B218" s="62"/>
      <c r="C218" s="62"/>
      <c r="D218" s="62"/>
      <c r="E218" s="62"/>
      <c r="F218" s="121" t="str">
        <f>IFERROR(INDEX('MP Referentiel'!F:F,MATCH(B227,'MP Referentiel'!A:A,0)),"")</f>
        <v>#ERROR!</v>
      </c>
      <c r="G218" s="121" t="str">
        <f>IFERROR(D227*F227,"")</f>
        <v>#ERROR!</v>
      </c>
      <c r="H218" s="62"/>
      <c r="I218" s="62"/>
      <c r="J218" s="62"/>
      <c r="K218" s="62"/>
      <c r="L218" s="62"/>
    </row>
    <row r="219" ht="15.0" customHeight="1">
      <c r="A219" s="59"/>
      <c r="B219" s="59"/>
      <c r="C219" s="59"/>
      <c r="D219" s="59"/>
      <c r="E219" s="59"/>
      <c r="F219" s="120" t="str">
        <f>IFERROR(INDEX('MP Referentiel'!F:F,MATCH(B228,'MP Referentiel'!A:A,0)),"")</f>
        <v>#ERROR!</v>
      </c>
      <c r="G219" s="120" t="str">
        <f>IFERROR(D228*F228,"")</f>
        <v>#ERROR!</v>
      </c>
      <c r="H219" s="59"/>
      <c r="I219" s="59"/>
      <c r="J219" s="59"/>
      <c r="K219" s="59"/>
      <c r="L219" s="59"/>
    </row>
    <row r="220" ht="15.0" customHeight="1">
      <c r="A220" s="62"/>
      <c r="B220" s="62"/>
      <c r="C220" s="62"/>
      <c r="D220" s="62"/>
      <c r="E220" s="62"/>
      <c r="F220" s="121" t="str">
        <f>IFERROR(INDEX('MP Referentiel'!F:F,MATCH(B229,'MP Referentiel'!A:A,0)),"")</f>
        <v>#ERROR!</v>
      </c>
      <c r="G220" s="121" t="str">
        <f>IFERROR(D229*F229,"")</f>
        <v>#ERROR!</v>
      </c>
      <c r="H220" s="62"/>
      <c r="I220" s="62"/>
      <c r="J220" s="62"/>
      <c r="K220" s="62"/>
      <c r="L220" s="62"/>
    </row>
    <row r="221" ht="15.0" customHeight="1">
      <c r="A221" s="59"/>
      <c r="B221" s="59"/>
      <c r="C221" s="59"/>
      <c r="D221" s="59"/>
      <c r="E221" s="59"/>
      <c r="F221" s="120" t="str">
        <f>IFERROR(INDEX('MP Referentiel'!F:F,MATCH(B230,'MP Referentiel'!A:A,0)),"")</f>
        <v>#ERROR!</v>
      </c>
      <c r="G221" s="120" t="str">
        <f>IFERROR(D230*F230,"")</f>
        <v>#ERROR!</v>
      </c>
      <c r="H221" s="59"/>
      <c r="I221" s="59"/>
      <c r="J221" s="59"/>
      <c r="K221" s="59"/>
      <c r="L221" s="59"/>
    </row>
    <row r="222" ht="15.0" customHeight="1">
      <c r="A222" s="62"/>
      <c r="B222" s="62"/>
      <c r="C222" s="62"/>
      <c r="D222" s="62"/>
      <c r="E222" s="62"/>
      <c r="F222" s="121" t="str">
        <f>IFERROR(INDEX('MP Referentiel'!F:F,MATCH(B231,'MP Referentiel'!A:A,0)),"")</f>
        <v>#ERROR!</v>
      </c>
      <c r="G222" s="121" t="str">
        <f>IFERROR(D231*F231,"")</f>
        <v>#ERROR!</v>
      </c>
      <c r="H222" s="62"/>
      <c r="I222" s="62"/>
      <c r="J222" s="62"/>
      <c r="K222" s="62"/>
      <c r="L222" s="62"/>
    </row>
    <row r="223" ht="15.0" customHeight="1">
      <c r="A223" s="59"/>
      <c r="B223" s="59"/>
      <c r="C223" s="59"/>
      <c r="D223" s="59"/>
      <c r="E223" s="59"/>
      <c r="F223" s="120" t="str">
        <f>IFERROR(INDEX('MP Referentiel'!F:F,MATCH(B232,'MP Referentiel'!A:A,0)),"")</f>
        <v>#ERROR!</v>
      </c>
      <c r="G223" s="120" t="str">
        <f>IFERROR(D232*F232,"")</f>
        <v>#ERROR!</v>
      </c>
      <c r="H223" s="59"/>
      <c r="I223" s="59"/>
      <c r="J223" s="59"/>
      <c r="K223" s="59"/>
      <c r="L223" s="59"/>
    </row>
    <row r="224" ht="15.0" customHeight="1">
      <c r="A224" s="62"/>
      <c r="B224" s="62"/>
      <c r="C224" s="62"/>
      <c r="D224" s="62"/>
      <c r="E224" s="62"/>
      <c r="F224" s="121" t="str">
        <f>IFERROR(INDEX('MP Referentiel'!F:F,MATCH(B233,'MP Referentiel'!A:A,0)),"")</f>
        <v>#ERROR!</v>
      </c>
      <c r="G224" s="121" t="str">
        <f>IFERROR(D233*F233,"")</f>
        <v>#ERROR!</v>
      </c>
      <c r="H224" s="62"/>
      <c r="I224" s="62"/>
      <c r="J224" s="62"/>
      <c r="K224" s="62"/>
      <c r="L224" s="62"/>
    </row>
    <row r="225" ht="15.0" customHeight="1">
      <c r="A225" s="59"/>
      <c r="B225" s="59"/>
      <c r="C225" s="59"/>
      <c r="D225" s="59"/>
      <c r="E225" s="59"/>
      <c r="F225" s="120" t="str">
        <f>IFERROR(INDEX('MP Referentiel'!F:F,MATCH(B234,'MP Referentiel'!A:A,0)),"")</f>
        <v>#ERROR!</v>
      </c>
      <c r="G225" s="120" t="str">
        <f>IFERROR(D234*F234,"")</f>
        <v>#ERROR!</v>
      </c>
      <c r="H225" s="59"/>
      <c r="I225" s="59"/>
      <c r="J225" s="59"/>
      <c r="K225" s="59"/>
      <c r="L225" s="59"/>
    </row>
    <row r="226" ht="15.0" customHeight="1">
      <c r="A226" s="62"/>
      <c r="B226" s="62"/>
      <c r="C226" s="62"/>
      <c r="D226" s="62"/>
      <c r="E226" s="62"/>
      <c r="F226" s="121" t="str">
        <f>IFERROR(INDEX('MP Referentiel'!F:F,MATCH(B235,'MP Referentiel'!A:A,0)),"")</f>
        <v>#ERROR!</v>
      </c>
      <c r="G226" s="121" t="str">
        <f>IFERROR(D235*F235,"")</f>
        <v>#ERROR!</v>
      </c>
      <c r="H226" s="62"/>
      <c r="I226" s="62"/>
      <c r="J226" s="62"/>
      <c r="K226" s="62"/>
      <c r="L226" s="62"/>
    </row>
    <row r="227" ht="15.0" customHeight="1">
      <c r="A227" s="59"/>
      <c r="B227" s="59"/>
      <c r="C227" s="59"/>
      <c r="D227" s="59"/>
      <c r="E227" s="59"/>
      <c r="F227" s="120" t="str">
        <f>IFERROR(INDEX('MP Referentiel'!F:F,MATCH(B236,'MP Referentiel'!A:A,0)),"")</f>
        <v>#ERROR!</v>
      </c>
      <c r="G227" s="120" t="str">
        <f>IFERROR(D236*F236,"")</f>
        <v>#ERROR!</v>
      </c>
      <c r="H227" s="59"/>
      <c r="I227" s="59"/>
      <c r="J227" s="59"/>
      <c r="K227" s="59"/>
      <c r="L227" s="59"/>
    </row>
    <row r="228" ht="15.0" customHeight="1">
      <c r="A228" s="62"/>
      <c r="B228" s="62"/>
      <c r="C228" s="62"/>
      <c r="D228" s="62"/>
      <c r="E228" s="62"/>
      <c r="F228" s="121" t="str">
        <f>IFERROR(INDEX('MP Referentiel'!F:F,MATCH(B237,'MP Referentiel'!A:A,0)),"")</f>
        <v>#ERROR!</v>
      </c>
      <c r="G228" s="121" t="str">
        <f>IFERROR(D237*F237,"")</f>
        <v>#ERROR!</v>
      </c>
      <c r="H228" s="62"/>
      <c r="I228" s="62"/>
      <c r="J228" s="62"/>
      <c r="K228" s="62"/>
      <c r="L228" s="62"/>
    </row>
    <row r="229" ht="15.0" customHeight="1">
      <c r="A229" s="59"/>
      <c r="B229" s="59"/>
      <c r="C229" s="59"/>
      <c r="D229" s="59"/>
      <c r="E229" s="59"/>
      <c r="F229" s="120" t="str">
        <f>IFERROR(INDEX('MP Referentiel'!F:F,MATCH(B238,'MP Referentiel'!A:A,0)),"")</f>
        <v>#ERROR!</v>
      </c>
      <c r="G229" s="120" t="str">
        <f>IFERROR(D238*F238,"")</f>
        <v>#ERROR!</v>
      </c>
      <c r="H229" s="59"/>
      <c r="I229" s="59"/>
      <c r="J229" s="59"/>
      <c r="K229" s="59"/>
      <c r="L229" s="59"/>
    </row>
    <row r="230" ht="15.0" customHeight="1">
      <c r="A230" s="62"/>
      <c r="B230" s="62"/>
      <c r="C230" s="62"/>
      <c r="D230" s="62"/>
      <c r="E230" s="62"/>
      <c r="F230" s="121" t="str">
        <f>IFERROR(INDEX('MP Referentiel'!F:F,MATCH(B239,'MP Referentiel'!A:A,0)),"")</f>
        <v>#ERROR!</v>
      </c>
      <c r="G230" s="121" t="str">
        <f>IFERROR(D239*F239,"")</f>
        <v>#ERROR!</v>
      </c>
      <c r="H230" s="62"/>
      <c r="I230" s="62"/>
      <c r="J230" s="62"/>
      <c r="K230" s="62"/>
      <c r="L230" s="62"/>
    </row>
    <row r="231" ht="15.0" customHeight="1">
      <c r="A231" s="59"/>
      <c r="B231" s="59"/>
      <c r="C231" s="59"/>
      <c r="D231" s="59"/>
      <c r="E231" s="59"/>
      <c r="F231" s="120" t="str">
        <f>IFERROR(INDEX('MP Referentiel'!F:F,MATCH(B240,'MP Referentiel'!A:A,0)),"")</f>
        <v>#ERROR!</v>
      </c>
      <c r="G231" s="120" t="str">
        <f>IFERROR(D240*F240,"")</f>
        <v>#ERROR!</v>
      </c>
      <c r="H231" s="59"/>
      <c r="I231" s="59"/>
      <c r="J231" s="59"/>
      <c r="K231" s="59"/>
      <c r="L231" s="59"/>
    </row>
    <row r="232" ht="15.0" customHeight="1">
      <c r="A232" s="62"/>
      <c r="B232" s="62"/>
      <c r="C232" s="62"/>
      <c r="D232" s="62"/>
      <c r="E232" s="62"/>
      <c r="F232" s="121" t="str">
        <f>IFERROR(INDEX('MP Referentiel'!F:F,MATCH(B241,'MP Referentiel'!A:A,0)),"")</f>
        <v>#ERROR!</v>
      </c>
      <c r="G232" s="121" t="str">
        <f>IFERROR(D241*F241,"")</f>
        <v>#ERROR!</v>
      </c>
      <c r="H232" s="62"/>
      <c r="I232" s="62"/>
      <c r="J232" s="62"/>
      <c r="K232" s="62"/>
      <c r="L232" s="62"/>
    </row>
    <row r="233" ht="15.0" customHeight="1">
      <c r="A233" s="59"/>
      <c r="B233" s="59"/>
      <c r="C233" s="59"/>
      <c r="D233" s="59"/>
      <c r="E233" s="59"/>
      <c r="F233" s="120" t="str">
        <f>IFERROR(INDEX('MP Referentiel'!F:F,MATCH(B242,'MP Referentiel'!A:A,0)),"")</f>
        <v>#ERROR!</v>
      </c>
      <c r="G233" s="120" t="str">
        <f>IFERROR(D242*F242,"")</f>
        <v>#ERROR!</v>
      </c>
      <c r="H233" s="59"/>
      <c r="I233" s="59"/>
      <c r="J233" s="59"/>
      <c r="K233" s="59"/>
      <c r="L233" s="59"/>
    </row>
    <row r="234" ht="15.0" customHeight="1">
      <c r="A234" s="62"/>
      <c r="B234" s="62"/>
      <c r="C234" s="62"/>
      <c r="D234" s="62"/>
      <c r="E234" s="62"/>
      <c r="F234" s="121" t="str">
        <f>IFERROR(INDEX('MP Referentiel'!F:F,MATCH(B243,'MP Referentiel'!A:A,0)),"")</f>
        <v>#ERROR!</v>
      </c>
      <c r="G234" s="121" t="str">
        <f>IFERROR(D243*F243,"")</f>
        <v>#ERROR!</v>
      </c>
      <c r="H234" s="62"/>
      <c r="I234" s="62"/>
      <c r="J234" s="62"/>
      <c r="K234" s="62"/>
      <c r="L234" s="62"/>
    </row>
    <row r="235" ht="15.0" customHeight="1">
      <c r="A235" s="59"/>
      <c r="B235" s="59"/>
      <c r="C235" s="59"/>
      <c r="D235" s="59"/>
      <c r="E235" s="59"/>
      <c r="F235" s="120" t="str">
        <f>IFERROR(INDEX('MP Referentiel'!F:F,MATCH(B244,'MP Referentiel'!A:A,0)),"")</f>
        <v>#ERROR!</v>
      </c>
      <c r="G235" s="120" t="str">
        <f>IFERROR(D244*F244,"")</f>
        <v>#ERROR!</v>
      </c>
      <c r="H235" s="59"/>
      <c r="I235" s="59"/>
      <c r="J235" s="59"/>
      <c r="K235" s="59"/>
      <c r="L235" s="59"/>
    </row>
    <row r="236" ht="15.0" customHeight="1">
      <c r="A236" s="62"/>
      <c r="B236" s="62"/>
      <c r="C236" s="62"/>
      <c r="D236" s="62"/>
      <c r="E236" s="62"/>
      <c r="F236" s="121" t="str">
        <f>IFERROR(INDEX('MP Referentiel'!F:F,MATCH(B245,'MP Referentiel'!A:A,0)),"")</f>
        <v>#ERROR!</v>
      </c>
      <c r="G236" s="121" t="str">
        <f>IFERROR(D245*F245,"")</f>
        <v>#ERROR!</v>
      </c>
      <c r="H236" s="62"/>
      <c r="I236" s="62"/>
      <c r="J236" s="62"/>
      <c r="K236" s="62"/>
      <c r="L236" s="62"/>
    </row>
    <row r="237" ht="15.0" customHeight="1">
      <c r="A237" s="59"/>
      <c r="B237" s="59"/>
      <c r="C237" s="59"/>
      <c r="D237" s="59"/>
      <c r="E237" s="59"/>
      <c r="F237" s="120" t="str">
        <f>IFERROR(INDEX('MP Referentiel'!F:F,MATCH(B246,'MP Referentiel'!A:A,0)),"")</f>
        <v>#ERROR!</v>
      </c>
      <c r="G237" s="120" t="str">
        <f>IFERROR(D246*F246,"")</f>
        <v>#ERROR!</v>
      </c>
      <c r="H237" s="59"/>
      <c r="I237" s="59"/>
      <c r="J237" s="59"/>
      <c r="K237" s="59"/>
      <c r="L237" s="59"/>
    </row>
    <row r="238" ht="15.0" customHeight="1">
      <c r="A238" s="62"/>
      <c r="B238" s="62"/>
      <c r="C238" s="62"/>
      <c r="D238" s="62"/>
      <c r="E238" s="62"/>
      <c r="F238" s="121" t="str">
        <f>IFERROR(INDEX('MP Referentiel'!F:F,MATCH(B247,'MP Referentiel'!A:A,0)),"")</f>
        <v>#ERROR!</v>
      </c>
      <c r="G238" s="121" t="str">
        <f>IFERROR(D247*F247,"")</f>
        <v>#ERROR!</v>
      </c>
      <c r="H238" s="62"/>
      <c r="I238" s="62"/>
      <c r="J238" s="62"/>
      <c r="K238" s="62"/>
      <c r="L238" s="62"/>
    </row>
    <row r="239" ht="15.0" customHeight="1">
      <c r="A239" s="59"/>
      <c r="B239" s="59"/>
      <c r="C239" s="59"/>
      <c r="D239" s="59"/>
      <c r="E239" s="59"/>
      <c r="F239" s="120" t="str">
        <f>IFERROR(INDEX('MP Referentiel'!F:F,MATCH(B248,'MP Referentiel'!A:A,0)),"")</f>
        <v>#ERROR!</v>
      </c>
      <c r="G239" s="120" t="str">
        <f>IFERROR(D248*F248,"")</f>
        <v>#ERROR!</v>
      </c>
      <c r="H239" s="59"/>
      <c r="I239" s="59"/>
      <c r="J239" s="59"/>
      <c r="K239" s="59"/>
      <c r="L239" s="59"/>
    </row>
    <row r="240" ht="15.0" customHeight="1">
      <c r="A240" s="62"/>
      <c r="B240" s="62"/>
      <c r="C240" s="62"/>
      <c r="D240" s="62"/>
      <c r="E240" s="62"/>
      <c r="F240" s="121" t="str">
        <f>IFERROR(INDEX('MP Referentiel'!F:F,MATCH(B249,'MP Referentiel'!A:A,0)),"")</f>
        <v>#ERROR!</v>
      </c>
      <c r="G240" s="121" t="str">
        <f>IFERROR(D249*F249,"")</f>
        <v>#ERROR!</v>
      </c>
      <c r="H240" s="62"/>
      <c r="I240" s="62"/>
      <c r="J240" s="62"/>
      <c r="K240" s="62"/>
      <c r="L240" s="62"/>
    </row>
    <row r="241" ht="15.0" customHeight="1">
      <c r="A241" s="59"/>
      <c r="B241" s="59"/>
      <c r="C241" s="59"/>
      <c r="D241" s="59"/>
      <c r="E241" s="59"/>
      <c r="F241" s="120" t="str">
        <f>IFERROR(INDEX('MP Referentiel'!F:F,MATCH(B250,'MP Referentiel'!A:A,0)),"")</f>
        <v>#ERROR!</v>
      </c>
      <c r="G241" s="120" t="str">
        <f>IFERROR(D250*F250,"")</f>
        <v>#ERROR!</v>
      </c>
      <c r="H241" s="59"/>
      <c r="I241" s="59"/>
      <c r="J241" s="59"/>
      <c r="K241" s="59"/>
      <c r="L241" s="59"/>
    </row>
    <row r="242" ht="15.0" customHeight="1">
      <c r="A242" s="62"/>
      <c r="B242" s="62"/>
      <c r="C242" s="62"/>
      <c r="D242" s="62"/>
      <c r="E242" s="62"/>
      <c r="F242" s="121" t="str">
        <f>IFERROR(INDEX('MP Referentiel'!F:F,MATCH(B251,'MP Referentiel'!A:A,0)),"")</f>
        <v>#ERROR!</v>
      </c>
      <c r="G242" s="121" t="str">
        <f>IFERROR(D251*F251,"")</f>
        <v>#ERROR!</v>
      </c>
      <c r="H242" s="62"/>
      <c r="I242" s="62"/>
      <c r="J242" s="62"/>
      <c r="K242" s="62"/>
      <c r="L242" s="62"/>
    </row>
    <row r="243" ht="15.0" customHeight="1">
      <c r="A243" s="59"/>
      <c r="B243" s="59"/>
      <c r="C243" s="59"/>
      <c r="D243" s="59"/>
      <c r="E243" s="59"/>
      <c r="F243" s="120" t="str">
        <f>IFERROR(INDEX('MP Referentiel'!F:F,MATCH(B252,'MP Referentiel'!A:A,0)),"")</f>
        <v>#ERROR!</v>
      </c>
      <c r="G243" s="120" t="str">
        <f>IFERROR(D252*F252,"")</f>
        <v>#ERROR!</v>
      </c>
      <c r="H243" s="59"/>
      <c r="I243" s="59"/>
      <c r="J243" s="59"/>
      <c r="K243" s="59"/>
      <c r="L243" s="59"/>
    </row>
    <row r="244" ht="15.0" customHeight="1">
      <c r="A244" s="62"/>
      <c r="B244" s="62"/>
      <c r="C244" s="62"/>
      <c r="D244" s="62"/>
      <c r="E244" s="62"/>
      <c r="F244" s="121" t="str">
        <f>IFERROR(INDEX('MP Referentiel'!F:F,MATCH(B253,'MP Referentiel'!A:A,0)),"")</f>
        <v>#ERROR!</v>
      </c>
      <c r="G244" s="121" t="str">
        <f>IFERROR(D253*F253,"")</f>
        <v>#ERROR!</v>
      </c>
      <c r="H244" s="62"/>
      <c r="I244" s="62"/>
      <c r="J244" s="62"/>
      <c r="K244" s="62"/>
      <c r="L244" s="62"/>
    </row>
    <row r="245" ht="15.0" customHeight="1">
      <c r="A245" s="59"/>
      <c r="B245" s="59"/>
      <c r="C245" s="59"/>
      <c r="D245" s="59"/>
      <c r="E245" s="59"/>
      <c r="F245" s="120" t="str">
        <f>IFERROR(INDEX('MP Referentiel'!F:F,MATCH(B254,'MP Referentiel'!A:A,0)),"")</f>
        <v>#ERROR!</v>
      </c>
      <c r="G245" s="120" t="str">
        <f>IFERROR(D254*F254,"")</f>
        <v>#ERROR!</v>
      </c>
      <c r="H245" s="59"/>
      <c r="I245" s="59"/>
      <c r="J245" s="59"/>
      <c r="K245" s="59"/>
      <c r="L245" s="59"/>
    </row>
    <row r="246" ht="15.0" customHeight="1">
      <c r="A246" s="62"/>
      <c r="B246" s="62"/>
      <c r="C246" s="62"/>
      <c r="D246" s="62"/>
      <c r="E246" s="62"/>
      <c r="F246" s="121" t="str">
        <f>IFERROR(INDEX('MP Referentiel'!F:F,MATCH(B255,'MP Referentiel'!A:A,0)),"")</f>
        <v>#ERROR!</v>
      </c>
      <c r="G246" s="121" t="str">
        <f>IFERROR(D255*F255,"")</f>
        <v>#ERROR!</v>
      </c>
      <c r="H246" s="62"/>
      <c r="I246" s="62"/>
      <c r="J246" s="62"/>
      <c r="K246" s="62"/>
      <c r="L246" s="62"/>
    </row>
    <row r="247" ht="15.0" customHeight="1">
      <c r="A247" s="59"/>
      <c r="B247" s="59"/>
      <c r="C247" s="59"/>
      <c r="D247" s="59"/>
      <c r="E247" s="59"/>
      <c r="F247" s="120" t="str">
        <f>IFERROR(INDEX('MP Referentiel'!F:F,MATCH(B256,'MP Referentiel'!A:A,0)),"")</f>
        <v>#ERROR!</v>
      </c>
      <c r="G247" s="120" t="str">
        <f>IFERROR(D256*F256,"")</f>
        <v>#ERROR!</v>
      </c>
      <c r="H247" s="59"/>
      <c r="I247" s="59"/>
      <c r="J247" s="59"/>
      <c r="K247" s="59"/>
      <c r="L247" s="59"/>
    </row>
    <row r="248" ht="15.0" customHeight="1">
      <c r="A248" s="62"/>
      <c r="B248" s="62"/>
      <c r="C248" s="62"/>
      <c r="D248" s="62"/>
      <c r="E248" s="62"/>
      <c r="F248" s="121" t="str">
        <f>IFERROR(INDEX('MP Referentiel'!F:F,MATCH(B257,'MP Referentiel'!A:A,0)),"")</f>
        <v>#ERROR!</v>
      </c>
      <c r="G248" s="121" t="str">
        <f>IFERROR(D257*F257,"")</f>
        <v>#ERROR!</v>
      </c>
      <c r="H248" s="62"/>
      <c r="I248" s="62"/>
      <c r="J248" s="62"/>
      <c r="K248" s="62"/>
      <c r="L248" s="62"/>
    </row>
    <row r="249" ht="15.0" customHeight="1">
      <c r="A249" s="59"/>
      <c r="B249" s="59"/>
      <c r="C249" s="59"/>
      <c r="D249" s="59"/>
      <c r="E249" s="59"/>
      <c r="F249" s="120" t="str">
        <f>IFERROR(INDEX('MP Referentiel'!F:F,MATCH(B258,'MP Referentiel'!A:A,0)),"")</f>
        <v>#ERROR!</v>
      </c>
      <c r="G249" s="120" t="str">
        <f>IFERROR(D258*F258,"")</f>
        <v>#ERROR!</v>
      </c>
      <c r="H249" s="59"/>
      <c r="I249" s="59"/>
      <c r="J249" s="59"/>
      <c r="K249" s="59"/>
      <c r="L249" s="59"/>
    </row>
    <row r="250" ht="15.0" customHeight="1">
      <c r="A250" s="62"/>
      <c r="B250" s="62"/>
      <c r="C250" s="62"/>
      <c r="D250" s="62"/>
      <c r="E250" s="62"/>
      <c r="F250" s="121" t="str">
        <f>IFERROR(INDEX('MP Referentiel'!F:F,MATCH(B259,'MP Referentiel'!A:A,0)),"")</f>
        <v>#ERROR!</v>
      </c>
      <c r="G250" s="121" t="str">
        <f>IFERROR(D259*F259,"")</f>
        <v>#ERROR!</v>
      </c>
      <c r="H250" s="62"/>
      <c r="I250" s="62"/>
      <c r="J250" s="62"/>
      <c r="K250" s="62"/>
      <c r="L250" s="62"/>
    </row>
    <row r="251" ht="15.0" customHeight="1">
      <c r="A251" s="59"/>
      <c r="B251" s="59"/>
      <c r="C251" s="59"/>
      <c r="D251" s="59"/>
      <c r="E251" s="59"/>
      <c r="F251" s="120" t="str">
        <f>IFERROR(INDEX('MP Referentiel'!F:F,MATCH(B260,'MP Referentiel'!A:A,0)),"")</f>
        <v>#ERROR!</v>
      </c>
      <c r="G251" s="120" t="str">
        <f>IFERROR(D260*F260,"")</f>
        <v>#ERROR!</v>
      </c>
      <c r="H251" s="59"/>
      <c r="I251" s="59"/>
      <c r="J251" s="59"/>
      <c r="K251" s="59"/>
      <c r="L251" s="59"/>
    </row>
    <row r="252" ht="15.0" customHeight="1">
      <c r="A252" s="62"/>
      <c r="B252" s="62"/>
      <c r="C252" s="62"/>
      <c r="D252" s="62"/>
      <c r="E252" s="62"/>
      <c r="F252" s="121" t="str">
        <f>IFERROR(INDEX('MP Referentiel'!F:F,MATCH(B261,'MP Referentiel'!A:A,0)),"")</f>
        <v>#ERROR!</v>
      </c>
      <c r="G252" s="121" t="str">
        <f>IFERROR(D261*F261,"")</f>
        <v>#ERROR!</v>
      </c>
      <c r="H252" s="62"/>
      <c r="I252" s="62"/>
      <c r="J252" s="62"/>
      <c r="K252" s="62"/>
      <c r="L252" s="62"/>
    </row>
    <row r="253" ht="15.0" customHeight="1">
      <c r="A253" s="59"/>
      <c r="B253" s="59"/>
      <c r="C253" s="59"/>
      <c r="D253" s="59"/>
      <c r="E253" s="59"/>
      <c r="F253" s="120" t="str">
        <f>IFERROR(INDEX('MP Referentiel'!F:F,MATCH(B262,'MP Referentiel'!A:A,0)),"")</f>
        <v>#ERROR!</v>
      </c>
      <c r="G253" s="120" t="str">
        <f>IFERROR(D262*F262,"")</f>
        <v>#ERROR!</v>
      </c>
      <c r="H253" s="59"/>
      <c r="I253" s="59"/>
      <c r="J253" s="59"/>
      <c r="K253" s="59"/>
      <c r="L253" s="59"/>
    </row>
    <row r="254" ht="15.0" customHeight="1">
      <c r="A254" s="62"/>
      <c r="B254" s="62"/>
      <c r="C254" s="62"/>
      <c r="D254" s="62"/>
      <c r="E254" s="62"/>
      <c r="F254" s="121" t="str">
        <f>IFERROR(INDEX('MP Referentiel'!F:F,MATCH(B263,'MP Referentiel'!A:A,0)),"")</f>
        <v>#ERROR!</v>
      </c>
      <c r="G254" s="121" t="str">
        <f>IFERROR(D263*F263,"")</f>
        <v>#ERROR!</v>
      </c>
      <c r="H254" s="62"/>
      <c r="I254" s="62"/>
      <c r="J254" s="62"/>
      <c r="K254" s="62"/>
      <c r="L254" s="62"/>
    </row>
    <row r="255" ht="15.0" customHeight="1">
      <c r="A255" s="59"/>
      <c r="B255" s="59"/>
      <c r="C255" s="59"/>
      <c r="D255" s="59"/>
      <c r="E255" s="59"/>
      <c r="F255" s="120" t="str">
        <f>IFERROR(INDEX('MP Referentiel'!F:F,MATCH(B264,'MP Referentiel'!A:A,0)),"")</f>
        <v>#ERROR!</v>
      </c>
      <c r="G255" s="120" t="str">
        <f>IFERROR(D264*F264,"")</f>
        <v>#ERROR!</v>
      </c>
      <c r="H255" s="59"/>
      <c r="I255" s="59"/>
      <c r="J255" s="59"/>
      <c r="K255" s="59"/>
      <c r="L255" s="59"/>
    </row>
    <row r="256" ht="15.0" customHeight="1">
      <c r="A256" s="62"/>
      <c r="B256" s="62"/>
      <c r="C256" s="62"/>
      <c r="D256" s="62"/>
      <c r="E256" s="62"/>
      <c r="F256" s="121" t="str">
        <f>IFERROR(INDEX('MP Referentiel'!F:F,MATCH(B265,'MP Referentiel'!A:A,0)),"")</f>
        <v>#ERROR!</v>
      </c>
      <c r="G256" s="121" t="str">
        <f>IFERROR(D265*F265,"")</f>
        <v>#ERROR!</v>
      </c>
      <c r="H256" s="62"/>
      <c r="I256" s="62"/>
      <c r="J256" s="62"/>
      <c r="K256" s="62"/>
      <c r="L256" s="62"/>
    </row>
    <row r="257" ht="15.0" customHeight="1">
      <c r="A257" s="59"/>
      <c r="B257" s="59"/>
      <c r="C257" s="59"/>
      <c r="D257" s="59"/>
      <c r="E257" s="59"/>
      <c r="F257" s="120" t="str">
        <f>IFERROR(INDEX('MP Referentiel'!F:F,MATCH(B266,'MP Referentiel'!A:A,0)),"")</f>
        <v>#ERROR!</v>
      </c>
      <c r="G257" s="120" t="str">
        <f>IFERROR(D266*F266,"")</f>
        <v>#ERROR!</v>
      </c>
      <c r="H257" s="59"/>
      <c r="I257" s="59"/>
      <c r="J257" s="59"/>
      <c r="K257" s="59"/>
      <c r="L257" s="59"/>
    </row>
    <row r="258" ht="15.0" customHeight="1">
      <c r="A258" s="62"/>
      <c r="B258" s="62"/>
      <c r="C258" s="62"/>
      <c r="D258" s="62"/>
      <c r="E258" s="62"/>
      <c r="F258" s="121" t="str">
        <f>IFERROR(INDEX('MP Referentiel'!F:F,MATCH(B267,'MP Referentiel'!A:A,0)),"")</f>
        <v>#ERROR!</v>
      </c>
      <c r="G258" s="121" t="str">
        <f>IFERROR(D267*F267,"")</f>
        <v>#ERROR!</v>
      </c>
      <c r="H258" s="62"/>
      <c r="I258" s="62"/>
      <c r="J258" s="62"/>
      <c r="K258" s="62"/>
      <c r="L258" s="62"/>
    </row>
    <row r="259" ht="15.0" customHeight="1">
      <c r="A259" s="59"/>
      <c r="B259" s="59"/>
      <c r="C259" s="59"/>
      <c r="D259" s="59"/>
      <c r="E259" s="59"/>
      <c r="F259" s="120" t="str">
        <f>IFERROR(INDEX('MP Referentiel'!F:F,MATCH(B268,'MP Referentiel'!A:A,0)),"")</f>
        <v>#ERROR!</v>
      </c>
      <c r="G259" s="120" t="str">
        <f>IFERROR(D268*F268,"")</f>
        <v>#ERROR!</v>
      </c>
      <c r="H259" s="59"/>
      <c r="I259" s="59"/>
      <c r="J259" s="59"/>
      <c r="K259" s="59"/>
      <c r="L259" s="59"/>
    </row>
    <row r="260" ht="15.0" customHeight="1">
      <c r="A260" s="62"/>
      <c r="B260" s="62"/>
      <c r="C260" s="62"/>
      <c r="D260" s="62"/>
      <c r="E260" s="62"/>
      <c r="F260" s="121" t="str">
        <f>IFERROR(INDEX('MP Referentiel'!F:F,MATCH(B269,'MP Referentiel'!A:A,0)),"")</f>
        <v>#ERROR!</v>
      </c>
      <c r="G260" s="121" t="str">
        <f>IFERROR(D269*F269,"")</f>
        <v>#ERROR!</v>
      </c>
      <c r="H260" s="62"/>
      <c r="I260" s="62"/>
      <c r="J260" s="62"/>
      <c r="K260" s="62"/>
      <c r="L260" s="62"/>
    </row>
    <row r="261" ht="15.0" customHeight="1">
      <c r="A261" s="59"/>
      <c r="B261" s="59"/>
      <c r="C261" s="59"/>
      <c r="D261" s="59"/>
      <c r="E261" s="59"/>
      <c r="F261" s="120" t="str">
        <f>IFERROR(INDEX('MP Referentiel'!F:F,MATCH(B270,'MP Referentiel'!A:A,0)),"")</f>
        <v>#ERROR!</v>
      </c>
      <c r="G261" s="120" t="str">
        <f>IFERROR(D270*F270,"")</f>
        <v>#ERROR!</v>
      </c>
      <c r="H261" s="59"/>
      <c r="I261" s="59"/>
      <c r="J261" s="59"/>
      <c r="K261" s="59"/>
      <c r="L261" s="59"/>
    </row>
    <row r="262" ht="15.0" customHeight="1">
      <c r="A262" s="62"/>
      <c r="B262" s="62"/>
      <c r="C262" s="62"/>
      <c r="D262" s="62"/>
      <c r="E262" s="62"/>
      <c r="F262" s="121" t="str">
        <f>IFERROR(INDEX('MP Referentiel'!F:F,MATCH(B271,'MP Referentiel'!A:A,0)),"")</f>
        <v>#ERROR!</v>
      </c>
      <c r="G262" s="121" t="str">
        <f>IFERROR(D271*F271,"")</f>
        <v>#ERROR!</v>
      </c>
      <c r="H262" s="62"/>
      <c r="I262" s="62"/>
      <c r="J262" s="62"/>
      <c r="K262" s="62"/>
      <c r="L262" s="62"/>
    </row>
    <row r="263" ht="15.0" customHeight="1">
      <c r="A263" s="59"/>
      <c r="B263" s="59"/>
      <c r="C263" s="59"/>
      <c r="D263" s="59"/>
      <c r="E263" s="59"/>
      <c r="F263" s="120" t="str">
        <f>IFERROR(INDEX('MP Referentiel'!F:F,MATCH(B272,'MP Referentiel'!A:A,0)),"")</f>
        <v>#ERROR!</v>
      </c>
      <c r="G263" s="120" t="str">
        <f>IFERROR(D272*F272,"")</f>
        <v>#ERROR!</v>
      </c>
      <c r="H263" s="59"/>
      <c r="I263" s="59"/>
      <c r="J263" s="59"/>
      <c r="K263" s="59"/>
      <c r="L263" s="59"/>
    </row>
    <row r="264" ht="15.0" customHeight="1">
      <c r="A264" s="62"/>
      <c r="B264" s="62"/>
      <c r="C264" s="62"/>
      <c r="D264" s="62"/>
      <c r="E264" s="62"/>
      <c r="F264" s="121" t="str">
        <f>IFERROR(INDEX('MP Referentiel'!F:F,MATCH(B273,'MP Referentiel'!A:A,0)),"")</f>
        <v>#ERROR!</v>
      </c>
      <c r="G264" s="121" t="str">
        <f>IFERROR(D273*F273,"")</f>
        <v>#ERROR!</v>
      </c>
      <c r="H264" s="62"/>
      <c r="I264" s="62"/>
      <c r="J264" s="62"/>
      <c r="K264" s="62"/>
      <c r="L264" s="62"/>
    </row>
    <row r="265" ht="15.0" customHeight="1">
      <c r="A265" s="59"/>
      <c r="B265" s="59"/>
      <c r="C265" s="59"/>
      <c r="D265" s="59"/>
      <c r="E265" s="59"/>
      <c r="F265" s="120" t="str">
        <f>IFERROR(INDEX('MP Referentiel'!F:F,MATCH(B274,'MP Referentiel'!A:A,0)),"")</f>
        <v>#ERROR!</v>
      </c>
      <c r="G265" s="120" t="str">
        <f>IFERROR(D274*F274,"")</f>
        <v>#ERROR!</v>
      </c>
      <c r="H265" s="59"/>
      <c r="I265" s="59"/>
      <c r="J265" s="59"/>
      <c r="K265" s="59"/>
      <c r="L265" s="59"/>
    </row>
    <row r="266" ht="15.0" customHeight="1">
      <c r="A266" s="62"/>
      <c r="B266" s="62"/>
      <c r="C266" s="62"/>
      <c r="D266" s="62"/>
      <c r="E266" s="62"/>
      <c r="F266" s="121" t="str">
        <f>IFERROR(INDEX('MP Referentiel'!F:F,MATCH(B275,'MP Referentiel'!A:A,0)),"")</f>
        <v>#ERROR!</v>
      </c>
      <c r="G266" s="121" t="str">
        <f>IFERROR(D275*F275,"")</f>
        <v>#ERROR!</v>
      </c>
      <c r="H266" s="62"/>
      <c r="I266" s="62"/>
      <c r="J266" s="62"/>
      <c r="K266" s="62"/>
      <c r="L266" s="62"/>
    </row>
    <row r="267" ht="15.0" customHeight="1">
      <c r="A267" s="59"/>
      <c r="B267" s="59"/>
      <c r="C267" s="59"/>
      <c r="D267" s="59"/>
      <c r="E267" s="59"/>
      <c r="F267" s="120" t="str">
        <f>IFERROR(INDEX('MP Referentiel'!F:F,MATCH(B276,'MP Referentiel'!A:A,0)),"")</f>
        <v>#ERROR!</v>
      </c>
      <c r="G267" s="120" t="str">
        <f>IFERROR(D276*F276,"")</f>
        <v>#ERROR!</v>
      </c>
      <c r="H267" s="59"/>
      <c r="I267" s="59"/>
      <c r="J267" s="59"/>
      <c r="K267" s="59"/>
      <c r="L267" s="59"/>
    </row>
    <row r="268" ht="15.0" customHeight="1">
      <c r="A268" s="62"/>
      <c r="B268" s="62"/>
      <c r="C268" s="62"/>
      <c r="D268" s="62"/>
      <c r="E268" s="62"/>
      <c r="F268" s="121" t="str">
        <f>IFERROR(INDEX('MP Referentiel'!F:F,MATCH(B277,'MP Referentiel'!A:A,0)),"")</f>
        <v>#ERROR!</v>
      </c>
      <c r="G268" s="121" t="str">
        <f>IFERROR(D277*F277,"")</f>
        <v>#ERROR!</v>
      </c>
      <c r="H268" s="62"/>
      <c r="I268" s="62"/>
      <c r="J268" s="62"/>
      <c r="K268" s="62"/>
      <c r="L268" s="62"/>
    </row>
    <row r="269" ht="15.0" customHeight="1">
      <c r="A269" s="59"/>
      <c r="B269" s="59"/>
      <c r="C269" s="59"/>
      <c r="D269" s="59"/>
      <c r="E269" s="59"/>
      <c r="F269" s="120" t="str">
        <f>IFERROR(INDEX('MP Referentiel'!F:F,MATCH(B278,'MP Referentiel'!A:A,0)),"")</f>
        <v>#ERROR!</v>
      </c>
      <c r="G269" s="120" t="str">
        <f>IFERROR(D278*F278,"")</f>
        <v>#ERROR!</v>
      </c>
      <c r="H269" s="59"/>
      <c r="I269" s="59"/>
      <c r="J269" s="59"/>
      <c r="K269" s="59"/>
      <c r="L269" s="59"/>
    </row>
    <row r="270" ht="15.0" customHeight="1">
      <c r="A270" s="62"/>
      <c r="B270" s="62"/>
      <c r="C270" s="62"/>
      <c r="D270" s="62"/>
      <c r="E270" s="62"/>
      <c r="F270" s="121" t="str">
        <f>IFERROR(INDEX('MP Referentiel'!F:F,MATCH(B279,'MP Referentiel'!A:A,0)),"")</f>
        <v>#ERROR!</v>
      </c>
      <c r="G270" s="121" t="str">
        <f>IFERROR(D279*F279,"")</f>
        <v>#ERROR!</v>
      </c>
      <c r="H270" s="62"/>
      <c r="I270" s="62"/>
      <c r="J270" s="62"/>
      <c r="K270" s="62"/>
      <c r="L270" s="62"/>
    </row>
    <row r="271" ht="15.0" customHeight="1">
      <c r="A271" s="59"/>
      <c r="B271" s="59"/>
      <c r="C271" s="59"/>
      <c r="D271" s="59"/>
      <c r="E271" s="59"/>
      <c r="F271" s="120" t="str">
        <f>IFERROR(INDEX('MP Referentiel'!F:F,MATCH(B280,'MP Referentiel'!A:A,0)),"")</f>
        <v>#ERROR!</v>
      </c>
      <c r="G271" s="120" t="str">
        <f>IFERROR(D280*F280,"")</f>
        <v>#ERROR!</v>
      </c>
      <c r="H271" s="59"/>
      <c r="I271" s="59"/>
      <c r="J271" s="59"/>
      <c r="K271" s="59"/>
      <c r="L271" s="59"/>
    </row>
    <row r="272" ht="15.0" customHeight="1">
      <c r="A272" s="62"/>
      <c r="B272" s="62"/>
      <c r="C272" s="62"/>
      <c r="D272" s="62"/>
      <c r="E272" s="62"/>
      <c r="F272" s="121" t="str">
        <f>IFERROR(INDEX('MP Referentiel'!F:F,MATCH(B281,'MP Referentiel'!A:A,0)),"")</f>
        <v>#ERROR!</v>
      </c>
      <c r="G272" s="121" t="str">
        <f>IFERROR(D281*F281,"")</f>
        <v>#ERROR!</v>
      </c>
      <c r="H272" s="62"/>
      <c r="I272" s="62"/>
      <c r="J272" s="62"/>
      <c r="K272" s="62"/>
      <c r="L272" s="62"/>
    </row>
    <row r="273" ht="15.0" customHeight="1">
      <c r="A273" s="59"/>
      <c r="B273" s="59"/>
      <c r="C273" s="59"/>
      <c r="D273" s="59"/>
      <c r="E273" s="59"/>
      <c r="F273" s="120" t="str">
        <f>IFERROR(INDEX('MP Referentiel'!F:F,MATCH(B282,'MP Referentiel'!A:A,0)),"")</f>
        <v>#ERROR!</v>
      </c>
      <c r="G273" s="120" t="str">
        <f>IFERROR(D282*F282,"")</f>
        <v>#ERROR!</v>
      </c>
      <c r="H273" s="59"/>
      <c r="I273" s="59"/>
      <c r="J273" s="59"/>
      <c r="K273" s="59"/>
      <c r="L273" s="59"/>
    </row>
    <row r="274" ht="15.0" customHeight="1">
      <c r="A274" s="62"/>
      <c r="B274" s="62"/>
      <c r="C274" s="62"/>
      <c r="D274" s="62"/>
      <c r="E274" s="62"/>
      <c r="F274" s="121" t="str">
        <f>IFERROR(INDEX('MP Referentiel'!F:F,MATCH(B283,'MP Referentiel'!A:A,0)),"")</f>
        <v>#ERROR!</v>
      </c>
      <c r="G274" s="121" t="str">
        <f>IFERROR(D283*F283,"")</f>
        <v>#ERROR!</v>
      </c>
      <c r="H274" s="62"/>
      <c r="I274" s="62"/>
      <c r="J274" s="62"/>
      <c r="K274" s="62"/>
      <c r="L274" s="62"/>
    </row>
    <row r="275" ht="15.0" customHeight="1">
      <c r="A275" s="59"/>
      <c r="B275" s="59"/>
      <c r="C275" s="59"/>
      <c r="D275" s="59"/>
      <c r="E275" s="59"/>
      <c r="F275" s="120" t="str">
        <f>IFERROR(INDEX('MP Referentiel'!F:F,MATCH(B284,'MP Referentiel'!A:A,0)),"")</f>
        <v>#ERROR!</v>
      </c>
      <c r="G275" s="120" t="str">
        <f>IFERROR(D284*F284,"")</f>
        <v>#ERROR!</v>
      </c>
      <c r="H275" s="59"/>
      <c r="I275" s="59"/>
      <c r="J275" s="59"/>
      <c r="K275" s="59"/>
      <c r="L275" s="59"/>
    </row>
    <row r="276" ht="15.0" customHeight="1">
      <c r="A276" s="62"/>
      <c r="B276" s="62"/>
      <c r="C276" s="62"/>
      <c r="D276" s="62"/>
      <c r="E276" s="62"/>
      <c r="F276" s="121" t="str">
        <f>IFERROR(INDEX('MP Referentiel'!F:F,MATCH(B285,'MP Referentiel'!A:A,0)),"")</f>
        <v>#ERROR!</v>
      </c>
      <c r="G276" s="121" t="str">
        <f>IFERROR(D285*F285,"")</f>
        <v>#ERROR!</v>
      </c>
      <c r="H276" s="62"/>
      <c r="I276" s="62"/>
      <c r="J276" s="62"/>
      <c r="K276" s="62"/>
      <c r="L276" s="62"/>
    </row>
  </sheetData>
  <mergeCells count="4">
    <mergeCell ref="A1:J1"/>
    <mergeCell ref="A2:J2"/>
    <mergeCell ref="A3:J3"/>
    <mergeCell ref="A176:L176"/>
  </mergeCells>
  <dataValidations>
    <dataValidation type="list" allowBlank="1" sqref="B177:B276">
      <formula1>"MP01,MP02,MP03,MP04,MP05,MP06,MP07,MP08,MP09,MP10,MP11,MP12,MP13,MP14,MP15,MP16,MP17,MP18,MP19,MP20,MP21,MP22,MP23,MP24,MP25,MP26,MP27,MP28,MP29,MP30,MP31,MP32,MP33,MP34,MP35,MP36,MP37,MP38,MP39,MP40,MP41,MP42,MP43,MP44,MP45,MP46,MP47,MP48,MP49,MP50,MP51,"&amp;"MP52,MP53,MP54,MP55,MP56,MP57,MP58,MP59,MP60,MP61,MP62,MP63,MP64,MP65,MP66,MP67,MP68,MP69,MP70,MP71,MP72,MP73"</formula1>
    </dataValidation>
    <dataValidation type="list" allowBlank="1" sqref="A177:A276">
      <formula1>"RC,PC,MC,TC,DC,P01,P02,P03,P04,P07,P49,R41,R42,R43,R44,R59,R974,M13,PC01,PC02,PC03,PC04,T31,S64,D01,D02,D03,D04,D29"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25.13"/>
    <col customWidth="1" min="3" max="6" width="15.13"/>
  </cols>
  <sheetData>
    <row r="1" ht="25.5" customHeight="1">
      <c r="A1" s="122" t="s">
        <v>526</v>
      </c>
    </row>
    <row r="2" ht="25.5" customHeight="1">
      <c r="A2" s="123" t="s">
        <v>527</v>
      </c>
    </row>
    <row r="4" ht="16.5" customHeight="1">
      <c r="A4" s="7" t="s">
        <v>528</v>
      </c>
    </row>
    <row r="5" ht="16.5" customHeight="1">
      <c r="A5" s="124" t="s">
        <v>529</v>
      </c>
      <c r="B5" s="125" t="s">
        <v>530</v>
      </c>
      <c r="C5" s="52" t="s">
        <v>531</v>
      </c>
    </row>
    <row r="6" ht="16.5" customHeight="1">
      <c r="A6" s="124" t="s">
        <v>417</v>
      </c>
      <c r="B6" s="125" t="s">
        <v>532</v>
      </c>
      <c r="C6" s="52" t="s">
        <v>533</v>
      </c>
    </row>
    <row r="7" ht="16.5" customHeight="1">
      <c r="A7" s="124" t="s">
        <v>77</v>
      </c>
      <c r="B7" s="126"/>
      <c r="C7" s="52" t="s">
        <v>534</v>
      </c>
    </row>
    <row r="8" ht="16.5" customHeight="1">
      <c r="A8" s="124" t="s">
        <v>535</v>
      </c>
      <c r="B8" s="126"/>
      <c r="C8" s="52" t="s">
        <v>536</v>
      </c>
    </row>
    <row r="9" ht="16.5" customHeight="1">
      <c r="A9" s="124" t="s">
        <v>537</v>
      </c>
      <c r="B9" s="126"/>
      <c r="C9" s="52" t="s">
        <v>538</v>
      </c>
    </row>
    <row r="10" ht="16.5" customHeight="1">
      <c r="A10" s="124" t="s">
        <v>539</v>
      </c>
      <c r="B10" s="126"/>
      <c r="C10" s="52" t="s">
        <v>540</v>
      </c>
    </row>
    <row r="11" ht="16.5" customHeight="1">
      <c r="A11" s="124" t="s">
        <v>541</v>
      </c>
      <c r="B11" s="126"/>
      <c r="C11" s="52" t="s">
        <v>542</v>
      </c>
    </row>
    <row r="12" ht="16.5" customHeight="1">
      <c r="A12" s="124" t="s">
        <v>105</v>
      </c>
      <c r="B12" s="125" t="s">
        <v>543</v>
      </c>
      <c r="C12" s="52" t="s">
        <v>544</v>
      </c>
    </row>
    <row r="13" ht="16.5" customHeight="1">
      <c r="A13" s="124" t="s">
        <v>545</v>
      </c>
      <c r="B13" s="126"/>
      <c r="C13" s="52" t="s">
        <v>546</v>
      </c>
    </row>
    <row r="14" ht="16.5" customHeight="1">
      <c r="A14" s="124" t="s">
        <v>424</v>
      </c>
      <c r="B14" s="126"/>
      <c r="C14" s="111"/>
    </row>
    <row r="15" ht="16.5" customHeight="1">
      <c r="A15" s="124" t="s">
        <v>547</v>
      </c>
      <c r="B15" s="125" t="s">
        <v>548</v>
      </c>
      <c r="C15" s="52" t="s">
        <v>549</v>
      </c>
    </row>
    <row r="18" ht="16.5" customHeight="1">
      <c r="A18" s="3" t="s">
        <v>550</v>
      </c>
    </row>
    <row r="19" ht="18.0" customHeight="1">
      <c r="A19" s="31" t="s">
        <v>52</v>
      </c>
      <c r="B19" s="31" t="s">
        <v>53</v>
      </c>
      <c r="C19" s="31" t="s">
        <v>551</v>
      </c>
      <c r="D19" s="31" t="s">
        <v>55</v>
      </c>
      <c r="E19" s="31" t="s">
        <v>552</v>
      </c>
      <c r="F19" s="31" t="s">
        <v>553</v>
      </c>
    </row>
    <row r="20" ht="15.0" customHeight="1">
      <c r="A20" s="127"/>
      <c r="B20" s="128" t="str">
        <f>IFERROR(INDEX('MP Referentiel'!B:B,MATCH(A20,'MP Referentiel'!A:A,0)),"")</f>
        <v>#ERROR!</v>
      </c>
      <c r="C20" s="127"/>
      <c r="D20" s="129" t="s">
        <v>239</v>
      </c>
      <c r="E20" s="130" t="str">
        <f>IFERROR(INDEX('MP Referentiel'!F:F,MATCH(A20,'MP Referentiel'!A:A,0)),"")</f>
        <v>#ERROR!</v>
      </c>
      <c r="F20" s="130" t="str">
        <f>IFERROR(C20*E20,"")</f>
        <v>#ERROR!</v>
      </c>
    </row>
    <row r="21" ht="15.0" customHeight="1">
      <c r="A21" s="127"/>
      <c r="B21" s="62" t="str">
        <f>IFERROR(INDEX('MP Referentiel'!B:B,MATCH(A21,'MP Referentiel'!A:A,0)),"")</f>
        <v>#ERROR!</v>
      </c>
      <c r="C21" s="127"/>
      <c r="D21" s="60" t="s">
        <v>239</v>
      </c>
      <c r="E21" s="121" t="str">
        <f>IFERROR(INDEX('MP Referentiel'!F:F,MATCH(A21,'MP Referentiel'!A:A,0)),"")</f>
        <v>#ERROR!</v>
      </c>
      <c r="F21" s="121" t="str">
        <f>IFERROR(C21*E21,"")</f>
        <v>#ERROR!</v>
      </c>
    </row>
    <row r="22" ht="15.0" customHeight="1">
      <c r="A22" s="127"/>
      <c r="B22" s="128" t="str">
        <f>IFERROR(INDEX('MP Referentiel'!B:B,MATCH(A22,'MP Referentiel'!A:A,0)),"")</f>
        <v>#ERROR!</v>
      </c>
      <c r="C22" s="127"/>
      <c r="D22" s="129" t="s">
        <v>239</v>
      </c>
      <c r="E22" s="130" t="str">
        <f>IFERROR(INDEX('MP Referentiel'!F:F,MATCH(A22,'MP Referentiel'!A:A,0)),"")</f>
        <v>#ERROR!</v>
      </c>
      <c r="F22" s="130" t="str">
        <f>IFERROR(C22*E22,"")</f>
        <v>#ERROR!</v>
      </c>
    </row>
    <row r="23" ht="15.0" customHeight="1">
      <c r="A23" s="127"/>
      <c r="B23" s="62" t="str">
        <f>IFERROR(INDEX('MP Referentiel'!B:B,MATCH(A23,'MP Referentiel'!A:A,0)),"")</f>
        <v>#ERROR!</v>
      </c>
      <c r="C23" s="127"/>
      <c r="D23" s="60" t="s">
        <v>239</v>
      </c>
      <c r="E23" s="121" t="str">
        <f>IFERROR(INDEX('MP Referentiel'!F:F,MATCH(A23,'MP Referentiel'!A:A,0)),"")</f>
        <v>#ERROR!</v>
      </c>
      <c r="F23" s="121" t="str">
        <f>IFERROR(C23*E23,"")</f>
        <v>#ERROR!</v>
      </c>
    </row>
    <row r="24" ht="15.0" customHeight="1">
      <c r="A24" s="127"/>
      <c r="B24" s="128" t="str">
        <f>IFERROR(INDEX('MP Referentiel'!B:B,MATCH(A24,'MP Referentiel'!A:A,0)),"")</f>
        <v>#ERROR!</v>
      </c>
      <c r="C24" s="127"/>
      <c r="D24" s="129" t="s">
        <v>239</v>
      </c>
      <c r="E24" s="130" t="str">
        <f>IFERROR(INDEX('MP Referentiel'!F:F,MATCH(A24,'MP Referentiel'!A:A,0)),"")</f>
        <v>#ERROR!</v>
      </c>
      <c r="F24" s="130" t="str">
        <f>IFERROR(C24*E24,"")</f>
        <v>#ERROR!</v>
      </c>
    </row>
    <row r="25" ht="15.0" customHeight="1">
      <c r="A25" s="127"/>
      <c r="B25" s="62" t="str">
        <f>IFERROR(INDEX('MP Referentiel'!B:B,MATCH(A25,'MP Referentiel'!A:A,0)),"")</f>
        <v>#ERROR!</v>
      </c>
      <c r="C25" s="127"/>
      <c r="D25" s="60" t="s">
        <v>239</v>
      </c>
      <c r="E25" s="121" t="str">
        <f>IFERROR(INDEX('MP Referentiel'!F:F,MATCH(A25,'MP Referentiel'!A:A,0)),"")</f>
        <v>#ERROR!</v>
      </c>
      <c r="F25" s="121" t="str">
        <f>IFERROR(C25*E25,"")</f>
        <v>#ERROR!</v>
      </c>
    </row>
    <row r="26" ht="15.0" customHeight="1">
      <c r="A26" s="127"/>
      <c r="B26" s="128" t="str">
        <f>IFERROR(INDEX('MP Referentiel'!B:B,MATCH(A26,'MP Referentiel'!A:A,0)),"")</f>
        <v>#ERROR!</v>
      </c>
      <c r="C26" s="127"/>
      <c r="D26" s="129" t="s">
        <v>239</v>
      </c>
      <c r="E26" s="130" t="str">
        <f>IFERROR(INDEX('MP Referentiel'!F:F,MATCH(A26,'MP Referentiel'!A:A,0)),"")</f>
        <v>#ERROR!</v>
      </c>
      <c r="F26" s="130" t="str">
        <f>IFERROR(C26*E26,"")</f>
        <v>#ERROR!</v>
      </c>
    </row>
    <row r="27" ht="15.0" customHeight="1">
      <c r="A27" s="127"/>
      <c r="B27" s="62" t="str">
        <f>IFERROR(INDEX('MP Referentiel'!B:B,MATCH(A27,'MP Referentiel'!A:A,0)),"")</f>
        <v>#ERROR!</v>
      </c>
      <c r="C27" s="127"/>
      <c r="D27" s="60" t="s">
        <v>239</v>
      </c>
      <c r="E27" s="121" t="str">
        <f>IFERROR(INDEX('MP Referentiel'!F:F,MATCH(A27,'MP Referentiel'!A:A,0)),"")</f>
        <v>#ERROR!</v>
      </c>
      <c r="F27" s="121" t="str">
        <f>IFERROR(C27*E27,"")</f>
        <v>#ERROR!</v>
      </c>
    </row>
    <row r="28" ht="15.0" customHeight="1">
      <c r="A28" s="127"/>
      <c r="B28" s="128" t="str">
        <f>IFERROR(INDEX('MP Referentiel'!B:B,MATCH(A28,'MP Referentiel'!A:A,0)),"")</f>
        <v>#ERROR!</v>
      </c>
      <c r="C28" s="127"/>
      <c r="D28" s="129" t="s">
        <v>239</v>
      </c>
      <c r="E28" s="130" t="str">
        <f>IFERROR(INDEX('MP Referentiel'!F:F,MATCH(A28,'MP Referentiel'!A:A,0)),"")</f>
        <v>#ERROR!</v>
      </c>
      <c r="F28" s="130" t="str">
        <f>IFERROR(C28*E28,"")</f>
        <v>#ERROR!</v>
      </c>
    </row>
    <row r="29" ht="15.0" customHeight="1">
      <c r="A29" s="127"/>
      <c r="B29" s="62" t="str">
        <f>IFERROR(INDEX('MP Referentiel'!B:B,MATCH(A29,'MP Referentiel'!A:A,0)),"")</f>
        <v>#ERROR!</v>
      </c>
      <c r="C29" s="127"/>
      <c r="D29" s="60" t="s">
        <v>239</v>
      </c>
      <c r="E29" s="121" t="str">
        <f>IFERROR(INDEX('MP Referentiel'!F:F,MATCH(A29,'MP Referentiel'!A:A,0)),"")</f>
        <v>#ERROR!</v>
      </c>
      <c r="F29" s="121" t="str">
        <f>IFERROR(C29*E29,"")</f>
        <v>#ERROR!</v>
      </c>
    </row>
    <row r="30" ht="15.0" customHeight="1">
      <c r="A30" s="127"/>
      <c r="B30" s="128" t="str">
        <f>IFERROR(INDEX('MP Referentiel'!B:B,MATCH(A30,'MP Referentiel'!A:A,0)),"")</f>
        <v>#ERROR!</v>
      </c>
      <c r="C30" s="127"/>
      <c r="D30" s="129" t="s">
        <v>239</v>
      </c>
      <c r="E30" s="130" t="str">
        <f>IFERROR(INDEX('MP Referentiel'!F:F,MATCH(A30,'MP Referentiel'!A:A,0)),"")</f>
        <v>#ERROR!</v>
      </c>
      <c r="F30" s="130" t="str">
        <f>IFERROR(C30*E30,"")</f>
        <v>#ERROR!</v>
      </c>
    </row>
    <row r="31" ht="15.0" customHeight="1">
      <c r="A31" s="127"/>
      <c r="B31" s="62" t="str">
        <f>IFERROR(INDEX('MP Referentiel'!B:B,MATCH(A31,'MP Referentiel'!A:A,0)),"")</f>
        <v>#ERROR!</v>
      </c>
      <c r="C31" s="127"/>
      <c r="D31" s="60" t="s">
        <v>239</v>
      </c>
      <c r="E31" s="121" t="str">
        <f>IFERROR(INDEX('MP Referentiel'!F:F,MATCH(A31,'MP Referentiel'!A:A,0)),"")</f>
        <v>#ERROR!</v>
      </c>
      <c r="F31" s="121" t="str">
        <f>IFERROR(C31*E31,"")</f>
        <v>#ERROR!</v>
      </c>
    </row>
    <row r="32" ht="15.0" customHeight="1">
      <c r="A32" s="127"/>
      <c r="B32" s="128" t="str">
        <f>IFERROR(INDEX('MP Referentiel'!B:B,MATCH(A32,'MP Referentiel'!A:A,0)),"")</f>
        <v>#ERROR!</v>
      </c>
      <c r="C32" s="127"/>
      <c r="D32" s="129" t="s">
        <v>239</v>
      </c>
      <c r="E32" s="130" t="str">
        <f>IFERROR(INDEX('MP Referentiel'!F:F,MATCH(A32,'MP Referentiel'!A:A,0)),"")</f>
        <v>#ERROR!</v>
      </c>
      <c r="F32" s="130" t="str">
        <f>IFERROR(C32*E32,"")</f>
        <v>#ERROR!</v>
      </c>
    </row>
    <row r="33" ht="15.0" customHeight="1">
      <c r="A33" s="127"/>
      <c r="B33" s="62" t="str">
        <f>IFERROR(INDEX('MP Referentiel'!B:B,MATCH(A33,'MP Referentiel'!A:A,0)),"")</f>
        <v>#ERROR!</v>
      </c>
      <c r="C33" s="127"/>
      <c r="D33" s="60" t="s">
        <v>239</v>
      </c>
      <c r="E33" s="121" t="str">
        <f>IFERROR(INDEX('MP Referentiel'!F:F,MATCH(A33,'MP Referentiel'!A:A,0)),"")</f>
        <v>#ERROR!</v>
      </c>
      <c r="F33" s="121" t="str">
        <f>IFERROR(C33*E33,"")</f>
        <v>#ERROR!</v>
      </c>
    </row>
    <row r="34" ht="15.0" customHeight="1">
      <c r="A34" s="127"/>
      <c r="B34" s="128" t="str">
        <f>IFERROR(INDEX('MP Referentiel'!B:B,MATCH(A34,'MP Referentiel'!A:A,0)),"")</f>
        <v>#ERROR!</v>
      </c>
      <c r="C34" s="127"/>
      <c r="D34" s="129" t="s">
        <v>239</v>
      </c>
      <c r="E34" s="130" t="str">
        <f>IFERROR(INDEX('MP Referentiel'!F:F,MATCH(A34,'MP Referentiel'!A:A,0)),"")</f>
        <v>#ERROR!</v>
      </c>
      <c r="F34" s="130" t="str">
        <f>IFERROR(C34*E34,"")</f>
        <v>#ERROR!</v>
      </c>
    </row>
    <row r="35" ht="15.0" customHeight="1">
      <c r="A35" s="127"/>
      <c r="B35" s="62" t="str">
        <f>IFERROR(INDEX('MP Referentiel'!B:B,MATCH(A35,'MP Referentiel'!A:A,0)),"")</f>
        <v>#ERROR!</v>
      </c>
      <c r="C35" s="127"/>
      <c r="D35" s="60" t="s">
        <v>239</v>
      </c>
      <c r="E35" s="121" t="str">
        <f>IFERROR(INDEX('MP Referentiel'!F:F,MATCH(A35,'MP Referentiel'!A:A,0)),"")</f>
        <v>#ERROR!</v>
      </c>
      <c r="F35" s="121" t="str">
        <f>IFERROR(C35*E35,"")</f>
        <v>#ERROR!</v>
      </c>
    </row>
    <row r="36" ht="15.0" customHeight="1">
      <c r="A36" s="127"/>
      <c r="B36" s="128" t="str">
        <f>IFERROR(INDEX('MP Referentiel'!B:B,MATCH(A36,'MP Referentiel'!A:A,0)),"")</f>
        <v>#ERROR!</v>
      </c>
      <c r="C36" s="127"/>
      <c r="D36" s="129" t="s">
        <v>239</v>
      </c>
      <c r="E36" s="130" t="str">
        <f>IFERROR(INDEX('MP Referentiel'!F:F,MATCH(A36,'MP Referentiel'!A:A,0)),"")</f>
        <v>#ERROR!</v>
      </c>
      <c r="F36" s="130" t="str">
        <f>IFERROR(C36*E36,"")</f>
        <v>#ERROR!</v>
      </c>
    </row>
    <row r="37" ht="15.0" customHeight="1">
      <c r="A37" s="127"/>
      <c r="B37" s="62" t="str">
        <f>IFERROR(INDEX('MP Referentiel'!B:B,MATCH(A37,'MP Referentiel'!A:A,0)),"")</f>
        <v>#ERROR!</v>
      </c>
      <c r="C37" s="127"/>
      <c r="D37" s="60" t="s">
        <v>239</v>
      </c>
      <c r="E37" s="121" t="str">
        <f>IFERROR(INDEX('MP Referentiel'!F:F,MATCH(A37,'MP Referentiel'!A:A,0)),"")</f>
        <v>#ERROR!</v>
      </c>
      <c r="F37" s="121" t="str">
        <f>IFERROR(C37*E37,"")</f>
        <v>#ERROR!</v>
      </c>
    </row>
    <row r="38" ht="15.0" customHeight="1">
      <c r="A38" s="127"/>
      <c r="B38" s="128" t="str">
        <f>IFERROR(INDEX('MP Referentiel'!B:B,MATCH(A38,'MP Referentiel'!A:A,0)),"")</f>
        <v>#ERROR!</v>
      </c>
      <c r="C38" s="127"/>
      <c r="D38" s="129" t="s">
        <v>239</v>
      </c>
      <c r="E38" s="130" t="str">
        <f>IFERROR(INDEX('MP Referentiel'!F:F,MATCH(A38,'MP Referentiel'!A:A,0)),"")</f>
        <v>#ERROR!</v>
      </c>
      <c r="F38" s="130" t="str">
        <f>IFERROR(C38*E38,"")</f>
        <v>#ERROR!</v>
      </c>
    </row>
    <row r="39" ht="15.0" customHeight="1">
      <c r="A39" s="127"/>
      <c r="B39" s="62" t="str">
        <f>IFERROR(INDEX('MP Referentiel'!B:B,MATCH(A39,'MP Referentiel'!A:A,0)),"")</f>
        <v>#ERROR!</v>
      </c>
      <c r="C39" s="127"/>
      <c r="D39" s="60" t="s">
        <v>239</v>
      </c>
      <c r="E39" s="121" t="str">
        <f>IFERROR(INDEX('MP Referentiel'!F:F,MATCH(A39,'MP Referentiel'!A:A,0)),"")</f>
        <v>#ERROR!</v>
      </c>
      <c r="F39" s="121" t="str">
        <f>IFERROR(C39*E39,"")</f>
        <v>#ERROR!</v>
      </c>
    </row>
    <row r="41" ht="18.0" customHeight="1">
      <c r="A41" s="131" t="s">
        <v>554</v>
      </c>
      <c r="F41" s="132" t="str">
        <f>SUM(F20:F39)</f>
        <v>#ERROR!</v>
      </c>
    </row>
  </sheetData>
  <mergeCells count="5">
    <mergeCell ref="A1:J1"/>
    <mergeCell ref="A2:J2"/>
    <mergeCell ref="A4:F4"/>
    <mergeCell ref="A18:F18"/>
    <mergeCell ref="A41:E4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A6B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88"/>
    <col customWidth="1" min="2" max="2" width="31.38"/>
    <col customWidth="1" min="3" max="3" width="12.63"/>
    <col customWidth="1" min="4" max="4" width="11.38"/>
    <col customWidth="1" min="5" max="5" width="22.63"/>
    <col customWidth="1" min="6" max="6" width="16.38"/>
    <col customWidth="1" min="7" max="7" width="10.13"/>
    <col customWidth="1" min="8" max="8" width="17.63"/>
  </cols>
  <sheetData>
    <row r="1" ht="25.5" customHeight="1">
      <c r="A1" s="30" t="s">
        <v>555</v>
      </c>
    </row>
    <row r="2" ht="25.5" customHeight="1">
      <c r="A2" s="123" t="s">
        <v>556</v>
      </c>
    </row>
    <row r="4" ht="16.5" customHeight="1">
      <c r="A4" s="7" t="s">
        <v>557</v>
      </c>
    </row>
    <row r="5">
      <c r="A5" s="31" t="s">
        <v>558</v>
      </c>
      <c r="B5" s="31" t="s">
        <v>88</v>
      </c>
      <c r="C5" s="31" t="s">
        <v>77</v>
      </c>
      <c r="D5" s="31" t="s">
        <v>105</v>
      </c>
      <c r="E5" s="31" t="s">
        <v>559</v>
      </c>
      <c r="F5" s="31" t="s">
        <v>560</v>
      </c>
      <c r="G5" s="31" t="s">
        <v>561</v>
      </c>
      <c r="H5" s="31" t="s">
        <v>562</v>
      </c>
    </row>
    <row r="6" ht="16.5" customHeight="1">
      <c r="A6" s="133" t="s">
        <v>436</v>
      </c>
      <c r="B6" s="134" t="s">
        <v>437</v>
      </c>
      <c r="C6" s="134" t="s">
        <v>438</v>
      </c>
      <c r="D6" s="135" t="s">
        <v>440</v>
      </c>
      <c r="E6" s="134" t="s">
        <v>563</v>
      </c>
      <c r="F6" s="134" t="s">
        <v>564</v>
      </c>
      <c r="G6" s="136">
        <v>10.0</v>
      </c>
      <c r="H6" s="136">
        <v>6.1</v>
      </c>
    </row>
    <row r="7" ht="16.5" customHeight="1">
      <c r="A7" s="137" t="s">
        <v>442</v>
      </c>
      <c r="B7" s="138" t="s">
        <v>443</v>
      </c>
      <c r="C7" s="138" t="s">
        <v>444</v>
      </c>
      <c r="D7" s="135" t="s">
        <v>440</v>
      </c>
      <c r="E7" s="138" t="s">
        <v>563</v>
      </c>
      <c r="F7" s="138" t="s">
        <v>564</v>
      </c>
      <c r="G7" s="139">
        <v>10.0</v>
      </c>
      <c r="H7" s="139">
        <v>5.79</v>
      </c>
    </row>
    <row r="8" ht="16.5" customHeight="1">
      <c r="A8" s="133" t="s">
        <v>445</v>
      </c>
      <c r="B8" s="134" t="s">
        <v>446</v>
      </c>
      <c r="C8" s="134" t="s">
        <v>447</v>
      </c>
      <c r="D8" s="135" t="s">
        <v>440</v>
      </c>
      <c r="E8" s="134" t="s">
        <v>563</v>
      </c>
      <c r="F8" s="134" t="s">
        <v>564</v>
      </c>
      <c r="G8" s="136">
        <v>10.0</v>
      </c>
      <c r="H8" s="136">
        <v>4.97</v>
      </c>
    </row>
    <row r="9" ht="16.5" customHeight="1">
      <c r="A9" s="137" t="s">
        <v>449</v>
      </c>
      <c r="B9" s="138" t="s">
        <v>450</v>
      </c>
      <c r="C9" s="138" t="s">
        <v>451</v>
      </c>
      <c r="D9" s="135" t="s">
        <v>440</v>
      </c>
      <c r="E9" s="138" t="s">
        <v>563</v>
      </c>
      <c r="F9" s="138" t="s">
        <v>564</v>
      </c>
      <c r="G9" s="139">
        <v>10.0</v>
      </c>
      <c r="H9" s="139">
        <v>8.29</v>
      </c>
    </row>
    <row r="10" ht="16.5" customHeight="1">
      <c r="A10" s="133" t="s">
        <v>453</v>
      </c>
      <c r="B10" s="134" t="s">
        <v>565</v>
      </c>
      <c r="C10" s="134" t="s">
        <v>455</v>
      </c>
      <c r="D10" s="135" t="s">
        <v>440</v>
      </c>
      <c r="E10" s="134" t="s">
        <v>563</v>
      </c>
      <c r="F10" s="134" t="s">
        <v>564</v>
      </c>
      <c r="G10" s="136">
        <v>10.0</v>
      </c>
      <c r="H10" s="136">
        <v>1.48</v>
      </c>
    </row>
  </sheetData>
  <mergeCells count="3">
    <mergeCell ref="A1:J1"/>
    <mergeCell ref="A2:J2"/>
    <mergeCell ref="A4:H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860B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2.0"/>
    <col customWidth="1" min="2" max="2" width="15.75"/>
    <col customWidth="1" min="3" max="9" width="11.13"/>
    <col customWidth="1" min="10" max="21" width="11.38"/>
    <col customWidth="1" min="22" max="22" width="10.13"/>
    <col customWidth="1" min="23" max="24" width="13.88"/>
  </cols>
  <sheetData>
    <row r="1" ht="25.5" customHeight="1">
      <c r="A1" s="140" t="s">
        <v>566</v>
      </c>
    </row>
    <row r="2" ht="25.5" customHeight="1">
      <c r="A2" s="141" t="s">
        <v>567</v>
      </c>
    </row>
    <row r="3">
      <c r="A3" s="142" t="s">
        <v>568</v>
      </c>
    </row>
    <row r="4" ht="30.0" customHeight="1">
      <c r="A4" s="31" t="s">
        <v>77</v>
      </c>
      <c r="B4" s="31" t="s">
        <v>569</v>
      </c>
      <c r="C4" s="143" t="s">
        <v>570</v>
      </c>
      <c r="G4" s="144" t="s">
        <v>571</v>
      </c>
      <c r="J4" s="145" t="s">
        <v>572</v>
      </c>
      <c r="M4" s="146" t="s">
        <v>573</v>
      </c>
      <c r="P4" s="147" t="s">
        <v>574</v>
      </c>
      <c r="S4" s="148" t="s">
        <v>575</v>
      </c>
      <c r="V4" s="149" t="s">
        <v>576</v>
      </c>
      <c r="W4" s="150" t="s">
        <v>577</v>
      </c>
      <c r="X4" s="151" t="s">
        <v>578</v>
      </c>
    </row>
    <row r="5" ht="24.0" customHeight="1">
      <c r="C5" s="152" t="s">
        <v>579</v>
      </c>
      <c r="D5" s="153" t="s">
        <v>580</v>
      </c>
      <c r="E5" s="153" t="s">
        <v>581</v>
      </c>
      <c r="F5" s="153" t="s">
        <v>582</v>
      </c>
      <c r="G5" s="154" t="s">
        <v>583</v>
      </c>
      <c r="H5" s="154" t="s">
        <v>584</v>
      </c>
      <c r="I5" s="154" t="s">
        <v>585</v>
      </c>
      <c r="J5" s="155" t="s">
        <v>586</v>
      </c>
      <c r="K5" s="155" t="s">
        <v>587</v>
      </c>
      <c r="L5" s="155" t="s">
        <v>588</v>
      </c>
      <c r="M5" s="156" t="s">
        <v>589</v>
      </c>
      <c r="N5" s="156" t="s">
        <v>590</v>
      </c>
      <c r="O5" s="156" t="s">
        <v>588</v>
      </c>
      <c r="P5" s="157" t="s">
        <v>589</v>
      </c>
      <c r="Q5" s="157" t="s">
        <v>590</v>
      </c>
      <c r="R5" s="157" t="s">
        <v>588</v>
      </c>
      <c r="S5" s="158" t="s">
        <v>591</v>
      </c>
      <c r="T5" s="158" t="s">
        <v>592</v>
      </c>
      <c r="U5" s="158" t="s">
        <v>593</v>
      </c>
      <c r="V5" s="158" t="s">
        <v>594</v>
      </c>
    </row>
    <row r="7" ht="15.0" customHeight="1">
      <c r="A7" s="159" t="s">
        <v>595</v>
      </c>
    </row>
    <row r="8" ht="15.0" customHeight="1">
      <c r="A8" s="160" t="s">
        <v>444</v>
      </c>
      <c r="B8" s="161" t="s">
        <v>456</v>
      </c>
      <c r="C8" s="162">
        <v>5.9</v>
      </c>
      <c r="D8" s="163" t="str">
        <f>IFERROR(ROUND(C8*0.95,2),"")</f>
        <v>#ERROR!</v>
      </c>
      <c r="E8" s="163" t="str">
        <f>IFERROR(ROUND(C8*0.92,2),"")</f>
        <v>#ERROR!</v>
      </c>
      <c r="F8" s="163" t="str">
        <f>IFERROR(ROUND(C8*0.88,2),"")</f>
        <v>#ERROR!</v>
      </c>
      <c r="G8" s="164" t="str">
        <f>IFERROR(ROUND(C8*1,2),"")</f>
        <v>#ERROR!</v>
      </c>
      <c r="H8" s="164" t="str">
        <f>IFERROR(ROUND(C8*0.97,2),"")</f>
        <v>#ERROR!</v>
      </c>
      <c r="I8" s="164" t="str">
        <f>IFERROR(ROUND(C8*0.94,2),"")</f>
        <v>#ERROR!</v>
      </c>
      <c r="J8" s="165" t="str">
        <f>IFERROR(ROUND((C8/IFERROR(INDEX(Config!B:B,MATCH("TVA "&amp;A8,Config!A:A,0)),1.055))*0.55,2),"")</f>
        <v>#ERROR!</v>
      </c>
      <c r="K8" s="165" t="str">
        <f>IFERROR(ROUND((C8/IFERROR(INDEX(Config!B:B,MATCH("TVA "&amp;A8,Config!A:A,0)),1.055))*0.48,2),"")</f>
        <v>#ERROR!</v>
      </c>
      <c r="L8" s="165" t="str">
        <f>IFERROR(ROUND((C8/IFERROR(INDEX(Config!B:B,MATCH("TVA "&amp;A8,Config!A:A,0)),1.055))*0.42,2),"")</f>
        <v>#ERROR!</v>
      </c>
      <c r="M8" s="165" t="str">
        <f>IFERROR(ROUND((C8/IFERROR(INDEX(Config!B:B,MATCH("TVA "&amp;A8,Config!A:A,0)),1.055))*0.58,2),"")</f>
        <v>#ERROR!</v>
      </c>
      <c r="N8" s="165" t="str">
        <f>IFERROR(ROUND((C8/IFERROR(INDEX(Config!B:B,MATCH("TVA "&amp;A8,Config!A:A,0)),1.055))*0.52,2),"")</f>
        <v>#ERROR!</v>
      </c>
      <c r="O8" s="165" t="str">
        <f>IFERROR(ROUND((C8/IFERROR(INDEX(Config!B:B,MATCH("TVA "&amp;A8,Config!A:A,0)),1.055))*0.52,2),"")</f>
        <v>#ERROR!</v>
      </c>
      <c r="P8" s="165" t="str">
        <f>IFERROR(ROUND((C8/IFERROR(INDEX(Config!B:B,MATCH("TVA "&amp;A8,Config!A:A,0)),1.055))*0.55,2),"")</f>
        <v>#ERROR!</v>
      </c>
      <c r="Q8" s="165" t="str">
        <f>IFERROR(ROUND((C8/IFERROR(INDEX(Config!B:B,MATCH("TVA "&amp;A8,Config!A:A,0)),1.055))*0.5,2),"")</f>
        <v>#ERROR!</v>
      </c>
      <c r="R8" s="165" t="str">
        <f>IFERROR(ROUND((C8/IFERROR(INDEX(Config!B:B,MATCH("TVA "&amp;A8,Config!A:A,0)),1.055))*0.5,2),"")</f>
        <v>#ERROR!</v>
      </c>
      <c r="S8" s="165" t="str">
        <f>IFERROR(ROUND((C8/IFERROR(INDEX(Config!B:B,MATCH("TVA "&amp;A8,Config!A:A,0)),1.055))*0.62,2),"")</f>
        <v>#ERROR!</v>
      </c>
      <c r="T8" s="165" t="str">
        <f>IFERROR(ROUND((C8/IFERROR(INDEX(Config!B:B,MATCH("TVA "&amp;A8,Config!A:A,0)),1.055))*0.58,2),"")</f>
        <v>#ERROR!</v>
      </c>
      <c r="U8" s="165" t="str">
        <f>IFERROR(ROUND((C8/IFERROR(INDEX(Config!B:B,MATCH("TVA "&amp;A8,Config!A:A,0)),1.055))*0.58,2),"")</f>
        <v>#ERROR!</v>
      </c>
      <c r="V8" s="166" t="str">
        <f>IFERROR(((C8/IFERROR(INDEX(Config!B:B,MATCH("TVA "&amp;A8,Config!A:A,0)),1.055))-IFERROR(INDEX('Cout de Revient'!I:I,MATCH(B8,'Cout de Revient'!C:C,0)),0))/(C8/IFERROR(INDEX(Config!B:B,MATCH("TVA "&amp;A8,Config!A:A,0)),1.055)),"")</f>
        <v>#ERROR!</v>
      </c>
      <c r="W8" s="167" t="str">
        <f>IFERROR(C8,"")</f>
        <v>#ERROR!</v>
      </c>
      <c r="X8" s="168" t="str">
        <f>IFERROR(ROUND(C8*0.85,2),"")</f>
        <v>#ERROR!</v>
      </c>
    </row>
    <row r="9" ht="15.0" customHeight="1">
      <c r="A9" s="160" t="s">
        <v>444</v>
      </c>
      <c r="B9" s="169" t="s">
        <v>448</v>
      </c>
      <c r="C9" s="162">
        <v>7.5</v>
      </c>
      <c r="D9" s="163" t="str">
        <f>IFERROR(ROUND(C9*0.95,2),"")</f>
        <v>#ERROR!</v>
      </c>
      <c r="E9" s="163" t="str">
        <f>IFERROR(ROUND(C9*0.92,2),"")</f>
        <v>#ERROR!</v>
      </c>
      <c r="F9" s="163" t="str">
        <f>IFERROR(ROUND(C9*0.88,2),"")</f>
        <v>#ERROR!</v>
      </c>
      <c r="G9" s="164" t="str">
        <f>IFERROR(ROUND(C9*1,2),"")</f>
        <v>#ERROR!</v>
      </c>
      <c r="H9" s="164" t="str">
        <f>IFERROR(ROUND(C9*0.97,2),"")</f>
        <v>#ERROR!</v>
      </c>
      <c r="I9" s="164" t="str">
        <f>IFERROR(ROUND(C9*0.94,2),"")</f>
        <v>#ERROR!</v>
      </c>
      <c r="J9" s="165" t="str">
        <f>IFERROR(ROUND((C9/IFERROR(INDEX(Config!B:B,MATCH("TVA "&amp;A9,Config!A:A,0)),1.055))*0.55,2),"")</f>
        <v>#ERROR!</v>
      </c>
      <c r="K9" s="165" t="str">
        <f>IFERROR(ROUND((C9/IFERROR(INDEX(Config!B:B,MATCH("TVA "&amp;A9,Config!A:A,0)),1.055))*0.48,2),"")</f>
        <v>#ERROR!</v>
      </c>
      <c r="L9" s="165" t="str">
        <f>IFERROR(ROUND((C9/IFERROR(INDEX(Config!B:B,MATCH("TVA "&amp;A9,Config!A:A,0)),1.055))*0.42,2),"")</f>
        <v>#ERROR!</v>
      </c>
      <c r="M9" s="165" t="str">
        <f>IFERROR(ROUND((C9/IFERROR(INDEX(Config!B:B,MATCH("TVA "&amp;A9,Config!A:A,0)),1.055))*0.58,2),"")</f>
        <v>#ERROR!</v>
      </c>
      <c r="N9" s="165" t="str">
        <f>IFERROR(ROUND((C9/IFERROR(INDEX(Config!B:B,MATCH("TVA "&amp;A9,Config!A:A,0)),1.055))*0.52,2),"")</f>
        <v>#ERROR!</v>
      </c>
      <c r="O9" s="165" t="str">
        <f>IFERROR(ROUND((C9/IFERROR(INDEX(Config!B:B,MATCH("TVA "&amp;A9,Config!A:A,0)),1.055))*0.52,2),"")</f>
        <v>#ERROR!</v>
      </c>
      <c r="P9" s="165" t="str">
        <f>IFERROR(ROUND((C9/IFERROR(INDEX(Config!B:B,MATCH("TVA "&amp;A9,Config!A:A,0)),1.055))*0.55,2),"")</f>
        <v>#ERROR!</v>
      </c>
      <c r="Q9" s="165" t="str">
        <f>IFERROR(ROUND((C9/IFERROR(INDEX(Config!B:B,MATCH("TVA "&amp;A9,Config!A:A,0)),1.055))*0.5,2),"")</f>
        <v>#ERROR!</v>
      </c>
      <c r="R9" s="165" t="str">
        <f>IFERROR(ROUND((C9/IFERROR(INDEX(Config!B:B,MATCH("TVA "&amp;A9,Config!A:A,0)),1.055))*0.5,2),"")</f>
        <v>#ERROR!</v>
      </c>
      <c r="S9" s="165" t="str">
        <f>IFERROR(ROUND((C9/IFERROR(INDEX(Config!B:B,MATCH("TVA "&amp;A9,Config!A:A,0)),1.055))*0.62,2),"")</f>
        <v>#ERROR!</v>
      </c>
      <c r="T9" s="165" t="str">
        <f>IFERROR(ROUND((C9/IFERROR(INDEX(Config!B:B,MATCH("TVA "&amp;A9,Config!A:A,0)),1.055))*0.58,2),"")</f>
        <v>#ERROR!</v>
      </c>
      <c r="U9" s="165" t="str">
        <f>IFERROR(ROUND((C9/IFERROR(INDEX(Config!B:B,MATCH("TVA "&amp;A9,Config!A:A,0)),1.055))*0.58,2),"")</f>
        <v>#ERROR!</v>
      </c>
      <c r="V9" s="166" t="str">
        <f>IFERROR(((C9/IFERROR(INDEX(Config!B:B,MATCH("TVA "&amp;A9,Config!A:A,0)),1.055))-IFERROR(INDEX('Cout de Revient'!I:I,MATCH(B9,'Cout de Revient'!C:C,0)),0))/(C9/IFERROR(INDEX(Config!B:B,MATCH("TVA "&amp;A9,Config!A:A,0)),1.055)),"")</f>
        <v>#ERROR!</v>
      </c>
      <c r="W9" s="167" t="str">
        <f>IFERROR(C9,"")</f>
        <v>#ERROR!</v>
      </c>
      <c r="X9" s="168" t="str">
        <f>IFERROR(ROUND(C9*0.85,2),"")</f>
        <v>#ERROR!</v>
      </c>
    </row>
    <row r="10" ht="15.0" customHeight="1">
      <c r="A10" s="160" t="s">
        <v>444</v>
      </c>
      <c r="B10" s="161" t="s">
        <v>439</v>
      </c>
      <c r="C10" s="162">
        <v>9.9</v>
      </c>
      <c r="D10" s="163" t="str">
        <f>IFERROR(ROUND(C10*0.95,2),"")</f>
        <v>#ERROR!</v>
      </c>
      <c r="E10" s="163" t="str">
        <f>IFERROR(ROUND(C10*0.92,2),"")</f>
        <v>#ERROR!</v>
      </c>
      <c r="F10" s="163" t="str">
        <f>IFERROR(ROUND(C10*0.88,2),"")</f>
        <v>#ERROR!</v>
      </c>
      <c r="G10" s="164" t="str">
        <f>IFERROR(ROUND(C10*1,2),"")</f>
        <v>#ERROR!</v>
      </c>
      <c r="H10" s="164" t="str">
        <f>IFERROR(ROUND(C10*0.97,2),"")</f>
        <v>#ERROR!</v>
      </c>
      <c r="I10" s="164" t="str">
        <f>IFERROR(ROUND(C10*0.94,2),"")</f>
        <v>#ERROR!</v>
      </c>
      <c r="J10" s="165" t="str">
        <f>IFERROR(ROUND((C10/IFERROR(INDEX(Config!B:B,MATCH("TVA "&amp;A10,Config!A:A,0)),1.055))*0.55,2),"")</f>
        <v>#ERROR!</v>
      </c>
      <c r="K10" s="165" t="str">
        <f>IFERROR(ROUND((C10/IFERROR(INDEX(Config!B:B,MATCH("TVA "&amp;A10,Config!A:A,0)),1.055))*0.48,2),"")</f>
        <v>#ERROR!</v>
      </c>
      <c r="L10" s="165" t="str">
        <f>IFERROR(ROUND((C10/IFERROR(INDEX(Config!B:B,MATCH("TVA "&amp;A10,Config!A:A,0)),1.055))*0.42,2),"")</f>
        <v>#ERROR!</v>
      </c>
      <c r="M10" s="165" t="str">
        <f>IFERROR(ROUND((C10/IFERROR(INDEX(Config!B:B,MATCH("TVA "&amp;A10,Config!A:A,0)),1.055))*0.58,2),"")</f>
        <v>#ERROR!</v>
      </c>
      <c r="N10" s="165" t="str">
        <f>IFERROR(ROUND((C10/IFERROR(INDEX(Config!B:B,MATCH("TVA "&amp;A10,Config!A:A,0)),1.055))*0.52,2),"")</f>
        <v>#ERROR!</v>
      </c>
      <c r="O10" s="165" t="str">
        <f>IFERROR(ROUND((C10/IFERROR(INDEX(Config!B:B,MATCH("TVA "&amp;A10,Config!A:A,0)),1.055))*0.52,2),"")</f>
        <v>#ERROR!</v>
      </c>
      <c r="P10" s="165" t="str">
        <f>IFERROR(ROUND((C10/IFERROR(INDEX(Config!B:B,MATCH("TVA "&amp;A10,Config!A:A,0)),1.055))*0.55,2),"")</f>
        <v>#ERROR!</v>
      </c>
      <c r="Q10" s="165" t="str">
        <f>IFERROR(ROUND((C10/IFERROR(INDEX(Config!B:B,MATCH("TVA "&amp;A10,Config!A:A,0)),1.055))*0.5,2),"")</f>
        <v>#ERROR!</v>
      </c>
      <c r="R10" s="165" t="str">
        <f>IFERROR(ROUND((C10/IFERROR(INDEX(Config!B:B,MATCH("TVA "&amp;A10,Config!A:A,0)),1.055))*0.5,2),"")</f>
        <v>#ERROR!</v>
      </c>
      <c r="S10" s="165" t="str">
        <f>IFERROR(ROUND((C10/IFERROR(INDEX(Config!B:B,MATCH("TVA "&amp;A10,Config!A:A,0)),1.055))*0.62,2),"")</f>
        <v>#ERROR!</v>
      </c>
      <c r="T10" s="165" t="str">
        <f>IFERROR(ROUND((C10/IFERROR(INDEX(Config!B:B,MATCH("TVA "&amp;A10,Config!A:A,0)),1.055))*0.58,2),"")</f>
        <v>#ERROR!</v>
      </c>
      <c r="U10" s="165" t="str">
        <f>IFERROR(ROUND((C10/IFERROR(INDEX(Config!B:B,MATCH("TVA "&amp;A10,Config!A:A,0)),1.055))*0.58,2),"")</f>
        <v>#ERROR!</v>
      </c>
      <c r="V10" s="166" t="str">
        <f>IFERROR(((C10/IFERROR(INDEX(Config!B:B,MATCH("TVA "&amp;A10,Config!A:A,0)),1.055))-IFERROR(INDEX('Cout de Revient'!I:I,MATCH(B10,'Cout de Revient'!C:C,0)),0))/(C10/IFERROR(INDEX(Config!B:B,MATCH("TVA "&amp;A10,Config!A:A,0)),1.055)),"")</f>
        <v>#ERROR!</v>
      </c>
      <c r="W10" s="167" t="str">
        <f>IFERROR(C10,"")</f>
        <v>#ERROR!</v>
      </c>
      <c r="X10" s="168" t="str">
        <f>IFERROR(ROUND(C10*0.85,2),"")</f>
        <v>#ERROR!</v>
      </c>
    </row>
    <row r="11" ht="15.0" customHeight="1">
      <c r="A11" s="160" t="s">
        <v>444</v>
      </c>
      <c r="B11" s="169" t="s">
        <v>452</v>
      </c>
      <c r="C11" s="162">
        <v>13.9</v>
      </c>
      <c r="D11" s="163" t="str">
        <f>IFERROR(ROUND(C11*0.95,2),"")</f>
        <v>#ERROR!</v>
      </c>
      <c r="E11" s="163" t="str">
        <f>IFERROR(ROUND(C11*0.92,2),"")</f>
        <v>#ERROR!</v>
      </c>
      <c r="F11" s="163" t="str">
        <f>IFERROR(ROUND(C11*0.88,2),"")</f>
        <v>#ERROR!</v>
      </c>
      <c r="G11" s="164" t="str">
        <f>IFERROR(ROUND(C11*1,2),"")</f>
        <v>#ERROR!</v>
      </c>
      <c r="H11" s="164" t="str">
        <f>IFERROR(ROUND(C11*0.97,2),"")</f>
        <v>#ERROR!</v>
      </c>
      <c r="I11" s="164" t="str">
        <f>IFERROR(ROUND(C11*0.94,2),"")</f>
        <v>#ERROR!</v>
      </c>
      <c r="J11" s="165" t="str">
        <f>IFERROR(ROUND((C11/IFERROR(INDEX(Config!B:B,MATCH("TVA "&amp;A11,Config!A:A,0)),1.055))*0.55,2),"")</f>
        <v>#ERROR!</v>
      </c>
      <c r="K11" s="165" t="str">
        <f>IFERROR(ROUND((C11/IFERROR(INDEX(Config!B:B,MATCH("TVA "&amp;A11,Config!A:A,0)),1.055))*0.48,2),"")</f>
        <v>#ERROR!</v>
      </c>
      <c r="L11" s="165" t="str">
        <f>IFERROR(ROUND((C11/IFERROR(INDEX(Config!B:B,MATCH("TVA "&amp;A11,Config!A:A,0)),1.055))*0.42,2),"")</f>
        <v>#ERROR!</v>
      </c>
      <c r="M11" s="165" t="str">
        <f>IFERROR(ROUND((C11/IFERROR(INDEX(Config!B:B,MATCH("TVA "&amp;A11,Config!A:A,0)),1.055))*0.58,2),"")</f>
        <v>#ERROR!</v>
      </c>
      <c r="N11" s="165" t="str">
        <f>IFERROR(ROUND((C11/IFERROR(INDEX(Config!B:B,MATCH("TVA "&amp;A11,Config!A:A,0)),1.055))*0.52,2),"")</f>
        <v>#ERROR!</v>
      </c>
      <c r="O11" s="165" t="str">
        <f>IFERROR(ROUND((C11/IFERROR(INDEX(Config!B:B,MATCH("TVA "&amp;A11,Config!A:A,0)),1.055))*0.52,2),"")</f>
        <v>#ERROR!</v>
      </c>
      <c r="P11" s="165" t="str">
        <f>IFERROR(ROUND((C11/IFERROR(INDEX(Config!B:B,MATCH("TVA "&amp;A11,Config!A:A,0)),1.055))*0.55,2),"")</f>
        <v>#ERROR!</v>
      </c>
      <c r="Q11" s="165" t="str">
        <f>IFERROR(ROUND((C11/IFERROR(INDEX(Config!B:B,MATCH("TVA "&amp;A11,Config!A:A,0)),1.055))*0.5,2),"")</f>
        <v>#ERROR!</v>
      </c>
      <c r="R11" s="165" t="str">
        <f>IFERROR(ROUND((C11/IFERROR(INDEX(Config!B:B,MATCH("TVA "&amp;A11,Config!A:A,0)),1.055))*0.5,2),"")</f>
        <v>#ERROR!</v>
      </c>
      <c r="S11" s="165" t="str">
        <f>IFERROR(ROUND((C11/IFERROR(INDEX(Config!B:B,MATCH("TVA "&amp;A11,Config!A:A,0)),1.055))*0.62,2),"")</f>
        <v>#ERROR!</v>
      </c>
      <c r="T11" s="165" t="str">
        <f>IFERROR(ROUND((C11/IFERROR(INDEX(Config!B:B,MATCH("TVA "&amp;A11,Config!A:A,0)),1.055))*0.58,2),"")</f>
        <v>#ERROR!</v>
      </c>
      <c r="U11" s="165" t="str">
        <f>IFERROR(ROUND((C11/IFERROR(INDEX(Config!B:B,MATCH("TVA "&amp;A11,Config!A:A,0)),1.055))*0.58,2),"")</f>
        <v>#ERROR!</v>
      </c>
      <c r="V11" s="166" t="str">
        <f>IFERROR(((C11/IFERROR(INDEX(Config!B:B,MATCH("TVA "&amp;A11,Config!A:A,0)),1.055))-IFERROR(INDEX('Cout de Revient'!I:I,MATCH(B11,'Cout de Revient'!C:C,0)),0))/(C11/IFERROR(INDEX(Config!B:B,MATCH("TVA "&amp;A11,Config!A:A,0)),1.055)),"")</f>
        <v>#ERROR!</v>
      </c>
      <c r="W11" s="167" t="str">
        <f>IFERROR(C11,"")</f>
        <v>#ERROR!</v>
      </c>
      <c r="X11" s="168" t="str">
        <f>IFERROR(ROUND(C11*0.85,2),"")</f>
        <v>#ERROR!</v>
      </c>
    </row>
    <row r="12" ht="15.0" customHeight="1">
      <c r="A12" s="160" t="s">
        <v>444</v>
      </c>
      <c r="B12" s="161" t="s">
        <v>489</v>
      </c>
      <c r="C12" s="162">
        <v>17.9</v>
      </c>
      <c r="D12" s="163" t="str">
        <f>IFERROR(ROUND(C12*0.95,2),"")</f>
        <v>#ERROR!</v>
      </c>
      <c r="E12" s="163" t="str">
        <f>IFERROR(ROUND(C12*0.92,2),"")</f>
        <v>#ERROR!</v>
      </c>
      <c r="F12" s="163" t="str">
        <f>IFERROR(ROUND(C12*0.88,2),"")</f>
        <v>#ERROR!</v>
      </c>
      <c r="G12" s="164" t="str">
        <f>IFERROR(ROUND(C12*1,2),"")</f>
        <v>#ERROR!</v>
      </c>
      <c r="H12" s="164" t="str">
        <f>IFERROR(ROUND(C12*0.97,2),"")</f>
        <v>#ERROR!</v>
      </c>
      <c r="I12" s="164" t="str">
        <f>IFERROR(ROUND(C12*0.94,2),"")</f>
        <v>#ERROR!</v>
      </c>
      <c r="J12" s="165" t="str">
        <f>IFERROR(ROUND((C12/IFERROR(INDEX(Config!B:B,MATCH("TVA "&amp;A12,Config!A:A,0)),1.055))*0.55,2),"")</f>
        <v>#ERROR!</v>
      </c>
      <c r="K12" s="165" t="str">
        <f>IFERROR(ROUND((C12/IFERROR(INDEX(Config!B:B,MATCH("TVA "&amp;A12,Config!A:A,0)),1.055))*0.48,2),"")</f>
        <v>#ERROR!</v>
      </c>
      <c r="L12" s="165" t="str">
        <f>IFERROR(ROUND((C12/IFERROR(INDEX(Config!B:B,MATCH("TVA "&amp;A12,Config!A:A,0)),1.055))*0.42,2),"")</f>
        <v>#ERROR!</v>
      </c>
      <c r="M12" s="165" t="str">
        <f>IFERROR(ROUND((C12/IFERROR(INDEX(Config!B:B,MATCH("TVA "&amp;A12,Config!A:A,0)),1.055))*0.58,2),"")</f>
        <v>#ERROR!</v>
      </c>
      <c r="N12" s="165" t="str">
        <f>IFERROR(ROUND((C12/IFERROR(INDEX(Config!B:B,MATCH("TVA "&amp;A12,Config!A:A,0)),1.055))*0.52,2),"")</f>
        <v>#ERROR!</v>
      </c>
      <c r="O12" s="165" t="str">
        <f>IFERROR(ROUND((C12/IFERROR(INDEX(Config!B:B,MATCH("TVA "&amp;A12,Config!A:A,0)),1.055))*0.52,2),"")</f>
        <v>#ERROR!</v>
      </c>
      <c r="P12" s="165" t="str">
        <f>IFERROR(ROUND((C12/IFERROR(INDEX(Config!B:B,MATCH("TVA "&amp;A12,Config!A:A,0)),1.055))*0.55,2),"")</f>
        <v>#ERROR!</v>
      </c>
      <c r="Q12" s="165" t="str">
        <f>IFERROR(ROUND((C12/IFERROR(INDEX(Config!B:B,MATCH("TVA "&amp;A12,Config!A:A,0)),1.055))*0.5,2),"")</f>
        <v>#ERROR!</v>
      </c>
      <c r="R12" s="165" t="str">
        <f>IFERROR(ROUND((C12/IFERROR(INDEX(Config!B:B,MATCH("TVA "&amp;A12,Config!A:A,0)),1.055))*0.5,2),"")</f>
        <v>#ERROR!</v>
      </c>
      <c r="S12" s="165" t="str">
        <f>IFERROR(ROUND((C12/IFERROR(INDEX(Config!B:B,MATCH("TVA "&amp;A12,Config!A:A,0)),1.055))*0.62,2),"")</f>
        <v>#ERROR!</v>
      </c>
      <c r="T12" s="165" t="str">
        <f>IFERROR(ROUND((C12/IFERROR(INDEX(Config!B:B,MATCH("TVA "&amp;A12,Config!A:A,0)),1.055))*0.58,2),"")</f>
        <v>#ERROR!</v>
      </c>
      <c r="U12" s="165" t="str">
        <f>IFERROR(ROUND((C12/IFERROR(INDEX(Config!B:B,MATCH("TVA "&amp;A12,Config!A:A,0)),1.055))*0.58,2),"")</f>
        <v>#ERROR!</v>
      </c>
      <c r="V12" s="166" t="str">
        <f>IFERROR(((C12/IFERROR(INDEX(Config!B:B,MATCH("TVA "&amp;A12,Config!A:A,0)),1.055))-IFERROR(INDEX('Cout de Revient'!I:I,MATCH(B12,'Cout de Revient'!C:C,0)),0))/(C12/IFERROR(INDEX(Config!B:B,MATCH("TVA "&amp;A12,Config!A:A,0)),1.055)),"")</f>
        <v>#ERROR!</v>
      </c>
      <c r="W12" s="167" t="str">
        <f>IFERROR(C12,"")</f>
        <v>#ERROR!</v>
      </c>
      <c r="X12" s="168" t="str">
        <f>IFERROR(ROUND(C12*0.85,2),"")</f>
        <v>#ERROR!</v>
      </c>
    </row>
    <row r="13" ht="15.0" customHeight="1">
      <c r="A13" s="160" t="s">
        <v>444</v>
      </c>
      <c r="B13" s="169" t="s">
        <v>596</v>
      </c>
      <c r="C13" s="162">
        <v>24.9</v>
      </c>
      <c r="D13" s="163" t="str">
        <f>IFERROR(ROUND(C13*0.95,2),"")</f>
        <v>#ERROR!</v>
      </c>
      <c r="E13" s="163" t="str">
        <f>IFERROR(ROUND(C13*0.92,2),"")</f>
        <v>#ERROR!</v>
      </c>
      <c r="F13" s="163" t="str">
        <f>IFERROR(ROUND(C13*0.88,2),"")</f>
        <v>#ERROR!</v>
      </c>
      <c r="G13" s="164" t="str">
        <f>IFERROR(ROUND(C13*1,2),"")</f>
        <v>#ERROR!</v>
      </c>
      <c r="H13" s="164" t="str">
        <f>IFERROR(ROUND(C13*0.97,2),"")</f>
        <v>#ERROR!</v>
      </c>
      <c r="I13" s="164" t="str">
        <f>IFERROR(ROUND(C13*0.94,2),"")</f>
        <v>#ERROR!</v>
      </c>
      <c r="J13" s="165" t="str">
        <f>IFERROR(ROUND((C13/IFERROR(INDEX(Config!B:B,MATCH("TVA "&amp;A13,Config!A:A,0)),1.055))*0.55,2),"")</f>
        <v>#ERROR!</v>
      </c>
      <c r="K13" s="165" t="str">
        <f>IFERROR(ROUND((C13/IFERROR(INDEX(Config!B:B,MATCH("TVA "&amp;A13,Config!A:A,0)),1.055))*0.48,2),"")</f>
        <v>#ERROR!</v>
      </c>
      <c r="L13" s="165" t="str">
        <f>IFERROR(ROUND((C13/IFERROR(INDEX(Config!B:B,MATCH("TVA "&amp;A13,Config!A:A,0)),1.055))*0.42,2),"")</f>
        <v>#ERROR!</v>
      </c>
      <c r="M13" s="165" t="str">
        <f>IFERROR(ROUND((C13/IFERROR(INDEX(Config!B:B,MATCH("TVA "&amp;A13,Config!A:A,0)),1.055))*0.58,2),"")</f>
        <v>#ERROR!</v>
      </c>
      <c r="N13" s="165" t="str">
        <f>IFERROR(ROUND((C13/IFERROR(INDEX(Config!B:B,MATCH("TVA "&amp;A13,Config!A:A,0)),1.055))*0.52,2),"")</f>
        <v>#ERROR!</v>
      </c>
      <c r="O13" s="165" t="str">
        <f>IFERROR(ROUND((C13/IFERROR(INDEX(Config!B:B,MATCH("TVA "&amp;A13,Config!A:A,0)),1.055))*0.52,2),"")</f>
        <v>#ERROR!</v>
      </c>
      <c r="P13" s="165" t="str">
        <f>IFERROR(ROUND((C13/IFERROR(INDEX(Config!B:B,MATCH("TVA "&amp;A13,Config!A:A,0)),1.055))*0.55,2),"")</f>
        <v>#ERROR!</v>
      </c>
      <c r="Q13" s="165" t="str">
        <f>IFERROR(ROUND((C13/IFERROR(INDEX(Config!B:B,MATCH("TVA "&amp;A13,Config!A:A,0)),1.055))*0.5,2),"")</f>
        <v>#ERROR!</v>
      </c>
      <c r="R13" s="165" t="str">
        <f>IFERROR(ROUND((C13/IFERROR(INDEX(Config!B:B,MATCH("TVA "&amp;A13,Config!A:A,0)),1.055))*0.5,2),"")</f>
        <v>#ERROR!</v>
      </c>
      <c r="S13" s="165" t="str">
        <f>IFERROR(ROUND((C13/IFERROR(INDEX(Config!B:B,MATCH("TVA "&amp;A13,Config!A:A,0)),1.055))*0.62,2),"")</f>
        <v>#ERROR!</v>
      </c>
      <c r="T13" s="165" t="str">
        <f>IFERROR(ROUND((C13/IFERROR(INDEX(Config!B:B,MATCH("TVA "&amp;A13,Config!A:A,0)),1.055))*0.58,2),"")</f>
        <v>#ERROR!</v>
      </c>
      <c r="U13" s="165" t="str">
        <f>IFERROR(ROUND((C13/IFERROR(INDEX(Config!B:B,MATCH("TVA "&amp;A13,Config!A:A,0)),1.055))*0.58,2),"")</f>
        <v>#ERROR!</v>
      </c>
      <c r="V13" s="166" t="str">
        <f>IFERROR(((C13/IFERROR(INDEX(Config!B:B,MATCH("TVA "&amp;A13,Config!A:A,0)),1.055))-IFERROR(INDEX('Cout de Revient'!I:I,MATCH(B13,'Cout de Revient'!C:C,0)),0))/(C13/IFERROR(INDEX(Config!B:B,MATCH("TVA "&amp;A13,Config!A:A,0)),1.055)),"")</f>
        <v>#ERROR!</v>
      </c>
      <c r="W13" s="167" t="str">
        <f>IFERROR(C13,"")</f>
        <v>#ERROR!</v>
      </c>
      <c r="X13" s="168" t="str">
        <f>IFERROR(ROUND(C13*0.85,2),"")</f>
        <v>#ERROR!</v>
      </c>
    </row>
    <row r="14" ht="15.0" customHeight="1">
      <c r="A14" s="160" t="s">
        <v>444</v>
      </c>
      <c r="B14" s="161" t="s">
        <v>597</v>
      </c>
      <c r="C14" s="162">
        <v>2.5</v>
      </c>
      <c r="D14" s="163" t="str">
        <f>IFERROR(ROUND(C14*0.95,2),"")</f>
        <v>#ERROR!</v>
      </c>
      <c r="E14" s="163" t="str">
        <f>IFERROR(ROUND(C14*0.92,2),"")</f>
        <v>#ERROR!</v>
      </c>
      <c r="F14" s="163" t="str">
        <f>IFERROR(ROUND(C14*0.88,2),"")</f>
        <v>#ERROR!</v>
      </c>
      <c r="G14" s="164" t="str">
        <f>IFERROR(ROUND(C14*1,2),"")</f>
        <v>#ERROR!</v>
      </c>
      <c r="H14" s="164" t="str">
        <f>IFERROR(ROUND(C14*0.97,2),"")</f>
        <v>#ERROR!</v>
      </c>
      <c r="I14" s="164" t="str">
        <f>IFERROR(ROUND(C14*0.94,2),"")</f>
        <v>#ERROR!</v>
      </c>
      <c r="J14" s="165" t="str">
        <f>IFERROR(ROUND((C14/IFERROR(INDEX(Config!B:B,MATCH("TVA "&amp;A14,Config!A:A,0)),1.055))*0.55,2),"")</f>
        <v>#ERROR!</v>
      </c>
      <c r="K14" s="165" t="str">
        <f>IFERROR(ROUND((C14/IFERROR(INDEX(Config!B:B,MATCH("TVA "&amp;A14,Config!A:A,0)),1.055))*0.48,2),"")</f>
        <v>#ERROR!</v>
      </c>
      <c r="L14" s="165" t="str">
        <f>IFERROR(ROUND((C14/IFERROR(INDEX(Config!B:B,MATCH("TVA "&amp;A14,Config!A:A,0)),1.055))*0.42,2),"")</f>
        <v>#ERROR!</v>
      </c>
      <c r="M14" s="165" t="str">
        <f>IFERROR(ROUND((C14/IFERROR(INDEX(Config!B:B,MATCH("TVA "&amp;A14,Config!A:A,0)),1.055))*0.58,2),"")</f>
        <v>#ERROR!</v>
      </c>
      <c r="N14" s="165" t="str">
        <f>IFERROR(ROUND((C14/IFERROR(INDEX(Config!B:B,MATCH("TVA "&amp;A14,Config!A:A,0)),1.055))*0.52,2),"")</f>
        <v>#ERROR!</v>
      </c>
      <c r="O14" s="165" t="str">
        <f>IFERROR(ROUND((C14/IFERROR(INDEX(Config!B:B,MATCH("TVA "&amp;A14,Config!A:A,0)),1.055))*0.52,2),"")</f>
        <v>#ERROR!</v>
      </c>
      <c r="P14" s="165" t="str">
        <f>IFERROR(ROUND((C14/IFERROR(INDEX(Config!B:B,MATCH("TVA "&amp;A14,Config!A:A,0)),1.055))*0.55,2),"")</f>
        <v>#ERROR!</v>
      </c>
      <c r="Q14" s="165" t="str">
        <f>IFERROR(ROUND((C14/IFERROR(INDEX(Config!B:B,MATCH("TVA "&amp;A14,Config!A:A,0)),1.055))*0.5,2),"")</f>
        <v>#ERROR!</v>
      </c>
      <c r="R14" s="165" t="str">
        <f>IFERROR(ROUND((C14/IFERROR(INDEX(Config!B:B,MATCH("TVA "&amp;A14,Config!A:A,0)),1.055))*0.5,2),"")</f>
        <v>#ERROR!</v>
      </c>
      <c r="S14" s="165" t="str">
        <f>IFERROR(ROUND((C14/IFERROR(INDEX(Config!B:B,MATCH("TVA "&amp;A14,Config!A:A,0)),1.055))*0.62,2),"")</f>
        <v>#ERROR!</v>
      </c>
      <c r="T14" s="165" t="str">
        <f>IFERROR(ROUND((C14/IFERROR(INDEX(Config!B:B,MATCH("TVA "&amp;A14,Config!A:A,0)),1.055))*0.58,2),"")</f>
        <v>#ERROR!</v>
      </c>
      <c r="U14" s="165" t="str">
        <f>IFERROR(ROUND((C14/IFERROR(INDEX(Config!B:B,MATCH("TVA "&amp;A14,Config!A:A,0)),1.055))*0.58,2),"")</f>
        <v>#ERROR!</v>
      </c>
      <c r="V14" s="166" t="str">
        <f>IFERROR(((C14/IFERROR(INDEX(Config!B:B,MATCH("TVA "&amp;A14,Config!A:A,0)),1.055))-IFERROR(INDEX('Cout de Revient'!I:I,MATCH(B14,'Cout de Revient'!C:C,0)),0))/(C14/IFERROR(INDEX(Config!B:B,MATCH("TVA "&amp;A14,Config!A:A,0)),1.055)),"")</f>
        <v>#ERROR!</v>
      </c>
      <c r="W14" s="167" t="str">
        <f>IFERROR(C14,"")</f>
        <v>#ERROR!</v>
      </c>
      <c r="X14" s="168" t="str">
        <f>IFERROR(ROUND(C14*0.85,2),"")</f>
        <v>#ERROR!</v>
      </c>
    </row>
    <row r="15" ht="15.0" customHeight="1">
      <c r="A15" s="160" t="s">
        <v>444</v>
      </c>
      <c r="B15" s="169" t="s">
        <v>598</v>
      </c>
      <c r="C15" s="162">
        <v>3.5</v>
      </c>
      <c r="D15" s="163" t="str">
        <f>IFERROR(ROUND(C15*0.95,2),"")</f>
        <v>#ERROR!</v>
      </c>
      <c r="E15" s="163" t="str">
        <f>IFERROR(ROUND(C15*0.92,2),"")</f>
        <v>#ERROR!</v>
      </c>
      <c r="F15" s="163" t="str">
        <f>IFERROR(ROUND(C15*0.88,2),"")</f>
        <v>#ERROR!</v>
      </c>
      <c r="G15" s="164" t="str">
        <f>IFERROR(ROUND(C15*1,2),"")</f>
        <v>#ERROR!</v>
      </c>
      <c r="H15" s="164" t="str">
        <f>IFERROR(ROUND(C15*0.97,2),"")</f>
        <v>#ERROR!</v>
      </c>
      <c r="I15" s="164" t="str">
        <f>IFERROR(ROUND(C15*0.94,2),"")</f>
        <v>#ERROR!</v>
      </c>
      <c r="J15" s="165" t="str">
        <f>IFERROR(ROUND((C15/IFERROR(INDEX(Config!B:B,MATCH("TVA "&amp;A15,Config!A:A,0)),1.055))*0.55,2),"")</f>
        <v>#ERROR!</v>
      </c>
      <c r="K15" s="165" t="str">
        <f>IFERROR(ROUND((C15/IFERROR(INDEX(Config!B:B,MATCH("TVA "&amp;A15,Config!A:A,0)),1.055))*0.48,2),"")</f>
        <v>#ERROR!</v>
      </c>
      <c r="L15" s="165" t="str">
        <f>IFERROR(ROUND((C15/IFERROR(INDEX(Config!B:B,MATCH("TVA "&amp;A15,Config!A:A,0)),1.055))*0.42,2),"")</f>
        <v>#ERROR!</v>
      </c>
      <c r="M15" s="165" t="str">
        <f>IFERROR(ROUND((C15/IFERROR(INDEX(Config!B:B,MATCH("TVA "&amp;A15,Config!A:A,0)),1.055))*0.58,2),"")</f>
        <v>#ERROR!</v>
      </c>
      <c r="N15" s="165" t="str">
        <f>IFERROR(ROUND((C15/IFERROR(INDEX(Config!B:B,MATCH("TVA "&amp;A15,Config!A:A,0)),1.055))*0.52,2),"")</f>
        <v>#ERROR!</v>
      </c>
      <c r="O15" s="165" t="str">
        <f>IFERROR(ROUND((C15/IFERROR(INDEX(Config!B:B,MATCH("TVA "&amp;A15,Config!A:A,0)),1.055))*0.52,2),"")</f>
        <v>#ERROR!</v>
      </c>
      <c r="P15" s="165" t="str">
        <f>IFERROR(ROUND((C15/IFERROR(INDEX(Config!B:B,MATCH("TVA "&amp;A15,Config!A:A,0)),1.055))*0.55,2),"")</f>
        <v>#ERROR!</v>
      </c>
      <c r="Q15" s="165" t="str">
        <f>IFERROR(ROUND((C15/IFERROR(INDEX(Config!B:B,MATCH("TVA "&amp;A15,Config!A:A,0)),1.055))*0.5,2),"")</f>
        <v>#ERROR!</v>
      </c>
      <c r="R15" s="165" t="str">
        <f>IFERROR(ROUND((C15/IFERROR(INDEX(Config!B:B,MATCH("TVA "&amp;A15,Config!A:A,0)),1.055))*0.5,2),"")</f>
        <v>#ERROR!</v>
      </c>
      <c r="S15" s="165" t="str">
        <f>IFERROR(ROUND((C15/IFERROR(INDEX(Config!B:B,MATCH("TVA "&amp;A15,Config!A:A,0)),1.055))*0.62,2),"")</f>
        <v>#ERROR!</v>
      </c>
      <c r="T15" s="165" t="str">
        <f>IFERROR(ROUND((C15/IFERROR(INDEX(Config!B:B,MATCH("TVA "&amp;A15,Config!A:A,0)),1.055))*0.58,2),"")</f>
        <v>#ERROR!</v>
      </c>
      <c r="U15" s="165" t="str">
        <f>IFERROR(ROUND((C15/IFERROR(INDEX(Config!B:B,MATCH("TVA "&amp;A15,Config!A:A,0)),1.055))*0.58,2),"")</f>
        <v>#ERROR!</v>
      </c>
      <c r="V15" s="166" t="str">
        <f>IFERROR(((C15/IFERROR(INDEX(Config!B:B,MATCH("TVA "&amp;A15,Config!A:A,0)),1.055))-IFERROR(INDEX('Cout de Revient'!I:I,MATCH(B15,'Cout de Revient'!C:C,0)),0))/(C15/IFERROR(INDEX(Config!B:B,MATCH("TVA "&amp;A15,Config!A:A,0)),1.055)),"")</f>
        <v>#ERROR!</v>
      </c>
      <c r="W15" s="167" t="str">
        <f>IFERROR(C15,"")</f>
        <v>#ERROR!</v>
      </c>
      <c r="X15" s="168" t="str">
        <f>IFERROR(ROUND(C15*0.85,2),"")</f>
        <v>#ERROR!</v>
      </c>
    </row>
    <row r="16" ht="15.0" customHeight="1">
      <c r="A16" s="160" t="s">
        <v>444</v>
      </c>
      <c r="B16" s="161" t="s">
        <v>599</v>
      </c>
      <c r="C16" s="162">
        <v>4.9</v>
      </c>
      <c r="D16" s="163" t="str">
        <f>IFERROR(ROUND(C16*0.95,2),"")</f>
        <v>#ERROR!</v>
      </c>
      <c r="E16" s="163" t="str">
        <f>IFERROR(ROUND(C16*0.92,2),"")</f>
        <v>#ERROR!</v>
      </c>
      <c r="F16" s="163" t="str">
        <f>IFERROR(ROUND(C16*0.88,2),"")</f>
        <v>#ERROR!</v>
      </c>
      <c r="G16" s="164" t="str">
        <f>IFERROR(ROUND(C16*1,2),"")</f>
        <v>#ERROR!</v>
      </c>
      <c r="H16" s="164" t="str">
        <f>IFERROR(ROUND(C16*0.97,2),"")</f>
        <v>#ERROR!</v>
      </c>
      <c r="I16" s="164" t="str">
        <f>IFERROR(ROUND(C16*0.94,2),"")</f>
        <v>#ERROR!</v>
      </c>
      <c r="J16" s="165" t="str">
        <f>IFERROR(ROUND((C16/IFERROR(INDEX(Config!B:B,MATCH("TVA "&amp;A16,Config!A:A,0)),1.055))*0.55,2),"")</f>
        <v>#ERROR!</v>
      </c>
      <c r="K16" s="165" t="str">
        <f>IFERROR(ROUND((C16/IFERROR(INDEX(Config!B:B,MATCH("TVA "&amp;A16,Config!A:A,0)),1.055))*0.48,2),"")</f>
        <v>#ERROR!</v>
      </c>
      <c r="L16" s="165" t="str">
        <f>IFERROR(ROUND((C16/IFERROR(INDEX(Config!B:B,MATCH("TVA "&amp;A16,Config!A:A,0)),1.055))*0.42,2),"")</f>
        <v>#ERROR!</v>
      </c>
      <c r="M16" s="165" t="str">
        <f>IFERROR(ROUND((C16/IFERROR(INDEX(Config!B:B,MATCH("TVA "&amp;A16,Config!A:A,0)),1.055))*0.58,2),"")</f>
        <v>#ERROR!</v>
      </c>
      <c r="N16" s="165" t="str">
        <f>IFERROR(ROUND((C16/IFERROR(INDEX(Config!B:B,MATCH("TVA "&amp;A16,Config!A:A,0)),1.055))*0.52,2),"")</f>
        <v>#ERROR!</v>
      </c>
      <c r="O16" s="165" t="str">
        <f>IFERROR(ROUND((C16/IFERROR(INDEX(Config!B:B,MATCH("TVA "&amp;A16,Config!A:A,0)),1.055))*0.52,2),"")</f>
        <v>#ERROR!</v>
      </c>
      <c r="P16" s="165" t="str">
        <f>IFERROR(ROUND((C16/IFERROR(INDEX(Config!B:B,MATCH("TVA "&amp;A16,Config!A:A,0)),1.055))*0.55,2),"")</f>
        <v>#ERROR!</v>
      </c>
      <c r="Q16" s="165" t="str">
        <f>IFERROR(ROUND((C16/IFERROR(INDEX(Config!B:B,MATCH("TVA "&amp;A16,Config!A:A,0)),1.055))*0.5,2),"")</f>
        <v>#ERROR!</v>
      </c>
      <c r="R16" s="165" t="str">
        <f>IFERROR(ROUND((C16/IFERROR(INDEX(Config!B:B,MATCH("TVA "&amp;A16,Config!A:A,0)),1.055))*0.5,2),"")</f>
        <v>#ERROR!</v>
      </c>
      <c r="S16" s="165" t="str">
        <f>IFERROR(ROUND((C16/IFERROR(INDEX(Config!B:B,MATCH("TVA "&amp;A16,Config!A:A,0)),1.055))*0.62,2),"")</f>
        <v>#ERROR!</v>
      </c>
      <c r="T16" s="165" t="str">
        <f>IFERROR(ROUND((C16/IFERROR(INDEX(Config!B:B,MATCH("TVA "&amp;A16,Config!A:A,0)),1.055))*0.58,2),"")</f>
        <v>#ERROR!</v>
      </c>
      <c r="U16" s="165" t="str">
        <f>IFERROR(ROUND((C16/IFERROR(INDEX(Config!B:B,MATCH("TVA "&amp;A16,Config!A:A,0)),1.055))*0.58,2),"")</f>
        <v>#ERROR!</v>
      </c>
      <c r="V16" s="166" t="str">
        <f>IFERROR(((C16/IFERROR(INDEX(Config!B:B,MATCH("TVA "&amp;A16,Config!A:A,0)),1.055))-IFERROR(INDEX('Cout de Revient'!I:I,MATCH(B16,'Cout de Revient'!C:C,0)),0))/(C16/IFERROR(INDEX(Config!B:B,MATCH("TVA "&amp;A16,Config!A:A,0)),1.055)),"")</f>
        <v>#ERROR!</v>
      </c>
      <c r="W16" s="167" t="str">
        <f>IFERROR(C16,"")</f>
        <v>#ERROR!</v>
      </c>
      <c r="X16" s="168" t="str">
        <f>IFERROR(ROUND(C16*0.85,2),"")</f>
        <v>#ERROR!</v>
      </c>
    </row>
    <row r="17" ht="15.0" customHeight="1">
      <c r="A17" s="159" t="s">
        <v>600</v>
      </c>
    </row>
    <row r="18" ht="15.0" customHeight="1">
      <c r="A18" s="160" t="s">
        <v>438</v>
      </c>
      <c r="B18" s="161" t="s">
        <v>456</v>
      </c>
      <c r="C18" s="162">
        <v>5.9</v>
      </c>
      <c r="D18" s="163" t="str">
        <f>IFERROR(ROUND(C18*0.95,2),"")</f>
        <v>#ERROR!</v>
      </c>
      <c r="E18" s="163" t="str">
        <f>IFERROR(ROUND(C18*0.92,2),"")</f>
        <v>#ERROR!</v>
      </c>
      <c r="F18" s="163" t="str">
        <f>IFERROR(ROUND(C18*0.88,2),"")</f>
        <v>#ERROR!</v>
      </c>
      <c r="G18" s="164" t="str">
        <f>IFERROR(ROUND(C18*1,2),"")</f>
        <v>#ERROR!</v>
      </c>
      <c r="H18" s="164" t="str">
        <f>IFERROR(ROUND(C18*0.97,2),"")</f>
        <v>#ERROR!</v>
      </c>
      <c r="I18" s="164" t="str">
        <f>IFERROR(ROUND(C18*0.94,2),"")</f>
        <v>#ERROR!</v>
      </c>
      <c r="J18" s="165" t="str">
        <f>IFERROR(ROUND((C18/IFERROR(INDEX(Config!B:B,MATCH("TVA "&amp;A18,Config!A:A,0)),1.055))*0.55,2),"")</f>
        <v>#ERROR!</v>
      </c>
      <c r="K18" s="165" t="str">
        <f>IFERROR(ROUND((C18/IFERROR(INDEX(Config!B:B,MATCH("TVA "&amp;A18,Config!A:A,0)),1.055))*0.48,2),"")</f>
        <v>#ERROR!</v>
      </c>
      <c r="L18" s="165" t="str">
        <f>IFERROR(ROUND((C18/IFERROR(INDEX(Config!B:B,MATCH("TVA "&amp;A18,Config!A:A,0)),1.055))*0.42,2),"")</f>
        <v>#ERROR!</v>
      </c>
      <c r="M18" s="165" t="str">
        <f>IFERROR(ROUND((C18/IFERROR(INDEX(Config!B:B,MATCH("TVA "&amp;A18,Config!A:A,0)),1.055))*0.58,2),"")</f>
        <v>#ERROR!</v>
      </c>
      <c r="N18" s="165" t="str">
        <f>IFERROR(ROUND((C18/IFERROR(INDEX(Config!B:B,MATCH("TVA "&amp;A18,Config!A:A,0)),1.055))*0.52,2),"")</f>
        <v>#ERROR!</v>
      </c>
      <c r="O18" s="165" t="str">
        <f>IFERROR(ROUND((C18/IFERROR(INDEX(Config!B:B,MATCH("TVA "&amp;A18,Config!A:A,0)),1.055))*0.52,2),"")</f>
        <v>#ERROR!</v>
      </c>
      <c r="P18" s="165" t="str">
        <f>IFERROR(ROUND((C18/IFERROR(INDEX(Config!B:B,MATCH("TVA "&amp;A18,Config!A:A,0)),1.055))*0.55,2),"")</f>
        <v>#ERROR!</v>
      </c>
      <c r="Q18" s="165" t="str">
        <f>IFERROR(ROUND((C18/IFERROR(INDEX(Config!B:B,MATCH("TVA "&amp;A18,Config!A:A,0)),1.055))*0.5,2),"")</f>
        <v>#ERROR!</v>
      </c>
      <c r="R18" s="165" t="str">
        <f>IFERROR(ROUND((C18/IFERROR(INDEX(Config!B:B,MATCH("TVA "&amp;A18,Config!A:A,0)),1.055))*0.5,2),"")</f>
        <v>#ERROR!</v>
      </c>
      <c r="S18" s="165" t="str">
        <f>IFERROR(ROUND((C18/IFERROR(INDEX(Config!B:B,MATCH("TVA "&amp;A18,Config!A:A,0)),1.055))*0.62,2),"")</f>
        <v>#ERROR!</v>
      </c>
      <c r="T18" s="165" t="str">
        <f>IFERROR(ROUND((C18/IFERROR(INDEX(Config!B:B,MATCH("TVA "&amp;A18,Config!A:A,0)),1.055))*0.58,2),"")</f>
        <v>#ERROR!</v>
      </c>
      <c r="U18" s="165" t="str">
        <f>IFERROR(ROUND((C18/IFERROR(INDEX(Config!B:B,MATCH("TVA "&amp;A18,Config!A:A,0)),1.055))*0.58,2),"")</f>
        <v>#ERROR!</v>
      </c>
      <c r="V18" s="166" t="str">
        <f>IFERROR(((C18/IFERROR(INDEX(Config!B:B,MATCH("TVA "&amp;A18,Config!A:A,0)),1.055))-IFERROR(INDEX('Cout de Revient'!I:I,MATCH(B18,'Cout de Revient'!C:C,0)),0))/(C18/IFERROR(INDEX(Config!B:B,MATCH("TVA "&amp;A18,Config!A:A,0)),1.055)),"")</f>
        <v>#ERROR!</v>
      </c>
      <c r="W18" s="167" t="str">
        <f>IFERROR(C18,"")</f>
        <v>#ERROR!</v>
      </c>
      <c r="X18" s="168" t="str">
        <f>IFERROR(ROUND(C18*0.85,2),"")</f>
        <v>#ERROR!</v>
      </c>
    </row>
    <row r="19" ht="15.0" customHeight="1">
      <c r="A19" s="160" t="s">
        <v>438</v>
      </c>
      <c r="B19" s="169" t="s">
        <v>448</v>
      </c>
      <c r="C19" s="162">
        <v>7.5</v>
      </c>
      <c r="D19" s="163" t="str">
        <f>IFERROR(ROUND(C19*0.95,2),"")</f>
        <v>#ERROR!</v>
      </c>
      <c r="E19" s="163" t="str">
        <f>IFERROR(ROUND(C19*0.92,2),"")</f>
        <v>#ERROR!</v>
      </c>
      <c r="F19" s="163" t="str">
        <f>IFERROR(ROUND(C19*0.88,2),"")</f>
        <v>#ERROR!</v>
      </c>
      <c r="G19" s="164" t="str">
        <f>IFERROR(ROUND(C19*1,2),"")</f>
        <v>#ERROR!</v>
      </c>
      <c r="H19" s="164" t="str">
        <f>IFERROR(ROUND(C19*0.97,2),"")</f>
        <v>#ERROR!</v>
      </c>
      <c r="I19" s="164" t="str">
        <f>IFERROR(ROUND(C19*0.94,2),"")</f>
        <v>#ERROR!</v>
      </c>
      <c r="J19" s="165" t="str">
        <f>IFERROR(ROUND((C19/IFERROR(INDEX(Config!B:B,MATCH("TVA "&amp;A19,Config!A:A,0)),1.055))*0.55,2),"")</f>
        <v>#ERROR!</v>
      </c>
      <c r="K19" s="165" t="str">
        <f>IFERROR(ROUND((C19/IFERROR(INDEX(Config!B:B,MATCH("TVA "&amp;A19,Config!A:A,0)),1.055))*0.48,2),"")</f>
        <v>#ERROR!</v>
      </c>
      <c r="L19" s="165" t="str">
        <f>IFERROR(ROUND((C19/IFERROR(INDEX(Config!B:B,MATCH("TVA "&amp;A19,Config!A:A,0)),1.055))*0.42,2),"")</f>
        <v>#ERROR!</v>
      </c>
      <c r="M19" s="165" t="str">
        <f>IFERROR(ROUND((C19/IFERROR(INDEX(Config!B:B,MATCH("TVA "&amp;A19,Config!A:A,0)),1.055))*0.58,2),"")</f>
        <v>#ERROR!</v>
      </c>
      <c r="N19" s="165" t="str">
        <f>IFERROR(ROUND((C19/IFERROR(INDEX(Config!B:B,MATCH("TVA "&amp;A19,Config!A:A,0)),1.055))*0.52,2),"")</f>
        <v>#ERROR!</v>
      </c>
      <c r="O19" s="165" t="str">
        <f>IFERROR(ROUND((C19/IFERROR(INDEX(Config!B:B,MATCH("TVA "&amp;A19,Config!A:A,0)),1.055))*0.52,2),"")</f>
        <v>#ERROR!</v>
      </c>
      <c r="P19" s="165" t="str">
        <f>IFERROR(ROUND((C19/IFERROR(INDEX(Config!B:B,MATCH("TVA "&amp;A19,Config!A:A,0)),1.055))*0.55,2),"")</f>
        <v>#ERROR!</v>
      </c>
      <c r="Q19" s="165" t="str">
        <f>IFERROR(ROUND((C19/IFERROR(INDEX(Config!B:B,MATCH("TVA "&amp;A19,Config!A:A,0)),1.055))*0.5,2),"")</f>
        <v>#ERROR!</v>
      </c>
      <c r="R19" s="165" t="str">
        <f>IFERROR(ROUND((C19/IFERROR(INDEX(Config!B:B,MATCH("TVA "&amp;A19,Config!A:A,0)),1.055))*0.5,2),"")</f>
        <v>#ERROR!</v>
      </c>
      <c r="S19" s="165" t="str">
        <f>IFERROR(ROUND((C19/IFERROR(INDEX(Config!B:B,MATCH("TVA "&amp;A19,Config!A:A,0)),1.055))*0.62,2),"")</f>
        <v>#ERROR!</v>
      </c>
      <c r="T19" s="165" t="str">
        <f>IFERROR(ROUND((C19/IFERROR(INDEX(Config!B:B,MATCH("TVA "&amp;A19,Config!A:A,0)),1.055))*0.58,2),"")</f>
        <v>#ERROR!</v>
      </c>
      <c r="U19" s="165" t="str">
        <f>IFERROR(ROUND((C19/IFERROR(INDEX(Config!B:B,MATCH("TVA "&amp;A19,Config!A:A,0)),1.055))*0.58,2),"")</f>
        <v>#ERROR!</v>
      </c>
      <c r="V19" s="166" t="str">
        <f>IFERROR(((C19/IFERROR(INDEX(Config!B:B,MATCH("TVA "&amp;A19,Config!A:A,0)),1.055))-IFERROR(INDEX('Cout de Revient'!I:I,MATCH(B19,'Cout de Revient'!C:C,0)),0))/(C19/IFERROR(INDEX(Config!B:B,MATCH("TVA "&amp;A19,Config!A:A,0)),1.055)),"")</f>
        <v>#ERROR!</v>
      </c>
      <c r="W19" s="167" t="str">
        <f>IFERROR(C19,"")</f>
        <v>#ERROR!</v>
      </c>
      <c r="X19" s="168" t="str">
        <f>IFERROR(ROUND(C19*0.85,2),"")</f>
        <v>#ERROR!</v>
      </c>
    </row>
    <row r="20" ht="15.0" customHeight="1">
      <c r="A20" s="160" t="s">
        <v>438</v>
      </c>
      <c r="B20" s="161" t="s">
        <v>439</v>
      </c>
      <c r="C20" s="162">
        <v>9.9</v>
      </c>
      <c r="D20" s="163" t="str">
        <f>IFERROR(ROUND(C20*0.95,2),"")</f>
        <v>#ERROR!</v>
      </c>
      <c r="E20" s="163" t="str">
        <f>IFERROR(ROUND(C20*0.92,2),"")</f>
        <v>#ERROR!</v>
      </c>
      <c r="F20" s="163" t="str">
        <f>IFERROR(ROUND(C20*0.88,2),"")</f>
        <v>#ERROR!</v>
      </c>
      <c r="G20" s="164" t="str">
        <f>IFERROR(ROUND(C20*1,2),"")</f>
        <v>#ERROR!</v>
      </c>
      <c r="H20" s="164" t="str">
        <f>IFERROR(ROUND(C20*0.97,2),"")</f>
        <v>#ERROR!</v>
      </c>
      <c r="I20" s="164" t="str">
        <f>IFERROR(ROUND(C20*0.94,2),"")</f>
        <v>#ERROR!</v>
      </c>
      <c r="J20" s="165" t="str">
        <f>IFERROR(ROUND((C20/IFERROR(INDEX(Config!B:B,MATCH("TVA "&amp;A20,Config!A:A,0)),1.055))*0.55,2),"")</f>
        <v>#ERROR!</v>
      </c>
      <c r="K20" s="165" t="str">
        <f>IFERROR(ROUND((C20/IFERROR(INDEX(Config!B:B,MATCH("TVA "&amp;A20,Config!A:A,0)),1.055))*0.48,2),"")</f>
        <v>#ERROR!</v>
      </c>
      <c r="L20" s="165" t="str">
        <f>IFERROR(ROUND((C20/IFERROR(INDEX(Config!B:B,MATCH("TVA "&amp;A20,Config!A:A,0)),1.055))*0.42,2),"")</f>
        <v>#ERROR!</v>
      </c>
      <c r="M20" s="165" t="str">
        <f>IFERROR(ROUND((C20/IFERROR(INDEX(Config!B:B,MATCH("TVA "&amp;A20,Config!A:A,0)),1.055))*0.58,2),"")</f>
        <v>#ERROR!</v>
      </c>
      <c r="N20" s="165" t="str">
        <f>IFERROR(ROUND((C20/IFERROR(INDEX(Config!B:B,MATCH("TVA "&amp;A20,Config!A:A,0)),1.055))*0.52,2),"")</f>
        <v>#ERROR!</v>
      </c>
      <c r="O20" s="165" t="str">
        <f>IFERROR(ROUND((C20/IFERROR(INDEX(Config!B:B,MATCH("TVA "&amp;A20,Config!A:A,0)),1.055))*0.52,2),"")</f>
        <v>#ERROR!</v>
      </c>
      <c r="P20" s="165" t="str">
        <f>IFERROR(ROUND((C20/IFERROR(INDEX(Config!B:B,MATCH("TVA "&amp;A20,Config!A:A,0)),1.055))*0.55,2),"")</f>
        <v>#ERROR!</v>
      </c>
      <c r="Q20" s="165" t="str">
        <f>IFERROR(ROUND((C20/IFERROR(INDEX(Config!B:B,MATCH("TVA "&amp;A20,Config!A:A,0)),1.055))*0.5,2),"")</f>
        <v>#ERROR!</v>
      </c>
      <c r="R20" s="165" t="str">
        <f>IFERROR(ROUND((C20/IFERROR(INDEX(Config!B:B,MATCH("TVA "&amp;A20,Config!A:A,0)),1.055))*0.5,2),"")</f>
        <v>#ERROR!</v>
      </c>
      <c r="S20" s="165" t="str">
        <f>IFERROR(ROUND((C20/IFERROR(INDEX(Config!B:B,MATCH("TVA "&amp;A20,Config!A:A,0)),1.055))*0.62,2),"")</f>
        <v>#ERROR!</v>
      </c>
      <c r="T20" s="165" t="str">
        <f>IFERROR(ROUND((C20/IFERROR(INDEX(Config!B:B,MATCH("TVA "&amp;A20,Config!A:A,0)),1.055))*0.58,2),"")</f>
        <v>#ERROR!</v>
      </c>
      <c r="U20" s="165" t="str">
        <f>IFERROR(ROUND((C20/IFERROR(INDEX(Config!B:B,MATCH("TVA "&amp;A20,Config!A:A,0)),1.055))*0.58,2),"")</f>
        <v>#ERROR!</v>
      </c>
      <c r="V20" s="166" t="str">
        <f>IFERROR(((C20/IFERROR(INDEX(Config!B:B,MATCH("TVA "&amp;A20,Config!A:A,0)),1.055))-IFERROR(INDEX('Cout de Revient'!I:I,MATCH(B20,'Cout de Revient'!C:C,0)),0))/(C20/IFERROR(INDEX(Config!B:B,MATCH("TVA "&amp;A20,Config!A:A,0)),1.055)),"")</f>
        <v>#ERROR!</v>
      </c>
      <c r="W20" s="167" t="str">
        <f>IFERROR(C20,"")</f>
        <v>#ERROR!</v>
      </c>
      <c r="X20" s="168" t="str">
        <f>IFERROR(ROUND(C20*0.85,2),"")</f>
        <v>#ERROR!</v>
      </c>
    </row>
    <row r="21" ht="15.0" customHeight="1">
      <c r="A21" s="160" t="s">
        <v>438</v>
      </c>
      <c r="B21" s="169" t="s">
        <v>452</v>
      </c>
      <c r="C21" s="162">
        <v>13.5</v>
      </c>
      <c r="D21" s="163" t="str">
        <f>IFERROR(ROUND(C21*0.95,2),"")</f>
        <v>#ERROR!</v>
      </c>
      <c r="E21" s="163" t="str">
        <f>IFERROR(ROUND(C21*0.92,2),"")</f>
        <v>#ERROR!</v>
      </c>
      <c r="F21" s="163" t="str">
        <f>IFERROR(ROUND(C21*0.88,2),"")</f>
        <v>#ERROR!</v>
      </c>
      <c r="G21" s="164" t="str">
        <f>IFERROR(ROUND(C21*1,2),"")</f>
        <v>#ERROR!</v>
      </c>
      <c r="H21" s="164" t="str">
        <f>IFERROR(ROUND(C21*0.97,2),"")</f>
        <v>#ERROR!</v>
      </c>
      <c r="I21" s="164" t="str">
        <f>IFERROR(ROUND(C21*0.94,2),"")</f>
        <v>#ERROR!</v>
      </c>
      <c r="J21" s="165" t="str">
        <f>IFERROR(ROUND((C21/IFERROR(INDEX(Config!B:B,MATCH("TVA "&amp;A21,Config!A:A,0)),1.055))*0.55,2),"")</f>
        <v>#ERROR!</v>
      </c>
      <c r="K21" s="165" t="str">
        <f>IFERROR(ROUND((C21/IFERROR(INDEX(Config!B:B,MATCH("TVA "&amp;A21,Config!A:A,0)),1.055))*0.48,2),"")</f>
        <v>#ERROR!</v>
      </c>
      <c r="L21" s="165" t="str">
        <f>IFERROR(ROUND((C21/IFERROR(INDEX(Config!B:B,MATCH("TVA "&amp;A21,Config!A:A,0)),1.055))*0.42,2),"")</f>
        <v>#ERROR!</v>
      </c>
      <c r="M21" s="165" t="str">
        <f>IFERROR(ROUND((C21/IFERROR(INDEX(Config!B:B,MATCH("TVA "&amp;A21,Config!A:A,0)),1.055))*0.58,2),"")</f>
        <v>#ERROR!</v>
      </c>
      <c r="N21" s="165" t="str">
        <f>IFERROR(ROUND((C21/IFERROR(INDEX(Config!B:B,MATCH("TVA "&amp;A21,Config!A:A,0)),1.055))*0.52,2),"")</f>
        <v>#ERROR!</v>
      </c>
      <c r="O21" s="165" t="str">
        <f>IFERROR(ROUND((C21/IFERROR(INDEX(Config!B:B,MATCH("TVA "&amp;A21,Config!A:A,0)),1.055))*0.52,2),"")</f>
        <v>#ERROR!</v>
      </c>
      <c r="P21" s="165" t="str">
        <f>IFERROR(ROUND((C21/IFERROR(INDEX(Config!B:B,MATCH("TVA "&amp;A21,Config!A:A,0)),1.055))*0.55,2),"")</f>
        <v>#ERROR!</v>
      </c>
      <c r="Q21" s="165" t="str">
        <f>IFERROR(ROUND((C21/IFERROR(INDEX(Config!B:B,MATCH("TVA "&amp;A21,Config!A:A,0)),1.055))*0.5,2),"")</f>
        <v>#ERROR!</v>
      </c>
      <c r="R21" s="165" t="str">
        <f>IFERROR(ROUND((C21/IFERROR(INDEX(Config!B:B,MATCH("TVA "&amp;A21,Config!A:A,0)),1.055))*0.5,2),"")</f>
        <v>#ERROR!</v>
      </c>
      <c r="S21" s="165" t="str">
        <f>IFERROR(ROUND((C21/IFERROR(INDEX(Config!B:B,MATCH("TVA "&amp;A21,Config!A:A,0)),1.055))*0.62,2),"")</f>
        <v>#ERROR!</v>
      </c>
      <c r="T21" s="165" t="str">
        <f>IFERROR(ROUND((C21/IFERROR(INDEX(Config!B:B,MATCH("TVA "&amp;A21,Config!A:A,0)),1.055))*0.58,2),"")</f>
        <v>#ERROR!</v>
      </c>
      <c r="U21" s="165" t="str">
        <f>IFERROR(ROUND((C21/IFERROR(INDEX(Config!B:B,MATCH("TVA "&amp;A21,Config!A:A,0)),1.055))*0.58,2),"")</f>
        <v>#ERROR!</v>
      </c>
      <c r="V21" s="166" t="str">
        <f>IFERROR(((C21/IFERROR(INDEX(Config!B:B,MATCH("TVA "&amp;A21,Config!A:A,0)),1.055))-IFERROR(INDEX('Cout de Revient'!I:I,MATCH(B21,'Cout de Revient'!C:C,0)),0))/(C21/IFERROR(INDEX(Config!B:B,MATCH("TVA "&amp;A21,Config!A:A,0)),1.055)),"")</f>
        <v>#ERROR!</v>
      </c>
      <c r="W21" s="167" t="str">
        <f>IFERROR(C21,"")</f>
        <v>#ERROR!</v>
      </c>
      <c r="X21" s="168" t="str">
        <f>IFERROR(ROUND(C21*0.85,2),"")</f>
        <v>#ERROR!</v>
      </c>
    </row>
    <row r="22" ht="15.0" customHeight="1">
      <c r="A22" s="160" t="s">
        <v>438</v>
      </c>
      <c r="B22" s="161" t="s">
        <v>489</v>
      </c>
      <c r="C22" s="162">
        <v>17.5</v>
      </c>
      <c r="D22" s="163" t="str">
        <f>IFERROR(ROUND(C22*0.95,2),"")</f>
        <v>#ERROR!</v>
      </c>
      <c r="E22" s="163" t="str">
        <f>IFERROR(ROUND(C22*0.92,2),"")</f>
        <v>#ERROR!</v>
      </c>
      <c r="F22" s="163" t="str">
        <f>IFERROR(ROUND(C22*0.88,2),"")</f>
        <v>#ERROR!</v>
      </c>
      <c r="G22" s="164" t="str">
        <f>IFERROR(ROUND(C22*1,2),"")</f>
        <v>#ERROR!</v>
      </c>
      <c r="H22" s="164" t="str">
        <f>IFERROR(ROUND(C22*0.97,2),"")</f>
        <v>#ERROR!</v>
      </c>
      <c r="I22" s="164" t="str">
        <f>IFERROR(ROUND(C22*0.94,2),"")</f>
        <v>#ERROR!</v>
      </c>
      <c r="J22" s="165" t="str">
        <f>IFERROR(ROUND((C22/IFERROR(INDEX(Config!B:B,MATCH("TVA "&amp;A22,Config!A:A,0)),1.055))*0.55,2),"")</f>
        <v>#ERROR!</v>
      </c>
      <c r="K22" s="165" t="str">
        <f>IFERROR(ROUND((C22/IFERROR(INDEX(Config!B:B,MATCH("TVA "&amp;A22,Config!A:A,0)),1.055))*0.48,2),"")</f>
        <v>#ERROR!</v>
      </c>
      <c r="L22" s="165" t="str">
        <f>IFERROR(ROUND((C22/IFERROR(INDEX(Config!B:B,MATCH("TVA "&amp;A22,Config!A:A,0)),1.055))*0.42,2),"")</f>
        <v>#ERROR!</v>
      </c>
      <c r="M22" s="165" t="str">
        <f>IFERROR(ROUND((C22/IFERROR(INDEX(Config!B:B,MATCH("TVA "&amp;A22,Config!A:A,0)),1.055))*0.58,2),"")</f>
        <v>#ERROR!</v>
      </c>
      <c r="N22" s="165" t="str">
        <f>IFERROR(ROUND((C22/IFERROR(INDEX(Config!B:B,MATCH("TVA "&amp;A22,Config!A:A,0)),1.055))*0.52,2),"")</f>
        <v>#ERROR!</v>
      </c>
      <c r="O22" s="165" t="str">
        <f>IFERROR(ROUND((C22/IFERROR(INDEX(Config!B:B,MATCH("TVA "&amp;A22,Config!A:A,0)),1.055))*0.52,2),"")</f>
        <v>#ERROR!</v>
      </c>
      <c r="P22" s="165" t="str">
        <f>IFERROR(ROUND((C22/IFERROR(INDEX(Config!B:B,MATCH("TVA "&amp;A22,Config!A:A,0)),1.055))*0.55,2),"")</f>
        <v>#ERROR!</v>
      </c>
      <c r="Q22" s="165" t="str">
        <f>IFERROR(ROUND((C22/IFERROR(INDEX(Config!B:B,MATCH("TVA "&amp;A22,Config!A:A,0)),1.055))*0.5,2),"")</f>
        <v>#ERROR!</v>
      </c>
      <c r="R22" s="165" t="str">
        <f>IFERROR(ROUND((C22/IFERROR(INDEX(Config!B:B,MATCH("TVA "&amp;A22,Config!A:A,0)),1.055))*0.5,2),"")</f>
        <v>#ERROR!</v>
      </c>
      <c r="S22" s="165" t="str">
        <f>IFERROR(ROUND((C22/IFERROR(INDEX(Config!B:B,MATCH("TVA "&amp;A22,Config!A:A,0)),1.055))*0.62,2),"")</f>
        <v>#ERROR!</v>
      </c>
      <c r="T22" s="165" t="str">
        <f>IFERROR(ROUND((C22/IFERROR(INDEX(Config!B:B,MATCH("TVA "&amp;A22,Config!A:A,0)),1.055))*0.58,2),"")</f>
        <v>#ERROR!</v>
      </c>
      <c r="U22" s="165" t="str">
        <f>IFERROR(ROUND((C22/IFERROR(INDEX(Config!B:B,MATCH("TVA "&amp;A22,Config!A:A,0)),1.055))*0.58,2),"")</f>
        <v>#ERROR!</v>
      </c>
      <c r="V22" s="166" t="str">
        <f>IFERROR(((C22/IFERROR(INDEX(Config!B:B,MATCH("TVA "&amp;A22,Config!A:A,0)),1.055))-IFERROR(INDEX('Cout de Revient'!I:I,MATCH(B22,'Cout de Revient'!C:C,0)),0))/(C22/IFERROR(INDEX(Config!B:B,MATCH("TVA "&amp;A22,Config!A:A,0)),1.055)),"")</f>
        <v>#ERROR!</v>
      </c>
      <c r="W22" s="167" t="str">
        <f>IFERROR(C22,"")</f>
        <v>#ERROR!</v>
      </c>
      <c r="X22" s="168" t="str">
        <f>IFERROR(ROUND(C22*0.85,2),"")</f>
        <v>#ERROR!</v>
      </c>
    </row>
    <row r="23" ht="15.0" customHeight="1">
      <c r="A23" s="160" t="s">
        <v>438</v>
      </c>
      <c r="B23" s="169" t="s">
        <v>596</v>
      </c>
      <c r="C23" s="162">
        <v>24.5</v>
      </c>
      <c r="D23" s="163" t="str">
        <f>IFERROR(ROUND(C23*0.95,2),"")</f>
        <v>#ERROR!</v>
      </c>
      <c r="E23" s="163" t="str">
        <f>IFERROR(ROUND(C23*0.92,2),"")</f>
        <v>#ERROR!</v>
      </c>
      <c r="F23" s="163" t="str">
        <f>IFERROR(ROUND(C23*0.88,2),"")</f>
        <v>#ERROR!</v>
      </c>
      <c r="G23" s="164" t="str">
        <f>IFERROR(ROUND(C23*1,2),"")</f>
        <v>#ERROR!</v>
      </c>
      <c r="H23" s="164" t="str">
        <f>IFERROR(ROUND(C23*0.97,2),"")</f>
        <v>#ERROR!</v>
      </c>
      <c r="I23" s="164" t="str">
        <f>IFERROR(ROUND(C23*0.94,2),"")</f>
        <v>#ERROR!</v>
      </c>
      <c r="J23" s="165" t="str">
        <f>IFERROR(ROUND((C23/IFERROR(INDEX(Config!B:B,MATCH("TVA "&amp;A23,Config!A:A,0)),1.055))*0.55,2),"")</f>
        <v>#ERROR!</v>
      </c>
      <c r="K23" s="165" t="str">
        <f>IFERROR(ROUND((C23/IFERROR(INDEX(Config!B:B,MATCH("TVA "&amp;A23,Config!A:A,0)),1.055))*0.48,2),"")</f>
        <v>#ERROR!</v>
      </c>
      <c r="L23" s="165" t="str">
        <f>IFERROR(ROUND((C23/IFERROR(INDEX(Config!B:B,MATCH("TVA "&amp;A23,Config!A:A,0)),1.055))*0.42,2),"")</f>
        <v>#ERROR!</v>
      </c>
      <c r="M23" s="165" t="str">
        <f>IFERROR(ROUND((C23/IFERROR(INDEX(Config!B:B,MATCH("TVA "&amp;A23,Config!A:A,0)),1.055))*0.58,2),"")</f>
        <v>#ERROR!</v>
      </c>
      <c r="N23" s="165" t="str">
        <f>IFERROR(ROUND((C23/IFERROR(INDEX(Config!B:B,MATCH("TVA "&amp;A23,Config!A:A,0)),1.055))*0.52,2),"")</f>
        <v>#ERROR!</v>
      </c>
      <c r="O23" s="165" t="str">
        <f>IFERROR(ROUND((C23/IFERROR(INDEX(Config!B:B,MATCH("TVA "&amp;A23,Config!A:A,0)),1.055))*0.52,2),"")</f>
        <v>#ERROR!</v>
      </c>
      <c r="P23" s="165" t="str">
        <f>IFERROR(ROUND((C23/IFERROR(INDEX(Config!B:B,MATCH("TVA "&amp;A23,Config!A:A,0)),1.055))*0.55,2),"")</f>
        <v>#ERROR!</v>
      </c>
      <c r="Q23" s="165" t="str">
        <f>IFERROR(ROUND((C23/IFERROR(INDEX(Config!B:B,MATCH("TVA "&amp;A23,Config!A:A,0)),1.055))*0.5,2),"")</f>
        <v>#ERROR!</v>
      </c>
      <c r="R23" s="165" t="str">
        <f>IFERROR(ROUND((C23/IFERROR(INDEX(Config!B:B,MATCH("TVA "&amp;A23,Config!A:A,0)),1.055))*0.5,2),"")</f>
        <v>#ERROR!</v>
      </c>
      <c r="S23" s="165" t="str">
        <f>IFERROR(ROUND((C23/IFERROR(INDEX(Config!B:B,MATCH("TVA "&amp;A23,Config!A:A,0)),1.055))*0.62,2),"")</f>
        <v>#ERROR!</v>
      </c>
      <c r="T23" s="165" t="str">
        <f>IFERROR(ROUND((C23/IFERROR(INDEX(Config!B:B,MATCH("TVA "&amp;A23,Config!A:A,0)),1.055))*0.58,2),"")</f>
        <v>#ERROR!</v>
      </c>
      <c r="U23" s="165" t="str">
        <f>IFERROR(ROUND((C23/IFERROR(INDEX(Config!B:B,MATCH("TVA "&amp;A23,Config!A:A,0)),1.055))*0.58,2),"")</f>
        <v>#ERROR!</v>
      </c>
      <c r="V23" s="166" t="str">
        <f>IFERROR(((C23/IFERROR(INDEX(Config!B:B,MATCH("TVA "&amp;A23,Config!A:A,0)),1.055))-IFERROR(INDEX('Cout de Revient'!I:I,MATCH(B23,'Cout de Revient'!C:C,0)),0))/(C23/IFERROR(INDEX(Config!B:B,MATCH("TVA "&amp;A23,Config!A:A,0)),1.055)),"")</f>
        <v>#ERROR!</v>
      </c>
      <c r="W23" s="167" t="str">
        <f>IFERROR(C23,"")</f>
        <v>#ERROR!</v>
      </c>
      <c r="X23" s="168" t="str">
        <f>IFERROR(ROUND(C23*0.85,2),"")</f>
        <v>#ERROR!</v>
      </c>
    </row>
    <row r="24" ht="15.0" customHeight="1">
      <c r="A24" s="160" t="s">
        <v>438</v>
      </c>
      <c r="B24" s="161" t="s">
        <v>597</v>
      </c>
      <c r="C24" s="162">
        <v>2.5</v>
      </c>
      <c r="D24" s="163" t="str">
        <f>IFERROR(ROUND(C24*0.95,2),"")</f>
        <v>#ERROR!</v>
      </c>
      <c r="E24" s="163" t="str">
        <f>IFERROR(ROUND(C24*0.92,2),"")</f>
        <v>#ERROR!</v>
      </c>
      <c r="F24" s="163" t="str">
        <f>IFERROR(ROUND(C24*0.88,2),"")</f>
        <v>#ERROR!</v>
      </c>
      <c r="G24" s="164" t="str">
        <f>IFERROR(ROUND(C24*1,2),"")</f>
        <v>#ERROR!</v>
      </c>
      <c r="H24" s="164" t="str">
        <f>IFERROR(ROUND(C24*0.97,2),"")</f>
        <v>#ERROR!</v>
      </c>
      <c r="I24" s="164" t="str">
        <f>IFERROR(ROUND(C24*0.94,2),"")</f>
        <v>#ERROR!</v>
      </c>
      <c r="J24" s="165" t="str">
        <f>IFERROR(ROUND((C24/IFERROR(INDEX(Config!B:B,MATCH("TVA "&amp;A24,Config!A:A,0)),1.055))*0.55,2),"")</f>
        <v>#ERROR!</v>
      </c>
      <c r="K24" s="165" t="str">
        <f>IFERROR(ROUND((C24/IFERROR(INDEX(Config!B:B,MATCH("TVA "&amp;A24,Config!A:A,0)),1.055))*0.48,2),"")</f>
        <v>#ERROR!</v>
      </c>
      <c r="L24" s="165" t="str">
        <f>IFERROR(ROUND((C24/IFERROR(INDEX(Config!B:B,MATCH("TVA "&amp;A24,Config!A:A,0)),1.055))*0.42,2),"")</f>
        <v>#ERROR!</v>
      </c>
      <c r="M24" s="165" t="str">
        <f>IFERROR(ROUND((C24/IFERROR(INDEX(Config!B:B,MATCH("TVA "&amp;A24,Config!A:A,0)),1.055))*0.58,2),"")</f>
        <v>#ERROR!</v>
      </c>
      <c r="N24" s="165" t="str">
        <f>IFERROR(ROUND((C24/IFERROR(INDEX(Config!B:B,MATCH("TVA "&amp;A24,Config!A:A,0)),1.055))*0.52,2),"")</f>
        <v>#ERROR!</v>
      </c>
      <c r="O24" s="165" t="str">
        <f>IFERROR(ROUND((C24/IFERROR(INDEX(Config!B:B,MATCH("TVA "&amp;A24,Config!A:A,0)),1.055))*0.52,2),"")</f>
        <v>#ERROR!</v>
      </c>
      <c r="P24" s="165" t="str">
        <f>IFERROR(ROUND((C24/IFERROR(INDEX(Config!B:B,MATCH("TVA "&amp;A24,Config!A:A,0)),1.055))*0.55,2),"")</f>
        <v>#ERROR!</v>
      </c>
      <c r="Q24" s="165" t="str">
        <f>IFERROR(ROUND((C24/IFERROR(INDEX(Config!B:B,MATCH("TVA "&amp;A24,Config!A:A,0)),1.055))*0.5,2),"")</f>
        <v>#ERROR!</v>
      </c>
      <c r="R24" s="165" t="str">
        <f>IFERROR(ROUND((C24/IFERROR(INDEX(Config!B:B,MATCH("TVA "&amp;A24,Config!A:A,0)),1.055))*0.5,2),"")</f>
        <v>#ERROR!</v>
      </c>
      <c r="S24" s="165" t="str">
        <f>IFERROR(ROUND((C24/IFERROR(INDEX(Config!B:B,MATCH("TVA "&amp;A24,Config!A:A,0)),1.055))*0.62,2),"")</f>
        <v>#ERROR!</v>
      </c>
      <c r="T24" s="165" t="str">
        <f>IFERROR(ROUND((C24/IFERROR(INDEX(Config!B:B,MATCH("TVA "&amp;A24,Config!A:A,0)),1.055))*0.58,2),"")</f>
        <v>#ERROR!</v>
      </c>
      <c r="U24" s="165" t="str">
        <f>IFERROR(ROUND((C24/IFERROR(INDEX(Config!B:B,MATCH("TVA "&amp;A24,Config!A:A,0)),1.055))*0.58,2),"")</f>
        <v>#ERROR!</v>
      </c>
      <c r="V24" s="166" t="str">
        <f>IFERROR(((C24/IFERROR(INDEX(Config!B:B,MATCH("TVA "&amp;A24,Config!A:A,0)),1.055))-IFERROR(INDEX('Cout de Revient'!I:I,MATCH(B24,'Cout de Revient'!C:C,0)),0))/(C24/IFERROR(INDEX(Config!B:B,MATCH("TVA "&amp;A24,Config!A:A,0)),1.055)),"")</f>
        <v>#ERROR!</v>
      </c>
      <c r="W24" s="167" t="str">
        <f>IFERROR(C24,"")</f>
        <v>#ERROR!</v>
      </c>
      <c r="X24" s="168" t="str">
        <f>IFERROR(ROUND(C24*0.85,2),"")</f>
        <v>#ERROR!</v>
      </c>
    </row>
    <row r="25" ht="15.0" customHeight="1">
      <c r="A25" s="160" t="s">
        <v>438</v>
      </c>
      <c r="B25" s="169" t="s">
        <v>598</v>
      </c>
      <c r="C25" s="162">
        <v>3.5</v>
      </c>
      <c r="D25" s="163" t="str">
        <f>IFERROR(ROUND(C25*0.95,2),"")</f>
        <v>#ERROR!</v>
      </c>
      <c r="E25" s="163" t="str">
        <f>IFERROR(ROUND(C25*0.92,2),"")</f>
        <v>#ERROR!</v>
      </c>
      <c r="F25" s="163" t="str">
        <f>IFERROR(ROUND(C25*0.88,2),"")</f>
        <v>#ERROR!</v>
      </c>
      <c r="G25" s="164" t="str">
        <f>IFERROR(ROUND(C25*1,2),"")</f>
        <v>#ERROR!</v>
      </c>
      <c r="H25" s="164" t="str">
        <f>IFERROR(ROUND(C25*0.97,2),"")</f>
        <v>#ERROR!</v>
      </c>
      <c r="I25" s="164" t="str">
        <f>IFERROR(ROUND(C25*0.94,2),"")</f>
        <v>#ERROR!</v>
      </c>
      <c r="J25" s="165" t="str">
        <f>IFERROR(ROUND((C25/IFERROR(INDEX(Config!B:B,MATCH("TVA "&amp;A25,Config!A:A,0)),1.055))*0.55,2),"")</f>
        <v>#ERROR!</v>
      </c>
      <c r="K25" s="165" t="str">
        <f>IFERROR(ROUND((C25/IFERROR(INDEX(Config!B:B,MATCH("TVA "&amp;A25,Config!A:A,0)),1.055))*0.48,2),"")</f>
        <v>#ERROR!</v>
      </c>
      <c r="L25" s="165" t="str">
        <f>IFERROR(ROUND((C25/IFERROR(INDEX(Config!B:B,MATCH("TVA "&amp;A25,Config!A:A,0)),1.055))*0.42,2),"")</f>
        <v>#ERROR!</v>
      </c>
      <c r="M25" s="165" t="str">
        <f>IFERROR(ROUND((C25/IFERROR(INDEX(Config!B:B,MATCH("TVA "&amp;A25,Config!A:A,0)),1.055))*0.58,2),"")</f>
        <v>#ERROR!</v>
      </c>
      <c r="N25" s="165" t="str">
        <f>IFERROR(ROUND((C25/IFERROR(INDEX(Config!B:B,MATCH("TVA "&amp;A25,Config!A:A,0)),1.055))*0.52,2),"")</f>
        <v>#ERROR!</v>
      </c>
      <c r="O25" s="165" t="str">
        <f>IFERROR(ROUND((C25/IFERROR(INDEX(Config!B:B,MATCH("TVA "&amp;A25,Config!A:A,0)),1.055))*0.52,2),"")</f>
        <v>#ERROR!</v>
      </c>
      <c r="P25" s="165" t="str">
        <f>IFERROR(ROUND((C25/IFERROR(INDEX(Config!B:B,MATCH("TVA "&amp;A25,Config!A:A,0)),1.055))*0.55,2),"")</f>
        <v>#ERROR!</v>
      </c>
      <c r="Q25" s="165" t="str">
        <f>IFERROR(ROUND((C25/IFERROR(INDEX(Config!B:B,MATCH("TVA "&amp;A25,Config!A:A,0)),1.055))*0.5,2),"")</f>
        <v>#ERROR!</v>
      </c>
      <c r="R25" s="165" t="str">
        <f>IFERROR(ROUND((C25/IFERROR(INDEX(Config!B:B,MATCH("TVA "&amp;A25,Config!A:A,0)),1.055))*0.5,2),"")</f>
        <v>#ERROR!</v>
      </c>
      <c r="S25" s="165" t="str">
        <f>IFERROR(ROUND((C25/IFERROR(INDEX(Config!B:B,MATCH("TVA "&amp;A25,Config!A:A,0)),1.055))*0.62,2),"")</f>
        <v>#ERROR!</v>
      </c>
      <c r="T25" s="165" t="str">
        <f>IFERROR(ROUND((C25/IFERROR(INDEX(Config!B:B,MATCH("TVA "&amp;A25,Config!A:A,0)),1.055))*0.58,2),"")</f>
        <v>#ERROR!</v>
      </c>
      <c r="U25" s="165" t="str">
        <f>IFERROR(ROUND((C25/IFERROR(INDEX(Config!B:B,MATCH("TVA "&amp;A25,Config!A:A,0)),1.055))*0.58,2),"")</f>
        <v>#ERROR!</v>
      </c>
      <c r="V25" s="166" t="str">
        <f>IFERROR(((C25/IFERROR(INDEX(Config!B:B,MATCH("TVA "&amp;A25,Config!A:A,0)),1.055))-IFERROR(INDEX('Cout de Revient'!I:I,MATCH(B25,'Cout de Revient'!C:C,0)),0))/(C25/IFERROR(INDEX(Config!B:B,MATCH("TVA "&amp;A25,Config!A:A,0)),1.055)),"")</f>
        <v>#ERROR!</v>
      </c>
      <c r="W25" s="167" t="str">
        <f>IFERROR(C25,"")</f>
        <v>#ERROR!</v>
      </c>
      <c r="X25" s="168" t="str">
        <f>IFERROR(ROUND(C25*0.85,2),"")</f>
        <v>#ERROR!</v>
      </c>
    </row>
    <row r="26" ht="15.0" customHeight="1">
      <c r="A26" s="160" t="s">
        <v>438</v>
      </c>
      <c r="B26" s="161" t="s">
        <v>599</v>
      </c>
      <c r="C26" s="162">
        <v>4.9</v>
      </c>
      <c r="D26" s="163" t="str">
        <f>IFERROR(ROUND(C26*0.95,2),"")</f>
        <v>#ERROR!</v>
      </c>
      <c r="E26" s="163" t="str">
        <f>IFERROR(ROUND(C26*0.92,2),"")</f>
        <v>#ERROR!</v>
      </c>
      <c r="F26" s="163" t="str">
        <f>IFERROR(ROUND(C26*0.88,2),"")</f>
        <v>#ERROR!</v>
      </c>
      <c r="G26" s="164" t="str">
        <f>IFERROR(ROUND(C26*1,2),"")</f>
        <v>#ERROR!</v>
      </c>
      <c r="H26" s="164" t="str">
        <f>IFERROR(ROUND(C26*0.97,2),"")</f>
        <v>#ERROR!</v>
      </c>
      <c r="I26" s="164" t="str">
        <f>IFERROR(ROUND(C26*0.94,2),"")</f>
        <v>#ERROR!</v>
      </c>
      <c r="J26" s="165" t="str">
        <f>IFERROR(ROUND((C26/IFERROR(INDEX(Config!B:B,MATCH("TVA "&amp;A26,Config!A:A,0)),1.055))*0.55,2),"")</f>
        <v>#ERROR!</v>
      </c>
      <c r="K26" s="165" t="str">
        <f>IFERROR(ROUND((C26/IFERROR(INDEX(Config!B:B,MATCH("TVA "&amp;A26,Config!A:A,0)),1.055))*0.48,2),"")</f>
        <v>#ERROR!</v>
      </c>
      <c r="L26" s="165" t="str">
        <f>IFERROR(ROUND((C26/IFERROR(INDEX(Config!B:B,MATCH("TVA "&amp;A26,Config!A:A,0)),1.055))*0.42,2),"")</f>
        <v>#ERROR!</v>
      </c>
      <c r="M26" s="165" t="str">
        <f>IFERROR(ROUND((C26/IFERROR(INDEX(Config!B:B,MATCH("TVA "&amp;A26,Config!A:A,0)),1.055))*0.58,2),"")</f>
        <v>#ERROR!</v>
      </c>
      <c r="N26" s="165" t="str">
        <f>IFERROR(ROUND((C26/IFERROR(INDEX(Config!B:B,MATCH("TVA "&amp;A26,Config!A:A,0)),1.055))*0.52,2),"")</f>
        <v>#ERROR!</v>
      </c>
      <c r="O26" s="165" t="str">
        <f>IFERROR(ROUND((C26/IFERROR(INDEX(Config!B:B,MATCH("TVA "&amp;A26,Config!A:A,0)),1.055))*0.52,2),"")</f>
        <v>#ERROR!</v>
      </c>
      <c r="P26" s="165" t="str">
        <f>IFERROR(ROUND((C26/IFERROR(INDEX(Config!B:B,MATCH("TVA "&amp;A26,Config!A:A,0)),1.055))*0.55,2),"")</f>
        <v>#ERROR!</v>
      </c>
      <c r="Q26" s="165" t="str">
        <f>IFERROR(ROUND((C26/IFERROR(INDEX(Config!B:B,MATCH("TVA "&amp;A26,Config!A:A,0)),1.055))*0.5,2),"")</f>
        <v>#ERROR!</v>
      </c>
      <c r="R26" s="165" t="str">
        <f>IFERROR(ROUND((C26/IFERROR(INDEX(Config!B:B,MATCH("TVA "&amp;A26,Config!A:A,0)),1.055))*0.5,2),"")</f>
        <v>#ERROR!</v>
      </c>
      <c r="S26" s="165" t="str">
        <f>IFERROR(ROUND((C26/IFERROR(INDEX(Config!B:B,MATCH("TVA "&amp;A26,Config!A:A,0)),1.055))*0.62,2),"")</f>
        <v>#ERROR!</v>
      </c>
      <c r="T26" s="165" t="str">
        <f>IFERROR(ROUND((C26/IFERROR(INDEX(Config!B:B,MATCH("TVA "&amp;A26,Config!A:A,0)),1.055))*0.58,2),"")</f>
        <v>#ERROR!</v>
      </c>
      <c r="U26" s="165" t="str">
        <f>IFERROR(ROUND((C26/IFERROR(INDEX(Config!B:B,MATCH("TVA "&amp;A26,Config!A:A,0)),1.055))*0.58,2),"")</f>
        <v>#ERROR!</v>
      </c>
      <c r="V26" s="166" t="str">
        <f>IFERROR(((C26/IFERROR(INDEX(Config!B:B,MATCH("TVA "&amp;A26,Config!A:A,0)),1.055))-IFERROR(INDEX('Cout de Revient'!I:I,MATCH(B26,'Cout de Revient'!C:C,0)),0))/(C26/IFERROR(INDEX(Config!B:B,MATCH("TVA "&amp;A26,Config!A:A,0)),1.055)),"")</f>
        <v>#ERROR!</v>
      </c>
      <c r="W26" s="167" t="str">
        <f>IFERROR(C26,"")</f>
        <v>#ERROR!</v>
      </c>
      <c r="X26" s="168" t="str">
        <f>IFERROR(ROUND(C26*0.85,2),"")</f>
        <v>#ERROR!</v>
      </c>
    </row>
    <row r="27" ht="15.0" customHeight="1">
      <c r="A27" s="170" t="s">
        <v>601</v>
      </c>
    </row>
    <row r="28" ht="15.0" customHeight="1">
      <c r="A28" s="171" t="s">
        <v>447</v>
      </c>
      <c r="B28" s="172" t="s">
        <v>456</v>
      </c>
      <c r="C28" s="162">
        <v>5.5</v>
      </c>
      <c r="D28" s="163" t="str">
        <f>IFERROR(ROUND(C28*0.95,2),"")</f>
        <v>#ERROR!</v>
      </c>
      <c r="E28" s="163" t="str">
        <f>IFERROR(ROUND(C28*0.92,2),"")</f>
        <v>#ERROR!</v>
      </c>
      <c r="F28" s="163" t="str">
        <f>IFERROR(ROUND(C28*0.88,2),"")</f>
        <v>#ERROR!</v>
      </c>
      <c r="G28" s="164" t="str">
        <f>IFERROR(ROUND(C28*1,2),"")</f>
        <v>#ERROR!</v>
      </c>
      <c r="H28" s="164" t="str">
        <f>IFERROR(ROUND(C28*0.97,2),"")</f>
        <v>#ERROR!</v>
      </c>
      <c r="I28" s="164" t="str">
        <f>IFERROR(ROUND(C28*0.94,2),"")</f>
        <v>#ERROR!</v>
      </c>
      <c r="J28" s="165" t="str">
        <f>IFERROR(ROUND((C28/IFERROR(INDEX(Config!B:B,MATCH("TVA "&amp;A28,Config!A:A,0)),1.055))*0.55,2),"")</f>
        <v>#ERROR!</v>
      </c>
      <c r="K28" s="165" t="str">
        <f>IFERROR(ROUND((C28/IFERROR(INDEX(Config!B:B,MATCH("TVA "&amp;A28,Config!A:A,0)),1.055))*0.48,2),"")</f>
        <v>#ERROR!</v>
      </c>
      <c r="L28" s="165" t="str">
        <f>IFERROR(ROUND((C28/IFERROR(INDEX(Config!B:B,MATCH("TVA "&amp;A28,Config!A:A,0)),1.055))*0.42,2),"")</f>
        <v>#ERROR!</v>
      </c>
      <c r="M28" s="165" t="str">
        <f>IFERROR(ROUND((C28/IFERROR(INDEX(Config!B:B,MATCH("TVA "&amp;A28,Config!A:A,0)),1.055))*0.58,2),"")</f>
        <v>#ERROR!</v>
      </c>
      <c r="N28" s="165" t="str">
        <f>IFERROR(ROUND((C28/IFERROR(INDEX(Config!B:B,MATCH("TVA "&amp;A28,Config!A:A,0)),1.055))*0.52,2),"")</f>
        <v>#ERROR!</v>
      </c>
      <c r="O28" s="165" t="str">
        <f>IFERROR(ROUND((C28/IFERROR(INDEX(Config!B:B,MATCH("TVA "&amp;A28,Config!A:A,0)),1.055))*0.52,2),"")</f>
        <v>#ERROR!</v>
      </c>
      <c r="P28" s="165" t="str">
        <f>IFERROR(ROUND((C28/IFERROR(INDEX(Config!B:B,MATCH("TVA "&amp;A28,Config!A:A,0)),1.055))*0.55,2),"")</f>
        <v>#ERROR!</v>
      </c>
      <c r="Q28" s="165" t="str">
        <f>IFERROR(ROUND((C28/IFERROR(INDEX(Config!B:B,MATCH("TVA "&amp;A28,Config!A:A,0)),1.055))*0.5,2),"")</f>
        <v>#ERROR!</v>
      </c>
      <c r="R28" s="165" t="str">
        <f>IFERROR(ROUND((C28/IFERROR(INDEX(Config!B:B,MATCH("TVA "&amp;A28,Config!A:A,0)),1.055))*0.5,2),"")</f>
        <v>#ERROR!</v>
      </c>
      <c r="S28" s="165" t="str">
        <f>IFERROR(ROUND((C28/IFERROR(INDEX(Config!B:B,MATCH("TVA "&amp;A28,Config!A:A,0)),1.055))*0.62,2),"")</f>
        <v>#ERROR!</v>
      </c>
      <c r="T28" s="165" t="str">
        <f>IFERROR(ROUND((C28/IFERROR(INDEX(Config!B:B,MATCH("TVA "&amp;A28,Config!A:A,0)),1.055))*0.58,2),"")</f>
        <v>#ERROR!</v>
      </c>
      <c r="U28" s="165" t="str">
        <f>IFERROR(ROUND((C28/IFERROR(INDEX(Config!B:B,MATCH("TVA "&amp;A28,Config!A:A,0)),1.055))*0.58,2),"")</f>
        <v>#ERROR!</v>
      </c>
      <c r="V28" s="166" t="str">
        <f>IFERROR(((C28/IFERROR(INDEX(Config!B:B,MATCH("TVA "&amp;A28,Config!A:A,0)),1.055))-IFERROR(INDEX('Cout de Revient'!I:I,MATCH(B28,'Cout de Revient'!C:C,0)),0))/(C28/IFERROR(INDEX(Config!B:B,MATCH("TVA "&amp;A28,Config!A:A,0)),1.055)),"")</f>
        <v>#ERROR!</v>
      </c>
      <c r="W28" s="167" t="str">
        <f>IFERROR(C28,"")</f>
        <v>#ERROR!</v>
      </c>
      <c r="X28" s="168" t="str">
        <f>IFERROR(ROUND(C28*0.85,2),"")</f>
        <v>#ERROR!</v>
      </c>
    </row>
    <row r="29" ht="15.0" customHeight="1">
      <c r="A29" s="171" t="s">
        <v>447</v>
      </c>
      <c r="B29" s="169" t="s">
        <v>448</v>
      </c>
      <c r="C29" s="162">
        <v>6.9</v>
      </c>
      <c r="D29" s="163" t="str">
        <f>IFERROR(ROUND(C29*0.95,2),"")</f>
        <v>#ERROR!</v>
      </c>
      <c r="E29" s="163" t="str">
        <f>IFERROR(ROUND(C29*0.92,2),"")</f>
        <v>#ERROR!</v>
      </c>
      <c r="F29" s="163" t="str">
        <f>IFERROR(ROUND(C29*0.88,2),"")</f>
        <v>#ERROR!</v>
      </c>
      <c r="G29" s="164" t="str">
        <f>IFERROR(ROUND(C29*1,2),"")</f>
        <v>#ERROR!</v>
      </c>
      <c r="H29" s="164" t="str">
        <f>IFERROR(ROUND(C29*0.97,2),"")</f>
        <v>#ERROR!</v>
      </c>
      <c r="I29" s="164" t="str">
        <f>IFERROR(ROUND(C29*0.94,2),"")</f>
        <v>#ERROR!</v>
      </c>
      <c r="J29" s="165" t="str">
        <f>IFERROR(ROUND((C29/IFERROR(INDEX(Config!B:B,MATCH("TVA "&amp;A29,Config!A:A,0)),1.055))*0.55,2),"")</f>
        <v>#ERROR!</v>
      </c>
      <c r="K29" s="165" t="str">
        <f>IFERROR(ROUND((C29/IFERROR(INDEX(Config!B:B,MATCH("TVA "&amp;A29,Config!A:A,0)),1.055))*0.48,2),"")</f>
        <v>#ERROR!</v>
      </c>
      <c r="L29" s="165" t="str">
        <f>IFERROR(ROUND((C29/IFERROR(INDEX(Config!B:B,MATCH("TVA "&amp;A29,Config!A:A,0)),1.055))*0.42,2),"")</f>
        <v>#ERROR!</v>
      </c>
      <c r="M29" s="165" t="str">
        <f>IFERROR(ROUND((C29/IFERROR(INDEX(Config!B:B,MATCH("TVA "&amp;A29,Config!A:A,0)),1.055))*0.58,2),"")</f>
        <v>#ERROR!</v>
      </c>
      <c r="N29" s="165" t="str">
        <f>IFERROR(ROUND((C29/IFERROR(INDEX(Config!B:B,MATCH("TVA "&amp;A29,Config!A:A,0)),1.055))*0.52,2),"")</f>
        <v>#ERROR!</v>
      </c>
      <c r="O29" s="165" t="str">
        <f>IFERROR(ROUND((C29/IFERROR(INDEX(Config!B:B,MATCH("TVA "&amp;A29,Config!A:A,0)),1.055))*0.52,2),"")</f>
        <v>#ERROR!</v>
      </c>
      <c r="P29" s="165" t="str">
        <f>IFERROR(ROUND((C29/IFERROR(INDEX(Config!B:B,MATCH("TVA "&amp;A29,Config!A:A,0)),1.055))*0.55,2),"")</f>
        <v>#ERROR!</v>
      </c>
      <c r="Q29" s="165" t="str">
        <f>IFERROR(ROUND((C29/IFERROR(INDEX(Config!B:B,MATCH("TVA "&amp;A29,Config!A:A,0)),1.055))*0.5,2),"")</f>
        <v>#ERROR!</v>
      </c>
      <c r="R29" s="165" t="str">
        <f>IFERROR(ROUND((C29/IFERROR(INDEX(Config!B:B,MATCH("TVA "&amp;A29,Config!A:A,0)),1.055))*0.5,2),"")</f>
        <v>#ERROR!</v>
      </c>
      <c r="S29" s="165" t="str">
        <f>IFERROR(ROUND((C29/IFERROR(INDEX(Config!B:B,MATCH("TVA "&amp;A29,Config!A:A,0)),1.055))*0.62,2),"")</f>
        <v>#ERROR!</v>
      </c>
      <c r="T29" s="165" t="str">
        <f>IFERROR(ROUND((C29/IFERROR(INDEX(Config!B:B,MATCH("TVA "&amp;A29,Config!A:A,0)),1.055))*0.58,2),"")</f>
        <v>#ERROR!</v>
      </c>
      <c r="U29" s="165" t="str">
        <f>IFERROR(ROUND((C29/IFERROR(INDEX(Config!B:B,MATCH("TVA "&amp;A29,Config!A:A,0)),1.055))*0.58,2),"")</f>
        <v>#ERROR!</v>
      </c>
      <c r="V29" s="166" t="str">
        <f>IFERROR(((C29/IFERROR(INDEX(Config!B:B,MATCH("TVA "&amp;A29,Config!A:A,0)),1.055))-IFERROR(INDEX('Cout de Revient'!I:I,MATCH(B29,'Cout de Revient'!C:C,0)),0))/(C29/IFERROR(INDEX(Config!B:B,MATCH("TVA "&amp;A29,Config!A:A,0)),1.055)),"")</f>
        <v>#ERROR!</v>
      </c>
      <c r="W29" s="167" t="str">
        <f>IFERROR(C29,"")</f>
        <v>#ERROR!</v>
      </c>
      <c r="X29" s="168" t="str">
        <f>IFERROR(ROUND(C29*0.85,2),"")</f>
        <v>#ERROR!</v>
      </c>
    </row>
    <row r="30" ht="15.0" customHeight="1">
      <c r="A30" s="171" t="s">
        <v>447</v>
      </c>
      <c r="B30" s="172" t="s">
        <v>439</v>
      </c>
      <c r="C30" s="162">
        <v>8.9</v>
      </c>
      <c r="D30" s="163" t="str">
        <f>IFERROR(ROUND(C30*0.95,2),"")</f>
        <v>#ERROR!</v>
      </c>
      <c r="E30" s="163" t="str">
        <f>IFERROR(ROUND(C30*0.92,2),"")</f>
        <v>#ERROR!</v>
      </c>
      <c r="F30" s="163" t="str">
        <f>IFERROR(ROUND(C30*0.88,2),"")</f>
        <v>#ERROR!</v>
      </c>
      <c r="G30" s="164" t="str">
        <f>IFERROR(ROUND(C30*1,2),"")</f>
        <v>#ERROR!</v>
      </c>
      <c r="H30" s="164" t="str">
        <f>IFERROR(ROUND(C30*0.97,2),"")</f>
        <v>#ERROR!</v>
      </c>
      <c r="I30" s="164" t="str">
        <f>IFERROR(ROUND(C30*0.94,2),"")</f>
        <v>#ERROR!</v>
      </c>
      <c r="J30" s="165" t="str">
        <f>IFERROR(ROUND((C30/IFERROR(INDEX(Config!B:B,MATCH("TVA "&amp;A30,Config!A:A,0)),1.055))*0.55,2),"")</f>
        <v>#ERROR!</v>
      </c>
      <c r="K30" s="165" t="str">
        <f>IFERROR(ROUND((C30/IFERROR(INDEX(Config!B:B,MATCH("TVA "&amp;A30,Config!A:A,0)),1.055))*0.48,2),"")</f>
        <v>#ERROR!</v>
      </c>
      <c r="L30" s="165" t="str">
        <f>IFERROR(ROUND((C30/IFERROR(INDEX(Config!B:B,MATCH("TVA "&amp;A30,Config!A:A,0)),1.055))*0.42,2),"")</f>
        <v>#ERROR!</v>
      </c>
      <c r="M30" s="165" t="str">
        <f>IFERROR(ROUND((C30/IFERROR(INDEX(Config!B:B,MATCH("TVA "&amp;A30,Config!A:A,0)),1.055))*0.58,2),"")</f>
        <v>#ERROR!</v>
      </c>
      <c r="N30" s="165" t="str">
        <f>IFERROR(ROUND((C30/IFERROR(INDEX(Config!B:B,MATCH("TVA "&amp;A30,Config!A:A,0)),1.055))*0.52,2),"")</f>
        <v>#ERROR!</v>
      </c>
      <c r="O30" s="165" t="str">
        <f>IFERROR(ROUND((C30/IFERROR(INDEX(Config!B:B,MATCH("TVA "&amp;A30,Config!A:A,0)),1.055))*0.52,2),"")</f>
        <v>#ERROR!</v>
      </c>
      <c r="P30" s="165" t="str">
        <f>IFERROR(ROUND((C30/IFERROR(INDEX(Config!B:B,MATCH("TVA "&amp;A30,Config!A:A,0)),1.055))*0.55,2),"")</f>
        <v>#ERROR!</v>
      </c>
      <c r="Q30" s="165" t="str">
        <f>IFERROR(ROUND((C30/IFERROR(INDEX(Config!B:B,MATCH("TVA "&amp;A30,Config!A:A,0)),1.055))*0.5,2),"")</f>
        <v>#ERROR!</v>
      </c>
      <c r="R30" s="165" t="str">
        <f>IFERROR(ROUND((C30/IFERROR(INDEX(Config!B:B,MATCH("TVA "&amp;A30,Config!A:A,0)),1.055))*0.5,2),"")</f>
        <v>#ERROR!</v>
      </c>
      <c r="S30" s="165" t="str">
        <f>IFERROR(ROUND((C30/IFERROR(INDEX(Config!B:B,MATCH("TVA "&amp;A30,Config!A:A,0)),1.055))*0.62,2),"")</f>
        <v>#ERROR!</v>
      </c>
      <c r="T30" s="165" t="str">
        <f>IFERROR(ROUND((C30/IFERROR(INDEX(Config!B:B,MATCH("TVA "&amp;A30,Config!A:A,0)),1.055))*0.58,2),"")</f>
        <v>#ERROR!</v>
      </c>
      <c r="U30" s="165" t="str">
        <f>IFERROR(ROUND((C30/IFERROR(INDEX(Config!B:B,MATCH("TVA "&amp;A30,Config!A:A,0)),1.055))*0.58,2),"")</f>
        <v>#ERROR!</v>
      </c>
      <c r="V30" s="166" t="str">
        <f>IFERROR(((C30/IFERROR(INDEX(Config!B:B,MATCH("TVA "&amp;A30,Config!A:A,0)),1.055))-IFERROR(INDEX('Cout de Revient'!I:I,MATCH(B30,'Cout de Revient'!C:C,0)),0))/(C30/IFERROR(INDEX(Config!B:B,MATCH("TVA "&amp;A30,Config!A:A,0)),1.055)),"")</f>
        <v>#ERROR!</v>
      </c>
      <c r="W30" s="167" t="str">
        <f>IFERROR(C30,"")</f>
        <v>#ERROR!</v>
      </c>
      <c r="X30" s="168" t="str">
        <f>IFERROR(ROUND(C30*0.85,2),"")</f>
        <v>#ERROR!</v>
      </c>
    </row>
    <row r="31" ht="15.0" customHeight="1">
      <c r="A31" s="171" t="s">
        <v>447</v>
      </c>
      <c r="B31" s="169" t="s">
        <v>452</v>
      </c>
      <c r="C31" s="162">
        <v>12.9</v>
      </c>
      <c r="D31" s="163" t="str">
        <f>IFERROR(ROUND(C31*0.95,2),"")</f>
        <v>#ERROR!</v>
      </c>
      <c r="E31" s="163" t="str">
        <f>IFERROR(ROUND(C31*0.92,2),"")</f>
        <v>#ERROR!</v>
      </c>
      <c r="F31" s="163" t="str">
        <f>IFERROR(ROUND(C31*0.88,2),"")</f>
        <v>#ERROR!</v>
      </c>
      <c r="G31" s="164" t="str">
        <f>IFERROR(ROUND(C31*1,2),"")</f>
        <v>#ERROR!</v>
      </c>
      <c r="H31" s="164" t="str">
        <f>IFERROR(ROUND(C31*0.97,2),"")</f>
        <v>#ERROR!</v>
      </c>
      <c r="I31" s="164" t="str">
        <f>IFERROR(ROUND(C31*0.94,2),"")</f>
        <v>#ERROR!</v>
      </c>
      <c r="J31" s="165" t="str">
        <f>IFERROR(ROUND((C31/IFERROR(INDEX(Config!B:B,MATCH("TVA "&amp;A31,Config!A:A,0)),1.055))*0.55,2),"")</f>
        <v>#ERROR!</v>
      </c>
      <c r="K31" s="165" t="str">
        <f>IFERROR(ROUND((C31/IFERROR(INDEX(Config!B:B,MATCH("TVA "&amp;A31,Config!A:A,0)),1.055))*0.48,2),"")</f>
        <v>#ERROR!</v>
      </c>
      <c r="L31" s="165" t="str">
        <f>IFERROR(ROUND((C31/IFERROR(INDEX(Config!B:B,MATCH("TVA "&amp;A31,Config!A:A,0)),1.055))*0.42,2),"")</f>
        <v>#ERROR!</v>
      </c>
      <c r="M31" s="165" t="str">
        <f>IFERROR(ROUND((C31/IFERROR(INDEX(Config!B:B,MATCH("TVA "&amp;A31,Config!A:A,0)),1.055))*0.58,2),"")</f>
        <v>#ERROR!</v>
      </c>
      <c r="N31" s="165" t="str">
        <f>IFERROR(ROUND((C31/IFERROR(INDEX(Config!B:B,MATCH("TVA "&amp;A31,Config!A:A,0)),1.055))*0.52,2),"")</f>
        <v>#ERROR!</v>
      </c>
      <c r="O31" s="165" t="str">
        <f>IFERROR(ROUND((C31/IFERROR(INDEX(Config!B:B,MATCH("TVA "&amp;A31,Config!A:A,0)),1.055))*0.52,2),"")</f>
        <v>#ERROR!</v>
      </c>
      <c r="P31" s="165" t="str">
        <f>IFERROR(ROUND((C31/IFERROR(INDEX(Config!B:B,MATCH("TVA "&amp;A31,Config!A:A,0)),1.055))*0.55,2),"")</f>
        <v>#ERROR!</v>
      </c>
      <c r="Q31" s="165" t="str">
        <f>IFERROR(ROUND((C31/IFERROR(INDEX(Config!B:B,MATCH("TVA "&amp;A31,Config!A:A,0)),1.055))*0.5,2),"")</f>
        <v>#ERROR!</v>
      </c>
      <c r="R31" s="165" t="str">
        <f>IFERROR(ROUND((C31/IFERROR(INDEX(Config!B:B,MATCH("TVA "&amp;A31,Config!A:A,0)),1.055))*0.5,2),"")</f>
        <v>#ERROR!</v>
      </c>
      <c r="S31" s="165" t="str">
        <f>IFERROR(ROUND((C31/IFERROR(INDEX(Config!B:B,MATCH("TVA "&amp;A31,Config!A:A,0)),1.055))*0.62,2),"")</f>
        <v>#ERROR!</v>
      </c>
      <c r="T31" s="165" t="str">
        <f>IFERROR(ROUND((C31/IFERROR(INDEX(Config!B:B,MATCH("TVA "&amp;A31,Config!A:A,0)),1.055))*0.58,2),"")</f>
        <v>#ERROR!</v>
      </c>
      <c r="U31" s="165" t="str">
        <f>IFERROR(ROUND((C31/IFERROR(INDEX(Config!B:B,MATCH("TVA "&amp;A31,Config!A:A,0)),1.055))*0.58,2),"")</f>
        <v>#ERROR!</v>
      </c>
      <c r="V31" s="166" t="str">
        <f>IFERROR(((C31/IFERROR(INDEX(Config!B:B,MATCH("TVA "&amp;A31,Config!A:A,0)),1.055))-IFERROR(INDEX('Cout de Revient'!I:I,MATCH(B31,'Cout de Revient'!C:C,0)),0))/(C31/IFERROR(INDEX(Config!B:B,MATCH("TVA "&amp;A31,Config!A:A,0)),1.055)),"")</f>
        <v>#ERROR!</v>
      </c>
      <c r="W31" s="167" t="str">
        <f>IFERROR(C31,"")</f>
        <v>#ERROR!</v>
      </c>
      <c r="X31" s="168" t="str">
        <f>IFERROR(ROUND(C31*0.85,2),"")</f>
        <v>#ERROR!</v>
      </c>
    </row>
    <row r="32" ht="15.0" customHeight="1">
      <c r="A32" s="171" t="s">
        <v>447</v>
      </c>
      <c r="B32" s="172" t="s">
        <v>489</v>
      </c>
      <c r="C32" s="162">
        <v>16.9</v>
      </c>
      <c r="D32" s="163" t="str">
        <f>IFERROR(ROUND(C32*0.95,2),"")</f>
        <v>#ERROR!</v>
      </c>
      <c r="E32" s="163" t="str">
        <f>IFERROR(ROUND(C32*0.92,2),"")</f>
        <v>#ERROR!</v>
      </c>
      <c r="F32" s="163" t="str">
        <f>IFERROR(ROUND(C32*0.88,2),"")</f>
        <v>#ERROR!</v>
      </c>
      <c r="G32" s="164" t="str">
        <f>IFERROR(ROUND(C32*1,2),"")</f>
        <v>#ERROR!</v>
      </c>
      <c r="H32" s="164" t="str">
        <f>IFERROR(ROUND(C32*0.97,2),"")</f>
        <v>#ERROR!</v>
      </c>
      <c r="I32" s="164" t="str">
        <f>IFERROR(ROUND(C32*0.94,2),"")</f>
        <v>#ERROR!</v>
      </c>
      <c r="J32" s="165" t="str">
        <f>IFERROR(ROUND((C32/IFERROR(INDEX(Config!B:B,MATCH("TVA "&amp;A32,Config!A:A,0)),1.055))*0.55,2),"")</f>
        <v>#ERROR!</v>
      </c>
      <c r="K32" s="165" t="str">
        <f>IFERROR(ROUND((C32/IFERROR(INDEX(Config!B:B,MATCH("TVA "&amp;A32,Config!A:A,0)),1.055))*0.48,2),"")</f>
        <v>#ERROR!</v>
      </c>
      <c r="L32" s="165" t="str">
        <f>IFERROR(ROUND((C32/IFERROR(INDEX(Config!B:B,MATCH("TVA "&amp;A32,Config!A:A,0)),1.055))*0.42,2),"")</f>
        <v>#ERROR!</v>
      </c>
      <c r="M32" s="165" t="str">
        <f>IFERROR(ROUND((C32/IFERROR(INDEX(Config!B:B,MATCH("TVA "&amp;A32,Config!A:A,0)),1.055))*0.58,2),"")</f>
        <v>#ERROR!</v>
      </c>
      <c r="N32" s="165" t="str">
        <f>IFERROR(ROUND((C32/IFERROR(INDEX(Config!B:B,MATCH("TVA "&amp;A32,Config!A:A,0)),1.055))*0.52,2),"")</f>
        <v>#ERROR!</v>
      </c>
      <c r="O32" s="165" t="str">
        <f>IFERROR(ROUND((C32/IFERROR(INDEX(Config!B:B,MATCH("TVA "&amp;A32,Config!A:A,0)),1.055))*0.52,2),"")</f>
        <v>#ERROR!</v>
      </c>
      <c r="P32" s="165" t="str">
        <f>IFERROR(ROUND((C32/IFERROR(INDEX(Config!B:B,MATCH("TVA "&amp;A32,Config!A:A,0)),1.055))*0.55,2),"")</f>
        <v>#ERROR!</v>
      </c>
      <c r="Q32" s="165" t="str">
        <f>IFERROR(ROUND((C32/IFERROR(INDEX(Config!B:B,MATCH("TVA "&amp;A32,Config!A:A,0)),1.055))*0.5,2),"")</f>
        <v>#ERROR!</v>
      </c>
      <c r="R32" s="165" t="str">
        <f>IFERROR(ROUND((C32/IFERROR(INDEX(Config!B:B,MATCH("TVA "&amp;A32,Config!A:A,0)),1.055))*0.5,2),"")</f>
        <v>#ERROR!</v>
      </c>
      <c r="S32" s="165" t="str">
        <f>IFERROR(ROUND((C32/IFERROR(INDEX(Config!B:B,MATCH("TVA "&amp;A32,Config!A:A,0)),1.055))*0.62,2),"")</f>
        <v>#ERROR!</v>
      </c>
      <c r="T32" s="165" t="str">
        <f>IFERROR(ROUND((C32/IFERROR(INDEX(Config!B:B,MATCH("TVA "&amp;A32,Config!A:A,0)),1.055))*0.58,2),"")</f>
        <v>#ERROR!</v>
      </c>
      <c r="U32" s="165" t="str">
        <f>IFERROR(ROUND((C32/IFERROR(INDEX(Config!B:B,MATCH("TVA "&amp;A32,Config!A:A,0)),1.055))*0.58,2),"")</f>
        <v>#ERROR!</v>
      </c>
      <c r="V32" s="166" t="str">
        <f>IFERROR(((C32/IFERROR(INDEX(Config!B:B,MATCH("TVA "&amp;A32,Config!A:A,0)),1.055))-IFERROR(INDEX('Cout de Revient'!I:I,MATCH(B32,'Cout de Revient'!C:C,0)),0))/(C32/IFERROR(INDEX(Config!B:B,MATCH("TVA "&amp;A32,Config!A:A,0)),1.055)),"")</f>
        <v>#ERROR!</v>
      </c>
      <c r="W32" s="167" t="str">
        <f>IFERROR(C32,"")</f>
        <v>#ERROR!</v>
      </c>
      <c r="X32" s="168" t="str">
        <f>IFERROR(ROUND(C32*0.85,2),"")</f>
        <v>#ERROR!</v>
      </c>
    </row>
    <row r="33" ht="15.0" customHeight="1">
      <c r="A33" s="171" t="s">
        <v>447</v>
      </c>
      <c r="B33" s="169" t="s">
        <v>596</v>
      </c>
      <c r="C33" s="162">
        <v>22.9</v>
      </c>
      <c r="D33" s="163" t="str">
        <f>IFERROR(ROUND(C33*0.95,2),"")</f>
        <v>#ERROR!</v>
      </c>
      <c r="E33" s="163" t="str">
        <f>IFERROR(ROUND(C33*0.92,2),"")</f>
        <v>#ERROR!</v>
      </c>
      <c r="F33" s="163" t="str">
        <f>IFERROR(ROUND(C33*0.88,2),"")</f>
        <v>#ERROR!</v>
      </c>
      <c r="G33" s="164" t="str">
        <f>IFERROR(ROUND(C33*1,2),"")</f>
        <v>#ERROR!</v>
      </c>
      <c r="H33" s="164" t="str">
        <f>IFERROR(ROUND(C33*0.97,2),"")</f>
        <v>#ERROR!</v>
      </c>
      <c r="I33" s="164" t="str">
        <f>IFERROR(ROUND(C33*0.94,2),"")</f>
        <v>#ERROR!</v>
      </c>
      <c r="J33" s="165" t="str">
        <f>IFERROR(ROUND((C33/IFERROR(INDEX(Config!B:B,MATCH("TVA "&amp;A33,Config!A:A,0)),1.055))*0.55,2),"")</f>
        <v>#ERROR!</v>
      </c>
      <c r="K33" s="165" t="str">
        <f>IFERROR(ROUND((C33/IFERROR(INDEX(Config!B:B,MATCH("TVA "&amp;A33,Config!A:A,0)),1.055))*0.48,2),"")</f>
        <v>#ERROR!</v>
      </c>
      <c r="L33" s="165" t="str">
        <f>IFERROR(ROUND((C33/IFERROR(INDEX(Config!B:B,MATCH("TVA "&amp;A33,Config!A:A,0)),1.055))*0.42,2),"")</f>
        <v>#ERROR!</v>
      </c>
      <c r="M33" s="165" t="str">
        <f>IFERROR(ROUND((C33/IFERROR(INDEX(Config!B:B,MATCH("TVA "&amp;A33,Config!A:A,0)),1.055))*0.58,2),"")</f>
        <v>#ERROR!</v>
      </c>
      <c r="N33" s="165" t="str">
        <f>IFERROR(ROUND((C33/IFERROR(INDEX(Config!B:B,MATCH("TVA "&amp;A33,Config!A:A,0)),1.055))*0.52,2),"")</f>
        <v>#ERROR!</v>
      </c>
      <c r="O33" s="165" t="str">
        <f>IFERROR(ROUND((C33/IFERROR(INDEX(Config!B:B,MATCH("TVA "&amp;A33,Config!A:A,0)),1.055))*0.52,2),"")</f>
        <v>#ERROR!</v>
      </c>
      <c r="P33" s="165" t="str">
        <f>IFERROR(ROUND((C33/IFERROR(INDEX(Config!B:B,MATCH("TVA "&amp;A33,Config!A:A,0)),1.055))*0.55,2),"")</f>
        <v>#ERROR!</v>
      </c>
      <c r="Q33" s="165" t="str">
        <f>IFERROR(ROUND((C33/IFERROR(INDEX(Config!B:B,MATCH("TVA "&amp;A33,Config!A:A,0)),1.055))*0.5,2),"")</f>
        <v>#ERROR!</v>
      </c>
      <c r="R33" s="165" t="str">
        <f>IFERROR(ROUND((C33/IFERROR(INDEX(Config!B:B,MATCH("TVA "&amp;A33,Config!A:A,0)),1.055))*0.5,2),"")</f>
        <v>#ERROR!</v>
      </c>
      <c r="S33" s="165" t="str">
        <f>IFERROR(ROUND((C33/IFERROR(INDEX(Config!B:B,MATCH("TVA "&amp;A33,Config!A:A,0)),1.055))*0.62,2),"")</f>
        <v>#ERROR!</v>
      </c>
      <c r="T33" s="165" t="str">
        <f>IFERROR(ROUND((C33/IFERROR(INDEX(Config!B:B,MATCH("TVA "&amp;A33,Config!A:A,0)),1.055))*0.58,2),"")</f>
        <v>#ERROR!</v>
      </c>
      <c r="U33" s="165" t="str">
        <f>IFERROR(ROUND((C33/IFERROR(INDEX(Config!B:B,MATCH("TVA "&amp;A33,Config!A:A,0)),1.055))*0.58,2),"")</f>
        <v>#ERROR!</v>
      </c>
      <c r="V33" s="166" t="str">
        <f>IFERROR(((C33/IFERROR(INDEX(Config!B:B,MATCH("TVA "&amp;A33,Config!A:A,0)),1.055))-IFERROR(INDEX('Cout de Revient'!I:I,MATCH(B33,'Cout de Revient'!C:C,0)),0))/(C33/IFERROR(INDEX(Config!B:B,MATCH("TVA "&amp;A33,Config!A:A,0)),1.055)),"")</f>
        <v>#ERROR!</v>
      </c>
      <c r="W33" s="167" t="str">
        <f>IFERROR(C33,"")</f>
        <v>#ERROR!</v>
      </c>
      <c r="X33" s="168" t="str">
        <f>IFERROR(ROUND(C33*0.85,2),"")</f>
        <v>#ERROR!</v>
      </c>
    </row>
    <row r="34" ht="15.0" customHeight="1">
      <c r="A34" s="171" t="s">
        <v>447</v>
      </c>
      <c r="B34" s="172" t="s">
        <v>597</v>
      </c>
      <c r="C34" s="162">
        <v>2.2</v>
      </c>
      <c r="D34" s="163" t="str">
        <f>IFERROR(ROUND(C34*0.95,2),"")</f>
        <v>#ERROR!</v>
      </c>
      <c r="E34" s="163" t="str">
        <f>IFERROR(ROUND(C34*0.92,2),"")</f>
        <v>#ERROR!</v>
      </c>
      <c r="F34" s="163" t="str">
        <f>IFERROR(ROUND(C34*0.88,2),"")</f>
        <v>#ERROR!</v>
      </c>
      <c r="G34" s="164" t="str">
        <f>IFERROR(ROUND(C34*1,2),"")</f>
        <v>#ERROR!</v>
      </c>
      <c r="H34" s="164" t="str">
        <f>IFERROR(ROUND(C34*0.97,2),"")</f>
        <v>#ERROR!</v>
      </c>
      <c r="I34" s="164" t="str">
        <f>IFERROR(ROUND(C34*0.94,2),"")</f>
        <v>#ERROR!</v>
      </c>
      <c r="J34" s="165" t="str">
        <f>IFERROR(ROUND((C34/IFERROR(INDEX(Config!B:B,MATCH("TVA "&amp;A34,Config!A:A,0)),1.055))*0.55,2),"")</f>
        <v>#ERROR!</v>
      </c>
      <c r="K34" s="165" t="str">
        <f>IFERROR(ROUND((C34/IFERROR(INDEX(Config!B:B,MATCH("TVA "&amp;A34,Config!A:A,0)),1.055))*0.48,2),"")</f>
        <v>#ERROR!</v>
      </c>
      <c r="L34" s="165" t="str">
        <f>IFERROR(ROUND((C34/IFERROR(INDEX(Config!B:B,MATCH("TVA "&amp;A34,Config!A:A,0)),1.055))*0.42,2),"")</f>
        <v>#ERROR!</v>
      </c>
      <c r="M34" s="165" t="str">
        <f>IFERROR(ROUND((C34/IFERROR(INDEX(Config!B:B,MATCH("TVA "&amp;A34,Config!A:A,0)),1.055))*0.58,2),"")</f>
        <v>#ERROR!</v>
      </c>
      <c r="N34" s="165" t="str">
        <f>IFERROR(ROUND((C34/IFERROR(INDEX(Config!B:B,MATCH("TVA "&amp;A34,Config!A:A,0)),1.055))*0.52,2),"")</f>
        <v>#ERROR!</v>
      </c>
      <c r="O34" s="165" t="str">
        <f>IFERROR(ROUND((C34/IFERROR(INDEX(Config!B:B,MATCH("TVA "&amp;A34,Config!A:A,0)),1.055))*0.52,2),"")</f>
        <v>#ERROR!</v>
      </c>
      <c r="P34" s="165" t="str">
        <f>IFERROR(ROUND((C34/IFERROR(INDEX(Config!B:B,MATCH("TVA "&amp;A34,Config!A:A,0)),1.055))*0.55,2),"")</f>
        <v>#ERROR!</v>
      </c>
      <c r="Q34" s="165" t="str">
        <f>IFERROR(ROUND((C34/IFERROR(INDEX(Config!B:B,MATCH("TVA "&amp;A34,Config!A:A,0)),1.055))*0.5,2),"")</f>
        <v>#ERROR!</v>
      </c>
      <c r="R34" s="165" t="str">
        <f>IFERROR(ROUND((C34/IFERROR(INDEX(Config!B:B,MATCH("TVA "&amp;A34,Config!A:A,0)),1.055))*0.5,2),"")</f>
        <v>#ERROR!</v>
      </c>
      <c r="S34" s="165" t="str">
        <f>IFERROR(ROUND((C34/IFERROR(INDEX(Config!B:B,MATCH("TVA "&amp;A34,Config!A:A,0)),1.055))*0.62,2),"")</f>
        <v>#ERROR!</v>
      </c>
      <c r="T34" s="165" t="str">
        <f>IFERROR(ROUND((C34/IFERROR(INDEX(Config!B:B,MATCH("TVA "&amp;A34,Config!A:A,0)),1.055))*0.58,2),"")</f>
        <v>#ERROR!</v>
      </c>
      <c r="U34" s="165" t="str">
        <f>IFERROR(ROUND((C34/IFERROR(INDEX(Config!B:B,MATCH("TVA "&amp;A34,Config!A:A,0)),1.055))*0.58,2),"")</f>
        <v>#ERROR!</v>
      </c>
      <c r="V34" s="166" t="str">
        <f>IFERROR(((C34/IFERROR(INDEX(Config!B:B,MATCH("TVA "&amp;A34,Config!A:A,0)),1.055))-IFERROR(INDEX('Cout de Revient'!I:I,MATCH(B34,'Cout de Revient'!C:C,0)),0))/(C34/IFERROR(INDEX(Config!B:B,MATCH("TVA "&amp;A34,Config!A:A,0)),1.055)),"")</f>
        <v>#ERROR!</v>
      </c>
      <c r="W34" s="167" t="str">
        <f>IFERROR(C34,"")</f>
        <v>#ERROR!</v>
      </c>
      <c r="X34" s="168" t="str">
        <f>IFERROR(ROUND(C34*0.85,2),"")</f>
        <v>#ERROR!</v>
      </c>
    </row>
    <row r="35" ht="15.0" customHeight="1">
      <c r="A35" s="171" t="s">
        <v>447</v>
      </c>
      <c r="B35" s="169" t="s">
        <v>598</v>
      </c>
      <c r="C35" s="162">
        <v>3.2</v>
      </c>
      <c r="D35" s="163" t="str">
        <f>IFERROR(ROUND(C35*0.95,2),"")</f>
        <v>#ERROR!</v>
      </c>
      <c r="E35" s="163" t="str">
        <f>IFERROR(ROUND(C35*0.92,2),"")</f>
        <v>#ERROR!</v>
      </c>
      <c r="F35" s="163" t="str">
        <f>IFERROR(ROUND(C35*0.88,2),"")</f>
        <v>#ERROR!</v>
      </c>
      <c r="G35" s="164" t="str">
        <f>IFERROR(ROUND(C35*1,2),"")</f>
        <v>#ERROR!</v>
      </c>
      <c r="H35" s="164" t="str">
        <f>IFERROR(ROUND(C35*0.97,2),"")</f>
        <v>#ERROR!</v>
      </c>
      <c r="I35" s="164" t="str">
        <f>IFERROR(ROUND(C35*0.94,2),"")</f>
        <v>#ERROR!</v>
      </c>
      <c r="J35" s="165" t="str">
        <f>IFERROR(ROUND((C35/IFERROR(INDEX(Config!B:B,MATCH("TVA "&amp;A35,Config!A:A,0)),1.055))*0.55,2),"")</f>
        <v>#ERROR!</v>
      </c>
      <c r="K35" s="165" t="str">
        <f>IFERROR(ROUND((C35/IFERROR(INDEX(Config!B:B,MATCH("TVA "&amp;A35,Config!A:A,0)),1.055))*0.48,2),"")</f>
        <v>#ERROR!</v>
      </c>
      <c r="L35" s="165" t="str">
        <f>IFERROR(ROUND((C35/IFERROR(INDEX(Config!B:B,MATCH("TVA "&amp;A35,Config!A:A,0)),1.055))*0.42,2),"")</f>
        <v>#ERROR!</v>
      </c>
      <c r="M35" s="165" t="str">
        <f>IFERROR(ROUND((C35/IFERROR(INDEX(Config!B:B,MATCH("TVA "&amp;A35,Config!A:A,0)),1.055))*0.58,2),"")</f>
        <v>#ERROR!</v>
      </c>
      <c r="N35" s="165" t="str">
        <f>IFERROR(ROUND((C35/IFERROR(INDEX(Config!B:B,MATCH("TVA "&amp;A35,Config!A:A,0)),1.055))*0.52,2),"")</f>
        <v>#ERROR!</v>
      </c>
      <c r="O35" s="165" t="str">
        <f>IFERROR(ROUND((C35/IFERROR(INDEX(Config!B:B,MATCH("TVA "&amp;A35,Config!A:A,0)),1.055))*0.52,2),"")</f>
        <v>#ERROR!</v>
      </c>
      <c r="P35" s="165" t="str">
        <f>IFERROR(ROUND((C35/IFERROR(INDEX(Config!B:B,MATCH("TVA "&amp;A35,Config!A:A,0)),1.055))*0.55,2),"")</f>
        <v>#ERROR!</v>
      </c>
      <c r="Q35" s="165" t="str">
        <f>IFERROR(ROUND((C35/IFERROR(INDEX(Config!B:B,MATCH("TVA "&amp;A35,Config!A:A,0)),1.055))*0.5,2),"")</f>
        <v>#ERROR!</v>
      </c>
      <c r="R35" s="165" t="str">
        <f>IFERROR(ROUND((C35/IFERROR(INDEX(Config!B:B,MATCH("TVA "&amp;A35,Config!A:A,0)),1.055))*0.5,2),"")</f>
        <v>#ERROR!</v>
      </c>
      <c r="S35" s="165" t="str">
        <f>IFERROR(ROUND((C35/IFERROR(INDEX(Config!B:B,MATCH("TVA "&amp;A35,Config!A:A,0)),1.055))*0.62,2),"")</f>
        <v>#ERROR!</v>
      </c>
      <c r="T35" s="165" t="str">
        <f>IFERROR(ROUND((C35/IFERROR(INDEX(Config!B:B,MATCH("TVA "&amp;A35,Config!A:A,0)),1.055))*0.58,2),"")</f>
        <v>#ERROR!</v>
      </c>
      <c r="U35" s="165" t="str">
        <f>IFERROR(ROUND((C35/IFERROR(INDEX(Config!B:B,MATCH("TVA "&amp;A35,Config!A:A,0)),1.055))*0.58,2),"")</f>
        <v>#ERROR!</v>
      </c>
      <c r="V35" s="166" t="str">
        <f>IFERROR(((C35/IFERROR(INDEX(Config!B:B,MATCH("TVA "&amp;A35,Config!A:A,0)),1.055))-IFERROR(INDEX('Cout de Revient'!I:I,MATCH(B35,'Cout de Revient'!C:C,0)),0))/(C35/IFERROR(INDEX(Config!B:B,MATCH("TVA "&amp;A35,Config!A:A,0)),1.055)),"")</f>
        <v>#ERROR!</v>
      </c>
      <c r="W35" s="167" t="str">
        <f>IFERROR(C35,"")</f>
        <v>#ERROR!</v>
      </c>
      <c r="X35" s="168" t="str">
        <f>IFERROR(ROUND(C35*0.85,2),"")</f>
        <v>#ERROR!</v>
      </c>
    </row>
    <row r="36" ht="15.0" customHeight="1">
      <c r="A36" s="171" t="s">
        <v>447</v>
      </c>
      <c r="B36" s="172" t="s">
        <v>599</v>
      </c>
      <c r="C36" s="162">
        <v>4.5</v>
      </c>
      <c r="D36" s="163" t="str">
        <f>IFERROR(ROUND(C36*0.95,2),"")</f>
        <v>#ERROR!</v>
      </c>
      <c r="E36" s="163" t="str">
        <f>IFERROR(ROUND(C36*0.92,2),"")</f>
        <v>#ERROR!</v>
      </c>
      <c r="F36" s="163" t="str">
        <f>IFERROR(ROUND(C36*0.88,2),"")</f>
        <v>#ERROR!</v>
      </c>
      <c r="G36" s="164" t="str">
        <f>IFERROR(ROUND(C36*1,2),"")</f>
        <v>#ERROR!</v>
      </c>
      <c r="H36" s="164" t="str">
        <f>IFERROR(ROUND(C36*0.97,2),"")</f>
        <v>#ERROR!</v>
      </c>
      <c r="I36" s="164" t="str">
        <f>IFERROR(ROUND(C36*0.94,2),"")</f>
        <v>#ERROR!</v>
      </c>
      <c r="J36" s="165" t="str">
        <f>IFERROR(ROUND((C36/IFERROR(INDEX(Config!B:B,MATCH("TVA "&amp;A36,Config!A:A,0)),1.055))*0.55,2),"")</f>
        <v>#ERROR!</v>
      </c>
      <c r="K36" s="165" t="str">
        <f>IFERROR(ROUND((C36/IFERROR(INDEX(Config!B:B,MATCH("TVA "&amp;A36,Config!A:A,0)),1.055))*0.48,2),"")</f>
        <v>#ERROR!</v>
      </c>
      <c r="L36" s="165" t="str">
        <f>IFERROR(ROUND((C36/IFERROR(INDEX(Config!B:B,MATCH("TVA "&amp;A36,Config!A:A,0)),1.055))*0.42,2),"")</f>
        <v>#ERROR!</v>
      </c>
      <c r="M36" s="165" t="str">
        <f>IFERROR(ROUND((C36/IFERROR(INDEX(Config!B:B,MATCH("TVA "&amp;A36,Config!A:A,0)),1.055))*0.58,2),"")</f>
        <v>#ERROR!</v>
      </c>
      <c r="N36" s="165" t="str">
        <f>IFERROR(ROUND((C36/IFERROR(INDEX(Config!B:B,MATCH("TVA "&amp;A36,Config!A:A,0)),1.055))*0.52,2),"")</f>
        <v>#ERROR!</v>
      </c>
      <c r="O36" s="165" t="str">
        <f>IFERROR(ROUND((C36/IFERROR(INDEX(Config!B:B,MATCH("TVA "&amp;A36,Config!A:A,0)),1.055))*0.52,2),"")</f>
        <v>#ERROR!</v>
      </c>
      <c r="P36" s="165" t="str">
        <f>IFERROR(ROUND((C36/IFERROR(INDEX(Config!B:B,MATCH("TVA "&amp;A36,Config!A:A,0)),1.055))*0.55,2),"")</f>
        <v>#ERROR!</v>
      </c>
      <c r="Q36" s="165" t="str">
        <f>IFERROR(ROUND((C36/IFERROR(INDEX(Config!B:B,MATCH("TVA "&amp;A36,Config!A:A,0)),1.055))*0.5,2),"")</f>
        <v>#ERROR!</v>
      </c>
      <c r="R36" s="165" t="str">
        <f>IFERROR(ROUND((C36/IFERROR(INDEX(Config!B:B,MATCH("TVA "&amp;A36,Config!A:A,0)),1.055))*0.5,2),"")</f>
        <v>#ERROR!</v>
      </c>
      <c r="S36" s="165" t="str">
        <f>IFERROR(ROUND((C36/IFERROR(INDEX(Config!B:B,MATCH("TVA "&amp;A36,Config!A:A,0)),1.055))*0.62,2),"")</f>
        <v>#ERROR!</v>
      </c>
      <c r="T36" s="165" t="str">
        <f>IFERROR(ROUND((C36/IFERROR(INDEX(Config!B:B,MATCH("TVA "&amp;A36,Config!A:A,0)),1.055))*0.58,2),"")</f>
        <v>#ERROR!</v>
      </c>
      <c r="U36" s="165" t="str">
        <f>IFERROR(ROUND((C36/IFERROR(INDEX(Config!B:B,MATCH("TVA "&amp;A36,Config!A:A,0)),1.055))*0.58,2),"")</f>
        <v>#ERROR!</v>
      </c>
      <c r="V36" s="166" t="str">
        <f>IFERROR(((C36/IFERROR(INDEX(Config!B:B,MATCH("TVA "&amp;A36,Config!A:A,0)),1.055))-IFERROR(INDEX('Cout de Revient'!I:I,MATCH(B36,'Cout de Revient'!C:C,0)),0))/(C36/IFERROR(INDEX(Config!B:B,MATCH("TVA "&amp;A36,Config!A:A,0)),1.055)),"")</f>
        <v>#ERROR!</v>
      </c>
      <c r="W36" s="167" t="str">
        <f>IFERROR(C36,"")</f>
        <v>#ERROR!</v>
      </c>
      <c r="X36" s="168" t="str">
        <f>IFERROR(ROUND(C36*0.85,2),"")</f>
        <v>#ERROR!</v>
      </c>
    </row>
    <row r="37" ht="15.0" customHeight="1">
      <c r="A37" s="173" t="s">
        <v>602</v>
      </c>
    </row>
    <row r="38" ht="15.0" customHeight="1">
      <c r="A38" s="174" t="s">
        <v>451</v>
      </c>
      <c r="B38" s="175" t="s">
        <v>456</v>
      </c>
      <c r="C38" s="162">
        <v>5.5</v>
      </c>
      <c r="D38" s="163" t="str">
        <f>IFERROR(ROUND(C38*0.95,2),"")</f>
        <v>#ERROR!</v>
      </c>
      <c r="E38" s="163" t="str">
        <f>IFERROR(ROUND(C38*0.92,2),"")</f>
        <v>#ERROR!</v>
      </c>
      <c r="F38" s="163" t="str">
        <f>IFERROR(ROUND(C38*0.88,2),"")</f>
        <v>#ERROR!</v>
      </c>
      <c r="G38" s="164" t="str">
        <f>IFERROR(ROUND(C38*1,2),"")</f>
        <v>#ERROR!</v>
      </c>
      <c r="H38" s="164" t="str">
        <f>IFERROR(ROUND(C38*0.97,2),"")</f>
        <v>#ERROR!</v>
      </c>
      <c r="I38" s="164" t="str">
        <f>IFERROR(ROUND(C38*0.94,2),"")</f>
        <v>#ERROR!</v>
      </c>
      <c r="J38" s="165" t="str">
        <f>IFERROR(ROUND((C38/IFERROR(INDEX(Config!B:B,MATCH("TVA "&amp;A38,Config!A:A,0)),1.1))*0.55,2),"")</f>
        <v>#ERROR!</v>
      </c>
      <c r="K38" s="165" t="str">
        <f>IFERROR(ROUND((C38/IFERROR(INDEX(Config!B:B,MATCH("TVA "&amp;A38,Config!A:A,0)),1.1))*0.48,2),"")</f>
        <v>#ERROR!</v>
      </c>
      <c r="L38" s="165" t="str">
        <f>IFERROR(ROUND((C38/IFERROR(INDEX(Config!B:B,MATCH("TVA "&amp;A38,Config!A:A,0)),1.1))*0.42,2),"")</f>
        <v>#ERROR!</v>
      </c>
      <c r="M38" s="165" t="str">
        <f>IFERROR(ROUND((C38/IFERROR(INDEX(Config!B:B,MATCH("TVA "&amp;A38,Config!A:A,0)),1.1))*0.58,2),"")</f>
        <v>#ERROR!</v>
      </c>
      <c r="N38" s="165" t="str">
        <f>IFERROR(ROUND((C38/IFERROR(INDEX(Config!B:B,MATCH("TVA "&amp;A38,Config!A:A,0)),1.1))*0.52,2),"")</f>
        <v>#ERROR!</v>
      </c>
      <c r="O38" s="165" t="str">
        <f>IFERROR(ROUND((C38/IFERROR(INDEX(Config!B:B,MATCH("TVA "&amp;A38,Config!A:A,0)),1.1))*0.52,2),"")</f>
        <v>#ERROR!</v>
      </c>
      <c r="P38" s="165" t="str">
        <f>IFERROR(ROUND((C38/IFERROR(INDEX(Config!B:B,MATCH("TVA "&amp;A38,Config!A:A,0)),1.1))*0.55,2),"")</f>
        <v>#ERROR!</v>
      </c>
      <c r="Q38" s="165" t="str">
        <f>IFERROR(ROUND((C38/IFERROR(INDEX(Config!B:B,MATCH("TVA "&amp;A38,Config!A:A,0)),1.1))*0.5,2),"")</f>
        <v>#ERROR!</v>
      </c>
      <c r="R38" s="165" t="str">
        <f>IFERROR(ROUND((C38/IFERROR(INDEX(Config!B:B,MATCH("TVA "&amp;A38,Config!A:A,0)),1.1))*0.5,2),"")</f>
        <v>#ERROR!</v>
      </c>
      <c r="S38" s="165" t="str">
        <f>IFERROR(ROUND((C38/IFERROR(INDEX(Config!B:B,MATCH("TVA "&amp;A38,Config!A:A,0)),1.1))*0.62,2),"")</f>
        <v>#ERROR!</v>
      </c>
      <c r="T38" s="165" t="str">
        <f>IFERROR(ROUND((C38/IFERROR(INDEX(Config!B:B,MATCH("TVA "&amp;A38,Config!A:A,0)),1.1))*0.58,2),"")</f>
        <v>#ERROR!</v>
      </c>
      <c r="U38" s="165" t="str">
        <f>IFERROR(ROUND((C38/IFERROR(INDEX(Config!B:B,MATCH("TVA "&amp;A38,Config!A:A,0)),1.1))*0.58,2),"")</f>
        <v>#ERROR!</v>
      </c>
      <c r="V38" s="166" t="str">
        <f>IFERROR(((C38/IFERROR(INDEX(Config!B:B,MATCH("TVA "&amp;A38,Config!A:A,0)),1.1))-IFERROR(INDEX('Cout de Revient'!I:I,MATCH(B38,'Cout de Revient'!C:C,0)),0))/(C38/IFERROR(INDEX(Config!B:B,MATCH("TVA "&amp;A38,Config!A:A,0)),1.1)),"")</f>
        <v>#ERROR!</v>
      </c>
      <c r="W38" s="167" t="str">
        <f>IFERROR(C38,"")</f>
        <v>#ERROR!</v>
      </c>
      <c r="X38" s="168" t="str">
        <f>IFERROR(ROUND(C38*0.85,2),"")</f>
        <v>#ERROR!</v>
      </c>
    </row>
    <row r="39" ht="15.0" customHeight="1">
      <c r="A39" s="174" t="s">
        <v>451</v>
      </c>
      <c r="B39" s="169" t="s">
        <v>448</v>
      </c>
      <c r="C39" s="162">
        <v>7.2</v>
      </c>
      <c r="D39" s="163" t="str">
        <f>IFERROR(ROUND(C39*0.95,2),"")</f>
        <v>#ERROR!</v>
      </c>
      <c r="E39" s="163" t="str">
        <f>IFERROR(ROUND(C39*0.92,2),"")</f>
        <v>#ERROR!</v>
      </c>
      <c r="F39" s="163" t="str">
        <f>IFERROR(ROUND(C39*0.88,2),"")</f>
        <v>#ERROR!</v>
      </c>
      <c r="G39" s="164" t="str">
        <f>IFERROR(ROUND(C39*1,2),"")</f>
        <v>#ERROR!</v>
      </c>
      <c r="H39" s="164" t="str">
        <f>IFERROR(ROUND(C39*0.97,2),"")</f>
        <v>#ERROR!</v>
      </c>
      <c r="I39" s="164" t="str">
        <f>IFERROR(ROUND(C39*0.94,2),"")</f>
        <v>#ERROR!</v>
      </c>
      <c r="J39" s="165" t="str">
        <f>IFERROR(ROUND((C39/IFERROR(INDEX(Config!B:B,MATCH("TVA "&amp;A39,Config!A:A,0)),1.1))*0.55,2),"")</f>
        <v>#ERROR!</v>
      </c>
      <c r="K39" s="165" t="str">
        <f>IFERROR(ROUND((C39/IFERROR(INDEX(Config!B:B,MATCH("TVA "&amp;A39,Config!A:A,0)),1.1))*0.48,2),"")</f>
        <v>#ERROR!</v>
      </c>
      <c r="L39" s="165" t="str">
        <f>IFERROR(ROUND((C39/IFERROR(INDEX(Config!B:B,MATCH("TVA "&amp;A39,Config!A:A,0)),1.1))*0.42,2),"")</f>
        <v>#ERROR!</v>
      </c>
      <c r="M39" s="165" t="str">
        <f>IFERROR(ROUND((C39/IFERROR(INDEX(Config!B:B,MATCH("TVA "&amp;A39,Config!A:A,0)),1.1))*0.58,2),"")</f>
        <v>#ERROR!</v>
      </c>
      <c r="N39" s="165" t="str">
        <f>IFERROR(ROUND((C39/IFERROR(INDEX(Config!B:B,MATCH("TVA "&amp;A39,Config!A:A,0)),1.1))*0.52,2),"")</f>
        <v>#ERROR!</v>
      </c>
      <c r="O39" s="165" t="str">
        <f>IFERROR(ROUND((C39/IFERROR(INDEX(Config!B:B,MATCH("TVA "&amp;A39,Config!A:A,0)),1.1))*0.52,2),"")</f>
        <v>#ERROR!</v>
      </c>
      <c r="P39" s="165" t="str">
        <f>IFERROR(ROUND((C39/IFERROR(INDEX(Config!B:B,MATCH("TVA "&amp;A39,Config!A:A,0)),1.1))*0.55,2),"")</f>
        <v>#ERROR!</v>
      </c>
      <c r="Q39" s="165" t="str">
        <f>IFERROR(ROUND((C39/IFERROR(INDEX(Config!B:B,MATCH("TVA "&amp;A39,Config!A:A,0)),1.1))*0.5,2),"")</f>
        <v>#ERROR!</v>
      </c>
      <c r="R39" s="165" t="str">
        <f>IFERROR(ROUND((C39/IFERROR(INDEX(Config!B:B,MATCH("TVA "&amp;A39,Config!A:A,0)),1.1))*0.5,2),"")</f>
        <v>#ERROR!</v>
      </c>
      <c r="S39" s="165" t="str">
        <f>IFERROR(ROUND((C39/IFERROR(INDEX(Config!B:B,MATCH("TVA "&amp;A39,Config!A:A,0)),1.1))*0.62,2),"")</f>
        <v>#ERROR!</v>
      </c>
      <c r="T39" s="165" t="str">
        <f>IFERROR(ROUND((C39/IFERROR(INDEX(Config!B:B,MATCH("TVA "&amp;A39,Config!A:A,0)),1.1))*0.58,2),"")</f>
        <v>#ERROR!</v>
      </c>
      <c r="U39" s="165" t="str">
        <f>IFERROR(ROUND((C39/IFERROR(INDEX(Config!B:B,MATCH("TVA "&amp;A39,Config!A:A,0)),1.1))*0.58,2),"")</f>
        <v>#ERROR!</v>
      </c>
      <c r="V39" s="166" t="str">
        <f>IFERROR(((C39/IFERROR(INDEX(Config!B:B,MATCH("TVA "&amp;A39,Config!A:A,0)),1.1))-IFERROR(INDEX('Cout de Revient'!I:I,MATCH(B39,'Cout de Revient'!C:C,0)),0))/(C39/IFERROR(INDEX(Config!B:B,MATCH("TVA "&amp;A39,Config!A:A,0)),1.1)),"")</f>
        <v>#ERROR!</v>
      </c>
      <c r="W39" s="167" t="str">
        <f>IFERROR(C39,"")</f>
        <v>#ERROR!</v>
      </c>
      <c r="X39" s="168" t="str">
        <f>IFERROR(ROUND(C39*0.85,2),"")</f>
        <v>#ERROR!</v>
      </c>
    </row>
    <row r="40" ht="15.0" customHeight="1">
      <c r="A40" s="174" t="s">
        <v>451</v>
      </c>
      <c r="B40" s="175" t="s">
        <v>439</v>
      </c>
      <c r="C40" s="162">
        <v>9.5</v>
      </c>
      <c r="D40" s="163" t="str">
        <f>IFERROR(ROUND(C40*0.95,2),"")</f>
        <v>#ERROR!</v>
      </c>
      <c r="E40" s="163" t="str">
        <f>IFERROR(ROUND(C40*0.92,2),"")</f>
        <v>#ERROR!</v>
      </c>
      <c r="F40" s="163" t="str">
        <f>IFERROR(ROUND(C40*0.88,2),"")</f>
        <v>#ERROR!</v>
      </c>
      <c r="G40" s="164" t="str">
        <f>IFERROR(ROUND(C40*1,2),"")</f>
        <v>#ERROR!</v>
      </c>
      <c r="H40" s="164" t="str">
        <f>IFERROR(ROUND(C40*0.97,2),"")</f>
        <v>#ERROR!</v>
      </c>
      <c r="I40" s="164" t="str">
        <f>IFERROR(ROUND(C40*0.94,2),"")</f>
        <v>#ERROR!</v>
      </c>
      <c r="J40" s="165" t="str">
        <f>IFERROR(ROUND((C40/IFERROR(INDEX(Config!B:B,MATCH("TVA "&amp;A40,Config!A:A,0)),1.1))*0.55,2),"")</f>
        <v>#ERROR!</v>
      </c>
      <c r="K40" s="165" t="str">
        <f>IFERROR(ROUND((C40/IFERROR(INDEX(Config!B:B,MATCH("TVA "&amp;A40,Config!A:A,0)),1.1))*0.48,2),"")</f>
        <v>#ERROR!</v>
      </c>
      <c r="L40" s="165" t="str">
        <f>IFERROR(ROUND((C40/IFERROR(INDEX(Config!B:B,MATCH("TVA "&amp;A40,Config!A:A,0)),1.1))*0.42,2),"")</f>
        <v>#ERROR!</v>
      </c>
      <c r="M40" s="165" t="str">
        <f>IFERROR(ROUND((C40/IFERROR(INDEX(Config!B:B,MATCH("TVA "&amp;A40,Config!A:A,0)),1.1))*0.58,2),"")</f>
        <v>#ERROR!</v>
      </c>
      <c r="N40" s="165" t="str">
        <f>IFERROR(ROUND((C40/IFERROR(INDEX(Config!B:B,MATCH("TVA "&amp;A40,Config!A:A,0)),1.1))*0.52,2),"")</f>
        <v>#ERROR!</v>
      </c>
      <c r="O40" s="165" t="str">
        <f>IFERROR(ROUND((C40/IFERROR(INDEX(Config!B:B,MATCH("TVA "&amp;A40,Config!A:A,0)),1.1))*0.52,2),"")</f>
        <v>#ERROR!</v>
      </c>
      <c r="P40" s="165" t="str">
        <f>IFERROR(ROUND((C40/IFERROR(INDEX(Config!B:B,MATCH("TVA "&amp;A40,Config!A:A,0)),1.1))*0.55,2),"")</f>
        <v>#ERROR!</v>
      </c>
      <c r="Q40" s="165" t="str">
        <f>IFERROR(ROUND((C40/IFERROR(INDEX(Config!B:B,MATCH("TVA "&amp;A40,Config!A:A,0)),1.1))*0.5,2),"")</f>
        <v>#ERROR!</v>
      </c>
      <c r="R40" s="165" t="str">
        <f>IFERROR(ROUND((C40/IFERROR(INDEX(Config!B:B,MATCH("TVA "&amp;A40,Config!A:A,0)),1.1))*0.5,2),"")</f>
        <v>#ERROR!</v>
      </c>
      <c r="S40" s="165" t="str">
        <f>IFERROR(ROUND((C40/IFERROR(INDEX(Config!B:B,MATCH("TVA "&amp;A40,Config!A:A,0)),1.1))*0.62,2),"")</f>
        <v>#ERROR!</v>
      </c>
      <c r="T40" s="165" t="str">
        <f>IFERROR(ROUND((C40/IFERROR(INDEX(Config!B:B,MATCH("TVA "&amp;A40,Config!A:A,0)),1.1))*0.58,2),"")</f>
        <v>#ERROR!</v>
      </c>
      <c r="U40" s="165" t="str">
        <f>IFERROR(ROUND((C40/IFERROR(INDEX(Config!B:B,MATCH("TVA "&amp;A40,Config!A:A,0)),1.1))*0.58,2),"")</f>
        <v>#ERROR!</v>
      </c>
      <c r="V40" s="166" t="str">
        <f>IFERROR(((C40/IFERROR(INDEX(Config!B:B,MATCH("TVA "&amp;A40,Config!A:A,0)),1.1))-IFERROR(INDEX('Cout de Revient'!I:I,MATCH(B40,'Cout de Revient'!C:C,0)),0))/(C40/IFERROR(INDEX(Config!B:B,MATCH("TVA "&amp;A40,Config!A:A,0)),1.1)),"")</f>
        <v>#ERROR!</v>
      </c>
      <c r="W40" s="167" t="str">
        <f>IFERROR(C40,"")</f>
        <v>#ERROR!</v>
      </c>
      <c r="X40" s="168" t="str">
        <f>IFERROR(ROUND(C40*0.85,2),"")</f>
        <v>#ERROR!</v>
      </c>
    </row>
    <row r="41" ht="15.0" customHeight="1">
      <c r="A41" s="174" t="s">
        <v>451</v>
      </c>
      <c r="B41" s="169" t="s">
        <v>452</v>
      </c>
      <c r="C41" s="162">
        <v>14.5</v>
      </c>
      <c r="D41" s="163" t="str">
        <f>IFERROR(ROUND(C41*0.95,2),"")</f>
        <v>#ERROR!</v>
      </c>
      <c r="E41" s="163" t="str">
        <f>IFERROR(ROUND(C41*0.92,2),"")</f>
        <v>#ERROR!</v>
      </c>
      <c r="F41" s="163" t="str">
        <f>IFERROR(ROUND(C41*0.88,2),"")</f>
        <v>#ERROR!</v>
      </c>
      <c r="G41" s="164" t="str">
        <f>IFERROR(ROUND(C41*1,2),"")</f>
        <v>#ERROR!</v>
      </c>
      <c r="H41" s="164" t="str">
        <f>IFERROR(ROUND(C41*0.97,2),"")</f>
        <v>#ERROR!</v>
      </c>
      <c r="I41" s="164" t="str">
        <f>IFERROR(ROUND(C41*0.94,2),"")</f>
        <v>#ERROR!</v>
      </c>
      <c r="J41" s="165" t="str">
        <f>IFERROR(ROUND((C41/IFERROR(INDEX(Config!B:B,MATCH("TVA "&amp;A41,Config!A:A,0)),1.1))*0.55,2),"")</f>
        <v>#ERROR!</v>
      </c>
      <c r="K41" s="165" t="str">
        <f>IFERROR(ROUND((C41/IFERROR(INDEX(Config!B:B,MATCH("TVA "&amp;A41,Config!A:A,0)),1.1))*0.48,2),"")</f>
        <v>#ERROR!</v>
      </c>
      <c r="L41" s="165" t="str">
        <f>IFERROR(ROUND((C41/IFERROR(INDEX(Config!B:B,MATCH("TVA "&amp;A41,Config!A:A,0)),1.1))*0.42,2),"")</f>
        <v>#ERROR!</v>
      </c>
      <c r="M41" s="165" t="str">
        <f>IFERROR(ROUND((C41/IFERROR(INDEX(Config!B:B,MATCH("TVA "&amp;A41,Config!A:A,0)),1.1))*0.58,2),"")</f>
        <v>#ERROR!</v>
      </c>
      <c r="N41" s="165" t="str">
        <f>IFERROR(ROUND((C41/IFERROR(INDEX(Config!B:B,MATCH("TVA "&amp;A41,Config!A:A,0)),1.1))*0.52,2),"")</f>
        <v>#ERROR!</v>
      </c>
      <c r="O41" s="165" t="str">
        <f>IFERROR(ROUND((C41/IFERROR(INDEX(Config!B:B,MATCH("TVA "&amp;A41,Config!A:A,0)),1.1))*0.52,2),"")</f>
        <v>#ERROR!</v>
      </c>
      <c r="P41" s="165" t="str">
        <f>IFERROR(ROUND((C41/IFERROR(INDEX(Config!B:B,MATCH("TVA "&amp;A41,Config!A:A,0)),1.1))*0.55,2),"")</f>
        <v>#ERROR!</v>
      </c>
      <c r="Q41" s="165" t="str">
        <f>IFERROR(ROUND((C41/IFERROR(INDEX(Config!B:B,MATCH("TVA "&amp;A41,Config!A:A,0)),1.1))*0.5,2),"")</f>
        <v>#ERROR!</v>
      </c>
      <c r="R41" s="165" t="str">
        <f>IFERROR(ROUND((C41/IFERROR(INDEX(Config!B:B,MATCH("TVA "&amp;A41,Config!A:A,0)),1.1))*0.5,2),"")</f>
        <v>#ERROR!</v>
      </c>
      <c r="S41" s="165" t="str">
        <f>IFERROR(ROUND((C41/IFERROR(INDEX(Config!B:B,MATCH("TVA "&amp;A41,Config!A:A,0)),1.1))*0.62,2),"")</f>
        <v>#ERROR!</v>
      </c>
      <c r="T41" s="165" t="str">
        <f>IFERROR(ROUND((C41/IFERROR(INDEX(Config!B:B,MATCH("TVA "&amp;A41,Config!A:A,0)),1.1))*0.58,2),"")</f>
        <v>#ERROR!</v>
      </c>
      <c r="U41" s="165" t="str">
        <f>IFERROR(ROUND((C41/IFERROR(INDEX(Config!B:B,MATCH("TVA "&amp;A41,Config!A:A,0)),1.1))*0.58,2),"")</f>
        <v>#ERROR!</v>
      </c>
      <c r="V41" s="166" t="str">
        <f>IFERROR(((C41/IFERROR(INDEX(Config!B:B,MATCH("TVA "&amp;A41,Config!A:A,0)),1.1))-IFERROR(INDEX('Cout de Revient'!I:I,MATCH(B41,'Cout de Revient'!C:C,0)),0))/(C41/IFERROR(INDEX(Config!B:B,MATCH("TVA "&amp;A41,Config!A:A,0)),1.1)),"")</f>
        <v>#ERROR!</v>
      </c>
      <c r="W41" s="167" t="str">
        <f>IFERROR(C41,"")</f>
        <v>#ERROR!</v>
      </c>
      <c r="X41" s="168" t="str">
        <f>IFERROR(ROUND(C41*0.85,2),"")</f>
        <v>#ERROR!</v>
      </c>
    </row>
    <row r="42" ht="15.0" customHeight="1">
      <c r="A42" s="174" t="s">
        <v>451</v>
      </c>
      <c r="B42" s="175" t="s">
        <v>489</v>
      </c>
      <c r="C42" s="162">
        <v>18.9</v>
      </c>
      <c r="D42" s="163" t="str">
        <f>IFERROR(ROUND(C42*0.95,2),"")</f>
        <v>#ERROR!</v>
      </c>
      <c r="E42" s="163" t="str">
        <f>IFERROR(ROUND(C42*0.92,2),"")</f>
        <v>#ERROR!</v>
      </c>
      <c r="F42" s="163" t="str">
        <f>IFERROR(ROUND(C42*0.88,2),"")</f>
        <v>#ERROR!</v>
      </c>
      <c r="G42" s="164" t="str">
        <f>IFERROR(ROUND(C42*1,2),"")</f>
        <v>#ERROR!</v>
      </c>
      <c r="H42" s="164" t="str">
        <f>IFERROR(ROUND(C42*0.97,2),"")</f>
        <v>#ERROR!</v>
      </c>
      <c r="I42" s="164" t="str">
        <f>IFERROR(ROUND(C42*0.94,2),"")</f>
        <v>#ERROR!</v>
      </c>
      <c r="J42" s="165" t="str">
        <f>IFERROR(ROUND((C42/IFERROR(INDEX(Config!B:B,MATCH("TVA "&amp;A42,Config!A:A,0)),1.1))*0.55,2),"")</f>
        <v>#ERROR!</v>
      </c>
      <c r="K42" s="165" t="str">
        <f>IFERROR(ROUND((C42/IFERROR(INDEX(Config!B:B,MATCH("TVA "&amp;A42,Config!A:A,0)),1.1))*0.48,2),"")</f>
        <v>#ERROR!</v>
      </c>
      <c r="L42" s="165" t="str">
        <f>IFERROR(ROUND((C42/IFERROR(INDEX(Config!B:B,MATCH("TVA "&amp;A42,Config!A:A,0)),1.1))*0.42,2),"")</f>
        <v>#ERROR!</v>
      </c>
      <c r="M42" s="165" t="str">
        <f>IFERROR(ROUND((C42/IFERROR(INDEX(Config!B:B,MATCH("TVA "&amp;A42,Config!A:A,0)),1.1))*0.58,2),"")</f>
        <v>#ERROR!</v>
      </c>
      <c r="N42" s="165" t="str">
        <f>IFERROR(ROUND((C42/IFERROR(INDEX(Config!B:B,MATCH("TVA "&amp;A42,Config!A:A,0)),1.1))*0.52,2),"")</f>
        <v>#ERROR!</v>
      </c>
      <c r="O42" s="165" t="str">
        <f>IFERROR(ROUND((C42/IFERROR(INDEX(Config!B:B,MATCH("TVA "&amp;A42,Config!A:A,0)),1.1))*0.52,2),"")</f>
        <v>#ERROR!</v>
      </c>
      <c r="P42" s="165" t="str">
        <f>IFERROR(ROUND((C42/IFERROR(INDEX(Config!B:B,MATCH("TVA "&amp;A42,Config!A:A,0)),1.1))*0.55,2),"")</f>
        <v>#ERROR!</v>
      </c>
      <c r="Q42" s="165" t="str">
        <f>IFERROR(ROUND((C42/IFERROR(INDEX(Config!B:B,MATCH("TVA "&amp;A42,Config!A:A,0)),1.1))*0.5,2),"")</f>
        <v>#ERROR!</v>
      </c>
      <c r="R42" s="165" t="str">
        <f>IFERROR(ROUND((C42/IFERROR(INDEX(Config!B:B,MATCH("TVA "&amp;A42,Config!A:A,0)),1.1))*0.5,2),"")</f>
        <v>#ERROR!</v>
      </c>
      <c r="S42" s="165" t="str">
        <f>IFERROR(ROUND((C42/IFERROR(INDEX(Config!B:B,MATCH("TVA "&amp;A42,Config!A:A,0)),1.1))*0.62,2),"")</f>
        <v>#ERROR!</v>
      </c>
      <c r="T42" s="165" t="str">
        <f>IFERROR(ROUND((C42/IFERROR(INDEX(Config!B:B,MATCH("TVA "&amp;A42,Config!A:A,0)),1.1))*0.58,2),"")</f>
        <v>#ERROR!</v>
      </c>
      <c r="U42" s="165" t="str">
        <f>IFERROR(ROUND((C42/IFERROR(INDEX(Config!B:B,MATCH("TVA "&amp;A42,Config!A:A,0)),1.1))*0.58,2),"")</f>
        <v>#ERROR!</v>
      </c>
      <c r="V42" s="166" t="str">
        <f>IFERROR(((C42/IFERROR(INDEX(Config!B:B,MATCH("TVA "&amp;A42,Config!A:A,0)),1.1))-IFERROR(INDEX('Cout de Revient'!I:I,MATCH(B42,'Cout de Revient'!C:C,0)),0))/(C42/IFERROR(INDEX(Config!B:B,MATCH("TVA "&amp;A42,Config!A:A,0)),1.1)),"")</f>
        <v>#ERROR!</v>
      </c>
      <c r="W42" s="167" t="str">
        <f>IFERROR(C42,"")</f>
        <v>#ERROR!</v>
      </c>
      <c r="X42" s="168" t="str">
        <f>IFERROR(ROUND(C42*0.85,2),"")</f>
        <v>#ERROR!</v>
      </c>
    </row>
    <row r="43" ht="15.0" customHeight="1">
      <c r="A43" s="174" t="s">
        <v>451</v>
      </c>
      <c r="B43" s="169" t="s">
        <v>596</v>
      </c>
      <c r="C43" s="162">
        <v>26.9</v>
      </c>
      <c r="D43" s="163" t="str">
        <f>IFERROR(ROUND(C43*0.95,2),"")</f>
        <v>#ERROR!</v>
      </c>
      <c r="E43" s="163" t="str">
        <f>IFERROR(ROUND(C43*0.92,2),"")</f>
        <v>#ERROR!</v>
      </c>
      <c r="F43" s="163" t="str">
        <f>IFERROR(ROUND(C43*0.88,2),"")</f>
        <v>#ERROR!</v>
      </c>
      <c r="G43" s="164" t="str">
        <f>IFERROR(ROUND(C43*1,2),"")</f>
        <v>#ERROR!</v>
      </c>
      <c r="H43" s="164" t="str">
        <f>IFERROR(ROUND(C43*0.97,2),"")</f>
        <v>#ERROR!</v>
      </c>
      <c r="I43" s="164" t="str">
        <f>IFERROR(ROUND(C43*0.94,2),"")</f>
        <v>#ERROR!</v>
      </c>
      <c r="J43" s="165" t="str">
        <f>IFERROR(ROUND((C43/IFERROR(INDEX(Config!B:B,MATCH("TVA "&amp;A43,Config!A:A,0)),1.1))*0.55,2),"")</f>
        <v>#ERROR!</v>
      </c>
      <c r="K43" s="165" t="str">
        <f>IFERROR(ROUND((C43/IFERROR(INDEX(Config!B:B,MATCH("TVA "&amp;A43,Config!A:A,0)),1.1))*0.48,2),"")</f>
        <v>#ERROR!</v>
      </c>
      <c r="L43" s="165" t="str">
        <f>IFERROR(ROUND((C43/IFERROR(INDEX(Config!B:B,MATCH("TVA "&amp;A43,Config!A:A,0)),1.1))*0.42,2),"")</f>
        <v>#ERROR!</v>
      </c>
      <c r="M43" s="165" t="str">
        <f>IFERROR(ROUND((C43/IFERROR(INDEX(Config!B:B,MATCH("TVA "&amp;A43,Config!A:A,0)),1.1))*0.58,2),"")</f>
        <v>#ERROR!</v>
      </c>
      <c r="N43" s="165" t="str">
        <f>IFERROR(ROUND((C43/IFERROR(INDEX(Config!B:B,MATCH("TVA "&amp;A43,Config!A:A,0)),1.1))*0.52,2),"")</f>
        <v>#ERROR!</v>
      </c>
      <c r="O43" s="165" t="str">
        <f>IFERROR(ROUND((C43/IFERROR(INDEX(Config!B:B,MATCH("TVA "&amp;A43,Config!A:A,0)),1.1))*0.52,2),"")</f>
        <v>#ERROR!</v>
      </c>
      <c r="P43" s="165" t="str">
        <f>IFERROR(ROUND((C43/IFERROR(INDEX(Config!B:B,MATCH("TVA "&amp;A43,Config!A:A,0)),1.1))*0.55,2),"")</f>
        <v>#ERROR!</v>
      </c>
      <c r="Q43" s="165" t="str">
        <f>IFERROR(ROUND((C43/IFERROR(INDEX(Config!B:B,MATCH("TVA "&amp;A43,Config!A:A,0)),1.1))*0.5,2),"")</f>
        <v>#ERROR!</v>
      </c>
      <c r="R43" s="165" t="str">
        <f>IFERROR(ROUND((C43/IFERROR(INDEX(Config!B:B,MATCH("TVA "&amp;A43,Config!A:A,0)),1.1))*0.5,2),"")</f>
        <v>#ERROR!</v>
      </c>
      <c r="S43" s="165" t="str">
        <f>IFERROR(ROUND((C43/IFERROR(INDEX(Config!B:B,MATCH("TVA "&amp;A43,Config!A:A,0)),1.1))*0.62,2),"")</f>
        <v>#ERROR!</v>
      </c>
      <c r="T43" s="165" t="str">
        <f>IFERROR(ROUND((C43/IFERROR(INDEX(Config!B:B,MATCH("TVA "&amp;A43,Config!A:A,0)),1.1))*0.58,2),"")</f>
        <v>#ERROR!</v>
      </c>
      <c r="U43" s="165" t="str">
        <f>IFERROR(ROUND((C43/IFERROR(INDEX(Config!B:B,MATCH("TVA "&amp;A43,Config!A:A,0)),1.1))*0.58,2),"")</f>
        <v>#ERROR!</v>
      </c>
      <c r="V43" s="166" t="str">
        <f>IFERROR(((C43/IFERROR(INDEX(Config!B:B,MATCH("TVA "&amp;A43,Config!A:A,0)),1.1))-IFERROR(INDEX('Cout de Revient'!I:I,MATCH(B43,'Cout de Revient'!C:C,0)),0))/(C43/IFERROR(INDEX(Config!B:B,MATCH("TVA "&amp;A43,Config!A:A,0)),1.1)),"")</f>
        <v>#ERROR!</v>
      </c>
      <c r="W43" s="167" t="str">
        <f>IFERROR(C43,"")</f>
        <v>#ERROR!</v>
      </c>
      <c r="X43" s="168" t="str">
        <f>IFERROR(ROUND(C43*0.85,2),"")</f>
        <v>#ERROR!</v>
      </c>
    </row>
    <row r="44" ht="15.0" customHeight="1">
      <c r="A44" s="174" t="s">
        <v>451</v>
      </c>
      <c r="B44" s="175" t="s">
        <v>597</v>
      </c>
      <c r="C44" s="162">
        <v>2.2</v>
      </c>
      <c r="D44" s="163" t="str">
        <f>IFERROR(ROUND(C44*0.95,2),"")</f>
        <v>#ERROR!</v>
      </c>
      <c r="E44" s="163" t="str">
        <f>IFERROR(ROUND(C44*0.92,2),"")</f>
        <v>#ERROR!</v>
      </c>
      <c r="F44" s="163" t="str">
        <f>IFERROR(ROUND(C44*0.88,2),"")</f>
        <v>#ERROR!</v>
      </c>
      <c r="G44" s="164" t="str">
        <f>IFERROR(ROUND(C44*1,2),"")</f>
        <v>#ERROR!</v>
      </c>
      <c r="H44" s="164" t="str">
        <f>IFERROR(ROUND(C44*0.97,2),"")</f>
        <v>#ERROR!</v>
      </c>
      <c r="I44" s="164" t="str">
        <f>IFERROR(ROUND(C44*0.94,2),"")</f>
        <v>#ERROR!</v>
      </c>
      <c r="J44" s="165" t="str">
        <f>IFERROR(ROUND((C44/IFERROR(INDEX(Config!B:B,MATCH("TVA "&amp;A44,Config!A:A,0)),1.1))*0.55,2),"")</f>
        <v>#ERROR!</v>
      </c>
      <c r="K44" s="165" t="str">
        <f>IFERROR(ROUND((C44/IFERROR(INDEX(Config!B:B,MATCH("TVA "&amp;A44,Config!A:A,0)),1.1))*0.48,2),"")</f>
        <v>#ERROR!</v>
      </c>
      <c r="L44" s="165" t="str">
        <f>IFERROR(ROUND((C44/IFERROR(INDEX(Config!B:B,MATCH("TVA "&amp;A44,Config!A:A,0)),1.1))*0.42,2),"")</f>
        <v>#ERROR!</v>
      </c>
      <c r="M44" s="165" t="str">
        <f>IFERROR(ROUND((C44/IFERROR(INDEX(Config!B:B,MATCH("TVA "&amp;A44,Config!A:A,0)),1.1))*0.58,2),"")</f>
        <v>#ERROR!</v>
      </c>
      <c r="N44" s="165" t="str">
        <f>IFERROR(ROUND((C44/IFERROR(INDEX(Config!B:B,MATCH("TVA "&amp;A44,Config!A:A,0)),1.1))*0.52,2),"")</f>
        <v>#ERROR!</v>
      </c>
      <c r="O44" s="165" t="str">
        <f>IFERROR(ROUND((C44/IFERROR(INDEX(Config!B:B,MATCH("TVA "&amp;A44,Config!A:A,0)),1.1))*0.52,2),"")</f>
        <v>#ERROR!</v>
      </c>
      <c r="P44" s="165" t="str">
        <f>IFERROR(ROUND((C44/IFERROR(INDEX(Config!B:B,MATCH("TVA "&amp;A44,Config!A:A,0)),1.1))*0.55,2),"")</f>
        <v>#ERROR!</v>
      </c>
      <c r="Q44" s="165" t="str">
        <f>IFERROR(ROUND((C44/IFERROR(INDEX(Config!B:B,MATCH("TVA "&amp;A44,Config!A:A,0)),1.1))*0.5,2),"")</f>
        <v>#ERROR!</v>
      </c>
      <c r="R44" s="165" t="str">
        <f>IFERROR(ROUND((C44/IFERROR(INDEX(Config!B:B,MATCH("TVA "&amp;A44,Config!A:A,0)),1.1))*0.5,2),"")</f>
        <v>#ERROR!</v>
      </c>
      <c r="S44" s="165" t="str">
        <f>IFERROR(ROUND((C44/IFERROR(INDEX(Config!B:B,MATCH("TVA "&amp;A44,Config!A:A,0)),1.1))*0.62,2),"")</f>
        <v>#ERROR!</v>
      </c>
      <c r="T44" s="165" t="str">
        <f>IFERROR(ROUND((C44/IFERROR(INDEX(Config!B:B,MATCH("TVA "&amp;A44,Config!A:A,0)),1.1))*0.58,2),"")</f>
        <v>#ERROR!</v>
      </c>
      <c r="U44" s="165" t="str">
        <f>IFERROR(ROUND((C44/IFERROR(INDEX(Config!B:B,MATCH("TVA "&amp;A44,Config!A:A,0)),1.1))*0.58,2),"")</f>
        <v>#ERROR!</v>
      </c>
      <c r="V44" s="166" t="str">
        <f>IFERROR(((C44/IFERROR(INDEX(Config!B:B,MATCH("TVA "&amp;A44,Config!A:A,0)),1.1))-IFERROR(INDEX('Cout de Revient'!I:I,MATCH(B44,'Cout de Revient'!C:C,0)),0))/(C44/IFERROR(INDEX(Config!B:B,MATCH("TVA "&amp;A44,Config!A:A,0)),1.1)),"")</f>
        <v>#ERROR!</v>
      </c>
      <c r="W44" s="167" t="str">
        <f>IFERROR(C44,"")</f>
        <v>#ERROR!</v>
      </c>
      <c r="X44" s="168" t="str">
        <f>IFERROR(ROUND(C44*0.85,2),"")</f>
        <v>#ERROR!</v>
      </c>
    </row>
    <row r="45" ht="15.0" customHeight="1">
      <c r="A45" s="174" t="s">
        <v>451</v>
      </c>
      <c r="B45" s="169" t="s">
        <v>598</v>
      </c>
      <c r="C45" s="162">
        <v>3.2</v>
      </c>
      <c r="D45" s="163" t="str">
        <f>IFERROR(ROUND(C45*0.95,2),"")</f>
        <v>#ERROR!</v>
      </c>
      <c r="E45" s="163" t="str">
        <f>IFERROR(ROUND(C45*0.92,2),"")</f>
        <v>#ERROR!</v>
      </c>
      <c r="F45" s="163" t="str">
        <f>IFERROR(ROUND(C45*0.88,2),"")</f>
        <v>#ERROR!</v>
      </c>
      <c r="G45" s="164" t="str">
        <f>IFERROR(ROUND(C45*1,2),"")</f>
        <v>#ERROR!</v>
      </c>
      <c r="H45" s="164" t="str">
        <f>IFERROR(ROUND(C45*0.97,2),"")</f>
        <v>#ERROR!</v>
      </c>
      <c r="I45" s="164" t="str">
        <f>IFERROR(ROUND(C45*0.94,2),"")</f>
        <v>#ERROR!</v>
      </c>
      <c r="J45" s="165" t="str">
        <f>IFERROR(ROUND((C45/IFERROR(INDEX(Config!B:B,MATCH("TVA "&amp;A45,Config!A:A,0)),1.1))*0.55,2),"")</f>
        <v>#ERROR!</v>
      </c>
      <c r="K45" s="165" t="str">
        <f>IFERROR(ROUND((C45/IFERROR(INDEX(Config!B:B,MATCH("TVA "&amp;A45,Config!A:A,0)),1.1))*0.48,2),"")</f>
        <v>#ERROR!</v>
      </c>
      <c r="L45" s="165" t="str">
        <f>IFERROR(ROUND((C45/IFERROR(INDEX(Config!B:B,MATCH("TVA "&amp;A45,Config!A:A,0)),1.1))*0.42,2),"")</f>
        <v>#ERROR!</v>
      </c>
      <c r="M45" s="165" t="str">
        <f>IFERROR(ROUND((C45/IFERROR(INDEX(Config!B:B,MATCH("TVA "&amp;A45,Config!A:A,0)),1.1))*0.58,2),"")</f>
        <v>#ERROR!</v>
      </c>
      <c r="N45" s="165" t="str">
        <f>IFERROR(ROUND((C45/IFERROR(INDEX(Config!B:B,MATCH("TVA "&amp;A45,Config!A:A,0)),1.1))*0.52,2),"")</f>
        <v>#ERROR!</v>
      </c>
      <c r="O45" s="165" t="str">
        <f>IFERROR(ROUND((C45/IFERROR(INDEX(Config!B:B,MATCH("TVA "&amp;A45,Config!A:A,0)),1.1))*0.52,2),"")</f>
        <v>#ERROR!</v>
      </c>
      <c r="P45" s="165" t="str">
        <f>IFERROR(ROUND((C45/IFERROR(INDEX(Config!B:B,MATCH("TVA "&amp;A45,Config!A:A,0)),1.1))*0.55,2),"")</f>
        <v>#ERROR!</v>
      </c>
      <c r="Q45" s="165" t="str">
        <f>IFERROR(ROUND((C45/IFERROR(INDEX(Config!B:B,MATCH("TVA "&amp;A45,Config!A:A,0)),1.1))*0.5,2),"")</f>
        <v>#ERROR!</v>
      </c>
      <c r="R45" s="165" t="str">
        <f>IFERROR(ROUND((C45/IFERROR(INDEX(Config!B:B,MATCH("TVA "&amp;A45,Config!A:A,0)),1.1))*0.5,2),"")</f>
        <v>#ERROR!</v>
      </c>
      <c r="S45" s="165" t="str">
        <f>IFERROR(ROUND((C45/IFERROR(INDEX(Config!B:B,MATCH("TVA "&amp;A45,Config!A:A,0)),1.1))*0.62,2),"")</f>
        <v>#ERROR!</v>
      </c>
      <c r="T45" s="165" t="str">
        <f>IFERROR(ROUND((C45/IFERROR(INDEX(Config!B:B,MATCH("TVA "&amp;A45,Config!A:A,0)),1.1))*0.58,2),"")</f>
        <v>#ERROR!</v>
      </c>
      <c r="U45" s="165" t="str">
        <f>IFERROR(ROUND((C45/IFERROR(INDEX(Config!B:B,MATCH("TVA "&amp;A45,Config!A:A,0)),1.1))*0.58,2),"")</f>
        <v>#ERROR!</v>
      </c>
      <c r="V45" s="166" t="str">
        <f>IFERROR(((C45/IFERROR(INDEX(Config!B:B,MATCH("TVA "&amp;A45,Config!A:A,0)),1.1))-IFERROR(INDEX('Cout de Revient'!I:I,MATCH(B45,'Cout de Revient'!C:C,0)),0))/(C45/IFERROR(INDEX(Config!B:B,MATCH("TVA "&amp;A45,Config!A:A,0)),1.1)),"")</f>
        <v>#ERROR!</v>
      </c>
      <c r="W45" s="167" t="str">
        <f>IFERROR(C45,"")</f>
        <v>#ERROR!</v>
      </c>
      <c r="X45" s="168" t="str">
        <f>IFERROR(ROUND(C45*0.85,2),"")</f>
        <v>#ERROR!</v>
      </c>
    </row>
    <row r="46" ht="15.0" customHeight="1">
      <c r="A46" s="174" t="s">
        <v>451</v>
      </c>
      <c r="B46" s="175" t="s">
        <v>599</v>
      </c>
      <c r="C46" s="162">
        <v>4.5</v>
      </c>
      <c r="D46" s="163" t="str">
        <f>IFERROR(ROUND(C46*0.95,2),"")</f>
        <v>#ERROR!</v>
      </c>
      <c r="E46" s="163" t="str">
        <f>IFERROR(ROUND(C46*0.92,2),"")</f>
        <v>#ERROR!</v>
      </c>
      <c r="F46" s="163" t="str">
        <f>IFERROR(ROUND(C46*0.88,2),"")</f>
        <v>#ERROR!</v>
      </c>
      <c r="G46" s="164" t="str">
        <f>IFERROR(ROUND(C46*1,2),"")</f>
        <v>#ERROR!</v>
      </c>
      <c r="H46" s="164" t="str">
        <f>IFERROR(ROUND(C46*0.97,2),"")</f>
        <v>#ERROR!</v>
      </c>
      <c r="I46" s="164" t="str">
        <f>IFERROR(ROUND(C46*0.94,2),"")</f>
        <v>#ERROR!</v>
      </c>
      <c r="J46" s="165" t="str">
        <f>IFERROR(ROUND((C46/IFERROR(INDEX(Config!B:B,MATCH("TVA "&amp;A46,Config!A:A,0)),1.1))*0.55,2),"")</f>
        <v>#ERROR!</v>
      </c>
      <c r="K46" s="165" t="str">
        <f>IFERROR(ROUND((C46/IFERROR(INDEX(Config!B:B,MATCH("TVA "&amp;A46,Config!A:A,0)),1.1))*0.48,2),"")</f>
        <v>#ERROR!</v>
      </c>
      <c r="L46" s="165" t="str">
        <f>IFERROR(ROUND((C46/IFERROR(INDEX(Config!B:B,MATCH("TVA "&amp;A46,Config!A:A,0)),1.1))*0.42,2),"")</f>
        <v>#ERROR!</v>
      </c>
      <c r="M46" s="165" t="str">
        <f>IFERROR(ROUND((C46/IFERROR(INDEX(Config!B:B,MATCH("TVA "&amp;A46,Config!A:A,0)),1.1))*0.58,2),"")</f>
        <v>#ERROR!</v>
      </c>
      <c r="N46" s="165" t="str">
        <f>IFERROR(ROUND((C46/IFERROR(INDEX(Config!B:B,MATCH("TVA "&amp;A46,Config!A:A,0)),1.1))*0.52,2),"")</f>
        <v>#ERROR!</v>
      </c>
      <c r="O46" s="165" t="str">
        <f>IFERROR(ROUND((C46/IFERROR(INDEX(Config!B:B,MATCH("TVA "&amp;A46,Config!A:A,0)),1.1))*0.52,2),"")</f>
        <v>#ERROR!</v>
      </c>
      <c r="P46" s="165" t="str">
        <f>IFERROR(ROUND((C46/IFERROR(INDEX(Config!B:B,MATCH("TVA "&amp;A46,Config!A:A,0)),1.1))*0.55,2),"")</f>
        <v>#ERROR!</v>
      </c>
      <c r="Q46" s="165" t="str">
        <f>IFERROR(ROUND((C46/IFERROR(INDEX(Config!B:B,MATCH("TVA "&amp;A46,Config!A:A,0)),1.1))*0.5,2),"")</f>
        <v>#ERROR!</v>
      </c>
      <c r="R46" s="165" t="str">
        <f>IFERROR(ROUND((C46/IFERROR(INDEX(Config!B:B,MATCH("TVA "&amp;A46,Config!A:A,0)),1.1))*0.5,2),"")</f>
        <v>#ERROR!</v>
      </c>
      <c r="S46" s="165" t="str">
        <f>IFERROR(ROUND((C46/IFERROR(INDEX(Config!B:B,MATCH("TVA "&amp;A46,Config!A:A,0)),1.1))*0.62,2),"")</f>
        <v>#ERROR!</v>
      </c>
      <c r="T46" s="165" t="str">
        <f>IFERROR(ROUND((C46/IFERROR(INDEX(Config!B:B,MATCH("TVA "&amp;A46,Config!A:A,0)),1.1))*0.58,2),"")</f>
        <v>#ERROR!</v>
      </c>
      <c r="U46" s="165" t="str">
        <f>IFERROR(ROUND((C46/IFERROR(INDEX(Config!B:B,MATCH("TVA "&amp;A46,Config!A:A,0)),1.1))*0.58,2),"")</f>
        <v>#ERROR!</v>
      </c>
      <c r="V46" s="166" t="str">
        <f>IFERROR(((C46/IFERROR(INDEX(Config!B:B,MATCH("TVA "&amp;A46,Config!A:A,0)),1.1))-IFERROR(INDEX('Cout de Revient'!I:I,MATCH(B46,'Cout de Revient'!C:C,0)),0))/(C46/IFERROR(INDEX(Config!B:B,MATCH("TVA "&amp;A46,Config!A:A,0)),1.1)),"")</f>
        <v>#ERROR!</v>
      </c>
      <c r="W46" s="167" t="str">
        <f>IFERROR(C46,"")</f>
        <v>#ERROR!</v>
      </c>
      <c r="X46" s="168" t="str">
        <f>IFERROR(ROUND(C46*0.85,2),"")</f>
        <v>#ERROR!</v>
      </c>
    </row>
    <row r="47" ht="15.0" customHeight="1">
      <c r="A47" s="176" t="s">
        <v>603</v>
      </c>
    </row>
    <row r="48" ht="15.0" customHeight="1">
      <c r="A48" s="177" t="s">
        <v>455</v>
      </c>
      <c r="B48" s="178" t="s">
        <v>456</v>
      </c>
      <c r="C48" s="162">
        <v>4.9</v>
      </c>
      <c r="D48" s="163" t="str">
        <f>IFERROR(ROUND(C48*0.95,2),"")</f>
        <v>#ERROR!</v>
      </c>
      <c r="E48" s="163" t="str">
        <f>IFERROR(ROUND(C48*0.92,2),"")</f>
        <v>#ERROR!</v>
      </c>
      <c r="F48" s="163" t="str">
        <f>IFERROR(ROUND(C48*0.88,2),"")</f>
        <v>#ERROR!</v>
      </c>
      <c r="G48" s="164" t="str">
        <f>IFERROR(ROUND(C48*1,2),"")</f>
        <v>#ERROR!</v>
      </c>
      <c r="H48" s="164" t="str">
        <f>IFERROR(ROUND(C48*0.97,2),"")</f>
        <v>#ERROR!</v>
      </c>
      <c r="I48" s="164" t="str">
        <f>IFERROR(ROUND(C48*0.94,2),"")</f>
        <v>#ERROR!</v>
      </c>
      <c r="J48" s="165" t="str">
        <f>IFERROR(ROUND((C48/IFERROR(INDEX(Config!B:B,MATCH("TVA "&amp;A48,Config!A:A,0)),1.055))*0.55,2),"")</f>
        <v>#ERROR!</v>
      </c>
      <c r="K48" s="165" t="str">
        <f>IFERROR(ROUND((C48/IFERROR(INDEX(Config!B:B,MATCH("TVA "&amp;A48,Config!A:A,0)),1.055))*0.48,2),"")</f>
        <v>#ERROR!</v>
      </c>
      <c r="L48" s="165" t="str">
        <f>IFERROR(ROUND((C48/IFERROR(INDEX(Config!B:B,MATCH("TVA "&amp;A48,Config!A:A,0)),1.055))*0.42,2),"")</f>
        <v>#ERROR!</v>
      </c>
      <c r="M48" s="165" t="str">
        <f>IFERROR(ROUND((C48/IFERROR(INDEX(Config!B:B,MATCH("TVA "&amp;A48,Config!A:A,0)),1.055))*0.58,2),"")</f>
        <v>#ERROR!</v>
      </c>
      <c r="N48" s="165" t="str">
        <f>IFERROR(ROUND((C48/IFERROR(INDEX(Config!B:B,MATCH("TVA "&amp;A48,Config!A:A,0)),1.055))*0.52,2),"")</f>
        <v>#ERROR!</v>
      </c>
      <c r="O48" s="165" t="str">
        <f>IFERROR(ROUND((C48/IFERROR(INDEX(Config!B:B,MATCH("TVA "&amp;A48,Config!A:A,0)),1.055))*0.52,2),"")</f>
        <v>#ERROR!</v>
      </c>
      <c r="P48" s="165" t="str">
        <f>IFERROR(ROUND((C48/IFERROR(INDEX(Config!B:B,MATCH("TVA "&amp;A48,Config!A:A,0)),1.055))*0.55,2),"")</f>
        <v>#ERROR!</v>
      </c>
      <c r="Q48" s="165" t="str">
        <f>IFERROR(ROUND((C48/IFERROR(INDEX(Config!B:B,MATCH("TVA "&amp;A48,Config!A:A,0)),1.055))*0.5,2),"")</f>
        <v>#ERROR!</v>
      </c>
      <c r="R48" s="165" t="str">
        <f>IFERROR(ROUND((C48/IFERROR(INDEX(Config!B:B,MATCH("TVA "&amp;A48,Config!A:A,0)),1.055))*0.5,2),"")</f>
        <v>#ERROR!</v>
      </c>
      <c r="S48" s="165" t="str">
        <f>IFERROR(ROUND((C48/IFERROR(INDEX(Config!B:B,MATCH("TVA "&amp;A48,Config!A:A,0)),1.055))*0.62,2),"")</f>
        <v>#ERROR!</v>
      </c>
      <c r="T48" s="165" t="str">
        <f>IFERROR(ROUND((C48/IFERROR(INDEX(Config!B:B,MATCH("TVA "&amp;A48,Config!A:A,0)),1.055))*0.58,2),"")</f>
        <v>#ERROR!</v>
      </c>
      <c r="U48" s="165" t="str">
        <f>IFERROR(ROUND((C48/IFERROR(INDEX(Config!B:B,MATCH("TVA "&amp;A48,Config!A:A,0)),1.055))*0.58,2),"")</f>
        <v>#ERROR!</v>
      </c>
      <c r="V48" s="166" t="str">
        <f>IFERROR(((C48/IFERROR(INDEX(Config!B:B,MATCH("TVA "&amp;A48,Config!A:A,0)),1.055))-IFERROR(INDEX('Cout de Revient'!I:I,MATCH(B48,'Cout de Revient'!C:C,0)),0))/(C48/IFERROR(INDEX(Config!B:B,MATCH("TVA "&amp;A48,Config!A:A,0)),1.055)),"")</f>
        <v>#ERROR!</v>
      </c>
      <c r="W48" s="167" t="str">
        <f>IFERROR(C48,"")</f>
        <v>#ERROR!</v>
      </c>
      <c r="X48" s="168" t="str">
        <f>IFERROR(ROUND(C48*0.85,2),"")</f>
        <v>#ERROR!</v>
      </c>
    </row>
    <row r="49" ht="15.0" customHeight="1">
      <c r="A49" s="177" t="s">
        <v>455</v>
      </c>
      <c r="B49" s="169" t="s">
        <v>448</v>
      </c>
      <c r="C49" s="162">
        <v>5.9</v>
      </c>
      <c r="D49" s="163" t="str">
        <f>IFERROR(ROUND(C49*0.95,2),"")</f>
        <v>#ERROR!</v>
      </c>
      <c r="E49" s="163" t="str">
        <f>IFERROR(ROUND(C49*0.92,2),"")</f>
        <v>#ERROR!</v>
      </c>
      <c r="F49" s="163" t="str">
        <f>IFERROR(ROUND(C49*0.88,2),"")</f>
        <v>#ERROR!</v>
      </c>
      <c r="G49" s="164" t="str">
        <f>IFERROR(ROUND(C49*1,2),"")</f>
        <v>#ERROR!</v>
      </c>
      <c r="H49" s="164" t="str">
        <f>IFERROR(ROUND(C49*0.97,2),"")</f>
        <v>#ERROR!</v>
      </c>
      <c r="I49" s="164" t="str">
        <f>IFERROR(ROUND(C49*0.94,2),"")</f>
        <v>#ERROR!</v>
      </c>
      <c r="J49" s="165" t="str">
        <f>IFERROR(ROUND((C49/IFERROR(INDEX(Config!B:B,MATCH("TVA "&amp;A49,Config!A:A,0)),1.055))*0.55,2),"")</f>
        <v>#ERROR!</v>
      </c>
      <c r="K49" s="165" t="str">
        <f>IFERROR(ROUND((C49/IFERROR(INDEX(Config!B:B,MATCH("TVA "&amp;A49,Config!A:A,0)),1.055))*0.48,2),"")</f>
        <v>#ERROR!</v>
      </c>
      <c r="L49" s="165" t="str">
        <f>IFERROR(ROUND((C49/IFERROR(INDEX(Config!B:B,MATCH("TVA "&amp;A49,Config!A:A,0)),1.055))*0.42,2),"")</f>
        <v>#ERROR!</v>
      </c>
      <c r="M49" s="165" t="str">
        <f>IFERROR(ROUND((C49/IFERROR(INDEX(Config!B:B,MATCH("TVA "&amp;A49,Config!A:A,0)),1.055))*0.58,2),"")</f>
        <v>#ERROR!</v>
      </c>
      <c r="N49" s="165" t="str">
        <f>IFERROR(ROUND((C49/IFERROR(INDEX(Config!B:B,MATCH("TVA "&amp;A49,Config!A:A,0)),1.055))*0.52,2),"")</f>
        <v>#ERROR!</v>
      </c>
      <c r="O49" s="165" t="str">
        <f>IFERROR(ROUND((C49/IFERROR(INDEX(Config!B:B,MATCH("TVA "&amp;A49,Config!A:A,0)),1.055))*0.52,2),"")</f>
        <v>#ERROR!</v>
      </c>
      <c r="P49" s="165" t="str">
        <f>IFERROR(ROUND((C49/IFERROR(INDEX(Config!B:B,MATCH("TVA "&amp;A49,Config!A:A,0)),1.055))*0.55,2),"")</f>
        <v>#ERROR!</v>
      </c>
      <c r="Q49" s="165" t="str">
        <f>IFERROR(ROUND((C49/IFERROR(INDEX(Config!B:B,MATCH("TVA "&amp;A49,Config!A:A,0)),1.055))*0.5,2),"")</f>
        <v>#ERROR!</v>
      </c>
      <c r="R49" s="165" t="str">
        <f>IFERROR(ROUND((C49/IFERROR(INDEX(Config!B:B,MATCH("TVA "&amp;A49,Config!A:A,0)),1.055))*0.5,2),"")</f>
        <v>#ERROR!</v>
      </c>
      <c r="S49" s="165" t="str">
        <f>IFERROR(ROUND((C49/IFERROR(INDEX(Config!B:B,MATCH("TVA "&amp;A49,Config!A:A,0)),1.055))*0.62,2),"")</f>
        <v>#ERROR!</v>
      </c>
      <c r="T49" s="165" t="str">
        <f>IFERROR(ROUND((C49/IFERROR(INDEX(Config!B:B,MATCH("TVA "&amp;A49,Config!A:A,0)),1.055))*0.58,2),"")</f>
        <v>#ERROR!</v>
      </c>
      <c r="U49" s="165" t="str">
        <f>IFERROR(ROUND((C49/IFERROR(INDEX(Config!B:B,MATCH("TVA "&amp;A49,Config!A:A,0)),1.055))*0.58,2),"")</f>
        <v>#ERROR!</v>
      </c>
      <c r="V49" s="166" t="str">
        <f>IFERROR(((C49/IFERROR(INDEX(Config!B:B,MATCH("TVA "&amp;A49,Config!A:A,0)),1.055))-IFERROR(INDEX('Cout de Revient'!I:I,MATCH(B49,'Cout de Revient'!C:C,0)),0))/(C49/IFERROR(INDEX(Config!B:B,MATCH("TVA "&amp;A49,Config!A:A,0)),1.055)),"")</f>
        <v>#ERROR!</v>
      </c>
      <c r="W49" s="167" t="str">
        <f>IFERROR(C49,"")</f>
        <v>#ERROR!</v>
      </c>
      <c r="X49" s="168" t="str">
        <f>IFERROR(ROUND(C49*0.85,2),"")</f>
        <v>#ERROR!</v>
      </c>
    </row>
    <row r="50" ht="15.0" customHeight="1">
      <c r="A50" s="177" t="s">
        <v>455</v>
      </c>
      <c r="B50" s="178" t="s">
        <v>439</v>
      </c>
      <c r="C50" s="162">
        <v>7.9</v>
      </c>
      <c r="D50" s="163" t="str">
        <f>IFERROR(ROUND(C50*0.95,2),"")</f>
        <v>#ERROR!</v>
      </c>
      <c r="E50" s="163" t="str">
        <f>IFERROR(ROUND(C50*0.92,2),"")</f>
        <v>#ERROR!</v>
      </c>
      <c r="F50" s="163" t="str">
        <f>IFERROR(ROUND(C50*0.88,2),"")</f>
        <v>#ERROR!</v>
      </c>
      <c r="G50" s="164" t="str">
        <f>IFERROR(ROUND(C50*1,2),"")</f>
        <v>#ERROR!</v>
      </c>
      <c r="H50" s="164" t="str">
        <f>IFERROR(ROUND(C50*0.97,2),"")</f>
        <v>#ERROR!</v>
      </c>
      <c r="I50" s="164" t="str">
        <f>IFERROR(ROUND(C50*0.94,2),"")</f>
        <v>#ERROR!</v>
      </c>
      <c r="J50" s="165" t="str">
        <f>IFERROR(ROUND((C50/IFERROR(INDEX(Config!B:B,MATCH("TVA "&amp;A50,Config!A:A,0)),1.055))*0.55,2),"")</f>
        <v>#ERROR!</v>
      </c>
      <c r="K50" s="165" t="str">
        <f>IFERROR(ROUND((C50/IFERROR(INDEX(Config!B:B,MATCH("TVA "&amp;A50,Config!A:A,0)),1.055))*0.48,2),"")</f>
        <v>#ERROR!</v>
      </c>
      <c r="L50" s="165" t="str">
        <f>IFERROR(ROUND((C50/IFERROR(INDEX(Config!B:B,MATCH("TVA "&amp;A50,Config!A:A,0)),1.055))*0.42,2),"")</f>
        <v>#ERROR!</v>
      </c>
      <c r="M50" s="165" t="str">
        <f>IFERROR(ROUND((C50/IFERROR(INDEX(Config!B:B,MATCH("TVA "&amp;A50,Config!A:A,0)),1.055))*0.58,2),"")</f>
        <v>#ERROR!</v>
      </c>
      <c r="N50" s="165" t="str">
        <f>IFERROR(ROUND((C50/IFERROR(INDEX(Config!B:B,MATCH("TVA "&amp;A50,Config!A:A,0)),1.055))*0.52,2),"")</f>
        <v>#ERROR!</v>
      </c>
      <c r="O50" s="165" t="str">
        <f>IFERROR(ROUND((C50/IFERROR(INDEX(Config!B:B,MATCH("TVA "&amp;A50,Config!A:A,0)),1.055))*0.52,2),"")</f>
        <v>#ERROR!</v>
      </c>
      <c r="P50" s="165" t="str">
        <f>IFERROR(ROUND((C50/IFERROR(INDEX(Config!B:B,MATCH("TVA "&amp;A50,Config!A:A,0)),1.055))*0.55,2),"")</f>
        <v>#ERROR!</v>
      </c>
      <c r="Q50" s="165" t="str">
        <f>IFERROR(ROUND((C50/IFERROR(INDEX(Config!B:B,MATCH("TVA "&amp;A50,Config!A:A,0)),1.055))*0.5,2),"")</f>
        <v>#ERROR!</v>
      </c>
      <c r="R50" s="165" t="str">
        <f>IFERROR(ROUND((C50/IFERROR(INDEX(Config!B:B,MATCH("TVA "&amp;A50,Config!A:A,0)),1.055))*0.5,2),"")</f>
        <v>#ERROR!</v>
      </c>
      <c r="S50" s="165" t="str">
        <f>IFERROR(ROUND((C50/IFERROR(INDEX(Config!B:B,MATCH("TVA "&amp;A50,Config!A:A,0)),1.055))*0.62,2),"")</f>
        <v>#ERROR!</v>
      </c>
      <c r="T50" s="165" t="str">
        <f>IFERROR(ROUND((C50/IFERROR(INDEX(Config!B:B,MATCH("TVA "&amp;A50,Config!A:A,0)),1.055))*0.58,2),"")</f>
        <v>#ERROR!</v>
      </c>
      <c r="U50" s="165" t="str">
        <f>IFERROR(ROUND((C50/IFERROR(INDEX(Config!B:B,MATCH("TVA "&amp;A50,Config!A:A,0)),1.055))*0.58,2),"")</f>
        <v>#ERROR!</v>
      </c>
      <c r="V50" s="166" t="str">
        <f>IFERROR(((C50/IFERROR(INDEX(Config!B:B,MATCH("TVA "&amp;A50,Config!A:A,0)),1.055))-IFERROR(INDEX('Cout de Revient'!I:I,MATCH(B50,'Cout de Revient'!C:C,0)),0))/(C50/IFERROR(INDEX(Config!B:B,MATCH("TVA "&amp;A50,Config!A:A,0)),1.055)),"")</f>
        <v>#ERROR!</v>
      </c>
      <c r="W50" s="167" t="str">
        <f>IFERROR(C50,"")</f>
        <v>#ERROR!</v>
      </c>
      <c r="X50" s="168" t="str">
        <f>IFERROR(ROUND(C50*0.85,2),"")</f>
        <v>#ERROR!</v>
      </c>
    </row>
    <row r="51" ht="15.0" customHeight="1">
      <c r="A51" s="177" t="s">
        <v>455</v>
      </c>
      <c r="B51" s="169" t="s">
        <v>452</v>
      </c>
      <c r="C51" s="162">
        <v>10.9</v>
      </c>
      <c r="D51" s="163" t="str">
        <f>IFERROR(ROUND(C51*0.95,2),"")</f>
        <v>#ERROR!</v>
      </c>
      <c r="E51" s="163" t="str">
        <f>IFERROR(ROUND(C51*0.92,2),"")</f>
        <v>#ERROR!</v>
      </c>
      <c r="F51" s="163" t="str">
        <f>IFERROR(ROUND(C51*0.88,2),"")</f>
        <v>#ERROR!</v>
      </c>
      <c r="G51" s="164" t="str">
        <f>IFERROR(ROUND(C51*1,2),"")</f>
        <v>#ERROR!</v>
      </c>
      <c r="H51" s="164" t="str">
        <f>IFERROR(ROUND(C51*0.97,2),"")</f>
        <v>#ERROR!</v>
      </c>
      <c r="I51" s="164" t="str">
        <f>IFERROR(ROUND(C51*0.94,2),"")</f>
        <v>#ERROR!</v>
      </c>
      <c r="J51" s="165" t="str">
        <f>IFERROR(ROUND((C51/IFERROR(INDEX(Config!B:B,MATCH("TVA "&amp;A51,Config!A:A,0)),1.055))*0.55,2),"")</f>
        <v>#ERROR!</v>
      </c>
      <c r="K51" s="165" t="str">
        <f>IFERROR(ROUND((C51/IFERROR(INDEX(Config!B:B,MATCH("TVA "&amp;A51,Config!A:A,0)),1.055))*0.48,2),"")</f>
        <v>#ERROR!</v>
      </c>
      <c r="L51" s="165" t="str">
        <f>IFERROR(ROUND((C51/IFERROR(INDEX(Config!B:B,MATCH("TVA "&amp;A51,Config!A:A,0)),1.055))*0.42,2),"")</f>
        <v>#ERROR!</v>
      </c>
      <c r="M51" s="165" t="str">
        <f>IFERROR(ROUND((C51/IFERROR(INDEX(Config!B:B,MATCH("TVA "&amp;A51,Config!A:A,0)),1.055))*0.58,2),"")</f>
        <v>#ERROR!</v>
      </c>
      <c r="N51" s="165" t="str">
        <f>IFERROR(ROUND((C51/IFERROR(INDEX(Config!B:B,MATCH("TVA "&amp;A51,Config!A:A,0)),1.055))*0.52,2),"")</f>
        <v>#ERROR!</v>
      </c>
      <c r="O51" s="165" t="str">
        <f>IFERROR(ROUND((C51/IFERROR(INDEX(Config!B:B,MATCH("TVA "&amp;A51,Config!A:A,0)),1.055))*0.52,2),"")</f>
        <v>#ERROR!</v>
      </c>
      <c r="P51" s="165" t="str">
        <f>IFERROR(ROUND((C51/IFERROR(INDEX(Config!B:B,MATCH("TVA "&amp;A51,Config!A:A,0)),1.055))*0.55,2),"")</f>
        <v>#ERROR!</v>
      </c>
      <c r="Q51" s="165" t="str">
        <f>IFERROR(ROUND((C51/IFERROR(INDEX(Config!B:B,MATCH("TVA "&amp;A51,Config!A:A,0)),1.055))*0.5,2),"")</f>
        <v>#ERROR!</v>
      </c>
      <c r="R51" s="165" t="str">
        <f>IFERROR(ROUND((C51/IFERROR(INDEX(Config!B:B,MATCH("TVA "&amp;A51,Config!A:A,0)),1.055))*0.5,2),"")</f>
        <v>#ERROR!</v>
      </c>
      <c r="S51" s="165" t="str">
        <f>IFERROR(ROUND((C51/IFERROR(INDEX(Config!B:B,MATCH("TVA "&amp;A51,Config!A:A,0)),1.055))*0.62,2),"")</f>
        <v>#ERROR!</v>
      </c>
      <c r="T51" s="165" t="str">
        <f>IFERROR(ROUND((C51/IFERROR(INDEX(Config!B:B,MATCH("TVA "&amp;A51,Config!A:A,0)),1.055))*0.58,2),"")</f>
        <v>#ERROR!</v>
      </c>
      <c r="U51" s="165" t="str">
        <f>IFERROR(ROUND((C51/IFERROR(INDEX(Config!B:B,MATCH("TVA "&amp;A51,Config!A:A,0)),1.055))*0.58,2),"")</f>
        <v>#ERROR!</v>
      </c>
      <c r="V51" s="166" t="str">
        <f>IFERROR(((C51/IFERROR(INDEX(Config!B:B,MATCH("TVA "&amp;A51,Config!A:A,0)),1.055))-IFERROR(INDEX('Cout de Revient'!I:I,MATCH(B51,'Cout de Revient'!C:C,0)),0))/(C51/IFERROR(INDEX(Config!B:B,MATCH("TVA "&amp;A51,Config!A:A,0)),1.055)),"")</f>
        <v>#ERROR!</v>
      </c>
      <c r="W51" s="167" t="str">
        <f>IFERROR(C51,"")</f>
        <v>#ERROR!</v>
      </c>
      <c r="X51" s="168" t="str">
        <f>IFERROR(ROUND(C51*0.85,2),"")</f>
        <v>#ERROR!</v>
      </c>
    </row>
    <row r="52" ht="15.0" customHeight="1">
      <c r="A52" s="177" t="s">
        <v>455</v>
      </c>
      <c r="B52" s="178" t="s">
        <v>489</v>
      </c>
      <c r="C52" s="162">
        <v>14.9</v>
      </c>
      <c r="D52" s="163" t="str">
        <f>IFERROR(ROUND(C52*0.95,2),"")</f>
        <v>#ERROR!</v>
      </c>
      <c r="E52" s="163" t="str">
        <f>IFERROR(ROUND(C52*0.92,2),"")</f>
        <v>#ERROR!</v>
      </c>
      <c r="F52" s="163" t="str">
        <f>IFERROR(ROUND(C52*0.88,2),"")</f>
        <v>#ERROR!</v>
      </c>
      <c r="G52" s="164" t="str">
        <f>IFERROR(ROUND(C52*1,2),"")</f>
        <v>#ERROR!</v>
      </c>
      <c r="H52" s="164" t="str">
        <f>IFERROR(ROUND(C52*0.97,2),"")</f>
        <v>#ERROR!</v>
      </c>
      <c r="I52" s="164" t="str">
        <f>IFERROR(ROUND(C52*0.94,2),"")</f>
        <v>#ERROR!</v>
      </c>
      <c r="J52" s="165" t="str">
        <f>IFERROR(ROUND((C52/IFERROR(INDEX(Config!B:B,MATCH("TVA "&amp;A52,Config!A:A,0)),1.055))*0.55,2),"")</f>
        <v>#ERROR!</v>
      </c>
      <c r="K52" s="165" t="str">
        <f>IFERROR(ROUND((C52/IFERROR(INDEX(Config!B:B,MATCH("TVA "&amp;A52,Config!A:A,0)),1.055))*0.48,2),"")</f>
        <v>#ERROR!</v>
      </c>
      <c r="L52" s="165" t="str">
        <f>IFERROR(ROUND((C52/IFERROR(INDEX(Config!B:B,MATCH("TVA "&amp;A52,Config!A:A,0)),1.055))*0.42,2),"")</f>
        <v>#ERROR!</v>
      </c>
      <c r="M52" s="165" t="str">
        <f>IFERROR(ROUND((C52/IFERROR(INDEX(Config!B:B,MATCH("TVA "&amp;A52,Config!A:A,0)),1.055))*0.58,2),"")</f>
        <v>#ERROR!</v>
      </c>
      <c r="N52" s="165" t="str">
        <f>IFERROR(ROUND((C52/IFERROR(INDEX(Config!B:B,MATCH("TVA "&amp;A52,Config!A:A,0)),1.055))*0.52,2),"")</f>
        <v>#ERROR!</v>
      </c>
      <c r="O52" s="165" t="str">
        <f>IFERROR(ROUND((C52/IFERROR(INDEX(Config!B:B,MATCH("TVA "&amp;A52,Config!A:A,0)),1.055))*0.52,2),"")</f>
        <v>#ERROR!</v>
      </c>
      <c r="P52" s="165" t="str">
        <f>IFERROR(ROUND((C52/IFERROR(INDEX(Config!B:B,MATCH("TVA "&amp;A52,Config!A:A,0)),1.055))*0.55,2),"")</f>
        <v>#ERROR!</v>
      </c>
      <c r="Q52" s="165" t="str">
        <f>IFERROR(ROUND((C52/IFERROR(INDEX(Config!B:B,MATCH("TVA "&amp;A52,Config!A:A,0)),1.055))*0.5,2),"")</f>
        <v>#ERROR!</v>
      </c>
      <c r="R52" s="165" t="str">
        <f>IFERROR(ROUND((C52/IFERROR(INDEX(Config!B:B,MATCH("TVA "&amp;A52,Config!A:A,0)),1.055))*0.5,2),"")</f>
        <v>#ERROR!</v>
      </c>
      <c r="S52" s="165" t="str">
        <f>IFERROR(ROUND((C52/IFERROR(INDEX(Config!B:B,MATCH("TVA "&amp;A52,Config!A:A,0)),1.055))*0.62,2),"")</f>
        <v>#ERROR!</v>
      </c>
      <c r="T52" s="165" t="str">
        <f>IFERROR(ROUND((C52/IFERROR(INDEX(Config!B:B,MATCH("TVA "&amp;A52,Config!A:A,0)),1.055))*0.58,2),"")</f>
        <v>#ERROR!</v>
      </c>
      <c r="U52" s="165" t="str">
        <f>IFERROR(ROUND((C52/IFERROR(INDEX(Config!B:B,MATCH("TVA "&amp;A52,Config!A:A,0)),1.055))*0.58,2),"")</f>
        <v>#ERROR!</v>
      </c>
      <c r="V52" s="166" t="str">
        <f>IFERROR(((C52/IFERROR(INDEX(Config!B:B,MATCH("TVA "&amp;A52,Config!A:A,0)),1.055))-IFERROR(INDEX('Cout de Revient'!I:I,MATCH(B52,'Cout de Revient'!C:C,0)),0))/(C52/IFERROR(INDEX(Config!B:B,MATCH("TVA "&amp;A52,Config!A:A,0)),1.055)),"")</f>
        <v>#ERROR!</v>
      </c>
      <c r="W52" s="167" t="str">
        <f>IFERROR(C52,"")</f>
        <v>#ERROR!</v>
      </c>
      <c r="X52" s="168" t="str">
        <f>IFERROR(ROUND(C52*0.85,2),"")</f>
        <v>#ERROR!</v>
      </c>
    </row>
    <row r="53" ht="15.0" customHeight="1">
      <c r="A53" s="177" t="s">
        <v>455</v>
      </c>
      <c r="B53" s="169" t="s">
        <v>596</v>
      </c>
      <c r="C53" s="162">
        <v>19.9</v>
      </c>
      <c r="D53" s="163" t="str">
        <f>IFERROR(ROUND(C53*0.95,2),"")</f>
        <v>#ERROR!</v>
      </c>
      <c r="E53" s="163" t="str">
        <f>IFERROR(ROUND(C53*0.92,2),"")</f>
        <v>#ERROR!</v>
      </c>
      <c r="F53" s="163" t="str">
        <f>IFERROR(ROUND(C53*0.88,2),"")</f>
        <v>#ERROR!</v>
      </c>
      <c r="G53" s="164" t="str">
        <f>IFERROR(ROUND(C53*1,2),"")</f>
        <v>#ERROR!</v>
      </c>
      <c r="H53" s="164" t="str">
        <f>IFERROR(ROUND(C53*0.97,2),"")</f>
        <v>#ERROR!</v>
      </c>
      <c r="I53" s="164" t="str">
        <f>IFERROR(ROUND(C53*0.94,2),"")</f>
        <v>#ERROR!</v>
      </c>
      <c r="J53" s="165" t="str">
        <f>IFERROR(ROUND((C53/IFERROR(INDEX(Config!B:B,MATCH("TVA "&amp;A53,Config!A:A,0)),1.055))*0.55,2),"")</f>
        <v>#ERROR!</v>
      </c>
      <c r="K53" s="165" t="str">
        <f>IFERROR(ROUND((C53/IFERROR(INDEX(Config!B:B,MATCH("TVA "&amp;A53,Config!A:A,0)),1.055))*0.48,2),"")</f>
        <v>#ERROR!</v>
      </c>
      <c r="L53" s="165" t="str">
        <f>IFERROR(ROUND((C53/IFERROR(INDEX(Config!B:B,MATCH("TVA "&amp;A53,Config!A:A,0)),1.055))*0.42,2),"")</f>
        <v>#ERROR!</v>
      </c>
      <c r="M53" s="165" t="str">
        <f>IFERROR(ROUND((C53/IFERROR(INDEX(Config!B:B,MATCH("TVA "&amp;A53,Config!A:A,0)),1.055))*0.58,2),"")</f>
        <v>#ERROR!</v>
      </c>
      <c r="N53" s="165" t="str">
        <f>IFERROR(ROUND((C53/IFERROR(INDEX(Config!B:B,MATCH("TVA "&amp;A53,Config!A:A,0)),1.055))*0.52,2),"")</f>
        <v>#ERROR!</v>
      </c>
      <c r="O53" s="165" t="str">
        <f>IFERROR(ROUND((C53/IFERROR(INDEX(Config!B:B,MATCH("TVA "&amp;A53,Config!A:A,0)),1.055))*0.52,2),"")</f>
        <v>#ERROR!</v>
      </c>
      <c r="P53" s="165" t="str">
        <f>IFERROR(ROUND((C53/IFERROR(INDEX(Config!B:B,MATCH("TVA "&amp;A53,Config!A:A,0)),1.055))*0.55,2),"")</f>
        <v>#ERROR!</v>
      </c>
      <c r="Q53" s="165" t="str">
        <f>IFERROR(ROUND((C53/IFERROR(INDEX(Config!B:B,MATCH("TVA "&amp;A53,Config!A:A,0)),1.055))*0.5,2),"")</f>
        <v>#ERROR!</v>
      </c>
      <c r="R53" s="165" t="str">
        <f>IFERROR(ROUND((C53/IFERROR(INDEX(Config!B:B,MATCH("TVA "&amp;A53,Config!A:A,0)),1.055))*0.5,2),"")</f>
        <v>#ERROR!</v>
      </c>
      <c r="S53" s="165" t="str">
        <f>IFERROR(ROUND((C53/IFERROR(INDEX(Config!B:B,MATCH("TVA "&amp;A53,Config!A:A,0)),1.055))*0.62,2),"")</f>
        <v>#ERROR!</v>
      </c>
      <c r="T53" s="165" t="str">
        <f>IFERROR(ROUND((C53/IFERROR(INDEX(Config!B:B,MATCH("TVA "&amp;A53,Config!A:A,0)),1.055))*0.58,2),"")</f>
        <v>#ERROR!</v>
      </c>
      <c r="U53" s="165" t="str">
        <f>IFERROR(ROUND((C53/IFERROR(INDEX(Config!B:B,MATCH("TVA "&amp;A53,Config!A:A,0)),1.055))*0.58,2),"")</f>
        <v>#ERROR!</v>
      </c>
      <c r="V53" s="166" t="str">
        <f>IFERROR(((C53/IFERROR(INDEX(Config!B:B,MATCH("TVA "&amp;A53,Config!A:A,0)),1.055))-IFERROR(INDEX('Cout de Revient'!I:I,MATCH(B53,'Cout de Revient'!C:C,0)),0))/(C53/IFERROR(INDEX(Config!B:B,MATCH("TVA "&amp;A53,Config!A:A,0)),1.055)),"")</f>
        <v>#ERROR!</v>
      </c>
      <c r="W53" s="167" t="str">
        <f>IFERROR(C53,"")</f>
        <v>#ERROR!</v>
      </c>
      <c r="X53" s="168" t="str">
        <f>IFERROR(ROUND(C53*0.85,2),"")</f>
        <v>#ERROR!</v>
      </c>
    </row>
    <row r="54" ht="15.0" customHeight="1">
      <c r="A54" s="177" t="s">
        <v>455</v>
      </c>
      <c r="B54" s="178" t="s">
        <v>597</v>
      </c>
      <c r="C54" s="162">
        <v>2.2</v>
      </c>
      <c r="D54" s="163" t="str">
        <f>IFERROR(ROUND(C54*0.95,2),"")</f>
        <v>#ERROR!</v>
      </c>
      <c r="E54" s="163" t="str">
        <f>IFERROR(ROUND(C54*0.92,2),"")</f>
        <v>#ERROR!</v>
      </c>
      <c r="F54" s="163" t="str">
        <f>IFERROR(ROUND(C54*0.88,2),"")</f>
        <v>#ERROR!</v>
      </c>
      <c r="G54" s="164" t="str">
        <f>IFERROR(ROUND(C54*1,2),"")</f>
        <v>#ERROR!</v>
      </c>
      <c r="H54" s="164" t="str">
        <f>IFERROR(ROUND(C54*0.97,2),"")</f>
        <v>#ERROR!</v>
      </c>
      <c r="I54" s="164" t="str">
        <f>IFERROR(ROUND(C54*0.94,2),"")</f>
        <v>#ERROR!</v>
      </c>
      <c r="J54" s="165" t="str">
        <f>IFERROR(ROUND((C54/IFERROR(INDEX(Config!B:B,MATCH("TVA "&amp;A54,Config!A:A,0)),1.055))*0.55,2),"")</f>
        <v>#ERROR!</v>
      </c>
      <c r="K54" s="165" t="str">
        <f>IFERROR(ROUND((C54/IFERROR(INDEX(Config!B:B,MATCH("TVA "&amp;A54,Config!A:A,0)),1.055))*0.48,2),"")</f>
        <v>#ERROR!</v>
      </c>
      <c r="L54" s="165" t="str">
        <f>IFERROR(ROUND((C54/IFERROR(INDEX(Config!B:B,MATCH("TVA "&amp;A54,Config!A:A,0)),1.055))*0.42,2),"")</f>
        <v>#ERROR!</v>
      </c>
      <c r="M54" s="165" t="str">
        <f>IFERROR(ROUND((C54/IFERROR(INDEX(Config!B:B,MATCH("TVA "&amp;A54,Config!A:A,0)),1.055))*0.58,2),"")</f>
        <v>#ERROR!</v>
      </c>
      <c r="N54" s="165" t="str">
        <f>IFERROR(ROUND((C54/IFERROR(INDEX(Config!B:B,MATCH("TVA "&amp;A54,Config!A:A,0)),1.055))*0.52,2),"")</f>
        <v>#ERROR!</v>
      </c>
      <c r="O54" s="165" t="str">
        <f>IFERROR(ROUND((C54/IFERROR(INDEX(Config!B:B,MATCH("TVA "&amp;A54,Config!A:A,0)),1.055))*0.52,2),"")</f>
        <v>#ERROR!</v>
      </c>
      <c r="P54" s="165" t="str">
        <f>IFERROR(ROUND((C54/IFERROR(INDEX(Config!B:B,MATCH("TVA "&amp;A54,Config!A:A,0)),1.055))*0.55,2),"")</f>
        <v>#ERROR!</v>
      </c>
      <c r="Q54" s="165" t="str">
        <f>IFERROR(ROUND((C54/IFERROR(INDEX(Config!B:B,MATCH("TVA "&amp;A54,Config!A:A,0)),1.055))*0.5,2),"")</f>
        <v>#ERROR!</v>
      </c>
      <c r="R54" s="165" t="str">
        <f>IFERROR(ROUND((C54/IFERROR(INDEX(Config!B:B,MATCH("TVA "&amp;A54,Config!A:A,0)),1.055))*0.5,2),"")</f>
        <v>#ERROR!</v>
      </c>
      <c r="S54" s="165" t="str">
        <f>IFERROR(ROUND((C54/IFERROR(INDEX(Config!B:B,MATCH("TVA "&amp;A54,Config!A:A,0)),1.055))*0.62,2),"")</f>
        <v>#ERROR!</v>
      </c>
      <c r="T54" s="165" t="str">
        <f>IFERROR(ROUND((C54/IFERROR(INDEX(Config!B:B,MATCH("TVA "&amp;A54,Config!A:A,0)),1.055))*0.58,2),"")</f>
        <v>#ERROR!</v>
      </c>
      <c r="U54" s="165" t="str">
        <f>IFERROR(ROUND((C54/IFERROR(INDEX(Config!B:B,MATCH("TVA "&amp;A54,Config!A:A,0)),1.055))*0.58,2),"")</f>
        <v>#ERROR!</v>
      </c>
      <c r="V54" s="166" t="str">
        <f>IFERROR(((C54/IFERROR(INDEX(Config!B:B,MATCH("TVA "&amp;A54,Config!A:A,0)),1.055))-IFERROR(INDEX('Cout de Revient'!I:I,MATCH(B54,'Cout de Revient'!C:C,0)),0))/(C54/IFERROR(INDEX(Config!B:B,MATCH("TVA "&amp;A54,Config!A:A,0)),1.055)),"")</f>
        <v>#ERROR!</v>
      </c>
      <c r="W54" s="167" t="str">
        <f>IFERROR(C54,"")</f>
        <v>#ERROR!</v>
      </c>
      <c r="X54" s="168" t="str">
        <f>IFERROR(ROUND(C54*0.85,2),"")</f>
        <v>#ERROR!</v>
      </c>
    </row>
    <row r="55" ht="15.0" customHeight="1">
      <c r="A55" s="177" t="s">
        <v>455</v>
      </c>
      <c r="B55" s="169" t="s">
        <v>598</v>
      </c>
      <c r="C55" s="162">
        <v>2.9</v>
      </c>
      <c r="D55" s="163" t="str">
        <f>IFERROR(ROUND(C55*0.95,2),"")</f>
        <v>#ERROR!</v>
      </c>
      <c r="E55" s="163" t="str">
        <f>IFERROR(ROUND(C55*0.92,2),"")</f>
        <v>#ERROR!</v>
      </c>
      <c r="F55" s="163" t="str">
        <f>IFERROR(ROUND(C55*0.88,2),"")</f>
        <v>#ERROR!</v>
      </c>
      <c r="G55" s="164" t="str">
        <f>IFERROR(ROUND(C55*1,2),"")</f>
        <v>#ERROR!</v>
      </c>
      <c r="H55" s="164" t="str">
        <f>IFERROR(ROUND(C55*0.97,2),"")</f>
        <v>#ERROR!</v>
      </c>
      <c r="I55" s="164" t="str">
        <f>IFERROR(ROUND(C55*0.94,2),"")</f>
        <v>#ERROR!</v>
      </c>
      <c r="J55" s="165" t="str">
        <f>IFERROR(ROUND((C55/IFERROR(INDEX(Config!B:B,MATCH("TVA "&amp;A55,Config!A:A,0)),1.055))*0.55,2),"")</f>
        <v>#ERROR!</v>
      </c>
      <c r="K55" s="165" t="str">
        <f>IFERROR(ROUND((C55/IFERROR(INDEX(Config!B:B,MATCH("TVA "&amp;A55,Config!A:A,0)),1.055))*0.48,2),"")</f>
        <v>#ERROR!</v>
      </c>
      <c r="L55" s="165" t="str">
        <f>IFERROR(ROUND((C55/IFERROR(INDEX(Config!B:B,MATCH("TVA "&amp;A55,Config!A:A,0)),1.055))*0.42,2),"")</f>
        <v>#ERROR!</v>
      </c>
      <c r="M55" s="165" t="str">
        <f>IFERROR(ROUND((C55/IFERROR(INDEX(Config!B:B,MATCH("TVA "&amp;A55,Config!A:A,0)),1.055))*0.58,2),"")</f>
        <v>#ERROR!</v>
      </c>
      <c r="N55" s="165" t="str">
        <f>IFERROR(ROUND((C55/IFERROR(INDEX(Config!B:B,MATCH("TVA "&amp;A55,Config!A:A,0)),1.055))*0.52,2),"")</f>
        <v>#ERROR!</v>
      </c>
      <c r="O55" s="165" t="str">
        <f>IFERROR(ROUND((C55/IFERROR(INDEX(Config!B:B,MATCH("TVA "&amp;A55,Config!A:A,0)),1.055))*0.52,2),"")</f>
        <v>#ERROR!</v>
      </c>
      <c r="P55" s="165" t="str">
        <f>IFERROR(ROUND((C55/IFERROR(INDEX(Config!B:B,MATCH("TVA "&amp;A55,Config!A:A,0)),1.055))*0.55,2),"")</f>
        <v>#ERROR!</v>
      </c>
      <c r="Q55" s="165" t="str">
        <f>IFERROR(ROUND((C55/IFERROR(INDEX(Config!B:B,MATCH("TVA "&amp;A55,Config!A:A,0)),1.055))*0.5,2),"")</f>
        <v>#ERROR!</v>
      </c>
      <c r="R55" s="165" t="str">
        <f>IFERROR(ROUND((C55/IFERROR(INDEX(Config!B:B,MATCH("TVA "&amp;A55,Config!A:A,0)),1.055))*0.5,2),"")</f>
        <v>#ERROR!</v>
      </c>
      <c r="S55" s="165" t="str">
        <f>IFERROR(ROUND((C55/IFERROR(INDEX(Config!B:B,MATCH("TVA "&amp;A55,Config!A:A,0)),1.055))*0.62,2),"")</f>
        <v>#ERROR!</v>
      </c>
      <c r="T55" s="165" t="str">
        <f>IFERROR(ROUND((C55/IFERROR(INDEX(Config!B:B,MATCH("TVA "&amp;A55,Config!A:A,0)),1.055))*0.58,2),"")</f>
        <v>#ERROR!</v>
      </c>
      <c r="U55" s="165" t="str">
        <f>IFERROR(ROUND((C55/IFERROR(INDEX(Config!B:B,MATCH("TVA "&amp;A55,Config!A:A,0)),1.055))*0.58,2),"")</f>
        <v>#ERROR!</v>
      </c>
      <c r="V55" s="166" t="str">
        <f>IFERROR(((C55/IFERROR(INDEX(Config!B:B,MATCH("TVA "&amp;A55,Config!A:A,0)),1.055))-IFERROR(INDEX('Cout de Revient'!I:I,MATCH(B55,'Cout de Revient'!C:C,0)),0))/(C55/IFERROR(INDEX(Config!B:B,MATCH("TVA "&amp;A55,Config!A:A,0)),1.055)),"")</f>
        <v>#ERROR!</v>
      </c>
      <c r="W55" s="167" t="str">
        <f>IFERROR(C55,"")</f>
        <v>#ERROR!</v>
      </c>
      <c r="X55" s="168" t="str">
        <f>IFERROR(ROUND(C55*0.85,2),"")</f>
        <v>#ERROR!</v>
      </c>
    </row>
    <row r="56" ht="15.0" customHeight="1">
      <c r="A56" s="177" t="s">
        <v>455</v>
      </c>
      <c r="B56" s="178" t="s">
        <v>599</v>
      </c>
      <c r="C56" s="162">
        <v>3.9</v>
      </c>
      <c r="D56" s="163" t="str">
        <f>IFERROR(ROUND(C56*0.95,2),"")</f>
        <v>#ERROR!</v>
      </c>
      <c r="E56" s="163" t="str">
        <f>IFERROR(ROUND(C56*0.92,2),"")</f>
        <v>#ERROR!</v>
      </c>
      <c r="F56" s="163" t="str">
        <f>IFERROR(ROUND(C56*0.88,2),"")</f>
        <v>#ERROR!</v>
      </c>
      <c r="G56" s="164" t="str">
        <f>IFERROR(ROUND(C56*1,2),"")</f>
        <v>#ERROR!</v>
      </c>
      <c r="H56" s="164" t="str">
        <f>IFERROR(ROUND(C56*0.97,2),"")</f>
        <v>#ERROR!</v>
      </c>
      <c r="I56" s="164" t="str">
        <f>IFERROR(ROUND(C56*0.94,2),"")</f>
        <v>#ERROR!</v>
      </c>
      <c r="J56" s="165" t="str">
        <f>IFERROR(ROUND((C56/IFERROR(INDEX(Config!B:B,MATCH("TVA "&amp;A56,Config!A:A,0)),1.055))*0.55,2),"")</f>
        <v>#ERROR!</v>
      </c>
      <c r="K56" s="165" t="str">
        <f>IFERROR(ROUND((C56/IFERROR(INDEX(Config!B:B,MATCH("TVA "&amp;A56,Config!A:A,0)),1.055))*0.48,2),"")</f>
        <v>#ERROR!</v>
      </c>
      <c r="L56" s="165" t="str">
        <f>IFERROR(ROUND((C56/IFERROR(INDEX(Config!B:B,MATCH("TVA "&amp;A56,Config!A:A,0)),1.055))*0.42,2),"")</f>
        <v>#ERROR!</v>
      </c>
      <c r="M56" s="165" t="str">
        <f>IFERROR(ROUND((C56/IFERROR(INDEX(Config!B:B,MATCH("TVA "&amp;A56,Config!A:A,0)),1.055))*0.58,2),"")</f>
        <v>#ERROR!</v>
      </c>
      <c r="N56" s="165" t="str">
        <f>IFERROR(ROUND((C56/IFERROR(INDEX(Config!B:B,MATCH("TVA "&amp;A56,Config!A:A,0)),1.055))*0.52,2),"")</f>
        <v>#ERROR!</v>
      </c>
      <c r="O56" s="165" t="str">
        <f>IFERROR(ROUND((C56/IFERROR(INDEX(Config!B:B,MATCH("TVA "&amp;A56,Config!A:A,0)),1.055))*0.52,2),"")</f>
        <v>#ERROR!</v>
      </c>
      <c r="P56" s="165" t="str">
        <f>IFERROR(ROUND((C56/IFERROR(INDEX(Config!B:B,MATCH("TVA "&amp;A56,Config!A:A,0)),1.055))*0.55,2),"")</f>
        <v>#ERROR!</v>
      </c>
      <c r="Q56" s="165" t="str">
        <f>IFERROR(ROUND((C56/IFERROR(INDEX(Config!B:B,MATCH("TVA "&amp;A56,Config!A:A,0)),1.055))*0.5,2),"")</f>
        <v>#ERROR!</v>
      </c>
      <c r="R56" s="165" t="str">
        <f>IFERROR(ROUND((C56/IFERROR(INDEX(Config!B:B,MATCH("TVA "&amp;A56,Config!A:A,0)),1.055))*0.5,2),"")</f>
        <v>#ERROR!</v>
      </c>
      <c r="S56" s="165" t="str">
        <f>IFERROR(ROUND((C56/IFERROR(INDEX(Config!B:B,MATCH("TVA "&amp;A56,Config!A:A,0)),1.055))*0.62,2),"")</f>
        <v>#ERROR!</v>
      </c>
      <c r="T56" s="165" t="str">
        <f>IFERROR(ROUND((C56/IFERROR(INDEX(Config!B:B,MATCH("TVA "&amp;A56,Config!A:A,0)),1.055))*0.58,2),"")</f>
        <v>#ERROR!</v>
      </c>
      <c r="U56" s="165" t="str">
        <f>IFERROR(ROUND((C56/IFERROR(INDEX(Config!B:B,MATCH("TVA "&amp;A56,Config!A:A,0)),1.055))*0.58,2),"")</f>
        <v>#ERROR!</v>
      </c>
      <c r="V56" s="166" t="str">
        <f>IFERROR(((C56/IFERROR(INDEX(Config!B:B,MATCH("TVA "&amp;A56,Config!A:A,0)),1.055))-IFERROR(INDEX('Cout de Revient'!I:I,MATCH(B56,'Cout de Revient'!C:C,0)),0))/(C56/IFERROR(INDEX(Config!B:B,MATCH("TVA "&amp;A56,Config!A:A,0)),1.055)),"")</f>
        <v>#ERROR!</v>
      </c>
      <c r="W56" s="167" t="str">
        <f>IFERROR(C56,"")</f>
        <v>#ERROR!</v>
      </c>
      <c r="X56" s="168" t="str">
        <f>IFERROR(ROUND(C56*0.85,2),"")</f>
        <v>#ERROR!</v>
      </c>
    </row>
    <row r="57" ht="15.0" customHeight="1">
      <c r="A57" s="179" t="s">
        <v>604</v>
      </c>
    </row>
    <row r="58" ht="15.0" customHeight="1">
      <c r="A58" s="180" t="s">
        <v>496</v>
      </c>
      <c r="B58" s="181" t="s">
        <v>456</v>
      </c>
      <c r="C58" s="162">
        <v>3.9</v>
      </c>
      <c r="D58" s="163" t="str">
        <f>IFERROR(ROUND(C58*0.95,2),"")</f>
        <v>#ERROR!</v>
      </c>
      <c r="E58" s="163" t="str">
        <f>IFERROR(ROUND(C58*0.92,2),"")</f>
        <v>#ERROR!</v>
      </c>
      <c r="F58" s="163" t="str">
        <f>IFERROR(ROUND(C58*0.88,2),"")</f>
        <v>#ERROR!</v>
      </c>
      <c r="G58" s="164" t="str">
        <f>IFERROR(ROUND(C58*1,2),"")</f>
        <v>#ERROR!</v>
      </c>
      <c r="H58" s="164" t="str">
        <f>IFERROR(ROUND(C58*0.97,2),"")</f>
        <v>#ERROR!</v>
      </c>
      <c r="I58" s="164" t="str">
        <f>IFERROR(ROUND(C58*0.94,2),"")</f>
        <v>#ERROR!</v>
      </c>
      <c r="J58" s="165" t="str">
        <f>IFERROR(ROUND((C58/IFERROR(INDEX(Config!B:B,MATCH("TVA "&amp;A58,Config!A:A,0)),1.055))*0.55,2),"")</f>
        <v>#ERROR!</v>
      </c>
      <c r="K58" s="165" t="str">
        <f>IFERROR(ROUND((C58/IFERROR(INDEX(Config!B:B,MATCH("TVA "&amp;A58,Config!A:A,0)),1.055))*0.48,2),"")</f>
        <v>#ERROR!</v>
      </c>
      <c r="L58" s="165" t="str">
        <f>IFERROR(ROUND((C58/IFERROR(INDEX(Config!B:B,MATCH("TVA "&amp;A58,Config!A:A,0)),1.055))*0.42,2),"")</f>
        <v>#ERROR!</v>
      </c>
      <c r="M58" s="165" t="str">
        <f>IFERROR(ROUND((C58/IFERROR(INDEX(Config!B:B,MATCH("TVA "&amp;A58,Config!A:A,0)),1.055))*0.58,2),"")</f>
        <v>#ERROR!</v>
      </c>
      <c r="N58" s="165" t="str">
        <f>IFERROR(ROUND((C58/IFERROR(INDEX(Config!B:B,MATCH("TVA "&amp;A58,Config!A:A,0)),1.055))*0.52,2),"")</f>
        <v>#ERROR!</v>
      </c>
      <c r="O58" s="165" t="str">
        <f>IFERROR(ROUND((C58/IFERROR(INDEX(Config!B:B,MATCH("TVA "&amp;A58,Config!A:A,0)),1.055))*0.52,2),"")</f>
        <v>#ERROR!</v>
      </c>
      <c r="P58" s="165" t="str">
        <f>IFERROR(ROUND((C58/IFERROR(INDEX(Config!B:B,MATCH("TVA "&amp;A58,Config!A:A,0)),1.055))*0.55,2),"")</f>
        <v>#ERROR!</v>
      </c>
      <c r="Q58" s="165" t="str">
        <f>IFERROR(ROUND((C58/IFERROR(INDEX(Config!B:B,MATCH("TVA "&amp;A58,Config!A:A,0)),1.055))*0.5,2),"")</f>
        <v>#ERROR!</v>
      </c>
      <c r="R58" s="165" t="str">
        <f>IFERROR(ROUND((C58/IFERROR(INDEX(Config!B:B,MATCH("TVA "&amp;A58,Config!A:A,0)),1.055))*0.5,2),"")</f>
        <v>#ERROR!</v>
      </c>
      <c r="S58" s="165" t="str">
        <f>IFERROR(ROUND((C58/IFERROR(INDEX(Config!B:B,MATCH("TVA "&amp;A58,Config!A:A,0)),1.055))*0.62,2),"")</f>
        <v>#ERROR!</v>
      </c>
      <c r="T58" s="165" t="str">
        <f>IFERROR(ROUND((C58/IFERROR(INDEX(Config!B:B,MATCH("TVA "&amp;A58,Config!A:A,0)),1.055))*0.58,2),"")</f>
        <v>#ERROR!</v>
      </c>
      <c r="U58" s="165" t="str">
        <f>IFERROR(ROUND((C58/IFERROR(INDEX(Config!B:B,MATCH("TVA "&amp;A58,Config!A:A,0)),1.055))*0.58,2),"")</f>
        <v>#ERROR!</v>
      </c>
      <c r="V58" s="166" t="str">
        <f>IFERROR(((C58/IFERROR(INDEX(Config!B:B,MATCH("TVA "&amp;A58,Config!A:A,0)),1.055))-IFERROR(INDEX('Cout de Revient'!I:I,MATCH(B58,'Cout de Revient'!C:C,0)),0))/(C58/IFERROR(INDEX(Config!B:B,MATCH("TVA "&amp;A58,Config!A:A,0)),1.055)),"")</f>
        <v>#ERROR!</v>
      </c>
      <c r="W58" s="167" t="str">
        <f>IFERROR(C58,"")</f>
        <v>#ERROR!</v>
      </c>
      <c r="X58" s="168" t="str">
        <f>IFERROR(ROUND(C58*0.85,2),"")</f>
        <v>#ERROR!</v>
      </c>
    </row>
    <row r="59" ht="15.0" customHeight="1">
      <c r="A59" s="180" t="s">
        <v>496</v>
      </c>
      <c r="B59" s="169" t="s">
        <v>448</v>
      </c>
      <c r="C59" s="162">
        <v>4.9</v>
      </c>
      <c r="D59" s="163" t="str">
        <f>IFERROR(ROUND(C59*0.95,2),"")</f>
        <v>#ERROR!</v>
      </c>
      <c r="E59" s="163" t="str">
        <f>IFERROR(ROUND(C59*0.92,2),"")</f>
        <v>#ERROR!</v>
      </c>
      <c r="F59" s="163" t="str">
        <f>IFERROR(ROUND(C59*0.88,2),"")</f>
        <v>#ERROR!</v>
      </c>
      <c r="G59" s="164" t="str">
        <f>IFERROR(ROUND(C59*1,2),"")</f>
        <v>#ERROR!</v>
      </c>
      <c r="H59" s="164" t="str">
        <f>IFERROR(ROUND(C59*0.97,2),"")</f>
        <v>#ERROR!</v>
      </c>
      <c r="I59" s="164" t="str">
        <f>IFERROR(ROUND(C59*0.94,2),"")</f>
        <v>#ERROR!</v>
      </c>
      <c r="J59" s="165" t="str">
        <f>IFERROR(ROUND((C59/IFERROR(INDEX(Config!B:B,MATCH("TVA "&amp;A59,Config!A:A,0)),1.055))*0.55,2),"")</f>
        <v>#ERROR!</v>
      </c>
      <c r="K59" s="165" t="str">
        <f>IFERROR(ROUND((C59/IFERROR(INDEX(Config!B:B,MATCH("TVA "&amp;A59,Config!A:A,0)),1.055))*0.48,2),"")</f>
        <v>#ERROR!</v>
      </c>
      <c r="L59" s="165" t="str">
        <f>IFERROR(ROUND((C59/IFERROR(INDEX(Config!B:B,MATCH("TVA "&amp;A59,Config!A:A,0)),1.055))*0.42,2),"")</f>
        <v>#ERROR!</v>
      </c>
      <c r="M59" s="165" t="str">
        <f>IFERROR(ROUND((C59/IFERROR(INDEX(Config!B:B,MATCH("TVA "&amp;A59,Config!A:A,0)),1.055))*0.58,2),"")</f>
        <v>#ERROR!</v>
      </c>
      <c r="N59" s="165" t="str">
        <f>IFERROR(ROUND((C59/IFERROR(INDEX(Config!B:B,MATCH("TVA "&amp;A59,Config!A:A,0)),1.055))*0.52,2),"")</f>
        <v>#ERROR!</v>
      </c>
      <c r="O59" s="165" t="str">
        <f>IFERROR(ROUND((C59/IFERROR(INDEX(Config!B:B,MATCH("TVA "&amp;A59,Config!A:A,0)),1.055))*0.52,2),"")</f>
        <v>#ERROR!</v>
      </c>
      <c r="P59" s="165" t="str">
        <f>IFERROR(ROUND((C59/IFERROR(INDEX(Config!B:B,MATCH("TVA "&amp;A59,Config!A:A,0)),1.055))*0.55,2),"")</f>
        <v>#ERROR!</v>
      </c>
      <c r="Q59" s="165" t="str">
        <f>IFERROR(ROUND((C59/IFERROR(INDEX(Config!B:B,MATCH("TVA "&amp;A59,Config!A:A,0)),1.055))*0.5,2),"")</f>
        <v>#ERROR!</v>
      </c>
      <c r="R59" s="165" t="str">
        <f>IFERROR(ROUND((C59/IFERROR(INDEX(Config!B:B,MATCH("TVA "&amp;A59,Config!A:A,0)),1.055))*0.5,2),"")</f>
        <v>#ERROR!</v>
      </c>
      <c r="S59" s="165" t="str">
        <f>IFERROR(ROUND((C59/IFERROR(INDEX(Config!B:B,MATCH("TVA "&amp;A59,Config!A:A,0)),1.055))*0.62,2),"")</f>
        <v>#ERROR!</v>
      </c>
      <c r="T59" s="165" t="str">
        <f>IFERROR(ROUND((C59/IFERROR(INDEX(Config!B:B,MATCH("TVA "&amp;A59,Config!A:A,0)),1.055))*0.58,2),"")</f>
        <v>#ERROR!</v>
      </c>
      <c r="U59" s="165" t="str">
        <f>IFERROR(ROUND((C59/IFERROR(INDEX(Config!B:B,MATCH("TVA "&amp;A59,Config!A:A,0)),1.055))*0.58,2),"")</f>
        <v>#ERROR!</v>
      </c>
      <c r="V59" s="166" t="str">
        <f>IFERROR(((C59/IFERROR(INDEX(Config!B:B,MATCH("TVA "&amp;A59,Config!A:A,0)),1.055))-IFERROR(INDEX('Cout de Revient'!I:I,MATCH(B59,'Cout de Revient'!C:C,0)),0))/(C59/IFERROR(INDEX(Config!B:B,MATCH("TVA "&amp;A59,Config!A:A,0)),1.055)),"")</f>
        <v>#ERROR!</v>
      </c>
      <c r="W59" s="167" t="str">
        <f>IFERROR(C59,"")</f>
        <v>#ERROR!</v>
      </c>
      <c r="X59" s="168" t="str">
        <f>IFERROR(ROUND(C59*0.85,2),"")</f>
        <v>#ERROR!</v>
      </c>
    </row>
    <row r="60" ht="15.0" customHeight="1">
      <c r="A60" s="180" t="s">
        <v>496</v>
      </c>
      <c r="B60" s="181" t="s">
        <v>439</v>
      </c>
      <c r="C60" s="162">
        <v>6.9</v>
      </c>
      <c r="D60" s="163" t="str">
        <f>IFERROR(ROUND(C60*0.95,2),"")</f>
        <v>#ERROR!</v>
      </c>
      <c r="E60" s="163" t="str">
        <f>IFERROR(ROUND(C60*0.92,2),"")</f>
        <v>#ERROR!</v>
      </c>
      <c r="F60" s="163" t="str">
        <f>IFERROR(ROUND(C60*0.88,2),"")</f>
        <v>#ERROR!</v>
      </c>
      <c r="G60" s="164" t="str">
        <f>IFERROR(ROUND(C60*1,2),"")</f>
        <v>#ERROR!</v>
      </c>
      <c r="H60" s="164" t="str">
        <f>IFERROR(ROUND(C60*0.97,2),"")</f>
        <v>#ERROR!</v>
      </c>
      <c r="I60" s="164" t="str">
        <f>IFERROR(ROUND(C60*0.94,2),"")</f>
        <v>#ERROR!</v>
      </c>
      <c r="J60" s="165" t="str">
        <f>IFERROR(ROUND((C60/IFERROR(INDEX(Config!B:B,MATCH("TVA "&amp;A60,Config!A:A,0)),1.055))*0.55,2),"")</f>
        <v>#ERROR!</v>
      </c>
      <c r="K60" s="165" t="str">
        <f>IFERROR(ROUND((C60/IFERROR(INDEX(Config!B:B,MATCH("TVA "&amp;A60,Config!A:A,0)),1.055))*0.48,2),"")</f>
        <v>#ERROR!</v>
      </c>
      <c r="L60" s="165" t="str">
        <f>IFERROR(ROUND((C60/IFERROR(INDEX(Config!B:B,MATCH("TVA "&amp;A60,Config!A:A,0)),1.055))*0.42,2),"")</f>
        <v>#ERROR!</v>
      </c>
      <c r="M60" s="165" t="str">
        <f>IFERROR(ROUND((C60/IFERROR(INDEX(Config!B:B,MATCH("TVA "&amp;A60,Config!A:A,0)),1.055))*0.58,2),"")</f>
        <v>#ERROR!</v>
      </c>
      <c r="N60" s="165" t="str">
        <f>IFERROR(ROUND((C60/IFERROR(INDEX(Config!B:B,MATCH("TVA "&amp;A60,Config!A:A,0)),1.055))*0.52,2),"")</f>
        <v>#ERROR!</v>
      </c>
      <c r="O60" s="165" t="str">
        <f>IFERROR(ROUND((C60/IFERROR(INDEX(Config!B:B,MATCH("TVA "&amp;A60,Config!A:A,0)),1.055))*0.52,2),"")</f>
        <v>#ERROR!</v>
      </c>
      <c r="P60" s="165" t="str">
        <f>IFERROR(ROUND((C60/IFERROR(INDEX(Config!B:B,MATCH("TVA "&amp;A60,Config!A:A,0)),1.055))*0.55,2),"")</f>
        <v>#ERROR!</v>
      </c>
      <c r="Q60" s="165" t="str">
        <f>IFERROR(ROUND((C60/IFERROR(INDEX(Config!B:B,MATCH("TVA "&amp;A60,Config!A:A,0)),1.055))*0.5,2),"")</f>
        <v>#ERROR!</v>
      </c>
      <c r="R60" s="165" t="str">
        <f>IFERROR(ROUND((C60/IFERROR(INDEX(Config!B:B,MATCH("TVA "&amp;A60,Config!A:A,0)),1.055))*0.5,2),"")</f>
        <v>#ERROR!</v>
      </c>
      <c r="S60" s="165" t="str">
        <f>IFERROR(ROUND((C60/IFERROR(INDEX(Config!B:B,MATCH("TVA "&amp;A60,Config!A:A,0)),1.055))*0.62,2),"")</f>
        <v>#ERROR!</v>
      </c>
      <c r="T60" s="165" t="str">
        <f>IFERROR(ROUND((C60/IFERROR(INDEX(Config!B:B,MATCH("TVA "&amp;A60,Config!A:A,0)),1.055))*0.58,2),"")</f>
        <v>#ERROR!</v>
      </c>
      <c r="U60" s="165" t="str">
        <f>IFERROR(ROUND((C60/IFERROR(INDEX(Config!B:B,MATCH("TVA "&amp;A60,Config!A:A,0)),1.055))*0.58,2),"")</f>
        <v>#ERROR!</v>
      </c>
      <c r="V60" s="166" t="str">
        <f>IFERROR(((C60/IFERROR(INDEX(Config!B:B,MATCH("TVA "&amp;A60,Config!A:A,0)),1.055))-IFERROR(INDEX('Cout de Revient'!I:I,MATCH(B60,'Cout de Revient'!C:C,0)),0))/(C60/IFERROR(INDEX(Config!B:B,MATCH("TVA "&amp;A60,Config!A:A,0)),1.055)),"")</f>
        <v>#ERROR!</v>
      </c>
      <c r="W60" s="167" t="str">
        <f>IFERROR(C60,"")</f>
        <v>#ERROR!</v>
      </c>
      <c r="X60" s="168" t="str">
        <f>IFERROR(ROUND(C60*0.85,2),"")</f>
        <v>#ERROR!</v>
      </c>
    </row>
    <row r="61" ht="15.0" customHeight="1">
      <c r="A61" s="180" t="s">
        <v>496</v>
      </c>
      <c r="B61" s="169" t="s">
        <v>452</v>
      </c>
      <c r="C61" s="162">
        <v>9.9</v>
      </c>
      <c r="D61" s="163" t="str">
        <f>IFERROR(ROUND(C61*0.95,2),"")</f>
        <v>#ERROR!</v>
      </c>
      <c r="E61" s="163" t="str">
        <f>IFERROR(ROUND(C61*0.92,2),"")</f>
        <v>#ERROR!</v>
      </c>
      <c r="F61" s="163" t="str">
        <f>IFERROR(ROUND(C61*0.88,2),"")</f>
        <v>#ERROR!</v>
      </c>
      <c r="G61" s="164" t="str">
        <f>IFERROR(ROUND(C61*1,2),"")</f>
        <v>#ERROR!</v>
      </c>
      <c r="H61" s="164" t="str">
        <f>IFERROR(ROUND(C61*0.97,2),"")</f>
        <v>#ERROR!</v>
      </c>
      <c r="I61" s="164" t="str">
        <f>IFERROR(ROUND(C61*0.94,2),"")</f>
        <v>#ERROR!</v>
      </c>
      <c r="J61" s="165" t="str">
        <f>IFERROR(ROUND((C61/IFERROR(INDEX(Config!B:B,MATCH("TVA "&amp;A61,Config!A:A,0)),1.055))*0.55,2),"")</f>
        <v>#ERROR!</v>
      </c>
      <c r="K61" s="165" t="str">
        <f>IFERROR(ROUND((C61/IFERROR(INDEX(Config!B:B,MATCH("TVA "&amp;A61,Config!A:A,0)),1.055))*0.48,2),"")</f>
        <v>#ERROR!</v>
      </c>
      <c r="L61" s="165" t="str">
        <f>IFERROR(ROUND((C61/IFERROR(INDEX(Config!B:B,MATCH("TVA "&amp;A61,Config!A:A,0)),1.055))*0.42,2),"")</f>
        <v>#ERROR!</v>
      </c>
      <c r="M61" s="165" t="str">
        <f>IFERROR(ROUND((C61/IFERROR(INDEX(Config!B:B,MATCH("TVA "&amp;A61,Config!A:A,0)),1.055))*0.58,2),"")</f>
        <v>#ERROR!</v>
      </c>
      <c r="N61" s="165" t="str">
        <f>IFERROR(ROUND((C61/IFERROR(INDEX(Config!B:B,MATCH("TVA "&amp;A61,Config!A:A,0)),1.055))*0.52,2),"")</f>
        <v>#ERROR!</v>
      </c>
      <c r="O61" s="165" t="str">
        <f>IFERROR(ROUND((C61/IFERROR(INDEX(Config!B:B,MATCH("TVA "&amp;A61,Config!A:A,0)),1.055))*0.52,2),"")</f>
        <v>#ERROR!</v>
      </c>
      <c r="P61" s="165" t="str">
        <f>IFERROR(ROUND((C61/IFERROR(INDEX(Config!B:B,MATCH("TVA "&amp;A61,Config!A:A,0)),1.055))*0.55,2),"")</f>
        <v>#ERROR!</v>
      </c>
      <c r="Q61" s="165" t="str">
        <f>IFERROR(ROUND((C61/IFERROR(INDEX(Config!B:B,MATCH("TVA "&amp;A61,Config!A:A,0)),1.055))*0.5,2),"")</f>
        <v>#ERROR!</v>
      </c>
      <c r="R61" s="165" t="str">
        <f>IFERROR(ROUND((C61/IFERROR(INDEX(Config!B:B,MATCH("TVA "&amp;A61,Config!A:A,0)),1.055))*0.5,2),"")</f>
        <v>#ERROR!</v>
      </c>
      <c r="S61" s="165" t="str">
        <f>IFERROR(ROUND((C61/IFERROR(INDEX(Config!B:B,MATCH("TVA "&amp;A61,Config!A:A,0)),1.055))*0.62,2),"")</f>
        <v>#ERROR!</v>
      </c>
      <c r="T61" s="165" t="str">
        <f>IFERROR(ROUND((C61/IFERROR(INDEX(Config!B:B,MATCH("TVA "&amp;A61,Config!A:A,0)),1.055))*0.58,2),"")</f>
        <v>#ERROR!</v>
      </c>
      <c r="U61" s="165" t="str">
        <f>IFERROR(ROUND((C61/IFERROR(INDEX(Config!B:B,MATCH("TVA "&amp;A61,Config!A:A,0)),1.055))*0.58,2),"")</f>
        <v>#ERROR!</v>
      </c>
      <c r="V61" s="166" t="str">
        <f>IFERROR(((C61/IFERROR(INDEX(Config!B:B,MATCH("TVA "&amp;A61,Config!A:A,0)),1.055))-IFERROR(INDEX('Cout de Revient'!I:I,MATCH(B61,'Cout de Revient'!C:C,0)),0))/(C61/IFERROR(INDEX(Config!B:B,MATCH("TVA "&amp;A61,Config!A:A,0)),1.055)),"")</f>
        <v>#ERROR!</v>
      </c>
      <c r="W61" s="167" t="str">
        <f>IFERROR(C61,"")</f>
        <v>#ERROR!</v>
      </c>
      <c r="X61" s="168" t="str">
        <f>IFERROR(ROUND(C61*0.85,2),"")</f>
        <v>#ERROR!</v>
      </c>
    </row>
    <row r="62" ht="15.0" customHeight="1">
      <c r="A62" s="180" t="s">
        <v>496</v>
      </c>
      <c r="B62" s="181" t="s">
        <v>489</v>
      </c>
      <c r="C62" s="162">
        <v>12.9</v>
      </c>
      <c r="D62" s="163" t="str">
        <f>IFERROR(ROUND(C62*0.95,2),"")</f>
        <v>#ERROR!</v>
      </c>
      <c r="E62" s="163" t="str">
        <f>IFERROR(ROUND(C62*0.92,2),"")</f>
        <v>#ERROR!</v>
      </c>
      <c r="F62" s="163" t="str">
        <f>IFERROR(ROUND(C62*0.88,2),"")</f>
        <v>#ERROR!</v>
      </c>
      <c r="G62" s="164" t="str">
        <f>IFERROR(ROUND(C62*1,2),"")</f>
        <v>#ERROR!</v>
      </c>
      <c r="H62" s="164" t="str">
        <f>IFERROR(ROUND(C62*0.97,2),"")</f>
        <v>#ERROR!</v>
      </c>
      <c r="I62" s="164" t="str">
        <f>IFERROR(ROUND(C62*0.94,2),"")</f>
        <v>#ERROR!</v>
      </c>
      <c r="J62" s="165" t="str">
        <f>IFERROR(ROUND((C62/IFERROR(INDEX(Config!B:B,MATCH("TVA "&amp;A62,Config!A:A,0)),1.055))*0.55,2),"")</f>
        <v>#ERROR!</v>
      </c>
      <c r="K62" s="165" t="str">
        <f>IFERROR(ROUND((C62/IFERROR(INDEX(Config!B:B,MATCH("TVA "&amp;A62,Config!A:A,0)),1.055))*0.48,2),"")</f>
        <v>#ERROR!</v>
      </c>
      <c r="L62" s="165" t="str">
        <f>IFERROR(ROUND((C62/IFERROR(INDEX(Config!B:B,MATCH("TVA "&amp;A62,Config!A:A,0)),1.055))*0.42,2),"")</f>
        <v>#ERROR!</v>
      </c>
      <c r="M62" s="165" t="str">
        <f>IFERROR(ROUND((C62/IFERROR(INDEX(Config!B:B,MATCH("TVA "&amp;A62,Config!A:A,0)),1.055))*0.58,2),"")</f>
        <v>#ERROR!</v>
      </c>
      <c r="N62" s="165" t="str">
        <f>IFERROR(ROUND((C62/IFERROR(INDEX(Config!B:B,MATCH("TVA "&amp;A62,Config!A:A,0)),1.055))*0.52,2),"")</f>
        <v>#ERROR!</v>
      </c>
      <c r="O62" s="165" t="str">
        <f>IFERROR(ROUND((C62/IFERROR(INDEX(Config!B:B,MATCH("TVA "&amp;A62,Config!A:A,0)),1.055))*0.52,2),"")</f>
        <v>#ERROR!</v>
      </c>
      <c r="P62" s="165" t="str">
        <f>IFERROR(ROUND((C62/IFERROR(INDEX(Config!B:B,MATCH("TVA "&amp;A62,Config!A:A,0)),1.055))*0.55,2),"")</f>
        <v>#ERROR!</v>
      </c>
      <c r="Q62" s="165" t="str">
        <f>IFERROR(ROUND((C62/IFERROR(INDEX(Config!B:B,MATCH("TVA "&amp;A62,Config!A:A,0)),1.055))*0.5,2),"")</f>
        <v>#ERROR!</v>
      </c>
      <c r="R62" s="165" t="str">
        <f>IFERROR(ROUND((C62/IFERROR(INDEX(Config!B:B,MATCH("TVA "&amp;A62,Config!A:A,0)),1.055))*0.5,2),"")</f>
        <v>#ERROR!</v>
      </c>
      <c r="S62" s="165" t="str">
        <f>IFERROR(ROUND((C62/IFERROR(INDEX(Config!B:B,MATCH("TVA "&amp;A62,Config!A:A,0)),1.055))*0.62,2),"")</f>
        <v>#ERROR!</v>
      </c>
      <c r="T62" s="165" t="str">
        <f>IFERROR(ROUND((C62/IFERROR(INDEX(Config!B:B,MATCH("TVA "&amp;A62,Config!A:A,0)),1.055))*0.58,2),"")</f>
        <v>#ERROR!</v>
      </c>
      <c r="U62" s="165" t="str">
        <f>IFERROR(ROUND((C62/IFERROR(INDEX(Config!B:B,MATCH("TVA "&amp;A62,Config!A:A,0)),1.055))*0.58,2),"")</f>
        <v>#ERROR!</v>
      </c>
      <c r="V62" s="166" t="str">
        <f>IFERROR(((C62/IFERROR(INDEX(Config!B:B,MATCH("TVA "&amp;A62,Config!A:A,0)),1.055))-IFERROR(INDEX('Cout de Revient'!I:I,MATCH(B62,'Cout de Revient'!C:C,0)),0))/(C62/IFERROR(INDEX(Config!B:B,MATCH("TVA "&amp;A62,Config!A:A,0)),1.055)),"")</f>
        <v>#ERROR!</v>
      </c>
      <c r="W62" s="167" t="str">
        <f>IFERROR(C62,"")</f>
        <v>#ERROR!</v>
      </c>
      <c r="X62" s="168" t="str">
        <f>IFERROR(ROUND(C62*0.85,2),"")</f>
        <v>#ERROR!</v>
      </c>
    </row>
    <row r="63" ht="15.0" customHeight="1">
      <c r="A63" s="180" t="s">
        <v>496</v>
      </c>
      <c r="B63" s="169" t="s">
        <v>596</v>
      </c>
      <c r="C63" s="162">
        <v>17.9</v>
      </c>
      <c r="D63" s="163" t="str">
        <f>IFERROR(ROUND(C63*0.95,2),"")</f>
        <v>#ERROR!</v>
      </c>
      <c r="E63" s="163" t="str">
        <f>IFERROR(ROUND(C63*0.92,2),"")</f>
        <v>#ERROR!</v>
      </c>
      <c r="F63" s="163" t="str">
        <f>IFERROR(ROUND(C63*0.88,2),"")</f>
        <v>#ERROR!</v>
      </c>
      <c r="G63" s="164" t="str">
        <f>IFERROR(ROUND(C63*1,2),"")</f>
        <v>#ERROR!</v>
      </c>
      <c r="H63" s="164" t="str">
        <f>IFERROR(ROUND(C63*0.97,2),"")</f>
        <v>#ERROR!</v>
      </c>
      <c r="I63" s="164" t="str">
        <f>IFERROR(ROUND(C63*0.94,2),"")</f>
        <v>#ERROR!</v>
      </c>
      <c r="J63" s="165" t="str">
        <f>IFERROR(ROUND((C63/IFERROR(INDEX(Config!B:B,MATCH("TVA "&amp;A63,Config!A:A,0)),1.055))*0.55,2),"")</f>
        <v>#ERROR!</v>
      </c>
      <c r="K63" s="165" t="str">
        <f>IFERROR(ROUND((C63/IFERROR(INDEX(Config!B:B,MATCH("TVA "&amp;A63,Config!A:A,0)),1.055))*0.48,2),"")</f>
        <v>#ERROR!</v>
      </c>
      <c r="L63" s="165" t="str">
        <f>IFERROR(ROUND((C63/IFERROR(INDEX(Config!B:B,MATCH("TVA "&amp;A63,Config!A:A,0)),1.055))*0.42,2),"")</f>
        <v>#ERROR!</v>
      </c>
      <c r="M63" s="165" t="str">
        <f>IFERROR(ROUND((C63/IFERROR(INDEX(Config!B:B,MATCH("TVA "&amp;A63,Config!A:A,0)),1.055))*0.58,2),"")</f>
        <v>#ERROR!</v>
      </c>
      <c r="N63" s="165" t="str">
        <f>IFERROR(ROUND((C63/IFERROR(INDEX(Config!B:B,MATCH("TVA "&amp;A63,Config!A:A,0)),1.055))*0.52,2),"")</f>
        <v>#ERROR!</v>
      </c>
      <c r="O63" s="165" t="str">
        <f>IFERROR(ROUND((C63/IFERROR(INDEX(Config!B:B,MATCH("TVA "&amp;A63,Config!A:A,0)),1.055))*0.52,2),"")</f>
        <v>#ERROR!</v>
      </c>
      <c r="P63" s="165" t="str">
        <f>IFERROR(ROUND((C63/IFERROR(INDEX(Config!B:B,MATCH("TVA "&amp;A63,Config!A:A,0)),1.055))*0.55,2),"")</f>
        <v>#ERROR!</v>
      </c>
      <c r="Q63" s="165" t="str">
        <f>IFERROR(ROUND((C63/IFERROR(INDEX(Config!B:B,MATCH("TVA "&amp;A63,Config!A:A,0)),1.055))*0.5,2),"")</f>
        <v>#ERROR!</v>
      </c>
      <c r="R63" s="165" t="str">
        <f>IFERROR(ROUND((C63/IFERROR(INDEX(Config!B:B,MATCH("TVA "&amp;A63,Config!A:A,0)),1.055))*0.5,2),"")</f>
        <v>#ERROR!</v>
      </c>
      <c r="S63" s="165" t="str">
        <f>IFERROR(ROUND((C63/IFERROR(INDEX(Config!B:B,MATCH("TVA "&amp;A63,Config!A:A,0)),1.055))*0.62,2),"")</f>
        <v>#ERROR!</v>
      </c>
      <c r="T63" s="165" t="str">
        <f>IFERROR(ROUND((C63/IFERROR(INDEX(Config!B:B,MATCH("TVA "&amp;A63,Config!A:A,0)),1.055))*0.58,2),"")</f>
        <v>#ERROR!</v>
      </c>
      <c r="U63" s="165" t="str">
        <f>IFERROR(ROUND((C63/IFERROR(INDEX(Config!B:B,MATCH("TVA "&amp;A63,Config!A:A,0)),1.055))*0.58,2),"")</f>
        <v>#ERROR!</v>
      </c>
      <c r="V63" s="166" t="str">
        <f>IFERROR(((C63/IFERROR(INDEX(Config!B:B,MATCH("TVA "&amp;A63,Config!A:A,0)),1.055))-IFERROR(INDEX('Cout de Revient'!I:I,MATCH(B63,'Cout de Revient'!C:C,0)),0))/(C63/IFERROR(INDEX(Config!B:B,MATCH("TVA "&amp;A63,Config!A:A,0)),1.055)),"")</f>
        <v>#ERROR!</v>
      </c>
      <c r="W63" s="167" t="str">
        <f>IFERROR(C63,"")</f>
        <v>#ERROR!</v>
      </c>
      <c r="X63" s="168" t="str">
        <f>IFERROR(ROUND(C63*0.85,2),"")</f>
        <v>#ERROR!</v>
      </c>
    </row>
  </sheetData>
  <mergeCells count="15">
    <mergeCell ref="P4:R4"/>
    <mergeCell ref="S4:U4"/>
    <mergeCell ref="A7:X7"/>
    <mergeCell ref="A17:X17"/>
    <mergeCell ref="A27:X27"/>
    <mergeCell ref="A37:X37"/>
    <mergeCell ref="A47:X47"/>
    <mergeCell ref="A57:X57"/>
    <mergeCell ref="A1:X1"/>
    <mergeCell ref="A2:X2"/>
    <mergeCell ref="A3:X3"/>
    <mergeCell ref="C4:F4"/>
    <mergeCell ref="G4:I4"/>
    <mergeCell ref="J4:L4"/>
    <mergeCell ref="M4:O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449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9" width="15.13"/>
  </cols>
  <sheetData>
    <row r="1" ht="25.5" customHeight="1">
      <c r="A1" s="30" t="s">
        <v>605</v>
      </c>
    </row>
    <row r="2" ht="25.5" customHeight="1">
      <c r="A2" s="182" t="s">
        <v>606</v>
      </c>
    </row>
    <row r="4" ht="16.5" customHeight="1">
      <c r="A4" s="18" t="s">
        <v>607</v>
      </c>
    </row>
    <row r="5" ht="19.5" customHeight="1">
      <c r="A5" s="183" t="s">
        <v>608</v>
      </c>
      <c r="B5" s="184" t="s">
        <v>438</v>
      </c>
      <c r="C5" s="183" t="s">
        <v>609</v>
      </c>
      <c r="D5" s="184" t="s">
        <v>448</v>
      </c>
      <c r="E5" s="183" t="s">
        <v>610</v>
      </c>
      <c r="F5" s="185">
        <v>3.7</v>
      </c>
    </row>
    <row r="7" ht="16.5" customHeight="1">
      <c r="A7" s="7" t="s">
        <v>611</v>
      </c>
    </row>
    <row r="8" ht="19.5" customHeight="1">
      <c r="A8" s="31" t="s">
        <v>93</v>
      </c>
      <c r="B8" s="31" t="s">
        <v>612</v>
      </c>
      <c r="C8" s="31" t="s">
        <v>613</v>
      </c>
      <c r="D8" s="31" t="s">
        <v>614</v>
      </c>
      <c r="E8" s="31" t="s">
        <v>615</v>
      </c>
      <c r="F8" s="31" t="s">
        <v>616</v>
      </c>
      <c r="G8" s="31" t="s">
        <v>617</v>
      </c>
      <c r="H8" s="31" t="s">
        <v>618</v>
      </c>
      <c r="I8" s="31" t="s">
        <v>619</v>
      </c>
    </row>
    <row r="9" ht="15.0" customHeight="1">
      <c r="A9" s="186" t="s">
        <v>620</v>
      </c>
      <c r="B9" s="187" t="s">
        <v>621</v>
      </c>
      <c r="C9" s="187" t="s">
        <v>583</v>
      </c>
      <c r="D9" s="188">
        <v>1.0</v>
      </c>
      <c r="E9" s="189" t="str">
        <f>IFERROR(INDEX('Prix Vente'!C:C,MATCH($B$5&amp;$D$5,'Prix Vente'!A:A&amp;'Prix Vente'!B:B,0))*(1-0/100),"")</f>
        <v>#ERROR!</v>
      </c>
      <c r="F9" s="189" t="str">
        <f>IFERROR(INDEX('Prix Vente'!C:C,MATCH($B$5&amp;$D$5,'Prix Vente'!A:A&amp;'Prix Vente'!B:B,0))/1.055*(1-0/100),"")</f>
        <v>#ERROR!</v>
      </c>
      <c r="G9" s="190">
        <f t="shared" ref="G9:G28" si="1">$F$5</f>
        <v>3.7</v>
      </c>
      <c r="H9" s="191" t="str">
        <f>IFERROR(F9-G9,"")</f>
        <v>#ERROR!</v>
      </c>
      <c r="I9" s="192" t="str">
        <f>IFERROR(H9/F9,"")</f>
        <v>#ERROR!</v>
      </c>
    </row>
    <row r="10" ht="15.0" customHeight="1">
      <c r="A10" s="186" t="s">
        <v>620</v>
      </c>
      <c r="B10" s="169" t="s">
        <v>621</v>
      </c>
      <c r="C10" s="169" t="s">
        <v>622</v>
      </c>
      <c r="D10" s="61">
        <v>3.0</v>
      </c>
      <c r="E10" s="121" t="str">
        <f>IFERROR(INDEX('Prix Vente'!C:C,MATCH($B$5&amp;$D$5,'Prix Vente'!A:A&amp;'Prix Vente'!B:B,0))*(1-5/100),"")</f>
        <v>#ERROR!</v>
      </c>
      <c r="F10" s="121" t="str">
        <f>IFERROR(INDEX('Prix Vente'!C:C,MATCH($B$5&amp;$D$5,'Prix Vente'!A:A&amp;'Prix Vente'!B:B,0))/1.055*(1-5/100),"")</f>
        <v>#ERROR!</v>
      </c>
      <c r="G10" s="193">
        <f t="shared" si="1"/>
        <v>3.7</v>
      </c>
      <c r="H10" s="194" t="str">
        <f>IFERROR(F10-G10,"")</f>
        <v>#ERROR!</v>
      </c>
      <c r="I10" s="195" t="str">
        <f>IFERROR(H10/F10,"")</f>
        <v>#ERROR!</v>
      </c>
    </row>
    <row r="11" ht="15.0" customHeight="1">
      <c r="A11" s="186" t="s">
        <v>620</v>
      </c>
      <c r="B11" s="196" t="s">
        <v>621</v>
      </c>
      <c r="C11" s="196" t="s">
        <v>623</v>
      </c>
      <c r="D11" s="197">
        <v>6.0</v>
      </c>
      <c r="E11" s="130" t="str">
        <f>IFERROR(INDEX('Prix Vente'!C:C,MATCH($B$5&amp;$D$5,'Prix Vente'!A:A&amp;'Prix Vente'!B:B,0))*(1-8/100),"")</f>
        <v>#ERROR!</v>
      </c>
      <c r="F11" s="130" t="str">
        <f>IFERROR(INDEX('Prix Vente'!C:C,MATCH($B$5&amp;$D$5,'Prix Vente'!A:A&amp;'Prix Vente'!B:B,0))/1.055*(1-8/100),"")</f>
        <v>#ERROR!</v>
      </c>
      <c r="G11" s="198">
        <f t="shared" si="1"/>
        <v>3.7</v>
      </c>
      <c r="H11" s="199" t="str">
        <f>IFERROR(F11-G11,"")</f>
        <v>#ERROR!</v>
      </c>
      <c r="I11" s="200" t="str">
        <f>IFERROR(H11/F11,"")</f>
        <v>#ERROR!</v>
      </c>
    </row>
    <row r="12" ht="15.0" customHeight="1">
      <c r="A12" s="186" t="s">
        <v>620</v>
      </c>
      <c r="B12" s="169" t="s">
        <v>621</v>
      </c>
      <c r="C12" s="169" t="s">
        <v>624</v>
      </c>
      <c r="D12" s="61">
        <v>20.0</v>
      </c>
      <c r="E12" s="121" t="str">
        <f>IFERROR(INDEX('Prix Vente'!C:C,MATCH($B$5&amp;$D$5,'Prix Vente'!A:A&amp;'Prix Vente'!B:B,0))*(1-12/100),"")</f>
        <v>#ERROR!</v>
      </c>
      <c r="F12" s="121" t="str">
        <f>IFERROR(INDEX('Prix Vente'!C:C,MATCH($B$5&amp;$D$5,'Prix Vente'!A:A&amp;'Prix Vente'!B:B,0))/1.055*(1-12/100),"")</f>
        <v>#ERROR!</v>
      </c>
      <c r="G12" s="193">
        <f t="shared" si="1"/>
        <v>3.7</v>
      </c>
      <c r="H12" s="194" t="str">
        <f>IFERROR(F12-G12,"")</f>
        <v>#ERROR!</v>
      </c>
      <c r="I12" s="195" t="str">
        <f>IFERROR(H12/F12,"")</f>
        <v>#ERROR!</v>
      </c>
    </row>
    <row r="13" ht="15.0" customHeight="1">
      <c r="A13" s="201" t="s">
        <v>625</v>
      </c>
      <c r="B13" s="187" t="s">
        <v>621</v>
      </c>
      <c r="C13" s="187" t="s">
        <v>583</v>
      </c>
      <c r="D13" s="188">
        <v>1.0</v>
      </c>
      <c r="E13" s="189" t="str">
        <f>IFERROR(INDEX('Prix Vente'!C:C,MATCH($B$5&amp;$D$5,'Prix Vente'!A:A&amp;'Prix Vente'!B:B,0))*(1-0/100),"")</f>
        <v>#ERROR!</v>
      </c>
      <c r="F13" s="189" t="str">
        <f>IFERROR(INDEX('Prix Vente'!C:C,MATCH($B$5&amp;$D$5,'Prix Vente'!A:A&amp;'Prix Vente'!B:B,0))/1.055*(1-0/100),"")</f>
        <v>#ERROR!</v>
      </c>
      <c r="G13" s="190">
        <f t="shared" si="1"/>
        <v>3.7</v>
      </c>
      <c r="H13" s="191" t="str">
        <f>IFERROR(F13-G13,"")</f>
        <v>#ERROR!</v>
      </c>
      <c r="I13" s="192" t="str">
        <f>IFERROR(H13/F13,"")</f>
        <v>#ERROR!</v>
      </c>
    </row>
    <row r="14" ht="15.0" customHeight="1">
      <c r="A14" s="201" t="s">
        <v>625</v>
      </c>
      <c r="B14" s="169" t="s">
        <v>621</v>
      </c>
      <c r="C14" s="169" t="s">
        <v>626</v>
      </c>
      <c r="D14" s="61">
        <v>3.0</v>
      </c>
      <c r="E14" s="121" t="str">
        <f>IFERROR(INDEX('Prix Vente'!C:C,MATCH($B$5&amp;$D$5,'Prix Vente'!A:A&amp;'Prix Vente'!B:B,0))*(1-3/100),"")</f>
        <v>#ERROR!</v>
      </c>
      <c r="F14" s="121" t="str">
        <f>IFERROR(INDEX('Prix Vente'!C:C,MATCH($B$5&amp;$D$5,'Prix Vente'!A:A&amp;'Prix Vente'!B:B,0))/1.055*(1-3/100),"")</f>
        <v>#ERROR!</v>
      </c>
      <c r="G14" s="193">
        <f t="shared" si="1"/>
        <v>3.7</v>
      </c>
      <c r="H14" s="194" t="str">
        <f>IFERROR(F14-G14,"")</f>
        <v>#ERROR!</v>
      </c>
      <c r="I14" s="195" t="str">
        <f>IFERROR(H14/F14,"")</f>
        <v>#ERROR!</v>
      </c>
    </row>
    <row r="15" ht="15.0" customHeight="1">
      <c r="A15" s="201" t="s">
        <v>625</v>
      </c>
      <c r="B15" s="196" t="s">
        <v>621</v>
      </c>
      <c r="C15" s="196" t="s">
        <v>627</v>
      </c>
      <c r="D15" s="197">
        <v>6.0</v>
      </c>
      <c r="E15" s="130" t="str">
        <f>IFERROR(INDEX('Prix Vente'!C:C,MATCH($B$5&amp;$D$5,'Prix Vente'!A:A&amp;'Prix Vente'!B:B,0))*(1-6/100),"")</f>
        <v>#ERROR!</v>
      </c>
      <c r="F15" s="130" t="str">
        <f>IFERROR(INDEX('Prix Vente'!C:C,MATCH($B$5&amp;$D$5,'Prix Vente'!A:A&amp;'Prix Vente'!B:B,0))/1.055*(1-6/100),"")</f>
        <v>#ERROR!</v>
      </c>
      <c r="G15" s="198">
        <f t="shared" si="1"/>
        <v>3.7</v>
      </c>
      <c r="H15" s="199" t="str">
        <f>IFERROR(F15-G15,"")</f>
        <v>#ERROR!</v>
      </c>
      <c r="I15" s="200" t="str">
        <f>IFERROR(H15/F15,"")</f>
        <v>#ERROR!</v>
      </c>
    </row>
    <row r="16" ht="15.0" customHeight="1">
      <c r="A16" s="202" t="s">
        <v>628</v>
      </c>
      <c r="B16" s="187" t="s">
        <v>629</v>
      </c>
      <c r="C16" s="187" t="s">
        <v>622</v>
      </c>
      <c r="D16" s="188">
        <v>3.0</v>
      </c>
      <c r="E16" s="189" t="str">
        <f>IFERROR(INDEX('Prix Vente'!C:C,MATCH($B$5&amp;$D$5,'Prix Vente'!A:A&amp;'Prix Vente'!B:B,0))*(1-5/100),"")</f>
        <v>#ERROR!</v>
      </c>
      <c r="F16" s="189" t="str">
        <f>IFERROR(INDEX('Prix Vente'!C:C,MATCH($B$5&amp;$D$5,'Prix Vente'!A:A&amp;'Prix Vente'!B:B,0))*(1-5/100),"")</f>
        <v>#ERROR!</v>
      </c>
      <c r="G16" s="190">
        <f t="shared" si="1"/>
        <v>3.7</v>
      </c>
      <c r="H16" s="191" t="str">
        <f>IFERROR(F16-G16,"")</f>
        <v>#ERROR!</v>
      </c>
      <c r="I16" s="192" t="str">
        <f>IFERROR(H16/F16,"")</f>
        <v>#ERROR!</v>
      </c>
    </row>
    <row r="17" ht="15.0" customHeight="1">
      <c r="A17" s="202" t="s">
        <v>628</v>
      </c>
      <c r="B17" s="169" t="s">
        <v>629</v>
      </c>
      <c r="C17" s="169" t="s">
        <v>630</v>
      </c>
      <c r="D17" s="61">
        <v>5.0</v>
      </c>
      <c r="E17" s="121" t="str">
        <f>IFERROR(INDEX('Prix Vente'!C:C,MATCH($B$5&amp;$D$5,'Prix Vente'!A:A&amp;'Prix Vente'!B:B,0))*(1-10/100),"")</f>
        <v>#ERROR!</v>
      </c>
      <c r="F17" s="121" t="str">
        <f>IFERROR(INDEX('Prix Vente'!C:C,MATCH($B$5&amp;$D$5,'Prix Vente'!A:A&amp;'Prix Vente'!B:B,0))*(1-10/100),"")</f>
        <v>#ERROR!</v>
      </c>
      <c r="G17" s="193">
        <f t="shared" si="1"/>
        <v>3.7</v>
      </c>
      <c r="H17" s="194" t="str">
        <f>IFERROR(F17-G17,"")</f>
        <v>#ERROR!</v>
      </c>
      <c r="I17" s="195" t="str">
        <f>IFERROR(H17/F17,"")</f>
        <v>#ERROR!</v>
      </c>
    </row>
    <row r="18" ht="15.0" customHeight="1">
      <c r="A18" s="202" t="s">
        <v>628</v>
      </c>
      <c r="B18" s="196" t="s">
        <v>629</v>
      </c>
      <c r="C18" s="196" t="s">
        <v>631</v>
      </c>
      <c r="D18" s="197">
        <v>10.0</v>
      </c>
      <c r="E18" s="130" t="str">
        <f>IFERROR(INDEX('Prix Vente'!C:C,MATCH($B$5&amp;$D$5,'Prix Vente'!A:A&amp;'Prix Vente'!B:B,0))*(1-15/100),"")</f>
        <v>#ERROR!</v>
      </c>
      <c r="F18" s="130" t="str">
        <f>IFERROR(INDEX('Prix Vente'!C:C,MATCH($B$5&amp;$D$5,'Prix Vente'!A:A&amp;'Prix Vente'!B:B,0))*(1-15/100),"")</f>
        <v>#ERROR!</v>
      </c>
      <c r="G18" s="198">
        <f t="shared" si="1"/>
        <v>3.7</v>
      </c>
      <c r="H18" s="199" t="str">
        <f>IFERROR(F18-G18,"")</f>
        <v>#ERROR!</v>
      </c>
      <c r="I18" s="200" t="str">
        <f>IFERROR(H18/F18,"")</f>
        <v>#ERROR!</v>
      </c>
    </row>
    <row r="19" ht="15.0" customHeight="1">
      <c r="A19" s="202" t="s">
        <v>628</v>
      </c>
      <c r="B19" s="169" t="s">
        <v>629</v>
      </c>
      <c r="C19" s="169" t="s">
        <v>632</v>
      </c>
      <c r="D19" s="61">
        <v>24.0</v>
      </c>
      <c r="E19" s="121" t="str">
        <f>IFERROR(INDEX('Prix Vente'!C:C,MATCH($B$5&amp;$D$5,'Prix Vente'!A:A&amp;'Prix Vente'!B:B,0))*(1-20/100),"")</f>
        <v>#ERROR!</v>
      </c>
      <c r="F19" s="121" t="str">
        <f>IFERROR(INDEX('Prix Vente'!C:C,MATCH($B$5&amp;$D$5,'Prix Vente'!A:A&amp;'Prix Vente'!B:B,0))*(1-20/100),"")</f>
        <v>#ERROR!</v>
      </c>
      <c r="G19" s="193">
        <f t="shared" si="1"/>
        <v>3.7</v>
      </c>
      <c r="H19" s="194" t="str">
        <f>IFERROR(F19-G19,"")</f>
        <v>#ERROR!</v>
      </c>
      <c r="I19" s="195" t="str">
        <f>IFERROR(H19/F19,"")</f>
        <v>#ERROR!</v>
      </c>
    </row>
    <row r="20" ht="15.0" customHeight="1">
      <c r="A20" s="203" t="s">
        <v>633</v>
      </c>
      <c r="B20" s="187" t="s">
        <v>629</v>
      </c>
      <c r="C20" s="187" t="s">
        <v>634</v>
      </c>
      <c r="D20" s="188">
        <v>6.0</v>
      </c>
      <c r="E20" s="189" t="str">
        <f>IFERROR(INDEX('Prix Vente'!C:C,MATCH($B$5&amp;$D$5,'Prix Vente'!A:A&amp;'Prix Vente'!B:B,0))*(1-10/100),"")</f>
        <v>#ERROR!</v>
      </c>
      <c r="F20" s="189" t="str">
        <f>IFERROR(INDEX('Prix Vente'!C:C,MATCH($B$5&amp;$D$5,'Prix Vente'!A:A&amp;'Prix Vente'!B:B,0))*(1-10/100),"")</f>
        <v>#ERROR!</v>
      </c>
      <c r="G20" s="190">
        <f t="shared" si="1"/>
        <v>3.7</v>
      </c>
      <c r="H20" s="191" t="str">
        <f>IFERROR(F20-G20,"")</f>
        <v>#ERROR!</v>
      </c>
      <c r="I20" s="192" t="str">
        <f>IFERROR(H20/F20,"")</f>
        <v>#ERROR!</v>
      </c>
    </row>
    <row r="21" ht="15.0" customHeight="1">
      <c r="A21" s="203" t="s">
        <v>633</v>
      </c>
      <c r="B21" s="169" t="s">
        <v>629</v>
      </c>
      <c r="C21" s="169" t="s">
        <v>635</v>
      </c>
      <c r="D21" s="61">
        <v>12.0</v>
      </c>
      <c r="E21" s="121" t="str">
        <f>IFERROR(INDEX('Prix Vente'!C:C,MATCH($B$5&amp;$D$5,'Prix Vente'!A:A&amp;'Prix Vente'!B:B,0))*(1-15/100),"")</f>
        <v>#ERROR!</v>
      </c>
      <c r="F21" s="121" t="str">
        <f>IFERROR(INDEX('Prix Vente'!C:C,MATCH($B$5&amp;$D$5,'Prix Vente'!A:A&amp;'Prix Vente'!B:B,0))*(1-15/100),"")</f>
        <v>#ERROR!</v>
      </c>
      <c r="G21" s="193">
        <f t="shared" si="1"/>
        <v>3.7</v>
      </c>
      <c r="H21" s="194" t="str">
        <f>IFERROR(F21-G21,"")</f>
        <v>#ERROR!</v>
      </c>
      <c r="I21" s="195" t="str">
        <f>IFERROR(H21/F21,"")</f>
        <v>#ERROR!</v>
      </c>
    </row>
    <row r="22" ht="15.0" customHeight="1">
      <c r="A22" s="203" t="s">
        <v>633</v>
      </c>
      <c r="B22" s="196" t="s">
        <v>629</v>
      </c>
      <c r="C22" s="196" t="s">
        <v>632</v>
      </c>
      <c r="D22" s="197">
        <v>24.0</v>
      </c>
      <c r="E22" s="130" t="str">
        <f>IFERROR(INDEX('Prix Vente'!C:C,MATCH($B$5&amp;$D$5,'Prix Vente'!A:A&amp;'Prix Vente'!B:B,0))*(1-20/100),"")</f>
        <v>#ERROR!</v>
      </c>
      <c r="F22" s="130" t="str">
        <f>IFERROR(INDEX('Prix Vente'!C:C,MATCH($B$5&amp;$D$5,'Prix Vente'!A:A&amp;'Prix Vente'!B:B,0))*(1-20/100),"")</f>
        <v>#ERROR!</v>
      </c>
      <c r="G22" s="198">
        <f t="shared" si="1"/>
        <v>3.7</v>
      </c>
      <c r="H22" s="199" t="str">
        <f>IFERROR(F22-G22,"")</f>
        <v>#ERROR!</v>
      </c>
      <c r="I22" s="200" t="str">
        <f>IFERROR(H22/F22,"")</f>
        <v>#ERROR!</v>
      </c>
    </row>
    <row r="23" ht="15.0" customHeight="1">
      <c r="A23" s="204" t="s">
        <v>636</v>
      </c>
      <c r="B23" s="187" t="s">
        <v>629</v>
      </c>
      <c r="C23" s="187" t="s">
        <v>634</v>
      </c>
      <c r="D23" s="188">
        <v>6.0</v>
      </c>
      <c r="E23" s="189" t="str">
        <f>IFERROR(INDEX('Prix Vente'!C:C,MATCH($B$5&amp;$D$5,'Prix Vente'!A:A&amp;'Prix Vente'!B:B,0))*(1-10/100),"")</f>
        <v>#ERROR!</v>
      </c>
      <c r="F23" s="189" t="str">
        <f>IFERROR(INDEX('Prix Vente'!C:C,MATCH($B$5&amp;$D$5,'Prix Vente'!A:A&amp;'Prix Vente'!B:B,0))*(1-10/100),"")</f>
        <v>#ERROR!</v>
      </c>
      <c r="G23" s="190">
        <f t="shared" si="1"/>
        <v>3.7</v>
      </c>
      <c r="H23" s="191" t="str">
        <f>IFERROR(F23-G23,"")</f>
        <v>#ERROR!</v>
      </c>
      <c r="I23" s="192" t="str">
        <f>IFERROR(H23/F23,"")</f>
        <v>#ERROR!</v>
      </c>
    </row>
    <row r="24" ht="15.0" customHeight="1">
      <c r="A24" s="204" t="s">
        <v>636</v>
      </c>
      <c r="B24" s="169" t="s">
        <v>629</v>
      </c>
      <c r="C24" s="169" t="s">
        <v>635</v>
      </c>
      <c r="D24" s="61">
        <v>12.0</v>
      </c>
      <c r="E24" s="121" t="str">
        <f>IFERROR(INDEX('Prix Vente'!C:C,MATCH($B$5&amp;$D$5,'Prix Vente'!A:A&amp;'Prix Vente'!B:B,0))*(1-15/100),"")</f>
        <v>#ERROR!</v>
      </c>
      <c r="F24" s="121" t="str">
        <f>IFERROR(INDEX('Prix Vente'!C:C,MATCH($B$5&amp;$D$5,'Prix Vente'!A:A&amp;'Prix Vente'!B:B,0))*(1-15/100),"")</f>
        <v>#ERROR!</v>
      </c>
      <c r="G24" s="193">
        <f t="shared" si="1"/>
        <v>3.7</v>
      </c>
      <c r="H24" s="194" t="str">
        <f>IFERROR(F24-G24,"")</f>
        <v>#ERROR!</v>
      </c>
      <c r="I24" s="195" t="str">
        <f>IFERROR(H24/F24,"")</f>
        <v>#ERROR!</v>
      </c>
    </row>
    <row r="25" ht="15.0" customHeight="1">
      <c r="A25" s="204" t="s">
        <v>636</v>
      </c>
      <c r="B25" s="196" t="s">
        <v>629</v>
      </c>
      <c r="C25" s="196" t="s">
        <v>637</v>
      </c>
      <c r="D25" s="197">
        <v>24.0</v>
      </c>
      <c r="E25" s="130" t="str">
        <f>IFERROR(INDEX('Prix Vente'!C:C,MATCH($B$5&amp;$D$5,'Prix Vente'!A:A&amp;'Prix Vente'!B:B,0))*(1-18/100),"")</f>
        <v>#ERROR!</v>
      </c>
      <c r="F25" s="130" t="str">
        <f>IFERROR(INDEX('Prix Vente'!C:C,MATCH($B$5&amp;$D$5,'Prix Vente'!A:A&amp;'Prix Vente'!B:B,0))*(1-18/100),"")</f>
        <v>#ERROR!</v>
      </c>
      <c r="G25" s="198">
        <f t="shared" si="1"/>
        <v>3.7</v>
      </c>
      <c r="H25" s="199" t="str">
        <f>IFERROR(F25-G25,"")</f>
        <v>#ERROR!</v>
      </c>
      <c r="I25" s="200" t="str">
        <f>IFERROR(H25/F25,"")</f>
        <v>#ERROR!</v>
      </c>
    </row>
    <row r="26" ht="15.0" customHeight="1">
      <c r="A26" s="205" t="s">
        <v>638</v>
      </c>
      <c r="B26" s="187" t="s">
        <v>629</v>
      </c>
      <c r="C26" s="187" t="s">
        <v>639</v>
      </c>
      <c r="D26" s="188">
        <v>100.0</v>
      </c>
      <c r="E26" s="189" t="str">
        <f>IFERROR(INDEX('Prix Vente'!C:C,MATCH($B$5&amp;$D$5,'Prix Vente'!A:A&amp;'Prix Vente'!B:B,0))*(1-25/100),"")</f>
        <v>#ERROR!</v>
      </c>
      <c r="F26" s="189" t="str">
        <f>IFERROR(INDEX('Prix Vente'!C:C,MATCH($B$5&amp;$D$5,'Prix Vente'!A:A&amp;'Prix Vente'!B:B,0))*(1-25/100),"")</f>
        <v>#ERROR!</v>
      </c>
      <c r="G26" s="190">
        <f t="shared" si="1"/>
        <v>3.7</v>
      </c>
      <c r="H26" s="191" t="str">
        <f>IFERROR(F26-G26,"")</f>
        <v>#ERROR!</v>
      </c>
      <c r="I26" s="192" t="str">
        <f>IFERROR(H26/F26,"")</f>
        <v>#ERROR!</v>
      </c>
    </row>
    <row r="27" ht="15.0" customHeight="1">
      <c r="A27" s="205" t="s">
        <v>638</v>
      </c>
      <c r="B27" s="169" t="s">
        <v>629</v>
      </c>
      <c r="C27" s="169" t="s">
        <v>640</v>
      </c>
      <c r="D27" s="61">
        <v>200.0</v>
      </c>
      <c r="E27" s="121" t="str">
        <f>IFERROR(INDEX('Prix Vente'!C:C,MATCH($B$5&amp;$D$5,'Prix Vente'!A:A&amp;'Prix Vente'!B:B,0))*(1-30/100),"")</f>
        <v>#ERROR!</v>
      </c>
      <c r="F27" s="121" t="str">
        <f>IFERROR(INDEX('Prix Vente'!C:C,MATCH($B$5&amp;$D$5,'Prix Vente'!A:A&amp;'Prix Vente'!B:B,0))*(1-30/100),"")</f>
        <v>#ERROR!</v>
      </c>
      <c r="G27" s="193">
        <f t="shared" si="1"/>
        <v>3.7</v>
      </c>
      <c r="H27" s="194" t="str">
        <f>IFERROR(F27-G27,"")</f>
        <v>#ERROR!</v>
      </c>
      <c r="I27" s="195" t="str">
        <f>IFERROR(H27/F27,"")</f>
        <v>#ERROR!</v>
      </c>
    </row>
    <row r="28" ht="15.0" customHeight="1">
      <c r="A28" s="205" t="s">
        <v>638</v>
      </c>
      <c r="B28" s="196" t="s">
        <v>629</v>
      </c>
      <c r="C28" s="196" t="s">
        <v>641</v>
      </c>
      <c r="D28" s="197">
        <v>500.0</v>
      </c>
      <c r="E28" s="130" t="str">
        <f>IFERROR(INDEX('Prix Vente'!C:C,MATCH($B$5&amp;$D$5,'Prix Vente'!A:A&amp;'Prix Vente'!B:B,0))*(1-35/100),"")</f>
        <v>#ERROR!</v>
      </c>
      <c r="F28" s="130" t="str">
        <f>IFERROR(INDEX('Prix Vente'!C:C,MATCH($B$5&amp;$D$5,'Prix Vente'!A:A&amp;'Prix Vente'!B:B,0))*(1-35/100),"")</f>
        <v>#ERROR!</v>
      </c>
      <c r="G28" s="198">
        <f t="shared" si="1"/>
        <v>3.7</v>
      </c>
      <c r="H28" s="199" t="str">
        <f>IFERROR(F28-G28,"")</f>
        <v>#ERROR!</v>
      </c>
      <c r="I28" s="200" t="str">
        <f>IFERROR(H28/F28,"")</f>
        <v>#ERROR!</v>
      </c>
    </row>
  </sheetData>
  <mergeCells count="4">
    <mergeCell ref="A1:J1"/>
    <mergeCell ref="A2:J2"/>
    <mergeCell ref="A4:H4"/>
    <mergeCell ref="A7:H7"/>
  </mergeCells>
  <dataValidations>
    <dataValidation type="list" allowBlank="1" sqref="D5">
      <formula1>"RR100-290,RR100-370,RR100-580,RR100-850,RR100-1050,RR100-1550,W60-050,W60-080,W60-160"</formula1>
    </dataValidation>
    <dataValidation type="list" allowBlank="1" sqref="B5">
      <formula1>"Pates &amp; Terrines,Rillettes,Mousses,Plats cuisines,Desserts appertises,Soupes"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860B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2" width="20.13"/>
    <col customWidth="1" min="3" max="3" width="16.38"/>
    <col customWidth="1" min="4" max="4" width="11.38"/>
    <col customWidth="1" min="5" max="5" width="16.38"/>
    <col customWidth="1" min="6" max="6" width="12.63"/>
    <col customWidth="1" min="7" max="8" width="16.38"/>
  </cols>
  <sheetData>
    <row r="1" ht="25.5" customHeight="1">
      <c r="A1" s="30" t="s">
        <v>642</v>
      </c>
    </row>
    <row r="2" ht="25.5" customHeight="1">
      <c r="A2" s="141" t="s">
        <v>643</v>
      </c>
    </row>
    <row r="4" ht="16.5" customHeight="1">
      <c r="A4" s="18" t="s">
        <v>644</v>
      </c>
    </row>
    <row r="5" ht="16.5" customHeight="1">
      <c r="A5" s="206" t="s">
        <v>645</v>
      </c>
      <c r="B5" s="127"/>
      <c r="C5" s="207"/>
      <c r="D5" s="207"/>
    </row>
    <row r="6" ht="16.5" customHeight="1">
      <c r="A6" s="206" t="s">
        <v>646</v>
      </c>
      <c r="B6" s="127"/>
      <c r="C6" s="207"/>
      <c r="D6" s="207"/>
    </row>
    <row r="7" ht="16.5" customHeight="1">
      <c r="A7" s="206" t="s">
        <v>647</v>
      </c>
      <c r="B7" s="208" t="s">
        <v>620</v>
      </c>
      <c r="C7" s="207"/>
      <c r="D7" s="207"/>
    </row>
    <row r="8" ht="16.5" customHeight="1">
      <c r="A8" s="206" t="s">
        <v>648</v>
      </c>
      <c r="B8" s="127"/>
      <c r="C8" s="207"/>
      <c r="D8" s="207"/>
    </row>
    <row r="9" ht="16.5" customHeight="1">
      <c r="A9" s="206" t="s">
        <v>649</v>
      </c>
      <c r="B9" s="208" t="s">
        <v>650</v>
      </c>
      <c r="C9" s="207"/>
      <c r="D9" s="207"/>
    </row>
    <row r="11" ht="16.5" customHeight="1">
      <c r="A11" s="7" t="s">
        <v>651</v>
      </c>
    </row>
    <row r="12" ht="19.5" customHeight="1">
      <c r="A12" s="31" t="s">
        <v>652</v>
      </c>
      <c r="B12" s="31" t="s">
        <v>77</v>
      </c>
      <c r="C12" s="31" t="s">
        <v>653</v>
      </c>
      <c r="D12" s="31" t="s">
        <v>551</v>
      </c>
      <c r="E12" s="31" t="s">
        <v>654</v>
      </c>
      <c r="F12" s="31" t="s">
        <v>655</v>
      </c>
      <c r="G12" s="31" t="s">
        <v>656</v>
      </c>
      <c r="H12" s="31" t="s">
        <v>657</v>
      </c>
    </row>
    <row r="13" ht="16.5" customHeight="1">
      <c r="A13" s="209">
        <v>1.0</v>
      </c>
      <c r="B13" s="127"/>
      <c r="C13" s="127"/>
      <c r="D13" s="210"/>
      <c r="E13" s="130" t="str">
        <f>IFERROR(INDEX('Prix Vente'!D:D,MATCH(B13&amp;C13,'Prix Vente'!A:A&amp;'Prix Vente'!B:B,0))/1.055,"")</f>
        <v>#ERROR!</v>
      </c>
      <c r="F13" s="211">
        <v>0.0</v>
      </c>
      <c r="G13" s="199" t="str">
        <f>IFERROR(D13*E13*(1-F13/100),"")</f>
        <v>#ERROR!</v>
      </c>
      <c r="H13" s="130" t="str">
        <f>IFERROR(G13*1.055,"")</f>
        <v>#ERROR!</v>
      </c>
    </row>
    <row r="14" ht="16.5" customHeight="1">
      <c r="A14" s="212">
        <v>2.0</v>
      </c>
      <c r="B14" s="127"/>
      <c r="C14" s="127"/>
      <c r="D14" s="210"/>
      <c r="E14" s="121" t="str">
        <f>IFERROR(INDEX('Prix Vente'!D:D,MATCH(B14&amp;C14,'Prix Vente'!A:A&amp;'Prix Vente'!B:B,0))/1.055,"")</f>
        <v>#ERROR!</v>
      </c>
      <c r="F14" s="213">
        <v>0.0</v>
      </c>
      <c r="G14" s="194" t="str">
        <f>IFERROR(D14*E14*(1-F14/100),"")</f>
        <v>#ERROR!</v>
      </c>
      <c r="H14" s="121" t="str">
        <f>IFERROR(G14*1.055,"")</f>
        <v>#ERROR!</v>
      </c>
    </row>
    <row r="15" ht="16.5" customHeight="1">
      <c r="A15" s="209">
        <v>3.0</v>
      </c>
      <c r="B15" s="127"/>
      <c r="C15" s="127"/>
      <c r="D15" s="210"/>
      <c r="E15" s="130" t="str">
        <f>IFERROR(INDEX('Prix Vente'!D:D,MATCH(B15&amp;C15,'Prix Vente'!A:A&amp;'Prix Vente'!B:B,0))/1.055,"")</f>
        <v>#ERROR!</v>
      </c>
      <c r="F15" s="211">
        <v>0.0</v>
      </c>
      <c r="G15" s="199" t="str">
        <f>IFERROR(D15*E15*(1-F15/100),"")</f>
        <v>#ERROR!</v>
      </c>
      <c r="H15" s="130" t="str">
        <f>IFERROR(G15*1.055,"")</f>
        <v>#ERROR!</v>
      </c>
    </row>
    <row r="16" ht="16.5" customHeight="1">
      <c r="A16" s="212">
        <v>4.0</v>
      </c>
      <c r="B16" s="127"/>
      <c r="C16" s="127"/>
      <c r="D16" s="210"/>
      <c r="E16" s="121" t="str">
        <f>IFERROR(INDEX('Prix Vente'!D:D,MATCH(B16&amp;C16,'Prix Vente'!A:A&amp;'Prix Vente'!B:B,0))/1.055,"")</f>
        <v>#ERROR!</v>
      </c>
      <c r="F16" s="213">
        <v>0.0</v>
      </c>
      <c r="G16" s="194" t="str">
        <f>IFERROR(D16*E16*(1-F16/100),"")</f>
        <v>#ERROR!</v>
      </c>
      <c r="H16" s="121" t="str">
        <f>IFERROR(G16*1.055,"")</f>
        <v>#ERROR!</v>
      </c>
    </row>
    <row r="17" ht="16.5" customHeight="1">
      <c r="A17" s="209">
        <v>5.0</v>
      </c>
      <c r="B17" s="127"/>
      <c r="C17" s="127"/>
      <c r="D17" s="210"/>
      <c r="E17" s="130" t="str">
        <f>IFERROR(INDEX('Prix Vente'!D:D,MATCH(B17&amp;C17,'Prix Vente'!A:A&amp;'Prix Vente'!B:B,0))/1.055,"")</f>
        <v>#ERROR!</v>
      </c>
      <c r="F17" s="211">
        <v>0.0</v>
      </c>
      <c r="G17" s="199" t="str">
        <f>IFERROR(D17*E17*(1-F17/100),"")</f>
        <v>#ERROR!</v>
      </c>
      <c r="H17" s="130" t="str">
        <f>IFERROR(G17*1.055,"")</f>
        <v>#ERROR!</v>
      </c>
    </row>
    <row r="18" ht="16.5" customHeight="1">
      <c r="A18" s="212">
        <v>6.0</v>
      </c>
      <c r="B18" s="127"/>
      <c r="C18" s="127"/>
      <c r="D18" s="210"/>
      <c r="E18" s="121" t="str">
        <f>IFERROR(INDEX('Prix Vente'!D:D,MATCH(B18&amp;C18,'Prix Vente'!A:A&amp;'Prix Vente'!B:B,0))/1.055,"")</f>
        <v>#ERROR!</v>
      </c>
      <c r="F18" s="213">
        <v>0.0</v>
      </c>
      <c r="G18" s="194" t="str">
        <f>IFERROR(D18*E18*(1-F18/100),"")</f>
        <v>#ERROR!</v>
      </c>
      <c r="H18" s="121" t="str">
        <f>IFERROR(G18*1.055,"")</f>
        <v>#ERROR!</v>
      </c>
    </row>
    <row r="19" ht="16.5" customHeight="1">
      <c r="A19" s="209">
        <v>7.0</v>
      </c>
      <c r="B19" s="127"/>
      <c r="C19" s="127"/>
      <c r="D19" s="210"/>
      <c r="E19" s="130" t="str">
        <f>IFERROR(INDEX('Prix Vente'!D:D,MATCH(B19&amp;C19,'Prix Vente'!A:A&amp;'Prix Vente'!B:B,0))/1.055,"")</f>
        <v>#ERROR!</v>
      </c>
      <c r="F19" s="211">
        <v>0.0</v>
      </c>
      <c r="G19" s="199" t="str">
        <f>IFERROR(D19*E19*(1-F19/100),"")</f>
        <v>#ERROR!</v>
      </c>
      <c r="H19" s="130" t="str">
        <f>IFERROR(G19*1.055,"")</f>
        <v>#ERROR!</v>
      </c>
    </row>
    <row r="20" ht="16.5" customHeight="1">
      <c r="A20" s="212">
        <v>8.0</v>
      </c>
      <c r="B20" s="127"/>
      <c r="C20" s="127"/>
      <c r="D20" s="210"/>
      <c r="E20" s="121" t="str">
        <f>IFERROR(INDEX('Prix Vente'!D:D,MATCH(B20&amp;C20,'Prix Vente'!A:A&amp;'Prix Vente'!B:B,0))/1.055,"")</f>
        <v>#ERROR!</v>
      </c>
      <c r="F20" s="213">
        <v>0.0</v>
      </c>
      <c r="G20" s="194" t="str">
        <f>IFERROR(D20*E20*(1-F20/100),"")</f>
        <v>#ERROR!</v>
      </c>
      <c r="H20" s="121" t="str">
        <f>IFERROR(G20*1.055,"")</f>
        <v>#ERROR!</v>
      </c>
    </row>
    <row r="21" ht="16.5" customHeight="1">
      <c r="A21" s="209">
        <v>9.0</v>
      </c>
      <c r="B21" s="127"/>
      <c r="C21" s="127"/>
      <c r="D21" s="210"/>
      <c r="E21" s="130" t="str">
        <f>IFERROR(INDEX('Prix Vente'!D:D,MATCH(B21&amp;C21,'Prix Vente'!A:A&amp;'Prix Vente'!B:B,0))/1.055,"")</f>
        <v>#ERROR!</v>
      </c>
      <c r="F21" s="211">
        <v>0.0</v>
      </c>
      <c r="G21" s="199" t="str">
        <f>IFERROR(D21*E21*(1-F21/100),"")</f>
        <v>#ERROR!</v>
      </c>
      <c r="H21" s="130" t="str">
        <f>IFERROR(G21*1.055,"")</f>
        <v>#ERROR!</v>
      </c>
    </row>
    <row r="22" ht="16.5" customHeight="1">
      <c r="A22" s="212">
        <v>10.0</v>
      </c>
      <c r="B22" s="127"/>
      <c r="C22" s="127"/>
      <c r="D22" s="210"/>
      <c r="E22" s="121" t="str">
        <f>IFERROR(INDEX('Prix Vente'!D:D,MATCH(B22&amp;C22,'Prix Vente'!A:A&amp;'Prix Vente'!B:B,0))/1.055,"")</f>
        <v>#ERROR!</v>
      </c>
      <c r="F22" s="213">
        <v>0.0</v>
      </c>
      <c r="G22" s="194" t="str">
        <f>IFERROR(D22*E22*(1-F22/100),"")</f>
        <v>#ERROR!</v>
      </c>
      <c r="H22" s="121" t="str">
        <f>IFERROR(G22*1.055,"")</f>
        <v>#ERROR!</v>
      </c>
    </row>
    <row r="23" ht="21.0" customHeight="1">
      <c r="A23" s="131" t="s">
        <v>658</v>
      </c>
      <c r="G23" s="132" t="str">
        <f t="shared" ref="G23:H23" si="1">SUM(G13:G22)</f>
        <v>#ERROR!</v>
      </c>
      <c r="H23" s="132" t="str">
        <f t="shared" si="1"/>
        <v>#ERROR!</v>
      </c>
    </row>
  </sheetData>
  <mergeCells count="5">
    <mergeCell ref="A1:J1"/>
    <mergeCell ref="A2:J2"/>
    <mergeCell ref="A4:H4"/>
    <mergeCell ref="A11:H11"/>
    <mergeCell ref="A23:F23"/>
  </mergeCells>
  <dataValidations>
    <dataValidation type="list" allowBlank="1" sqref="C13:C22">
      <formula1>"RR100-290,RR100-370,RR100-580,RR100-850,RR100-1050,RR100-1550,W60-050,W60-080,W60-160"</formula1>
    </dataValidation>
    <dataValidation type="list" allowBlank="1" sqref="B7">
      <formula1>"B to C Marches,E-commerce,Restaurants,Epiceries fines,Hotels / Airbnb,GMS"</formula1>
    </dataValidation>
    <dataValidation type="list" allowBlank="1" sqref="B13:B22">
      <formula1>"Pates &amp; Terrines,Rillettes,Mousses,Plats cuisines,Desserts appertises,Soupes"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366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0"/>
    <col customWidth="1" min="2" max="2" width="13.88"/>
    <col customWidth="1" min="3" max="3" width="25.13"/>
    <col customWidth="1" min="4" max="4" width="15.13"/>
    <col customWidth="1" min="5" max="5" width="14.5"/>
    <col customWidth="1" min="6" max="6" width="16.38"/>
    <col customWidth="1" min="7" max="7" width="11.38"/>
    <col customWidth="1" min="8" max="8" width="10.13"/>
    <col customWidth="1" min="9" max="10" width="12.63"/>
    <col customWidth="1" min="11" max="11" width="10.13"/>
    <col customWidth="1" min="12" max="14" width="13.88"/>
    <col customWidth="1" min="15" max="15" width="11.38"/>
    <col customWidth="1" min="16" max="17" width="13.88"/>
    <col customWidth="1" min="18" max="18" width="15.13"/>
    <col customWidth="1" min="19" max="19" width="22.63"/>
    <col customWidth="1" min="20" max="20" width="11.38"/>
  </cols>
  <sheetData>
    <row r="1" ht="25.5" customHeight="1">
      <c r="A1" s="30" t="s">
        <v>659</v>
      </c>
    </row>
    <row r="2" ht="25.5" customHeight="1">
      <c r="A2" s="123" t="s">
        <v>660</v>
      </c>
    </row>
    <row r="3" ht="24.0" customHeight="1">
      <c r="A3" s="158" t="s">
        <v>73</v>
      </c>
      <c r="B3" s="158" t="s">
        <v>661</v>
      </c>
      <c r="C3" s="158" t="s">
        <v>64</v>
      </c>
      <c r="D3" s="158" t="s">
        <v>77</v>
      </c>
      <c r="E3" s="158" t="s">
        <v>653</v>
      </c>
      <c r="F3" s="158" t="s">
        <v>662</v>
      </c>
      <c r="G3" s="158" t="s">
        <v>663</v>
      </c>
      <c r="H3" s="158" t="s">
        <v>664</v>
      </c>
      <c r="I3" s="158" t="s">
        <v>665</v>
      </c>
      <c r="J3" s="158" t="s">
        <v>666</v>
      </c>
      <c r="K3" s="158" t="s">
        <v>667</v>
      </c>
      <c r="L3" s="158" t="s">
        <v>668</v>
      </c>
      <c r="M3" s="158" t="s">
        <v>669</v>
      </c>
      <c r="N3" s="158" t="s">
        <v>670</v>
      </c>
      <c r="O3" s="158" t="s">
        <v>671</v>
      </c>
      <c r="P3" s="158" t="s">
        <v>105</v>
      </c>
      <c r="Q3" s="158" t="s">
        <v>672</v>
      </c>
      <c r="R3" s="158" t="s">
        <v>673</v>
      </c>
      <c r="S3" s="158" t="s">
        <v>61</v>
      </c>
      <c r="T3" s="158" t="s">
        <v>674</v>
      </c>
    </row>
    <row r="4" ht="16.5" customHeight="1">
      <c r="A4" s="214">
        <v>46113.08333333333</v>
      </c>
      <c r="B4" s="215" t="str">
        <f>IF(A4="","",IF(C4="","","LOT-"&amp;TEXT(A4,"YYYYMMDD")&amp;"-"&amp;TEXT(ROW()-3,"000")))</f>
        <v>#ERROR!</v>
      </c>
      <c r="C4" s="216" t="s">
        <v>437</v>
      </c>
      <c r="D4" s="217" t="str">
        <f>IFERROR(INDEX(Recettes!C:C,MATCH(C4,Recettes!B:B,0)),"")</f>
        <v>#ERROR!</v>
      </c>
      <c r="E4" s="216" t="s">
        <v>489</v>
      </c>
      <c r="F4" s="216" t="s">
        <v>675</v>
      </c>
      <c r="G4" s="216" t="s">
        <v>676</v>
      </c>
      <c r="H4" s="218"/>
      <c r="I4" s="219">
        <v>0.0</v>
      </c>
      <c r="J4" s="217"/>
      <c r="K4" s="220" t="str">
        <f>IFERROR(J4/I4,"")</f>
        <v>#ERROR!</v>
      </c>
      <c r="L4" s="217"/>
      <c r="M4" s="217"/>
      <c r="N4" s="217"/>
      <c r="O4" s="221">
        <v>115.0</v>
      </c>
      <c r="P4" s="217"/>
      <c r="Q4" s="222" t="str">
        <f>IFERROR(IF(A4="","",A4+IFERROR(INDEX(Config!B:B,MATCH("DDM appertisation standard (mois)",Config!A:A,0)),36)*30),"")</f>
        <v>#ERROR!</v>
      </c>
      <c r="R4" s="217"/>
      <c r="S4" s="217"/>
      <c r="T4" s="223"/>
    </row>
    <row r="5" ht="16.5" customHeight="1">
      <c r="A5" s="224">
        <v>46113.08333333333</v>
      </c>
      <c r="B5" s="225" t="str">
        <f>IF(A5="","",IF(C5="","","LOT-"&amp;TEXT(A5,"YYYYMMDD")&amp;"-"&amp;TEXT(ROW()-3,"000")))</f>
        <v>#ERROR!</v>
      </c>
      <c r="C5" s="226" t="s">
        <v>510</v>
      </c>
      <c r="D5" s="227" t="str">
        <f>IFERROR(INDEX(Recettes!C:C,MATCH(C5,Recettes!B:B,0)),"")</f>
        <v>#ERROR!</v>
      </c>
      <c r="E5" s="226" t="s">
        <v>597</v>
      </c>
      <c r="F5" s="226" t="s">
        <v>675</v>
      </c>
      <c r="G5" s="226" t="s">
        <v>676</v>
      </c>
      <c r="H5" s="228"/>
      <c r="I5" s="229">
        <v>192.0</v>
      </c>
      <c r="J5" s="227"/>
      <c r="K5" s="230" t="str">
        <f>IFERROR(J5/I5,"")</f>
        <v>#ERROR!</v>
      </c>
      <c r="L5" s="227"/>
      <c r="M5" s="227"/>
      <c r="N5" s="227"/>
      <c r="O5" s="231">
        <v>115.0</v>
      </c>
      <c r="P5" s="227"/>
      <c r="Q5" s="232" t="str">
        <f>IFERROR(IF(A5="","",A5+IFERROR(INDEX(Config!B:B,MATCH("DDM appertisation standard (mois)",Config!A:A,0)),36)*30),"")</f>
        <v>#ERROR!</v>
      </c>
      <c r="R5" s="227"/>
      <c r="S5" s="227"/>
      <c r="T5" s="233"/>
    </row>
    <row r="6" ht="16.5" customHeight="1">
      <c r="A6" s="224">
        <v>46114.08333333333</v>
      </c>
      <c r="B6" s="225" t="str">
        <f>IF(A6="","",IF(C6="","","LOT-"&amp;TEXT(A6,"YYYYMMDD")&amp;"-"&amp;TEXT(ROW()-3,"000")))</f>
        <v>#ERROR!</v>
      </c>
      <c r="C6" s="234" t="s">
        <v>437</v>
      </c>
      <c r="D6" s="235" t="str">
        <f>IFERROR(INDEX(Recettes!C:C,MATCH(C6,Recettes!B:B,0)),"")</f>
        <v>#ERROR!</v>
      </c>
      <c r="E6" s="234" t="s">
        <v>456</v>
      </c>
      <c r="F6" s="234" t="s">
        <v>675</v>
      </c>
      <c r="G6" s="234" t="s">
        <v>676</v>
      </c>
      <c r="H6" s="236" t="str">
        <f>IFERROR(IF(F6="","",IF(F6="100x4/4 (100 boc. ref.)",SWITCH(E6,"W60-050",320,"W60-080",280,"W60-160",220,"RR100-290",130,"RR100-370",120,"RR100-580",130,"RR100-850",64,"RR100-1050",55,"RR100-1550",40,100),IF(F6="200x4/4 (200 boc. ref.)",SWITCH(E6,"W60-050",640,"W60-080",560,"W60-160",440,"RR100-290",260,"RR100-370",240,"RR100-580",260,"RR100-850",128,"RR100-1050",110,"RR100-1550",80,200),IF(F6="100L eau (~20 boc.)",SWITCH(E6,"W60-050",60,"W60-080",50,"W60-160",40,"RR100-290",28,"RR100-370",24,"RR100-580",20,"RR100-850",12,"RR100-1050",10,"RR100-1550",6,15),"")))),"")</f>
        <v>#ERROR!</v>
      </c>
      <c r="I6" s="229">
        <v>96.0</v>
      </c>
      <c r="J6" s="235"/>
      <c r="K6" s="237" t="str">
        <f>IFERROR(J6/I6,"")</f>
        <v>#ERROR!</v>
      </c>
      <c r="L6" s="235"/>
      <c r="M6" s="235"/>
      <c r="N6" s="235"/>
      <c r="O6" s="238">
        <v>115.0</v>
      </c>
      <c r="P6" s="235"/>
      <c r="Q6" s="239" t="str">
        <f>IFERROR(IF(A6="","",A6+IFERROR(INDEX(Config!B:B,MATCH("DDM appertisation standard (mois)",Config!A:A,0)),36)*30),"")</f>
        <v>#ERROR!</v>
      </c>
      <c r="R6" s="235"/>
      <c r="S6" s="235"/>
      <c r="T6" s="240"/>
    </row>
    <row r="7" ht="16.5" customHeight="1">
      <c r="A7" s="224"/>
      <c r="B7" s="225" t="str">
        <f>IF(A7="","",IF(C7="","","LOT-"&amp;TEXT(A7,"YYYYMMDD")&amp;"-"&amp;TEXT(ROW()-3,"000")))</f>
        <v>#ERROR!</v>
      </c>
      <c r="C7" s="226"/>
      <c r="D7" s="227" t="str">
        <f>IFERROR(INDEX(Recettes!C:C,MATCH(C7,Recettes!B:B,0)),"")</f>
        <v>#ERROR!</v>
      </c>
      <c r="E7" s="226"/>
      <c r="F7" s="226"/>
      <c r="G7" s="241"/>
      <c r="H7" s="236" t="str">
        <f>IFERROR(IF(F7="","",IF(F7="100x4/4 (100 boc. ref.)",SWITCH(E7,"W60-050",320,"W60-080",280,"W60-160",220,"RR100-290",130,"RR100-370",120,"RR100-580",130,"RR100-850",64,"RR100-1050",55,"RR100-1550",40,100),IF(F7="200x4/4 (200 boc. ref.)",SWITCH(E7,"W60-050",640,"W60-080",560,"W60-160",440,"RR100-290",260,"RR100-370",240,"RR100-580",260,"RR100-850",128,"RR100-1050",110,"RR100-1550",80,200),IF(F7="100L eau (~20 boc.)",SWITCH(E7,"W60-050",60,"W60-080",50,"W60-160",40,"RR100-290",28,"RR100-370",24,"RR100-580",20,"RR100-850",12,"RR100-1050",10,"RR100-1550",6,15),"")))),"")</f>
        <v>#ERROR!</v>
      </c>
      <c r="I7" s="229">
        <v>48.0</v>
      </c>
      <c r="J7" s="227"/>
      <c r="K7" s="230" t="str">
        <f>IFERROR(J7/I7,"")</f>
        <v>#ERROR!</v>
      </c>
      <c r="L7" s="227"/>
      <c r="M7" s="227"/>
      <c r="N7" s="227"/>
      <c r="O7" s="231">
        <v>116.0</v>
      </c>
      <c r="P7" s="227"/>
      <c r="Q7" s="232" t="str">
        <f>IFERROR(IF(A7="","",A7+IFERROR(INDEX(Config!B:B,MATCH("DDM appertisation standard (mois)",Config!A:A,0)),36)*30),"")</f>
        <v>#ERROR!</v>
      </c>
      <c r="R7" s="227"/>
      <c r="S7" s="227"/>
      <c r="T7" s="233"/>
    </row>
    <row r="8" ht="16.5" customHeight="1">
      <c r="A8" s="242"/>
      <c r="B8" s="225" t="str">
        <f>IF(A8="","",IF(C8="","","LOT-"&amp;TEXT(A8,"YYYYMMDD")&amp;"-"&amp;TEXT(ROW()-3,"000")))</f>
        <v>#ERROR!</v>
      </c>
      <c r="C8" s="235"/>
      <c r="D8" s="235" t="str">
        <f>IFERROR(INDEX(Recettes!C:C,MATCH(C8,Recettes!B:B,0)),"")</f>
        <v>#ERROR!</v>
      </c>
      <c r="E8" s="235"/>
      <c r="F8" s="235"/>
      <c r="G8" s="235"/>
      <c r="H8" s="236" t="str">
        <f>IFERROR(IF(F8="","",IF(F8="100x4/4 (100 boc. ref.)",SWITCH(E8,"W60-050",320,"W60-080",280,"W60-160",220,"RR100-290",130,"RR100-370",120,"RR100-580",130,"RR100-850",64,"RR100-1050",55,"RR100-1550",40,100),IF(F8="200x4/4 (200 boc. ref.)",SWITCH(E8,"W60-050",640,"W60-080",560,"W60-160",440,"RR100-290",260,"RR100-370",240,"RR100-580",260,"RR100-850",128,"RR100-1050",110,"RR100-1550",80,200),IF(F8="100L eau (~20 boc.)",SWITCH(E8,"W60-050",60,"W60-080",50,"W60-160",40,"RR100-290",28,"RR100-370",24,"RR100-580",20,"RR100-850",12,"RR100-1050",10,"RR100-1550",6,15),"")))),"")</f>
        <v>#ERROR!</v>
      </c>
      <c r="I8" s="243" t="str">
        <f>IFERROR(IF(OR(H8="",G8=""),"",ROUND(H8*SWITCH(G8,"1/4",0.25,"1/2",0.5,"3/4",0.75,"Complet",1,1),0)),"")</f>
        <v>#ERROR!</v>
      </c>
      <c r="J8" s="235"/>
      <c r="K8" s="237" t="str">
        <f>IFERROR(J8/I8,"")</f>
        <v>#ERROR!</v>
      </c>
      <c r="L8" s="235"/>
      <c r="M8" s="235"/>
      <c r="N8" s="235"/>
      <c r="O8" s="235"/>
      <c r="P8" s="235"/>
      <c r="Q8" s="239" t="str">
        <f>IFERROR(IF(A8="","",A8+IFERROR(INDEX(Config!B:B,MATCH("DDM appertisation standard (mois)",Config!A:A,0)),36)*30),"")</f>
        <v>#ERROR!</v>
      </c>
      <c r="R8" s="235"/>
      <c r="S8" s="235"/>
      <c r="T8" s="240"/>
    </row>
    <row r="9" ht="16.5" customHeight="1">
      <c r="A9" s="242"/>
      <c r="B9" s="225" t="str">
        <f>IF(A9="","",IF(C9="","","LOT-"&amp;TEXT(A9,"YYYYMMDD")&amp;"-"&amp;TEXT(ROW()-3,"000")))</f>
        <v>#ERROR!</v>
      </c>
      <c r="C9" s="227"/>
      <c r="D9" s="227" t="str">
        <f>IFERROR(INDEX(Recettes!C:C,MATCH(C9,Recettes!B:B,0)),"")</f>
        <v>#ERROR!</v>
      </c>
      <c r="E9" s="227"/>
      <c r="F9" s="227"/>
      <c r="G9" s="227"/>
      <c r="H9" s="236" t="str">
        <f>IFERROR(IF(F9="","",IF(F9="100x4/4 (100 boc. ref.)",SWITCH(E9,"W60-050",320,"W60-080",280,"W60-160",220,"RR100-290",130,"RR100-370",120,"RR100-580",130,"RR100-850",64,"RR100-1050",55,"RR100-1550",40,100),IF(F9="200x4/4 (200 boc. ref.)",SWITCH(E9,"W60-050",640,"W60-080",560,"W60-160",440,"RR100-290",260,"RR100-370",240,"RR100-580",260,"RR100-850",128,"RR100-1050",110,"RR100-1550",80,200),IF(F9="100L eau (~20 boc.)",SWITCH(E9,"W60-050",60,"W60-080",50,"W60-160",40,"RR100-290",28,"RR100-370",24,"RR100-580",20,"RR100-850",12,"RR100-1050",10,"RR100-1550",6,15),"")))),"")</f>
        <v>#ERROR!</v>
      </c>
      <c r="I9" s="243" t="str">
        <f>IFERROR(IF(OR(H9="",G9=""),"",ROUND(H9*SWITCH(G9,"1/4",0.25,"1/2",0.5,"3/4",0.75,"Complet",1,1),0)),"")</f>
        <v>#ERROR!</v>
      </c>
      <c r="J9" s="227"/>
      <c r="K9" s="230" t="str">
        <f>IFERROR(J9/I9,"")</f>
        <v>#ERROR!</v>
      </c>
      <c r="L9" s="227"/>
      <c r="M9" s="227"/>
      <c r="N9" s="227"/>
      <c r="O9" s="227"/>
      <c r="P9" s="227"/>
      <c r="Q9" s="232" t="str">
        <f>IFERROR(IF(A9="","",A9+IFERROR(INDEX(Config!B:B,MATCH("DDM appertisation standard (mois)",Config!A:A,0)),36)*30),"")</f>
        <v>#ERROR!</v>
      </c>
      <c r="R9" s="227"/>
      <c r="S9" s="227"/>
      <c r="T9" s="233"/>
    </row>
    <row r="10" ht="16.5" customHeight="1">
      <c r="A10" s="242"/>
      <c r="B10" s="225" t="str">
        <f>IF(A10="","",IF(C10="","","LOT-"&amp;TEXT(A10,"YYYYMMDD")&amp;"-"&amp;TEXT(ROW()-3,"000")))</f>
        <v>#ERROR!</v>
      </c>
      <c r="C10" s="235"/>
      <c r="D10" s="235" t="str">
        <f>IFERROR(INDEX(Recettes!C:C,MATCH(C10,Recettes!B:B,0)),"")</f>
        <v>#ERROR!</v>
      </c>
      <c r="E10" s="235"/>
      <c r="F10" s="235"/>
      <c r="G10" s="235"/>
      <c r="H10" s="236" t="str">
        <f>IFERROR(IF(F10="","",IF(F10="100x4/4 (100 boc. ref.)",SWITCH(E10,"W60-050",320,"W60-080",280,"W60-160",220,"RR100-290",130,"RR100-370",120,"RR100-580",130,"RR100-850",64,"RR100-1050",55,"RR100-1550",40,100),IF(F10="200x4/4 (200 boc. ref.)",SWITCH(E10,"W60-050",640,"W60-080",560,"W60-160",440,"RR100-290",260,"RR100-370",240,"RR100-580",260,"RR100-850",128,"RR100-1050",110,"RR100-1550",80,200),IF(F10="100L eau (~20 boc.)",SWITCH(E10,"W60-050",60,"W60-080",50,"W60-160",40,"RR100-290",28,"RR100-370",24,"RR100-580",20,"RR100-850",12,"RR100-1050",10,"RR100-1550",6,15),"")))),"")</f>
        <v>#ERROR!</v>
      </c>
      <c r="I10" s="243" t="str">
        <f>IFERROR(IF(OR(H10="",G10=""),"",ROUND(H10*SWITCH(G10,"1/4",0.25,"1/2",0.5,"3/4",0.75,"Complet",1,1),0)),"")</f>
        <v>#ERROR!</v>
      </c>
      <c r="J10" s="235"/>
      <c r="K10" s="237" t="str">
        <f>IFERROR(J10/I10,"")</f>
        <v>#ERROR!</v>
      </c>
      <c r="L10" s="235"/>
      <c r="M10" s="235"/>
      <c r="N10" s="235"/>
      <c r="O10" s="235"/>
      <c r="P10" s="235"/>
      <c r="Q10" s="239" t="str">
        <f>IFERROR(IF(A10="","",A10+IFERROR(INDEX(Config!B:B,MATCH("DDM appertisation standard (mois)",Config!A:A,0)),36)*30),"")</f>
        <v>#ERROR!</v>
      </c>
      <c r="R10" s="235"/>
      <c r="S10" s="235"/>
      <c r="T10" s="240"/>
    </row>
    <row r="11" ht="16.5" customHeight="1">
      <c r="A11" s="242"/>
      <c r="B11" s="225" t="str">
        <f>IF(A11="","",IF(C11="","","LOT-"&amp;TEXT(A11,"YYYYMMDD")&amp;"-"&amp;TEXT(ROW()-3,"000")))</f>
        <v>#ERROR!</v>
      </c>
      <c r="C11" s="227"/>
      <c r="D11" s="227" t="str">
        <f>IFERROR(INDEX(Recettes!C:C,MATCH(C11,Recettes!B:B,0)),"")</f>
        <v>#ERROR!</v>
      </c>
      <c r="E11" s="227"/>
      <c r="F11" s="227"/>
      <c r="G11" s="227"/>
      <c r="H11" s="236" t="str">
        <f>IFERROR(IF(F11="","",IF(F11="100x4/4 (100 boc. ref.)",SWITCH(E11,"W60-050",320,"W60-080",280,"W60-160",220,"RR100-290",130,"RR100-370",120,"RR100-580",130,"RR100-850",64,"RR100-1050",55,"RR100-1550",40,100),IF(F11="200x4/4 (200 boc. ref.)",SWITCH(E11,"W60-050",640,"W60-080",560,"W60-160",440,"RR100-290",260,"RR100-370",240,"RR100-580",260,"RR100-850",128,"RR100-1050",110,"RR100-1550",80,200),IF(F11="100L eau (~20 boc.)",SWITCH(E11,"W60-050",60,"W60-080",50,"W60-160",40,"RR100-290",28,"RR100-370",24,"RR100-580",20,"RR100-850",12,"RR100-1050",10,"RR100-1550",6,15),"")))),"")</f>
        <v>#ERROR!</v>
      </c>
      <c r="I11" s="243" t="str">
        <f>IFERROR(IF(OR(H11="",G11=""),"",ROUND(H11*SWITCH(G11,"1/4",0.25,"1/2",0.5,"3/4",0.75,"Complet",1,1),0)),"")</f>
        <v>#ERROR!</v>
      </c>
      <c r="J11" s="227"/>
      <c r="K11" s="230" t="str">
        <f>IFERROR(J11/I11,"")</f>
        <v>#ERROR!</v>
      </c>
      <c r="L11" s="227"/>
      <c r="M11" s="227"/>
      <c r="N11" s="227"/>
      <c r="O11" s="227"/>
      <c r="P11" s="227"/>
      <c r="Q11" s="232" t="str">
        <f>IFERROR(IF(A11="","",A11+IFERROR(INDEX(Config!B:B,MATCH("DDM appertisation standard (mois)",Config!A:A,0)),36)*30),"")</f>
        <v>#ERROR!</v>
      </c>
      <c r="R11" s="227"/>
      <c r="S11" s="227"/>
      <c r="T11" s="233"/>
    </row>
    <row r="12" ht="16.5" customHeight="1">
      <c r="A12" s="242"/>
      <c r="B12" s="225" t="str">
        <f>IF(A12="","",IF(C12="","","LOT-"&amp;TEXT(A12,"YYYYMMDD")&amp;"-"&amp;TEXT(ROW()-3,"000")))</f>
        <v>#ERROR!</v>
      </c>
      <c r="C12" s="235"/>
      <c r="D12" s="235" t="str">
        <f>IFERROR(INDEX(Recettes!C:C,MATCH(C12,Recettes!B:B,0)),"")</f>
        <v>#ERROR!</v>
      </c>
      <c r="E12" s="235"/>
      <c r="F12" s="235"/>
      <c r="G12" s="235"/>
      <c r="H12" s="236" t="str">
        <f>IFERROR(IF(F12="","",IF(F12="100x4/4 (100 boc. ref.)",SWITCH(E12,"W60-050",320,"W60-080",280,"W60-160",220,"RR100-290",130,"RR100-370",120,"RR100-580",130,"RR100-850",64,"RR100-1050",55,"RR100-1550",40,100),IF(F12="200x4/4 (200 boc. ref.)",SWITCH(E12,"W60-050",640,"W60-080",560,"W60-160",440,"RR100-290",260,"RR100-370",240,"RR100-580",260,"RR100-850",128,"RR100-1050",110,"RR100-1550",80,200),IF(F12="100L eau (~20 boc.)",SWITCH(E12,"W60-050",60,"W60-080",50,"W60-160",40,"RR100-290",28,"RR100-370",24,"RR100-580",20,"RR100-850",12,"RR100-1050",10,"RR100-1550",6,15),"")))),"")</f>
        <v>#ERROR!</v>
      </c>
      <c r="I12" s="243" t="str">
        <f>IFERROR(IF(OR(H12="",G12=""),"",ROUND(H12*SWITCH(G12,"1/4",0.25,"1/2",0.5,"3/4",0.75,"Complet",1,1),0)),"")</f>
        <v>#ERROR!</v>
      </c>
      <c r="J12" s="235"/>
      <c r="K12" s="237" t="str">
        <f>IFERROR(J12/I12,"")</f>
        <v>#ERROR!</v>
      </c>
      <c r="L12" s="235"/>
      <c r="M12" s="235"/>
      <c r="N12" s="235"/>
      <c r="O12" s="235"/>
      <c r="P12" s="235"/>
      <c r="Q12" s="239" t="str">
        <f>IFERROR(IF(A12="","",A12+IFERROR(INDEX(Config!B:B,MATCH("DDM appertisation standard (mois)",Config!A:A,0)),36)*30),"")</f>
        <v>#ERROR!</v>
      </c>
      <c r="R12" s="235"/>
      <c r="S12" s="235"/>
      <c r="T12" s="240"/>
    </row>
    <row r="13" ht="16.5" customHeight="1">
      <c r="A13" s="242"/>
      <c r="B13" s="225" t="str">
        <f>IF(A13="","",IF(C13="","","LOT-"&amp;TEXT(A13,"YYYYMMDD")&amp;"-"&amp;TEXT(ROW()-3,"000")))</f>
        <v>#ERROR!</v>
      </c>
      <c r="C13" s="227"/>
      <c r="D13" s="227" t="str">
        <f>IFERROR(INDEX(Recettes!C:C,MATCH(C13,Recettes!B:B,0)),"")</f>
        <v>#ERROR!</v>
      </c>
      <c r="E13" s="227"/>
      <c r="F13" s="227"/>
      <c r="G13" s="227"/>
      <c r="H13" s="236" t="str">
        <f>IFERROR(IF(F13="","",IF(F13="100x4/4 (100 boc. ref.)",SWITCH(E13,"W60-050",320,"W60-080",280,"W60-160",220,"RR100-290",130,"RR100-370",120,"RR100-580",130,"RR100-850",64,"RR100-1050",55,"RR100-1550",40,100),IF(F13="200x4/4 (200 boc. ref.)",SWITCH(E13,"W60-050",640,"W60-080",560,"W60-160",440,"RR100-290",260,"RR100-370",240,"RR100-580",260,"RR100-850",128,"RR100-1050",110,"RR100-1550",80,200),IF(F13="100L eau (~20 boc.)",SWITCH(E13,"W60-050",60,"W60-080",50,"W60-160",40,"RR100-290",28,"RR100-370",24,"RR100-580",20,"RR100-850",12,"RR100-1050",10,"RR100-1550",6,15),"")))),"")</f>
        <v>#ERROR!</v>
      </c>
      <c r="I13" s="243" t="str">
        <f>IFERROR(IF(OR(H13="",G13=""),"",ROUND(H13*SWITCH(G13,"1/4",0.25,"1/2",0.5,"3/4",0.75,"Complet",1,1),0)),"")</f>
        <v>#ERROR!</v>
      </c>
      <c r="J13" s="227"/>
      <c r="K13" s="230" t="str">
        <f>IFERROR(J13/I13,"")</f>
        <v>#ERROR!</v>
      </c>
      <c r="L13" s="227"/>
      <c r="M13" s="227"/>
      <c r="N13" s="227"/>
      <c r="O13" s="227"/>
      <c r="P13" s="227"/>
      <c r="Q13" s="232" t="str">
        <f>IFERROR(IF(A13="","",A13+IFERROR(INDEX(Config!B:B,MATCH("DDM appertisation standard (mois)",Config!A:A,0)),36)*30),"")</f>
        <v>#ERROR!</v>
      </c>
      <c r="R13" s="227"/>
      <c r="S13" s="227"/>
      <c r="T13" s="233"/>
    </row>
    <row r="14" ht="16.5" customHeight="1">
      <c r="A14" s="242"/>
      <c r="B14" s="225" t="str">
        <f>IF(A14="","",IF(C14="","","LOT-"&amp;TEXT(A14,"YYYYMMDD")&amp;"-"&amp;TEXT(ROW()-3,"000")))</f>
        <v>#ERROR!</v>
      </c>
      <c r="C14" s="235"/>
      <c r="D14" s="235" t="str">
        <f>IFERROR(INDEX(Recettes!C:C,MATCH(C14,Recettes!B:B,0)),"")</f>
        <v>#ERROR!</v>
      </c>
      <c r="E14" s="235"/>
      <c r="F14" s="235"/>
      <c r="G14" s="235"/>
      <c r="H14" s="236" t="str">
        <f>IFERROR(IF(F14="","",IF(F14="100x4/4 (100 boc. ref.)",SWITCH(E14,"W60-050",320,"W60-080",280,"W60-160",220,"RR100-290",130,"RR100-370",120,"RR100-580",130,"RR100-850",64,"RR100-1050",55,"RR100-1550",40,100),IF(F14="200x4/4 (200 boc. ref.)",SWITCH(E14,"W60-050",640,"W60-080",560,"W60-160",440,"RR100-290",260,"RR100-370",240,"RR100-580",260,"RR100-850",128,"RR100-1050",110,"RR100-1550",80,200),IF(F14="100L eau (~20 boc.)",SWITCH(E14,"W60-050",60,"W60-080",50,"W60-160",40,"RR100-290",28,"RR100-370",24,"RR100-580",20,"RR100-850",12,"RR100-1050",10,"RR100-1550",6,15),"")))),"")</f>
        <v>#ERROR!</v>
      </c>
      <c r="I14" s="243" t="str">
        <f>IFERROR(IF(OR(H14="",G14=""),"",ROUND(H14*SWITCH(G14,"1/4",0.25,"1/2",0.5,"3/4",0.75,"Complet",1,1),0)),"")</f>
        <v>#ERROR!</v>
      </c>
      <c r="J14" s="235"/>
      <c r="K14" s="237" t="str">
        <f>IFERROR(J14/I14,"")</f>
        <v>#ERROR!</v>
      </c>
      <c r="L14" s="235"/>
      <c r="M14" s="235"/>
      <c r="N14" s="235"/>
      <c r="O14" s="235"/>
      <c r="P14" s="235"/>
      <c r="Q14" s="239" t="str">
        <f>IFERROR(IF(A14="","",A14+IFERROR(INDEX(Config!B:B,MATCH("DDM appertisation standard (mois)",Config!A:A,0)),36)*30),"")</f>
        <v>#ERROR!</v>
      </c>
      <c r="R14" s="235"/>
      <c r="S14" s="235"/>
      <c r="T14" s="240"/>
    </row>
    <row r="15" ht="16.5" customHeight="1">
      <c r="A15" s="242"/>
      <c r="B15" s="225" t="str">
        <f>IF(A15="","",IF(C15="","","LOT-"&amp;TEXT(A15,"YYYYMMDD")&amp;"-"&amp;TEXT(ROW()-3,"000")))</f>
        <v>#ERROR!</v>
      </c>
      <c r="C15" s="227"/>
      <c r="D15" s="227" t="str">
        <f>IFERROR(INDEX(Recettes!C:C,MATCH(C15,Recettes!B:B,0)),"")</f>
        <v>#ERROR!</v>
      </c>
      <c r="E15" s="227"/>
      <c r="F15" s="227"/>
      <c r="G15" s="227"/>
      <c r="H15" s="236" t="str">
        <f>IFERROR(IF(F15="","",IF(F15="100x4/4 (100 boc. ref.)",SWITCH(E15,"W60-050",320,"W60-080",280,"W60-160",220,"RR100-290",130,"RR100-370",120,"RR100-580",130,"RR100-850",64,"RR100-1050",55,"RR100-1550",40,100),IF(F15="200x4/4 (200 boc. ref.)",SWITCH(E15,"W60-050",640,"W60-080",560,"W60-160",440,"RR100-290",260,"RR100-370",240,"RR100-580",260,"RR100-850",128,"RR100-1050",110,"RR100-1550",80,200),IF(F15="100L eau (~20 boc.)",SWITCH(E15,"W60-050",60,"W60-080",50,"W60-160",40,"RR100-290",28,"RR100-370",24,"RR100-580",20,"RR100-850",12,"RR100-1050",10,"RR100-1550",6,15),"")))),"")</f>
        <v>#ERROR!</v>
      </c>
      <c r="I15" s="243" t="str">
        <f>IFERROR(IF(OR(H15="",G15=""),"",ROUND(H15*SWITCH(G15,"1/4",0.25,"1/2",0.5,"3/4",0.75,"Complet",1,1),0)),"")</f>
        <v>#ERROR!</v>
      </c>
      <c r="J15" s="227"/>
      <c r="K15" s="230" t="str">
        <f>IFERROR(J15/I15,"")</f>
        <v>#ERROR!</v>
      </c>
      <c r="L15" s="227"/>
      <c r="M15" s="227"/>
      <c r="N15" s="227"/>
      <c r="O15" s="227"/>
      <c r="P15" s="227"/>
      <c r="Q15" s="232" t="str">
        <f>IFERROR(IF(A15="","",A15+IFERROR(INDEX(Config!B:B,MATCH("DDM appertisation standard (mois)",Config!A:A,0)),36)*30),"")</f>
        <v>#ERROR!</v>
      </c>
      <c r="R15" s="227"/>
      <c r="S15" s="227"/>
      <c r="T15" s="233"/>
    </row>
    <row r="16" ht="16.5" customHeight="1">
      <c r="A16" s="242"/>
      <c r="B16" s="225" t="str">
        <f>IF(A16="","",IF(C16="","","LOT-"&amp;TEXT(A16,"YYYYMMDD")&amp;"-"&amp;TEXT(ROW()-3,"000")))</f>
        <v>#ERROR!</v>
      </c>
      <c r="C16" s="235"/>
      <c r="D16" s="235" t="str">
        <f>IFERROR(INDEX(Recettes!C:C,MATCH(C16,Recettes!B:B,0)),"")</f>
        <v>#ERROR!</v>
      </c>
      <c r="E16" s="235"/>
      <c r="F16" s="235"/>
      <c r="G16" s="235"/>
      <c r="H16" s="236" t="str">
        <f>IFERROR(IF(F16="","",IF(F16="100x4/4 (100 boc. ref.)",SWITCH(E16,"W60-050",320,"W60-080",280,"W60-160",220,"RR100-290",130,"RR100-370",120,"RR100-580",130,"RR100-850",64,"RR100-1050",55,"RR100-1550",40,100),IF(F16="200x4/4 (200 boc. ref.)",SWITCH(E16,"W60-050",640,"W60-080",560,"W60-160",440,"RR100-290",260,"RR100-370",240,"RR100-580",260,"RR100-850",128,"RR100-1050",110,"RR100-1550",80,200),IF(F16="100L eau (~20 boc.)",SWITCH(E16,"W60-050",60,"W60-080",50,"W60-160",40,"RR100-290",28,"RR100-370",24,"RR100-580",20,"RR100-850",12,"RR100-1050",10,"RR100-1550",6,15),"")))),"")</f>
        <v>#ERROR!</v>
      </c>
      <c r="I16" s="243" t="str">
        <f>IFERROR(IF(OR(H16="",G16=""),"",ROUND(H16*SWITCH(G16,"1/4",0.25,"1/2",0.5,"3/4",0.75,"Complet",1,1),0)),"")</f>
        <v>#ERROR!</v>
      </c>
      <c r="J16" s="235"/>
      <c r="K16" s="237" t="str">
        <f>IFERROR(J16/I16,"")</f>
        <v>#ERROR!</v>
      </c>
      <c r="L16" s="235"/>
      <c r="M16" s="235"/>
      <c r="N16" s="235"/>
      <c r="O16" s="235"/>
      <c r="P16" s="235"/>
      <c r="Q16" s="239" t="str">
        <f>IFERROR(IF(A16="","",A16+IFERROR(INDEX(Config!B:B,MATCH("DDM appertisation standard (mois)",Config!A:A,0)),36)*30),"")</f>
        <v>#ERROR!</v>
      </c>
      <c r="R16" s="235"/>
      <c r="S16" s="235"/>
      <c r="T16" s="240"/>
    </row>
    <row r="17" ht="16.5" customHeight="1">
      <c r="A17" s="242"/>
      <c r="B17" s="225" t="str">
        <f>IF(A17="","",IF(C17="","","LOT-"&amp;TEXT(A17,"YYYYMMDD")&amp;"-"&amp;TEXT(ROW()-3,"000")))</f>
        <v>#ERROR!</v>
      </c>
      <c r="C17" s="227"/>
      <c r="D17" s="227" t="str">
        <f>IFERROR(INDEX(Recettes!C:C,MATCH(C17,Recettes!B:B,0)),"")</f>
        <v>#ERROR!</v>
      </c>
      <c r="E17" s="227"/>
      <c r="F17" s="227"/>
      <c r="G17" s="227"/>
      <c r="H17" s="236" t="str">
        <f>IFERROR(IF(F17="","",IF(F17="100x4/4 (100 boc. ref.)",SWITCH(E17,"W60-050",320,"W60-080",280,"W60-160",220,"RR100-290",130,"RR100-370",120,"RR100-580",130,"RR100-850",64,"RR100-1050",55,"RR100-1550",40,100),IF(F17="200x4/4 (200 boc. ref.)",SWITCH(E17,"W60-050",640,"W60-080",560,"W60-160",440,"RR100-290",260,"RR100-370",240,"RR100-580",260,"RR100-850",128,"RR100-1050",110,"RR100-1550",80,200),IF(F17="100L eau (~20 boc.)",SWITCH(E17,"W60-050",60,"W60-080",50,"W60-160",40,"RR100-290",28,"RR100-370",24,"RR100-580",20,"RR100-850",12,"RR100-1050",10,"RR100-1550",6,15),"")))),"")</f>
        <v>#ERROR!</v>
      </c>
      <c r="I17" s="243" t="str">
        <f>IFERROR(IF(OR(H17="",G17=""),"",ROUND(H17*SWITCH(G17,"1/4",0.25,"1/2",0.5,"3/4",0.75,"Complet",1,1),0)),"")</f>
        <v>#ERROR!</v>
      </c>
      <c r="J17" s="227"/>
      <c r="K17" s="230" t="str">
        <f>IFERROR(J17/I17,"")</f>
        <v>#ERROR!</v>
      </c>
      <c r="L17" s="227"/>
      <c r="M17" s="227"/>
      <c r="N17" s="227"/>
      <c r="O17" s="227"/>
      <c r="P17" s="227"/>
      <c r="Q17" s="232" t="str">
        <f>IFERROR(IF(A17="","",A17+IFERROR(INDEX(Config!B:B,MATCH("DDM appertisation standard (mois)",Config!A:A,0)),36)*30),"")</f>
        <v>#ERROR!</v>
      </c>
      <c r="R17" s="227"/>
      <c r="S17" s="227"/>
      <c r="T17" s="233"/>
    </row>
    <row r="18" ht="16.5" customHeight="1">
      <c r="A18" s="242"/>
      <c r="B18" s="225" t="str">
        <f>IF(A18="","",IF(C18="","","LOT-"&amp;TEXT(A18,"YYYYMMDD")&amp;"-"&amp;TEXT(ROW()-3,"000")))</f>
        <v>#ERROR!</v>
      </c>
      <c r="C18" s="235"/>
      <c r="D18" s="235" t="str">
        <f>IFERROR(INDEX(Recettes!C:C,MATCH(C18,Recettes!B:B,0)),"")</f>
        <v>#ERROR!</v>
      </c>
      <c r="E18" s="235"/>
      <c r="F18" s="235"/>
      <c r="G18" s="235"/>
      <c r="H18" s="236" t="str">
        <f>IFERROR(IF(F18="","",IF(F18="100x4/4 (100 boc. ref.)",SWITCH(E18,"W60-050",320,"W60-080",280,"W60-160",220,"RR100-290",130,"RR100-370",120,"RR100-580",130,"RR100-850",64,"RR100-1050",55,"RR100-1550",40,100),IF(F18="200x4/4 (200 boc. ref.)",SWITCH(E18,"W60-050",640,"W60-080",560,"W60-160",440,"RR100-290",260,"RR100-370",240,"RR100-580",260,"RR100-850",128,"RR100-1050",110,"RR100-1550",80,200),IF(F18="100L eau (~20 boc.)",SWITCH(E18,"W60-050",60,"W60-080",50,"W60-160",40,"RR100-290",28,"RR100-370",24,"RR100-580",20,"RR100-850",12,"RR100-1050",10,"RR100-1550",6,15),"")))),"")</f>
        <v>#ERROR!</v>
      </c>
      <c r="I18" s="243" t="str">
        <f>IFERROR(IF(OR(H18="",G18=""),"",ROUND(H18*SWITCH(G18,"1/4",0.25,"1/2",0.5,"3/4",0.75,"Complet",1,1),0)),"")</f>
        <v>#ERROR!</v>
      </c>
      <c r="J18" s="235"/>
      <c r="K18" s="237" t="str">
        <f>IFERROR(J18/I18,"")</f>
        <v>#ERROR!</v>
      </c>
      <c r="L18" s="235"/>
      <c r="M18" s="235"/>
      <c r="N18" s="235"/>
      <c r="O18" s="235"/>
      <c r="P18" s="235"/>
      <c r="Q18" s="239" t="str">
        <f>IFERROR(IF(A18="","",A18+IFERROR(INDEX(Config!B:B,MATCH("DDM appertisation standard (mois)",Config!A:A,0)),36)*30),"")</f>
        <v>#ERROR!</v>
      </c>
      <c r="R18" s="235"/>
      <c r="S18" s="235"/>
      <c r="T18" s="240"/>
    </row>
    <row r="19" ht="16.5" customHeight="1">
      <c r="A19" s="242"/>
      <c r="B19" s="225" t="str">
        <f>IF(A19="","",IF(C19="","","LOT-"&amp;TEXT(A19,"YYYYMMDD")&amp;"-"&amp;TEXT(ROW()-3,"000")))</f>
        <v>#ERROR!</v>
      </c>
      <c r="C19" s="227"/>
      <c r="D19" s="227" t="str">
        <f>IFERROR(INDEX(Recettes!C:C,MATCH(C19,Recettes!B:B,0)),"")</f>
        <v>#ERROR!</v>
      </c>
      <c r="E19" s="227"/>
      <c r="F19" s="227"/>
      <c r="G19" s="227"/>
      <c r="H19" s="236" t="str">
        <f>IFERROR(IF(F19="","",IF(F19="100x4/4 (100 boc. ref.)",SWITCH(E19,"W60-050",320,"W60-080",280,"W60-160",220,"RR100-290",130,"RR100-370",120,"RR100-580",130,"RR100-850",64,"RR100-1050",55,"RR100-1550",40,100),IF(F19="200x4/4 (200 boc. ref.)",SWITCH(E19,"W60-050",640,"W60-080",560,"W60-160",440,"RR100-290",260,"RR100-370",240,"RR100-580",260,"RR100-850",128,"RR100-1050",110,"RR100-1550",80,200),IF(F19="100L eau (~20 boc.)",SWITCH(E19,"W60-050",60,"W60-080",50,"W60-160",40,"RR100-290",28,"RR100-370",24,"RR100-580",20,"RR100-850",12,"RR100-1050",10,"RR100-1550",6,15),"")))),"")</f>
        <v>#ERROR!</v>
      </c>
      <c r="I19" s="243" t="str">
        <f>IFERROR(IF(OR(H19="",G19=""),"",ROUND(H19*SWITCH(G19,"1/4",0.25,"1/2",0.5,"3/4",0.75,"Complet",1,1),0)),"")</f>
        <v>#ERROR!</v>
      </c>
      <c r="J19" s="227"/>
      <c r="K19" s="230" t="str">
        <f>IFERROR(J19/I19,"")</f>
        <v>#ERROR!</v>
      </c>
      <c r="L19" s="227"/>
      <c r="M19" s="227"/>
      <c r="N19" s="227"/>
      <c r="O19" s="227"/>
      <c r="P19" s="227"/>
      <c r="Q19" s="232" t="str">
        <f>IFERROR(IF(A19="","",A19+IFERROR(INDEX(Config!B:B,MATCH("DDM appertisation standard (mois)",Config!A:A,0)),36)*30),"")</f>
        <v>#ERROR!</v>
      </c>
      <c r="R19" s="227"/>
      <c r="S19" s="227"/>
      <c r="T19" s="233"/>
    </row>
    <row r="20" ht="16.5" customHeight="1">
      <c r="A20" s="242"/>
      <c r="B20" s="225" t="str">
        <f>IF(A20="","",IF(C20="","","LOT-"&amp;TEXT(A20,"YYYYMMDD")&amp;"-"&amp;TEXT(ROW()-3,"000")))</f>
        <v>#ERROR!</v>
      </c>
      <c r="C20" s="235"/>
      <c r="D20" s="235" t="str">
        <f>IFERROR(INDEX(Recettes!C:C,MATCH(C20,Recettes!B:B,0)),"")</f>
        <v>#ERROR!</v>
      </c>
      <c r="E20" s="235"/>
      <c r="F20" s="235"/>
      <c r="G20" s="235"/>
      <c r="H20" s="236" t="str">
        <f>IFERROR(IF(F20="","",IF(F20="100x4/4 (100 boc. ref.)",SWITCH(E20,"W60-050",320,"W60-080",280,"W60-160",220,"RR100-290",130,"RR100-370",120,"RR100-580",130,"RR100-850",64,"RR100-1050",55,"RR100-1550",40,100),IF(F20="200x4/4 (200 boc. ref.)",SWITCH(E20,"W60-050",640,"W60-080",560,"W60-160",440,"RR100-290",260,"RR100-370",240,"RR100-580",260,"RR100-850",128,"RR100-1050",110,"RR100-1550",80,200),IF(F20="100L eau (~20 boc.)",SWITCH(E20,"W60-050",60,"W60-080",50,"W60-160",40,"RR100-290",28,"RR100-370",24,"RR100-580",20,"RR100-850",12,"RR100-1050",10,"RR100-1550",6,15),"")))),"")</f>
        <v>#ERROR!</v>
      </c>
      <c r="I20" s="243" t="str">
        <f>IFERROR(IF(OR(H20="",G20=""),"",ROUND(H20*SWITCH(G20,"1/4",0.25,"1/2",0.5,"3/4",0.75,"Complet",1,1),0)),"")</f>
        <v>#ERROR!</v>
      </c>
      <c r="J20" s="235"/>
      <c r="K20" s="237" t="str">
        <f>IFERROR(J20/I20,"")</f>
        <v>#ERROR!</v>
      </c>
      <c r="L20" s="235"/>
      <c r="M20" s="235"/>
      <c r="N20" s="235"/>
      <c r="O20" s="235"/>
      <c r="P20" s="235"/>
      <c r="Q20" s="239" t="str">
        <f>IFERROR(IF(A20="","",A20+IFERROR(INDEX(Config!B:B,MATCH("DDM appertisation standard (mois)",Config!A:A,0)),36)*30),"")</f>
        <v>#ERROR!</v>
      </c>
      <c r="R20" s="235"/>
      <c r="S20" s="235"/>
      <c r="T20" s="240"/>
    </row>
    <row r="21" ht="16.5" customHeight="1">
      <c r="A21" s="242"/>
      <c r="B21" s="225" t="str">
        <f>IF(A21="","",IF(C21="","","LOT-"&amp;TEXT(A21,"YYYYMMDD")&amp;"-"&amp;TEXT(ROW()-3,"000")))</f>
        <v>#ERROR!</v>
      </c>
      <c r="C21" s="227"/>
      <c r="D21" s="227" t="str">
        <f>IFERROR(INDEX(Recettes!C:C,MATCH(C21,Recettes!B:B,0)),"")</f>
        <v>#ERROR!</v>
      </c>
      <c r="E21" s="227"/>
      <c r="F21" s="227"/>
      <c r="G21" s="227"/>
      <c r="H21" s="236" t="str">
        <f>IFERROR(IF(F21="","",IF(F21="100x4/4 (100 boc. ref.)",SWITCH(E21,"W60-050",320,"W60-080",280,"W60-160",220,"RR100-290",130,"RR100-370",120,"RR100-580",130,"RR100-850",64,"RR100-1050",55,"RR100-1550",40,100),IF(F21="200x4/4 (200 boc. ref.)",SWITCH(E21,"W60-050",640,"W60-080",560,"W60-160",440,"RR100-290",260,"RR100-370",240,"RR100-580",260,"RR100-850",128,"RR100-1050",110,"RR100-1550",80,200),IF(F21="100L eau (~20 boc.)",SWITCH(E21,"W60-050",60,"W60-080",50,"W60-160",40,"RR100-290",28,"RR100-370",24,"RR100-580",20,"RR100-850",12,"RR100-1050",10,"RR100-1550",6,15),"")))),"")</f>
        <v>#ERROR!</v>
      </c>
      <c r="I21" s="243" t="str">
        <f>IFERROR(IF(OR(H21="",G21=""),"",ROUND(H21*SWITCH(G21,"1/4",0.25,"1/2",0.5,"3/4",0.75,"Complet",1,1),0)),"")</f>
        <v>#ERROR!</v>
      </c>
      <c r="J21" s="227"/>
      <c r="K21" s="230" t="str">
        <f>IFERROR(J21/I21,"")</f>
        <v>#ERROR!</v>
      </c>
      <c r="L21" s="227"/>
      <c r="M21" s="227"/>
      <c r="N21" s="227"/>
      <c r="O21" s="227"/>
      <c r="P21" s="227"/>
      <c r="Q21" s="232" t="str">
        <f>IFERROR(IF(A21="","",A21+IFERROR(INDEX(Config!B:B,MATCH("DDM appertisation standard (mois)",Config!A:A,0)),36)*30),"")</f>
        <v>#ERROR!</v>
      </c>
      <c r="R21" s="227"/>
      <c r="S21" s="227"/>
      <c r="T21" s="233"/>
    </row>
    <row r="22" ht="16.5" customHeight="1">
      <c r="A22" s="242"/>
      <c r="B22" s="225" t="str">
        <f>IF(A22="","",IF(C22="","","LOT-"&amp;TEXT(A22,"YYYYMMDD")&amp;"-"&amp;TEXT(ROW()-3,"000")))</f>
        <v>#ERROR!</v>
      </c>
      <c r="C22" s="235"/>
      <c r="D22" s="235" t="str">
        <f>IFERROR(INDEX(Recettes!C:C,MATCH(C22,Recettes!B:B,0)),"")</f>
        <v>#ERROR!</v>
      </c>
      <c r="E22" s="235"/>
      <c r="F22" s="235"/>
      <c r="G22" s="235"/>
      <c r="H22" s="236" t="str">
        <f>IFERROR(IF(F22="","",IF(F22="100x4/4 (100 boc. ref.)",SWITCH(E22,"W60-050",320,"W60-080",280,"W60-160",220,"RR100-290",130,"RR100-370",120,"RR100-580",130,"RR100-850",64,"RR100-1050",55,"RR100-1550",40,100),IF(F22="200x4/4 (200 boc. ref.)",SWITCH(E22,"W60-050",640,"W60-080",560,"W60-160",440,"RR100-290",260,"RR100-370",240,"RR100-580",260,"RR100-850",128,"RR100-1050",110,"RR100-1550",80,200),IF(F22="100L eau (~20 boc.)",SWITCH(E22,"W60-050",60,"W60-080",50,"W60-160",40,"RR100-290",28,"RR100-370",24,"RR100-580",20,"RR100-850",12,"RR100-1050",10,"RR100-1550",6,15),"")))),"")</f>
        <v>#ERROR!</v>
      </c>
      <c r="I22" s="243" t="str">
        <f>IFERROR(IF(OR(H22="",G22=""),"",ROUND(H22*SWITCH(G22,"1/4",0.25,"1/2",0.5,"3/4",0.75,"Complet",1,1),0)),"")</f>
        <v>#ERROR!</v>
      </c>
      <c r="J22" s="235"/>
      <c r="K22" s="237" t="str">
        <f>IFERROR(J22/I22,"")</f>
        <v>#ERROR!</v>
      </c>
      <c r="L22" s="235"/>
      <c r="M22" s="235"/>
      <c r="N22" s="235"/>
      <c r="O22" s="235"/>
      <c r="P22" s="235"/>
      <c r="Q22" s="239" t="str">
        <f>IFERROR(IF(A22="","",A22+IFERROR(INDEX(Config!B:B,MATCH("DDM appertisation standard (mois)",Config!A:A,0)),36)*30),"")</f>
        <v>#ERROR!</v>
      </c>
      <c r="R22" s="235"/>
      <c r="S22" s="235"/>
      <c r="T22" s="240"/>
    </row>
    <row r="23" ht="16.5" customHeight="1">
      <c r="A23" s="242"/>
      <c r="B23" s="225" t="str">
        <f>IF(A23="","",IF(C23="","","LOT-"&amp;TEXT(A23,"YYYYMMDD")&amp;"-"&amp;TEXT(ROW()-3,"000")))</f>
        <v>#ERROR!</v>
      </c>
      <c r="C23" s="227"/>
      <c r="D23" s="227" t="str">
        <f>IFERROR(INDEX(Recettes!C:C,MATCH(C23,Recettes!B:B,0)),"")</f>
        <v>#ERROR!</v>
      </c>
      <c r="E23" s="227"/>
      <c r="F23" s="227"/>
      <c r="G23" s="227"/>
      <c r="H23" s="236" t="str">
        <f>IFERROR(IF(F23="","",IF(F23="100x4/4 (100 boc. ref.)",SWITCH(E23,"W60-050",320,"W60-080",280,"W60-160",220,"RR100-290",130,"RR100-370",120,"RR100-580",130,"RR100-850",64,"RR100-1050",55,"RR100-1550",40,100),IF(F23="200x4/4 (200 boc. ref.)",SWITCH(E23,"W60-050",640,"W60-080",560,"W60-160",440,"RR100-290",260,"RR100-370",240,"RR100-580",260,"RR100-850",128,"RR100-1050",110,"RR100-1550",80,200),IF(F23="100L eau (~20 boc.)",SWITCH(E23,"W60-050",60,"W60-080",50,"W60-160",40,"RR100-290",28,"RR100-370",24,"RR100-580",20,"RR100-850",12,"RR100-1050",10,"RR100-1550",6,15),"")))),"")</f>
        <v>#ERROR!</v>
      </c>
      <c r="I23" s="243" t="str">
        <f>IFERROR(IF(OR(H23="",G23=""),"",ROUND(H23*SWITCH(G23,"1/4",0.25,"1/2",0.5,"3/4",0.75,"Complet",1,1),0)),"")</f>
        <v>#ERROR!</v>
      </c>
      <c r="J23" s="227"/>
      <c r="K23" s="230" t="str">
        <f>IFERROR(J23/I23,"")</f>
        <v>#ERROR!</v>
      </c>
      <c r="L23" s="227"/>
      <c r="M23" s="227"/>
      <c r="N23" s="227"/>
      <c r="O23" s="227"/>
      <c r="P23" s="227"/>
      <c r="Q23" s="232" t="str">
        <f>IFERROR(IF(A23="","",A23+IFERROR(INDEX(Config!B:B,MATCH("DDM appertisation standard (mois)",Config!A:A,0)),36)*30),"")</f>
        <v>#ERROR!</v>
      </c>
      <c r="R23" s="227"/>
      <c r="S23" s="227"/>
      <c r="T23" s="233"/>
    </row>
    <row r="24" ht="16.5" customHeight="1">
      <c r="A24" s="242"/>
      <c r="B24" s="225" t="str">
        <f>IF(A24="","",IF(C24="","","LOT-"&amp;TEXT(A24,"YYYYMMDD")&amp;"-"&amp;TEXT(ROW()-3,"000")))</f>
        <v>#ERROR!</v>
      </c>
      <c r="C24" s="235"/>
      <c r="D24" s="235" t="str">
        <f>IFERROR(INDEX(Recettes!C:C,MATCH(C24,Recettes!B:B,0)),"")</f>
        <v>#ERROR!</v>
      </c>
      <c r="E24" s="235"/>
      <c r="F24" s="235"/>
      <c r="G24" s="235"/>
      <c r="H24" s="236" t="str">
        <f>IFERROR(IF(F24="","",IF(F24="100x4/4 (100 boc. ref.)",SWITCH(E24,"W60-050",320,"W60-080",280,"W60-160",220,"RR100-290",130,"RR100-370",120,"RR100-580",130,"RR100-850",64,"RR100-1050",55,"RR100-1550",40,100),IF(F24="200x4/4 (200 boc. ref.)",SWITCH(E24,"W60-050",640,"W60-080",560,"W60-160",440,"RR100-290",260,"RR100-370",240,"RR100-580",260,"RR100-850",128,"RR100-1050",110,"RR100-1550",80,200),IF(F24="100L eau (~20 boc.)",SWITCH(E24,"W60-050",60,"W60-080",50,"W60-160",40,"RR100-290",28,"RR100-370",24,"RR100-580",20,"RR100-850",12,"RR100-1050",10,"RR100-1550",6,15),"")))),"")</f>
        <v>#ERROR!</v>
      </c>
      <c r="I24" s="243" t="str">
        <f>IFERROR(IF(OR(H24="",G24=""),"",ROUND(H24*SWITCH(G24,"1/4",0.25,"1/2",0.5,"3/4",0.75,"Complet",1,1),0)),"")</f>
        <v>#ERROR!</v>
      </c>
      <c r="J24" s="235"/>
      <c r="K24" s="237" t="str">
        <f>IFERROR(J24/I24,"")</f>
        <v>#ERROR!</v>
      </c>
      <c r="L24" s="235"/>
      <c r="M24" s="235"/>
      <c r="N24" s="235"/>
      <c r="O24" s="235"/>
      <c r="P24" s="235"/>
      <c r="Q24" s="239" t="str">
        <f>IFERROR(IF(A24="","",A24+IFERROR(INDEX(Config!B:B,MATCH("DDM appertisation standard (mois)",Config!A:A,0)),36)*30),"")</f>
        <v>#ERROR!</v>
      </c>
      <c r="R24" s="235"/>
      <c r="S24" s="235"/>
      <c r="T24" s="240"/>
    </row>
    <row r="25" ht="16.5" customHeight="1">
      <c r="A25" s="242"/>
      <c r="B25" s="225" t="str">
        <f>IF(A25="","",IF(C25="","","LOT-"&amp;TEXT(A25,"YYYYMMDD")&amp;"-"&amp;TEXT(ROW()-3,"000")))</f>
        <v>#ERROR!</v>
      </c>
      <c r="C25" s="227"/>
      <c r="D25" s="227" t="str">
        <f>IFERROR(INDEX(Recettes!C:C,MATCH(C25,Recettes!B:B,0)),"")</f>
        <v>#ERROR!</v>
      </c>
      <c r="E25" s="227"/>
      <c r="F25" s="227"/>
      <c r="G25" s="227"/>
      <c r="H25" s="236" t="str">
        <f>IFERROR(IF(F25="","",IF(F25="100x4/4 (100 boc. ref.)",SWITCH(E25,"W60-050",320,"W60-080",280,"W60-160",220,"RR100-290",130,"RR100-370",120,"RR100-580",130,"RR100-850",64,"RR100-1050",55,"RR100-1550",40,100),IF(F25="200x4/4 (200 boc. ref.)",SWITCH(E25,"W60-050",640,"W60-080",560,"W60-160",440,"RR100-290",260,"RR100-370",240,"RR100-580",260,"RR100-850",128,"RR100-1050",110,"RR100-1550",80,200),IF(F25="100L eau (~20 boc.)",SWITCH(E25,"W60-050",60,"W60-080",50,"W60-160",40,"RR100-290",28,"RR100-370",24,"RR100-580",20,"RR100-850",12,"RR100-1050",10,"RR100-1550",6,15),"")))),"")</f>
        <v>#ERROR!</v>
      </c>
      <c r="I25" s="243" t="str">
        <f>IFERROR(IF(OR(H25="",G25=""),"",ROUND(H25*SWITCH(G25,"1/4",0.25,"1/2",0.5,"3/4",0.75,"Complet",1,1),0)),"")</f>
        <v>#ERROR!</v>
      </c>
      <c r="J25" s="227"/>
      <c r="K25" s="230" t="str">
        <f>IFERROR(J25/I25,"")</f>
        <v>#ERROR!</v>
      </c>
      <c r="L25" s="227"/>
      <c r="M25" s="227"/>
      <c r="N25" s="227"/>
      <c r="O25" s="227"/>
      <c r="P25" s="227"/>
      <c r="Q25" s="232" t="str">
        <f>IFERROR(IF(A25="","",A25+IFERROR(INDEX(Config!B:B,MATCH("DDM appertisation standard (mois)",Config!A:A,0)),36)*30),"")</f>
        <v>#ERROR!</v>
      </c>
      <c r="R25" s="227"/>
      <c r="S25" s="227"/>
      <c r="T25" s="233"/>
    </row>
    <row r="26" ht="16.5" customHeight="1">
      <c r="A26" s="242"/>
      <c r="B26" s="225" t="str">
        <f>IF(A26="","",IF(C26="","","LOT-"&amp;TEXT(A26,"YYYYMMDD")&amp;"-"&amp;TEXT(ROW()-3,"000")))</f>
        <v>#ERROR!</v>
      </c>
      <c r="C26" s="235"/>
      <c r="D26" s="235" t="str">
        <f>IFERROR(INDEX(Recettes!C:C,MATCH(C26,Recettes!B:B,0)),"")</f>
        <v>#ERROR!</v>
      </c>
      <c r="E26" s="235"/>
      <c r="F26" s="235"/>
      <c r="G26" s="235"/>
      <c r="H26" s="236" t="str">
        <f>IFERROR(IF(F26="","",IF(F26="100x4/4 (100 boc. ref.)",SWITCH(E26,"W60-050",320,"W60-080",280,"W60-160",220,"RR100-290",130,"RR100-370",120,"RR100-580",130,"RR100-850",64,"RR100-1050",55,"RR100-1550",40,100),IF(F26="200x4/4 (200 boc. ref.)",SWITCH(E26,"W60-050",640,"W60-080",560,"W60-160",440,"RR100-290",260,"RR100-370",240,"RR100-580",260,"RR100-850",128,"RR100-1050",110,"RR100-1550",80,200),IF(F26="100L eau (~20 boc.)",SWITCH(E26,"W60-050",60,"W60-080",50,"W60-160",40,"RR100-290",28,"RR100-370",24,"RR100-580",20,"RR100-850",12,"RR100-1050",10,"RR100-1550",6,15),"")))),"")</f>
        <v>#ERROR!</v>
      </c>
      <c r="I26" s="243" t="str">
        <f>IFERROR(IF(OR(H26="",G26=""),"",ROUND(H26*SWITCH(G26,"1/4",0.25,"1/2",0.5,"3/4",0.75,"Complet",1,1),0)),"")</f>
        <v>#ERROR!</v>
      </c>
      <c r="J26" s="235"/>
      <c r="K26" s="237" t="str">
        <f>IFERROR(J26/I26,"")</f>
        <v>#ERROR!</v>
      </c>
      <c r="L26" s="235"/>
      <c r="M26" s="235"/>
      <c r="N26" s="235"/>
      <c r="O26" s="235"/>
      <c r="P26" s="235"/>
      <c r="Q26" s="239" t="str">
        <f>IFERROR(IF(A26="","",A26+IFERROR(INDEX(Config!B:B,MATCH("DDM appertisation standard (mois)",Config!A:A,0)),36)*30),"")</f>
        <v>#ERROR!</v>
      </c>
      <c r="R26" s="235"/>
      <c r="S26" s="235"/>
      <c r="T26" s="240"/>
    </row>
    <row r="27" ht="16.5" customHeight="1">
      <c r="A27" s="242"/>
      <c r="B27" s="225" t="str">
        <f>IF(A27="","",IF(C27="","","LOT-"&amp;TEXT(A27,"YYYYMMDD")&amp;"-"&amp;TEXT(ROW()-3,"000")))</f>
        <v>#ERROR!</v>
      </c>
      <c r="C27" s="227"/>
      <c r="D27" s="227" t="str">
        <f>IFERROR(INDEX(Recettes!C:C,MATCH(C27,Recettes!B:B,0)),"")</f>
        <v>#ERROR!</v>
      </c>
      <c r="E27" s="227"/>
      <c r="F27" s="227"/>
      <c r="G27" s="227"/>
      <c r="H27" s="236" t="str">
        <f>IFERROR(IF(F27="","",IF(F27="100x4/4 (100 boc. ref.)",SWITCH(E27,"W60-050",320,"W60-080",280,"W60-160",220,"RR100-290",130,"RR100-370",120,"RR100-580",130,"RR100-850",64,"RR100-1050",55,"RR100-1550",40,100),IF(F27="200x4/4 (200 boc. ref.)",SWITCH(E27,"W60-050",640,"W60-080",560,"W60-160",440,"RR100-290",260,"RR100-370",240,"RR100-580",260,"RR100-850",128,"RR100-1050",110,"RR100-1550",80,200),IF(F27="100L eau (~20 boc.)",SWITCH(E27,"W60-050",60,"W60-080",50,"W60-160",40,"RR100-290",28,"RR100-370",24,"RR100-580",20,"RR100-850",12,"RR100-1050",10,"RR100-1550",6,15),"")))),"")</f>
        <v>#ERROR!</v>
      </c>
      <c r="I27" s="243" t="str">
        <f>IFERROR(IF(OR(H27="",G27=""),"",ROUND(H27*SWITCH(G27,"1/4",0.25,"1/2",0.5,"3/4",0.75,"Complet",1,1),0)),"")</f>
        <v>#ERROR!</v>
      </c>
      <c r="J27" s="227"/>
      <c r="K27" s="230" t="str">
        <f>IFERROR(J27/I27,"")</f>
        <v>#ERROR!</v>
      </c>
      <c r="L27" s="227"/>
      <c r="M27" s="227"/>
      <c r="N27" s="227"/>
      <c r="O27" s="227"/>
      <c r="P27" s="227"/>
      <c r="Q27" s="232" t="str">
        <f>IFERROR(IF(A27="","",A27+IFERROR(INDEX(Config!B:B,MATCH("DDM appertisation standard (mois)",Config!A:A,0)),36)*30),"")</f>
        <v>#ERROR!</v>
      </c>
      <c r="R27" s="227"/>
      <c r="S27" s="227"/>
      <c r="T27" s="233"/>
    </row>
    <row r="28" ht="16.5" customHeight="1">
      <c r="A28" s="242"/>
      <c r="B28" s="225" t="str">
        <f>IF(A28="","",IF(C28="","","LOT-"&amp;TEXT(A28,"YYYYMMDD")&amp;"-"&amp;TEXT(ROW()-3,"000")))</f>
        <v>#ERROR!</v>
      </c>
      <c r="C28" s="235"/>
      <c r="D28" s="235" t="str">
        <f>IFERROR(INDEX(Recettes!C:C,MATCH(C28,Recettes!B:B,0)),"")</f>
        <v>#ERROR!</v>
      </c>
      <c r="E28" s="235"/>
      <c r="F28" s="235"/>
      <c r="G28" s="235"/>
      <c r="H28" s="236" t="str">
        <f>IFERROR(IF(F28="","",IF(F28="100x4/4 (100 boc. ref.)",SWITCH(E28,"W60-050",320,"W60-080",280,"W60-160",220,"RR100-290",130,"RR100-370",120,"RR100-580",130,"RR100-850",64,"RR100-1050",55,"RR100-1550",40,100),IF(F28="200x4/4 (200 boc. ref.)",SWITCH(E28,"W60-050",640,"W60-080",560,"W60-160",440,"RR100-290",260,"RR100-370",240,"RR100-580",260,"RR100-850",128,"RR100-1050",110,"RR100-1550",80,200),IF(F28="100L eau (~20 boc.)",SWITCH(E28,"W60-050",60,"W60-080",50,"W60-160",40,"RR100-290",28,"RR100-370",24,"RR100-580",20,"RR100-850",12,"RR100-1050",10,"RR100-1550",6,15),"")))),"")</f>
        <v>#ERROR!</v>
      </c>
      <c r="I28" s="243" t="str">
        <f>IFERROR(IF(OR(H28="",G28=""),"",ROUND(H28*SWITCH(G28,"1/4",0.25,"1/2",0.5,"3/4",0.75,"Complet",1,1),0)),"")</f>
        <v>#ERROR!</v>
      </c>
      <c r="J28" s="235"/>
      <c r="K28" s="237" t="str">
        <f>IFERROR(J28/I28,"")</f>
        <v>#ERROR!</v>
      </c>
      <c r="L28" s="235"/>
      <c r="M28" s="235"/>
      <c r="N28" s="235"/>
      <c r="O28" s="235"/>
      <c r="P28" s="235"/>
      <c r="Q28" s="239" t="str">
        <f>IFERROR(IF(A28="","",A28+IFERROR(INDEX(Config!B:B,MATCH("DDM appertisation standard (mois)",Config!A:A,0)),36)*30),"")</f>
        <v>#ERROR!</v>
      </c>
      <c r="R28" s="235"/>
      <c r="S28" s="235"/>
      <c r="T28" s="240"/>
    </row>
    <row r="29" ht="16.5" customHeight="1">
      <c r="A29" s="242"/>
      <c r="B29" s="225" t="str">
        <f>IF(A29="","",IF(C29="","","LOT-"&amp;TEXT(A29,"YYYYMMDD")&amp;"-"&amp;TEXT(ROW()-3,"000")))</f>
        <v>#ERROR!</v>
      </c>
      <c r="C29" s="227"/>
      <c r="D29" s="227" t="str">
        <f>IFERROR(INDEX(Recettes!C:C,MATCH(C29,Recettes!B:B,0)),"")</f>
        <v>#ERROR!</v>
      </c>
      <c r="E29" s="227"/>
      <c r="F29" s="227"/>
      <c r="G29" s="227"/>
      <c r="H29" s="236" t="str">
        <f>IFERROR(IF(F29="","",IF(F29="100x4/4 (100 boc. ref.)",SWITCH(E29,"W60-050",320,"W60-080",280,"W60-160",220,"RR100-290",130,"RR100-370",120,"RR100-580",130,"RR100-850",64,"RR100-1050",55,"RR100-1550",40,100),IF(F29="200x4/4 (200 boc. ref.)",SWITCH(E29,"W60-050",640,"W60-080",560,"W60-160",440,"RR100-290",260,"RR100-370",240,"RR100-580",260,"RR100-850",128,"RR100-1050",110,"RR100-1550",80,200),IF(F29="100L eau (~20 boc.)",SWITCH(E29,"W60-050",60,"W60-080",50,"W60-160",40,"RR100-290",28,"RR100-370",24,"RR100-580",20,"RR100-850",12,"RR100-1050",10,"RR100-1550",6,15),"")))),"")</f>
        <v>#ERROR!</v>
      </c>
      <c r="I29" s="243" t="str">
        <f>IFERROR(IF(OR(H29="",G29=""),"",ROUND(H29*SWITCH(G29,"1/4",0.25,"1/2",0.5,"3/4",0.75,"Complet",1,1),0)),"")</f>
        <v>#ERROR!</v>
      </c>
      <c r="J29" s="227"/>
      <c r="K29" s="230" t="str">
        <f>IFERROR(J29/I29,"")</f>
        <v>#ERROR!</v>
      </c>
      <c r="L29" s="227"/>
      <c r="M29" s="227"/>
      <c r="N29" s="227"/>
      <c r="O29" s="227"/>
      <c r="P29" s="227"/>
      <c r="Q29" s="232" t="str">
        <f>IFERROR(IF(A29="","",A29+IFERROR(INDEX(Config!B:B,MATCH("DDM appertisation standard (mois)",Config!A:A,0)),36)*30),"")</f>
        <v>#ERROR!</v>
      </c>
      <c r="R29" s="227"/>
      <c r="S29" s="227"/>
      <c r="T29" s="233"/>
    </row>
    <row r="30" ht="16.5" customHeight="1">
      <c r="A30" s="242"/>
      <c r="B30" s="225" t="str">
        <f>IF(A30="","",IF(C30="","","LOT-"&amp;TEXT(A30,"YYYYMMDD")&amp;"-"&amp;TEXT(ROW()-3,"000")))</f>
        <v>#ERROR!</v>
      </c>
      <c r="C30" s="235"/>
      <c r="D30" s="235" t="str">
        <f>IFERROR(INDEX(Recettes!C:C,MATCH(C30,Recettes!B:B,0)),"")</f>
        <v>#ERROR!</v>
      </c>
      <c r="E30" s="235"/>
      <c r="F30" s="235"/>
      <c r="G30" s="235"/>
      <c r="H30" s="236" t="str">
        <f>IFERROR(IF(F30="","",IF(F30="100x4/4 (100 boc. ref.)",SWITCH(E30,"W60-050",320,"W60-080",280,"W60-160",220,"RR100-290",130,"RR100-370",120,"RR100-580",130,"RR100-850",64,"RR100-1050",55,"RR100-1550",40,100),IF(F30="200x4/4 (200 boc. ref.)",SWITCH(E30,"W60-050",640,"W60-080",560,"W60-160",440,"RR100-290",260,"RR100-370",240,"RR100-580",260,"RR100-850",128,"RR100-1050",110,"RR100-1550",80,200),IF(F30="100L eau (~20 boc.)",SWITCH(E30,"W60-050",60,"W60-080",50,"W60-160",40,"RR100-290",28,"RR100-370",24,"RR100-580",20,"RR100-850",12,"RR100-1050",10,"RR100-1550",6,15),"")))),"")</f>
        <v>#ERROR!</v>
      </c>
      <c r="I30" s="243" t="str">
        <f>IFERROR(IF(OR(H30="",G30=""),"",ROUND(H30*SWITCH(G30,"1/4",0.25,"1/2",0.5,"3/4",0.75,"Complet",1,1),0)),"")</f>
        <v>#ERROR!</v>
      </c>
      <c r="J30" s="235"/>
      <c r="K30" s="237" t="str">
        <f>IFERROR(J30/I30,"")</f>
        <v>#ERROR!</v>
      </c>
      <c r="L30" s="235"/>
      <c r="M30" s="235"/>
      <c r="N30" s="235"/>
      <c r="O30" s="235"/>
      <c r="P30" s="235"/>
      <c r="Q30" s="239" t="str">
        <f>IFERROR(IF(A30="","",A30+IFERROR(INDEX(Config!B:B,MATCH("DDM appertisation standard (mois)",Config!A:A,0)),36)*30),"")</f>
        <v>#ERROR!</v>
      </c>
      <c r="R30" s="235"/>
      <c r="S30" s="235"/>
      <c r="T30" s="240"/>
    </row>
    <row r="31" ht="16.5" customHeight="1">
      <c r="A31" s="242"/>
      <c r="B31" s="225" t="str">
        <f>IF(A31="","",IF(C31="","","LOT-"&amp;TEXT(A31,"YYYYMMDD")&amp;"-"&amp;TEXT(ROW()-3,"000")))</f>
        <v>#ERROR!</v>
      </c>
      <c r="C31" s="227"/>
      <c r="D31" s="227" t="str">
        <f>IFERROR(INDEX(Recettes!C:C,MATCH(C31,Recettes!B:B,0)),"")</f>
        <v>#ERROR!</v>
      </c>
      <c r="E31" s="227"/>
      <c r="F31" s="227"/>
      <c r="G31" s="227"/>
      <c r="H31" s="236" t="str">
        <f>IFERROR(IF(F31="","",IF(F31="100x4/4 (100 boc. ref.)",SWITCH(E31,"W60-050",320,"W60-080",280,"W60-160",220,"RR100-290",130,"RR100-370",120,"RR100-580",130,"RR100-850",64,"RR100-1050",55,"RR100-1550",40,100),IF(F31="200x4/4 (200 boc. ref.)",SWITCH(E31,"W60-050",640,"W60-080",560,"W60-160",440,"RR100-290",260,"RR100-370",240,"RR100-580",260,"RR100-850",128,"RR100-1050",110,"RR100-1550",80,200),IF(F31="100L eau (~20 boc.)",SWITCH(E31,"W60-050",60,"W60-080",50,"W60-160",40,"RR100-290",28,"RR100-370",24,"RR100-580",20,"RR100-850",12,"RR100-1050",10,"RR100-1550",6,15),"")))),"")</f>
        <v>#ERROR!</v>
      </c>
      <c r="I31" s="243" t="str">
        <f>IFERROR(IF(OR(H31="",G31=""),"",ROUND(H31*SWITCH(G31,"1/4",0.25,"1/2",0.5,"3/4",0.75,"Complet",1,1),0)),"")</f>
        <v>#ERROR!</v>
      </c>
      <c r="J31" s="227"/>
      <c r="K31" s="230" t="str">
        <f>IFERROR(J31/I31,"")</f>
        <v>#ERROR!</v>
      </c>
      <c r="L31" s="227"/>
      <c r="M31" s="227"/>
      <c r="N31" s="227"/>
      <c r="O31" s="227"/>
      <c r="P31" s="227"/>
      <c r="Q31" s="232" t="str">
        <f>IFERROR(IF(A31="","",A31+IFERROR(INDEX(Config!B:B,MATCH("DDM appertisation standard (mois)",Config!A:A,0)),36)*30),"")</f>
        <v>#ERROR!</v>
      </c>
      <c r="R31" s="227"/>
      <c r="S31" s="227"/>
      <c r="T31" s="233"/>
    </row>
    <row r="32" ht="16.5" customHeight="1">
      <c r="A32" s="242"/>
      <c r="B32" s="225" t="str">
        <f>IF(A32="","",IF(C32="","","LOT-"&amp;TEXT(A32,"YYYYMMDD")&amp;"-"&amp;TEXT(ROW()-3,"000")))</f>
        <v>#ERROR!</v>
      </c>
      <c r="C32" s="235"/>
      <c r="D32" s="235" t="str">
        <f>IFERROR(INDEX(Recettes!C:C,MATCH(C32,Recettes!B:B,0)),"")</f>
        <v>#ERROR!</v>
      </c>
      <c r="E32" s="235"/>
      <c r="F32" s="235"/>
      <c r="G32" s="235"/>
      <c r="H32" s="236" t="str">
        <f>IFERROR(IF(F32="","",IF(F32="100x4/4 (100 boc. ref.)",SWITCH(E32,"W60-050",320,"W60-080",280,"W60-160",220,"RR100-290",130,"RR100-370",120,"RR100-580",130,"RR100-850",64,"RR100-1050",55,"RR100-1550",40,100),IF(F32="200x4/4 (200 boc. ref.)",SWITCH(E32,"W60-050",640,"W60-080",560,"W60-160",440,"RR100-290",260,"RR100-370",240,"RR100-580",260,"RR100-850",128,"RR100-1050",110,"RR100-1550",80,200),IF(F32="100L eau (~20 boc.)",SWITCH(E32,"W60-050",60,"W60-080",50,"W60-160",40,"RR100-290",28,"RR100-370",24,"RR100-580",20,"RR100-850",12,"RR100-1050",10,"RR100-1550",6,15),"")))),"")</f>
        <v>#ERROR!</v>
      </c>
      <c r="I32" s="243" t="str">
        <f>IFERROR(IF(OR(H32="",G32=""),"",ROUND(H32*SWITCH(G32,"1/4",0.25,"1/2",0.5,"3/4",0.75,"Complet",1,1),0)),"")</f>
        <v>#ERROR!</v>
      </c>
      <c r="J32" s="235"/>
      <c r="K32" s="237" t="str">
        <f>IFERROR(J32/I32,"")</f>
        <v>#ERROR!</v>
      </c>
      <c r="L32" s="235"/>
      <c r="M32" s="235"/>
      <c r="N32" s="235"/>
      <c r="O32" s="235"/>
      <c r="P32" s="235"/>
      <c r="Q32" s="239" t="str">
        <f>IFERROR(IF(A32="","",A32+IFERROR(INDEX(Config!B:B,MATCH("DDM appertisation standard (mois)",Config!A:A,0)),36)*30),"")</f>
        <v>#ERROR!</v>
      </c>
      <c r="R32" s="235"/>
      <c r="S32" s="235"/>
      <c r="T32" s="240"/>
    </row>
    <row r="33" ht="16.5" customHeight="1">
      <c r="A33" s="242"/>
      <c r="B33" s="225" t="str">
        <f>IF(A33="","",IF(C33="","","LOT-"&amp;TEXT(A33,"YYYYMMDD")&amp;"-"&amp;TEXT(ROW()-3,"000")))</f>
        <v>#ERROR!</v>
      </c>
      <c r="C33" s="227"/>
      <c r="D33" s="227" t="str">
        <f>IFERROR(INDEX(Recettes!C:C,MATCH(C33,Recettes!B:B,0)),"")</f>
        <v>#ERROR!</v>
      </c>
      <c r="E33" s="227"/>
      <c r="F33" s="227"/>
      <c r="G33" s="227"/>
      <c r="H33" s="236" t="str">
        <f>IFERROR(IF(F33="","",IF(F33="100x4/4 (100 boc. ref.)",SWITCH(E33,"W60-050",320,"W60-080",280,"W60-160",220,"RR100-290",130,"RR100-370",120,"RR100-580",130,"RR100-850",64,"RR100-1050",55,"RR100-1550",40,100),IF(F33="200x4/4 (200 boc. ref.)",SWITCH(E33,"W60-050",640,"W60-080",560,"W60-160",440,"RR100-290",260,"RR100-370",240,"RR100-580",260,"RR100-850",128,"RR100-1050",110,"RR100-1550",80,200),IF(F33="100L eau (~20 boc.)",SWITCH(E33,"W60-050",60,"W60-080",50,"W60-160",40,"RR100-290",28,"RR100-370",24,"RR100-580",20,"RR100-850",12,"RR100-1050",10,"RR100-1550",6,15),"")))),"")</f>
        <v>#ERROR!</v>
      </c>
      <c r="I33" s="243" t="str">
        <f>IFERROR(IF(OR(H33="",G33=""),"",ROUND(H33*SWITCH(G33,"1/4",0.25,"1/2",0.5,"3/4",0.75,"Complet",1,1),0)),"")</f>
        <v>#ERROR!</v>
      </c>
      <c r="J33" s="227"/>
      <c r="K33" s="230" t="str">
        <f>IFERROR(J33/I33,"")</f>
        <v>#ERROR!</v>
      </c>
      <c r="L33" s="227"/>
      <c r="M33" s="227"/>
      <c r="N33" s="227"/>
      <c r="O33" s="227"/>
      <c r="P33" s="227"/>
      <c r="Q33" s="232" t="str">
        <f>IFERROR(IF(A33="","",A33+IFERROR(INDEX(Config!B:B,MATCH("DDM appertisation standard (mois)",Config!A:A,0)),36)*30),"")</f>
        <v>#ERROR!</v>
      </c>
      <c r="R33" s="227"/>
      <c r="S33" s="227"/>
      <c r="T33" s="233"/>
    </row>
    <row r="34" ht="16.5" customHeight="1">
      <c r="A34" s="242"/>
      <c r="B34" s="225" t="str">
        <f>IF(A34="","",IF(C34="","","LOT-"&amp;TEXT(A34,"YYYYMMDD")&amp;"-"&amp;TEXT(ROW()-3,"000")))</f>
        <v>#ERROR!</v>
      </c>
      <c r="C34" s="235"/>
      <c r="D34" s="235" t="str">
        <f>IFERROR(INDEX(Recettes!C:C,MATCH(C34,Recettes!B:B,0)),"")</f>
        <v>#ERROR!</v>
      </c>
      <c r="E34" s="235"/>
      <c r="F34" s="235"/>
      <c r="G34" s="235"/>
      <c r="H34" s="236" t="str">
        <f>IFERROR(IF(F34="","",IF(F34="100x4/4 (100 boc. ref.)",SWITCH(E34,"W60-050",320,"W60-080",280,"W60-160",220,"RR100-290",130,"RR100-370",120,"RR100-580",130,"RR100-850",64,"RR100-1050",55,"RR100-1550",40,100),IF(F34="200x4/4 (200 boc. ref.)",SWITCH(E34,"W60-050",640,"W60-080",560,"W60-160",440,"RR100-290",260,"RR100-370",240,"RR100-580",260,"RR100-850",128,"RR100-1050",110,"RR100-1550",80,200),IF(F34="100L eau (~20 boc.)",SWITCH(E34,"W60-050",60,"W60-080",50,"W60-160",40,"RR100-290",28,"RR100-370",24,"RR100-580",20,"RR100-850",12,"RR100-1050",10,"RR100-1550",6,15),"")))),"")</f>
        <v>#ERROR!</v>
      </c>
      <c r="I34" s="243" t="str">
        <f>IFERROR(IF(OR(H34="",G34=""),"",ROUND(H34*SWITCH(G34,"1/4",0.25,"1/2",0.5,"3/4",0.75,"Complet",1,1),0)),"")</f>
        <v>#ERROR!</v>
      </c>
      <c r="J34" s="235"/>
      <c r="K34" s="237" t="str">
        <f>IFERROR(J34/I34,"")</f>
        <v>#ERROR!</v>
      </c>
      <c r="L34" s="235"/>
      <c r="M34" s="235"/>
      <c r="N34" s="235"/>
      <c r="O34" s="235"/>
      <c r="P34" s="235"/>
      <c r="Q34" s="239" t="str">
        <f>IFERROR(IF(A34="","",A34+IFERROR(INDEX(Config!B:B,MATCH("DDM appertisation standard (mois)",Config!A:A,0)),36)*30),"")</f>
        <v>#ERROR!</v>
      </c>
      <c r="R34" s="235"/>
      <c r="S34" s="235"/>
      <c r="T34" s="240"/>
    </row>
    <row r="35" ht="16.5" customHeight="1">
      <c r="A35" s="242"/>
      <c r="B35" s="225" t="str">
        <f>IF(A35="","",IF(C35="","","LOT-"&amp;TEXT(A35,"YYYYMMDD")&amp;"-"&amp;TEXT(ROW()-3,"000")))</f>
        <v>#ERROR!</v>
      </c>
      <c r="C35" s="227"/>
      <c r="D35" s="227" t="str">
        <f>IFERROR(INDEX(Recettes!C:C,MATCH(C35,Recettes!B:B,0)),"")</f>
        <v>#ERROR!</v>
      </c>
      <c r="E35" s="227"/>
      <c r="F35" s="227"/>
      <c r="G35" s="227"/>
      <c r="H35" s="236" t="str">
        <f>IFERROR(IF(F35="","",IF(F35="100x4/4 (100 boc. ref.)",SWITCH(E35,"W60-050",320,"W60-080",280,"W60-160",220,"RR100-290",130,"RR100-370",120,"RR100-580",130,"RR100-850",64,"RR100-1050",55,"RR100-1550",40,100),IF(F35="200x4/4 (200 boc. ref.)",SWITCH(E35,"W60-050",640,"W60-080",560,"W60-160",440,"RR100-290",260,"RR100-370",240,"RR100-580",260,"RR100-850",128,"RR100-1050",110,"RR100-1550",80,200),IF(F35="100L eau (~20 boc.)",SWITCH(E35,"W60-050",60,"W60-080",50,"W60-160",40,"RR100-290",28,"RR100-370",24,"RR100-580",20,"RR100-850",12,"RR100-1050",10,"RR100-1550",6,15),"")))),"")</f>
        <v>#ERROR!</v>
      </c>
      <c r="I35" s="243" t="str">
        <f>IFERROR(IF(OR(H35="",G35=""),"",ROUND(H35*SWITCH(G35,"1/4",0.25,"1/2",0.5,"3/4",0.75,"Complet",1,1),0)),"")</f>
        <v>#ERROR!</v>
      </c>
      <c r="J35" s="227"/>
      <c r="K35" s="230" t="str">
        <f>IFERROR(J35/I35,"")</f>
        <v>#ERROR!</v>
      </c>
      <c r="L35" s="227"/>
      <c r="M35" s="227"/>
      <c r="N35" s="227"/>
      <c r="O35" s="227"/>
      <c r="P35" s="227"/>
      <c r="Q35" s="232" t="str">
        <f>IFERROR(IF(A35="","",A35+IFERROR(INDEX(Config!B:B,MATCH("DDM appertisation standard (mois)",Config!A:A,0)),36)*30),"")</f>
        <v>#ERROR!</v>
      </c>
      <c r="R35" s="227"/>
      <c r="S35" s="227"/>
      <c r="T35" s="233"/>
    </row>
    <row r="36" ht="16.5" customHeight="1">
      <c r="A36" s="242"/>
      <c r="B36" s="225" t="str">
        <f>IF(A36="","",IF(C36="","","LOT-"&amp;TEXT(A36,"YYYYMMDD")&amp;"-"&amp;TEXT(ROW()-3,"000")))</f>
        <v>#ERROR!</v>
      </c>
      <c r="C36" s="235"/>
      <c r="D36" s="235" t="str">
        <f>IFERROR(INDEX(Recettes!C:C,MATCH(C36,Recettes!B:B,0)),"")</f>
        <v>#ERROR!</v>
      </c>
      <c r="E36" s="235"/>
      <c r="F36" s="235"/>
      <c r="G36" s="235"/>
      <c r="H36" s="236" t="str">
        <f>IFERROR(IF(F36="","",IF(F36="100x4/4 (100 boc. ref.)",SWITCH(E36,"W60-050",320,"W60-080",280,"W60-160",220,"RR100-290",130,"RR100-370",120,"RR100-580",130,"RR100-850",64,"RR100-1050",55,"RR100-1550",40,100),IF(F36="200x4/4 (200 boc. ref.)",SWITCH(E36,"W60-050",640,"W60-080",560,"W60-160",440,"RR100-290",260,"RR100-370",240,"RR100-580",260,"RR100-850",128,"RR100-1050",110,"RR100-1550",80,200),IF(F36="100L eau (~20 boc.)",SWITCH(E36,"W60-050",60,"W60-080",50,"W60-160",40,"RR100-290",28,"RR100-370",24,"RR100-580",20,"RR100-850",12,"RR100-1050",10,"RR100-1550",6,15),"")))),"")</f>
        <v>#ERROR!</v>
      </c>
      <c r="I36" s="243" t="str">
        <f>IFERROR(IF(OR(H36="",G36=""),"",ROUND(H36*SWITCH(G36,"1/4",0.25,"1/2",0.5,"3/4",0.75,"Complet",1,1),0)),"")</f>
        <v>#ERROR!</v>
      </c>
      <c r="J36" s="235"/>
      <c r="K36" s="237" t="str">
        <f>IFERROR(J36/I36,"")</f>
        <v>#ERROR!</v>
      </c>
      <c r="L36" s="235"/>
      <c r="M36" s="235"/>
      <c r="N36" s="235"/>
      <c r="O36" s="235"/>
      <c r="P36" s="235"/>
      <c r="Q36" s="239" t="str">
        <f>IFERROR(IF(A36="","",A36+IFERROR(INDEX(Config!B:B,MATCH("DDM appertisation standard (mois)",Config!A:A,0)),36)*30),"")</f>
        <v>#ERROR!</v>
      </c>
      <c r="R36" s="235"/>
      <c r="S36" s="235"/>
      <c r="T36" s="240"/>
    </row>
    <row r="37" ht="16.5" customHeight="1">
      <c r="A37" s="242"/>
      <c r="B37" s="225" t="str">
        <f>IF(A37="","",IF(C37="","","LOT-"&amp;TEXT(A37,"YYYYMMDD")&amp;"-"&amp;TEXT(ROW()-3,"000")))</f>
        <v>#ERROR!</v>
      </c>
      <c r="C37" s="227"/>
      <c r="D37" s="227" t="str">
        <f>IFERROR(INDEX(Recettes!C:C,MATCH(C37,Recettes!B:B,0)),"")</f>
        <v>#ERROR!</v>
      </c>
      <c r="E37" s="227"/>
      <c r="F37" s="227"/>
      <c r="G37" s="227"/>
      <c r="H37" s="236" t="str">
        <f>IFERROR(IF(F37="","",IF(F37="100x4/4 (100 boc. ref.)",SWITCH(E37,"W60-050",320,"W60-080",280,"W60-160",220,"RR100-290",130,"RR100-370",120,"RR100-580",130,"RR100-850",64,"RR100-1050",55,"RR100-1550",40,100),IF(F37="200x4/4 (200 boc. ref.)",SWITCH(E37,"W60-050",640,"W60-080",560,"W60-160",440,"RR100-290",260,"RR100-370",240,"RR100-580",260,"RR100-850",128,"RR100-1050",110,"RR100-1550",80,200),IF(F37="100L eau (~20 boc.)",SWITCH(E37,"W60-050",60,"W60-080",50,"W60-160",40,"RR100-290",28,"RR100-370",24,"RR100-580",20,"RR100-850",12,"RR100-1050",10,"RR100-1550",6,15),"")))),"")</f>
        <v>#ERROR!</v>
      </c>
      <c r="I37" s="243" t="str">
        <f>IFERROR(IF(OR(H37="",G37=""),"",ROUND(H37*SWITCH(G37,"1/4",0.25,"1/2",0.5,"3/4",0.75,"Complet",1,1),0)),"")</f>
        <v>#ERROR!</v>
      </c>
      <c r="J37" s="227"/>
      <c r="K37" s="230" t="str">
        <f>IFERROR(J37/I37,"")</f>
        <v>#ERROR!</v>
      </c>
      <c r="L37" s="227"/>
      <c r="M37" s="227"/>
      <c r="N37" s="227"/>
      <c r="O37" s="227"/>
      <c r="P37" s="227"/>
      <c r="Q37" s="232" t="str">
        <f>IFERROR(IF(A37="","",A37+IFERROR(INDEX(Config!B:B,MATCH("DDM appertisation standard (mois)",Config!A:A,0)),36)*30),"")</f>
        <v>#ERROR!</v>
      </c>
      <c r="R37" s="227"/>
      <c r="S37" s="227"/>
      <c r="T37" s="233"/>
    </row>
    <row r="38" ht="16.5" customHeight="1">
      <c r="A38" s="242"/>
      <c r="B38" s="225" t="str">
        <f>IF(A38="","",IF(C38="","","LOT-"&amp;TEXT(A38,"YYYYMMDD")&amp;"-"&amp;TEXT(ROW()-3,"000")))</f>
        <v>#ERROR!</v>
      </c>
      <c r="C38" s="235"/>
      <c r="D38" s="235" t="str">
        <f>IFERROR(INDEX(Recettes!C:C,MATCH(C38,Recettes!B:B,0)),"")</f>
        <v>#ERROR!</v>
      </c>
      <c r="E38" s="235"/>
      <c r="F38" s="235"/>
      <c r="G38" s="235"/>
      <c r="H38" s="236" t="str">
        <f>IFERROR(IF(F38="","",IF(F38="100x4/4 (100 boc. ref.)",SWITCH(E38,"W60-050",320,"W60-080",280,"W60-160",220,"RR100-290",130,"RR100-370",120,"RR100-580",130,"RR100-850",64,"RR100-1050",55,"RR100-1550",40,100),IF(F38="200x4/4 (200 boc. ref.)",SWITCH(E38,"W60-050",640,"W60-080",560,"W60-160",440,"RR100-290",260,"RR100-370",240,"RR100-580",260,"RR100-850",128,"RR100-1050",110,"RR100-1550",80,200),IF(F38="100L eau (~20 boc.)",SWITCH(E38,"W60-050",60,"W60-080",50,"W60-160",40,"RR100-290",28,"RR100-370",24,"RR100-580",20,"RR100-850",12,"RR100-1050",10,"RR100-1550",6,15),"")))),"")</f>
        <v>#ERROR!</v>
      </c>
      <c r="I38" s="243" t="str">
        <f>IFERROR(IF(OR(H38="",G38=""),"",ROUND(H38*SWITCH(G38,"1/4",0.25,"1/2",0.5,"3/4",0.75,"Complet",1,1),0)),"")</f>
        <v>#ERROR!</v>
      </c>
      <c r="J38" s="235"/>
      <c r="K38" s="237" t="str">
        <f>IFERROR(J38/I38,"")</f>
        <v>#ERROR!</v>
      </c>
      <c r="L38" s="235"/>
      <c r="M38" s="235"/>
      <c r="N38" s="235"/>
      <c r="O38" s="235"/>
      <c r="P38" s="235"/>
      <c r="Q38" s="239" t="str">
        <f>IFERROR(IF(A38="","",A38+IFERROR(INDEX(Config!B:B,MATCH("DDM appertisation standard (mois)",Config!A:A,0)),36)*30),"")</f>
        <v>#ERROR!</v>
      </c>
      <c r="R38" s="235"/>
      <c r="S38" s="235"/>
      <c r="T38" s="240"/>
    </row>
    <row r="39" ht="16.5" customHeight="1">
      <c r="A39" s="242"/>
      <c r="B39" s="225" t="str">
        <f>IF(A39="","",IF(C39="","","LOT-"&amp;TEXT(A39,"YYYYMMDD")&amp;"-"&amp;TEXT(ROW()-3,"000")))</f>
        <v>#ERROR!</v>
      </c>
      <c r="C39" s="227"/>
      <c r="D39" s="227" t="str">
        <f>IFERROR(INDEX(Recettes!C:C,MATCH(C39,Recettes!B:B,0)),"")</f>
        <v>#ERROR!</v>
      </c>
      <c r="E39" s="227"/>
      <c r="F39" s="227"/>
      <c r="G39" s="227"/>
      <c r="H39" s="236" t="str">
        <f>IFERROR(IF(F39="","",IF(F39="100x4/4 (100 boc. ref.)",SWITCH(E39,"W60-050",320,"W60-080",280,"W60-160",220,"RR100-290",130,"RR100-370",120,"RR100-580",130,"RR100-850",64,"RR100-1050",55,"RR100-1550",40,100),IF(F39="200x4/4 (200 boc. ref.)",SWITCH(E39,"W60-050",640,"W60-080",560,"W60-160",440,"RR100-290",260,"RR100-370",240,"RR100-580",260,"RR100-850",128,"RR100-1050",110,"RR100-1550",80,200),IF(F39="100L eau (~20 boc.)",SWITCH(E39,"W60-050",60,"W60-080",50,"W60-160",40,"RR100-290",28,"RR100-370",24,"RR100-580",20,"RR100-850",12,"RR100-1050",10,"RR100-1550",6,15),"")))),"")</f>
        <v>#ERROR!</v>
      </c>
      <c r="I39" s="243" t="str">
        <f>IFERROR(IF(OR(H39="",G39=""),"",ROUND(H39*SWITCH(G39,"1/4",0.25,"1/2",0.5,"3/4",0.75,"Complet",1,1),0)),"")</f>
        <v>#ERROR!</v>
      </c>
      <c r="J39" s="227"/>
      <c r="K39" s="230" t="str">
        <f>IFERROR(J39/I39,"")</f>
        <v>#ERROR!</v>
      </c>
      <c r="L39" s="227"/>
      <c r="M39" s="227"/>
      <c r="N39" s="227"/>
      <c r="O39" s="227"/>
      <c r="P39" s="227"/>
      <c r="Q39" s="232" t="str">
        <f>IFERROR(IF(A39="","",A39+IFERROR(INDEX(Config!B:B,MATCH("DDM appertisation standard (mois)",Config!A:A,0)),36)*30),"")</f>
        <v>#ERROR!</v>
      </c>
      <c r="R39" s="227"/>
      <c r="S39" s="227"/>
      <c r="T39" s="233"/>
    </row>
    <row r="40" ht="16.5" customHeight="1">
      <c r="A40" s="242"/>
      <c r="B40" s="225" t="str">
        <f>IF(A40="","",IF(C40="","","LOT-"&amp;TEXT(A40,"YYYYMMDD")&amp;"-"&amp;TEXT(ROW()-3,"000")))</f>
        <v>#ERROR!</v>
      </c>
      <c r="C40" s="235"/>
      <c r="D40" s="235" t="str">
        <f>IFERROR(INDEX(Recettes!C:C,MATCH(C40,Recettes!B:B,0)),"")</f>
        <v>#ERROR!</v>
      </c>
      <c r="E40" s="235"/>
      <c r="F40" s="235"/>
      <c r="G40" s="235"/>
      <c r="H40" s="236" t="str">
        <f>IFERROR(IF(F40="","",IF(F40="100x4/4 (100 boc. ref.)",SWITCH(E40,"W60-050",320,"W60-080",280,"W60-160",220,"RR100-290",130,"RR100-370",120,"RR100-580",130,"RR100-850",64,"RR100-1050",55,"RR100-1550",40,100),IF(F40="200x4/4 (200 boc. ref.)",SWITCH(E40,"W60-050",640,"W60-080",560,"W60-160",440,"RR100-290",260,"RR100-370",240,"RR100-580",260,"RR100-850",128,"RR100-1050",110,"RR100-1550",80,200),IF(F40="100L eau (~20 boc.)",SWITCH(E40,"W60-050",60,"W60-080",50,"W60-160",40,"RR100-290",28,"RR100-370",24,"RR100-580",20,"RR100-850",12,"RR100-1050",10,"RR100-1550",6,15),"")))),"")</f>
        <v>#ERROR!</v>
      </c>
      <c r="I40" s="243" t="str">
        <f>IFERROR(IF(OR(H40="",G40=""),"",ROUND(H40*SWITCH(G40,"1/4",0.25,"1/2",0.5,"3/4",0.75,"Complet",1,1),0)),"")</f>
        <v>#ERROR!</v>
      </c>
      <c r="J40" s="235"/>
      <c r="K40" s="237" t="str">
        <f>IFERROR(J40/I40,"")</f>
        <v>#ERROR!</v>
      </c>
      <c r="L40" s="235"/>
      <c r="M40" s="235"/>
      <c r="N40" s="235"/>
      <c r="O40" s="235"/>
      <c r="P40" s="235"/>
      <c r="Q40" s="239" t="str">
        <f>IFERROR(IF(A40="","",A40+IFERROR(INDEX(Config!B:B,MATCH("DDM appertisation standard (mois)",Config!A:A,0)),36)*30),"")</f>
        <v>#ERROR!</v>
      </c>
      <c r="R40" s="235"/>
      <c r="S40" s="235"/>
      <c r="T40" s="240"/>
    </row>
    <row r="41" ht="16.5" customHeight="1">
      <c r="A41" s="242"/>
      <c r="B41" s="225" t="str">
        <f>IF(A41="","",IF(C41="","","LOT-"&amp;TEXT(A41,"YYYYMMDD")&amp;"-"&amp;TEXT(ROW()-3,"000")))</f>
        <v>#ERROR!</v>
      </c>
      <c r="C41" s="227"/>
      <c r="D41" s="227" t="str">
        <f>IFERROR(INDEX(Recettes!C:C,MATCH(C41,Recettes!B:B,0)),"")</f>
        <v>#ERROR!</v>
      </c>
      <c r="E41" s="227"/>
      <c r="F41" s="227"/>
      <c r="G41" s="227"/>
      <c r="H41" s="236" t="str">
        <f>IFERROR(IF(F41="","",IF(F41="100x4/4 (100 boc. ref.)",SWITCH(E41,"W60-050",320,"W60-080",280,"W60-160",220,"RR100-290",130,"RR100-370",120,"RR100-580",130,"RR100-850",64,"RR100-1050",55,"RR100-1550",40,100),IF(F41="200x4/4 (200 boc. ref.)",SWITCH(E41,"W60-050",640,"W60-080",560,"W60-160",440,"RR100-290",260,"RR100-370",240,"RR100-580",260,"RR100-850",128,"RR100-1050",110,"RR100-1550",80,200),IF(F41="100L eau (~20 boc.)",SWITCH(E41,"W60-050",60,"W60-080",50,"W60-160",40,"RR100-290",28,"RR100-370",24,"RR100-580",20,"RR100-850",12,"RR100-1050",10,"RR100-1550",6,15),"")))),"")</f>
        <v>#ERROR!</v>
      </c>
      <c r="I41" s="243" t="str">
        <f>IFERROR(IF(OR(H41="",G41=""),"",ROUND(H41*SWITCH(G41,"1/4",0.25,"1/2",0.5,"3/4",0.75,"Complet",1,1),0)),"")</f>
        <v>#ERROR!</v>
      </c>
      <c r="J41" s="227"/>
      <c r="K41" s="230" t="str">
        <f>IFERROR(J41/I41,"")</f>
        <v>#ERROR!</v>
      </c>
      <c r="L41" s="227"/>
      <c r="M41" s="227"/>
      <c r="N41" s="227"/>
      <c r="O41" s="227"/>
      <c r="P41" s="227"/>
      <c r="Q41" s="232" t="str">
        <f>IFERROR(IF(A41="","",A41+IFERROR(INDEX(Config!B:B,MATCH("DDM appertisation standard (mois)",Config!A:A,0)),36)*30),"")</f>
        <v>#ERROR!</v>
      </c>
      <c r="R41" s="227"/>
      <c r="S41" s="227"/>
      <c r="T41" s="233"/>
    </row>
    <row r="42" ht="16.5" customHeight="1">
      <c r="A42" s="242"/>
      <c r="B42" s="225" t="str">
        <f>IF(A42="","",IF(C42="","","LOT-"&amp;TEXT(A42,"YYYYMMDD")&amp;"-"&amp;TEXT(ROW()-3,"000")))</f>
        <v>#ERROR!</v>
      </c>
      <c r="C42" s="235"/>
      <c r="D42" s="235" t="str">
        <f>IFERROR(INDEX(Recettes!C:C,MATCH(C42,Recettes!B:B,0)),"")</f>
        <v>#ERROR!</v>
      </c>
      <c r="E42" s="235"/>
      <c r="F42" s="235"/>
      <c r="G42" s="235"/>
      <c r="H42" s="236" t="str">
        <f>IFERROR(IF(F42="","",IF(F42="100x4/4 (100 boc. ref.)",SWITCH(E42,"W60-050",320,"W60-080",280,"W60-160",220,"RR100-290",130,"RR100-370",120,"RR100-580",130,"RR100-850",64,"RR100-1050",55,"RR100-1550",40,100),IF(F42="200x4/4 (200 boc. ref.)",SWITCH(E42,"W60-050",640,"W60-080",560,"W60-160",440,"RR100-290",260,"RR100-370",240,"RR100-580",260,"RR100-850",128,"RR100-1050",110,"RR100-1550",80,200),IF(F42="100L eau (~20 boc.)",SWITCH(E42,"W60-050",60,"W60-080",50,"W60-160",40,"RR100-290",28,"RR100-370",24,"RR100-580",20,"RR100-850",12,"RR100-1050",10,"RR100-1550",6,15),"")))),"")</f>
        <v>#ERROR!</v>
      </c>
      <c r="I42" s="243" t="str">
        <f>IFERROR(IF(OR(H42="",G42=""),"",ROUND(H42*SWITCH(G42,"1/4",0.25,"1/2",0.5,"3/4",0.75,"Complet",1,1),0)),"")</f>
        <v>#ERROR!</v>
      </c>
      <c r="J42" s="235"/>
      <c r="K42" s="237" t="str">
        <f>IFERROR(J42/I42,"")</f>
        <v>#ERROR!</v>
      </c>
      <c r="L42" s="235"/>
      <c r="M42" s="235"/>
      <c r="N42" s="235"/>
      <c r="O42" s="235"/>
      <c r="P42" s="235"/>
      <c r="Q42" s="239" t="str">
        <f>IFERROR(IF(A42="","",A42+IFERROR(INDEX(Config!B:B,MATCH("DDM appertisation standard (mois)",Config!A:A,0)),36)*30),"")</f>
        <v>#ERROR!</v>
      </c>
      <c r="R42" s="235"/>
      <c r="S42" s="235"/>
      <c r="T42" s="240"/>
    </row>
    <row r="43" ht="16.5" customHeight="1">
      <c r="A43" s="242"/>
      <c r="B43" s="225" t="str">
        <f>IF(A43="","",IF(C43="","","LOT-"&amp;TEXT(A43,"YYYYMMDD")&amp;"-"&amp;TEXT(ROW()-3,"000")))</f>
        <v>#ERROR!</v>
      </c>
      <c r="C43" s="227"/>
      <c r="D43" s="227" t="str">
        <f>IFERROR(INDEX(Recettes!C:C,MATCH(C43,Recettes!B:B,0)),"")</f>
        <v>#ERROR!</v>
      </c>
      <c r="E43" s="227"/>
      <c r="F43" s="227"/>
      <c r="G43" s="227"/>
      <c r="H43" s="236" t="str">
        <f>IFERROR(IF(F43="","",IF(F43="100x4/4 (100 boc. ref.)",SWITCH(E43,"W60-050",320,"W60-080",280,"W60-160",220,"RR100-290",130,"RR100-370",120,"RR100-580",130,"RR100-850",64,"RR100-1050",55,"RR100-1550",40,100),IF(F43="200x4/4 (200 boc. ref.)",SWITCH(E43,"W60-050",640,"W60-080",560,"W60-160",440,"RR100-290",260,"RR100-370",240,"RR100-580",260,"RR100-850",128,"RR100-1050",110,"RR100-1550",80,200),IF(F43="100L eau (~20 boc.)",SWITCH(E43,"W60-050",60,"W60-080",50,"W60-160",40,"RR100-290",28,"RR100-370",24,"RR100-580",20,"RR100-850",12,"RR100-1050",10,"RR100-1550",6,15),"")))),"")</f>
        <v>#ERROR!</v>
      </c>
      <c r="I43" s="243" t="str">
        <f>IFERROR(IF(OR(H43="",G43=""),"",ROUND(H43*SWITCH(G43,"1/4",0.25,"1/2",0.5,"3/4",0.75,"Complet",1,1),0)),"")</f>
        <v>#ERROR!</v>
      </c>
      <c r="J43" s="227"/>
      <c r="K43" s="230" t="str">
        <f>IFERROR(J43/I43,"")</f>
        <v>#ERROR!</v>
      </c>
      <c r="L43" s="227"/>
      <c r="M43" s="227"/>
      <c r="N43" s="227"/>
      <c r="O43" s="227"/>
      <c r="P43" s="227"/>
      <c r="Q43" s="232" t="str">
        <f>IFERROR(IF(A43="","",A43+IFERROR(INDEX(Config!B:B,MATCH("DDM appertisation standard (mois)",Config!A:A,0)),36)*30),"")</f>
        <v>#ERROR!</v>
      </c>
      <c r="R43" s="227"/>
      <c r="S43" s="227"/>
      <c r="T43" s="233"/>
    </row>
    <row r="44" ht="16.5" customHeight="1">
      <c r="A44" s="242"/>
      <c r="B44" s="225" t="str">
        <f>IF(A44="","",IF(C44="","","LOT-"&amp;TEXT(A44,"YYYYMMDD")&amp;"-"&amp;TEXT(ROW()-3,"000")))</f>
        <v>#ERROR!</v>
      </c>
      <c r="C44" s="235"/>
      <c r="D44" s="235" t="str">
        <f>IFERROR(INDEX(Recettes!C:C,MATCH(C44,Recettes!B:B,0)),"")</f>
        <v>#ERROR!</v>
      </c>
      <c r="E44" s="235"/>
      <c r="F44" s="235"/>
      <c r="G44" s="235"/>
      <c r="H44" s="236" t="str">
        <f>IFERROR(IF(F44="","",IF(F44="100x4/4 (100 boc. ref.)",SWITCH(E44,"W60-050",320,"W60-080",280,"W60-160",220,"RR100-290",130,"RR100-370",120,"RR100-580",130,"RR100-850",64,"RR100-1050",55,"RR100-1550",40,100),IF(F44="200x4/4 (200 boc. ref.)",SWITCH(E44,"W60-050",640,"W60-080",560,"W60-160",440,"RR100-290",260,"RR100-370",240,"RR100-580",260,"RR100-850",128,"RR100-1050",110,"RR100-1550",80,200),IF(F44="100L eau (~20 boc.)",SWITCH(E44,"W60-050",60,"W60-080",50,"W60-160",40,"RR100-290",28,"RR100-370",24,"RR100-580",20,"RR100-850",12,"RR100-1050",10,"RR100-1550",6,15),"")))),"")</f>
        <v>#ERROR!</v>
      </c>
      <c r="I44" s="243" t="str">
        <f>IFERROR(IF(OR(H44="",G44=""),"",ROUND(H44*SWITCH(G44,"1/4",0.25,"1/2",0.5,"3/4",0.75,"Complet",1,1),0)),"")</f>
        <v>#ERROR!</v>
      </c>
      <c r="J44" s="235"/>
      <c r="K44" s="237" t="str">
        <f>IFERROR(J44/I44,"")</f>
        <v>#ERROR!</v>
      </c>
      <c r="L44" s="235"/>
      <c r="M44" s="235"/>
      <c r="N44" s="235"/>
      <c r="O44" s="235"/>
      <c r="P44" s="235"/>
      <c r="Q44" s="239" t="str">
        <f>IFERROR(IF(A44="","",A44+IFERROR(INDEX(Config!B:B,MATCH("DDM appertisation standard (mois)",Config!A:A,0)),36)*30),"")</f>
        <v>#ERROR!</v>
      </c>
      <c r="R44" s="235"/>
      <c r="S44" s="235"/>
      <c r="T44" s="240"/>
    </row>
    <row r="45" ht="16.5" customHeight="1">
      <c r="A45" s="242"/>
      <c r="B45" s="225" t="str">
        <f>IF(A45="","",IF(C45="","","LOT-"&amp;TEXT(A45,"YYYYMMDD")&amp;"-"&amp;TEXT(ROW()-3,"000")))</f>
        <v>#ERROR!</v>
      </c>
      <c r="C45" s="227"/>
      <c r="D45" s="227" t="str">
        <f>IFERROR(INDEX(Recettes!C:C,MATCH(C45,Recettes!B:B,0)),"")</f>
        <v>#ERROR!</v>
      </c>
      <c r="E45" s="227"/>
      <c r="F45" s="227"/>
      <c r="G45" s="227"/>
      <c r="H45" s="236" t="str">
        <f>IFERROR(IF(F45="","",IF(F45="100x4/4 (100 boc. ref.)",SWITCH(E45,"W60-050",320,"W60-080",280,"W60-160",220,"RR100-290",130,"RR100-370",120,"RR100-580",130,"RR100-850",64,"RR100-1050",55,"RR100-1550",40,100),IF(F45="200x4/4 (200 boc. ref.)",SWITCH(E45,"W60-050",640,"W60-080",560,"W60-160",440,"RR100-290",260,"RR100-370",240,"RR100-580",260,"RR100-850",128,"RR100-1050",110,"RR100-1550",80,200),IF(F45="100L eau (~20 boc.)",SWITCH(E45,"W60-050",60,"W60-080",50,"W60-160",40,"RR100-290",28,"RR100-370",24,"RR100-580",20,"RR100-850",12,"RR100-1050",10,"RR100-1550",6,15),"")))),"")</f>
        <v>#ERROR!</v>
      </c>
      <c r="I45" s="243" t="str">
        <f>IFERROR(IF(OR(H45="",G45=""),"",ROUND(H45*SWITCH(G45,"1/4",0.25,"1/2",0.5,"3/4",0.75,"Complet",1,1),0)),"")</f>
        <v>#ERROR!</v>
      </c>
      <c r="J45" s="227"/>
      <c r="K45" s="230" t="str">
        <f>IFERROR(J45/I45,"")</f>
        <v>#ERROR!</v>
      </c>
      <c r="L45" s="227"/>
      <c r="M45" s="227"/>
      <c r="N45" s="227"/>
      <c r="O45" s="227"/>
      <c r="P45" s="227"/>
      <c r="Q45" s="232" t="str">
        <f>IFERROR(IF(A45="","",A45+IFERROR(INDEX(Config!B:B,MATCH("DDM appertisation standard (mois)",Config!A:A,0)),36)*30),"")</f>
        <v>#ERROR!</v>
      </c>
      <c r="R45" s="227"/>
      <c r="S45" s="227"/>
      <c r="T45" s="233"/>
    </row>
    <row r="46" ht="16.5" customHeight="1">
      <c r="A46" s="242"/>
      <c r="B46" s="225" t="str">
        <f>IF(A46="","",IF(C46="","","LOT-"&amp;TEXT(A46,"YYYYMMDD")&amp;"-"&amp;TEXT(ROW()-3,"000")))</f>
        <v>#ERROR!</v>
      </c>
      <c r="C46" s="235"/>
      <c r="D46" s="235" t="str">
        <f>IFERROR(INDEX(Recettes!C:C,MATCH(C46,Recettes!B:B,0)),"")</f>
        <v>#ERROR!</v>
      </c>
      <c r="E46" s="235"/>
      <c r="F46" s="235"/>
      <c r="G46" s="235"/>
      <c r="H46" s="236" t="str">
        <f>IFERROR(IF(F46="","",IF(F46="100x4/4 (100 boc. ref.)",SWITCH(E46,"W60-050",320,"W60-080",280,"W60-160",220,"RR100-290",130,"RR100-370",120,"RR100-580",130,"RR100-850",64,"RR100-1050",55,"RR100-1550",40,100),IF(F46="200x4/4 (200 boc. ref.)",SWITCH(E46,"W60-050",640,"W60-080",560,"W60-160",440,"RR100-290",260,"RR100-370",240,"RR100-580",260,"RR100-850",128,"RR100-1050",110,"RR100-1550",80,200),IF(F46="100L eau (~20 boc.)",SWITCH(E46,"W60-050",60,"W60-080",50,"W60-160",40,"RR100-290",28,"RR100-370",24,"RR100-580",20,"RR100-850",12,"RR100-1050",10,"RR100-1550",6,15),"")))),"")</f>
        <v>#ERROR!</v>
      </c>
      <c r="I46" s="243" t="str">
        <f>IFERROR(IF(OR(H46="",G46=""),"",ROUND(H46*SWITCH(G46,"1/4",0.25,"1/2",0.5,"3/4",0.75,"Complet",1,1),0)),"")</f>
        <v>#ERROR!</v>
      </c>
      <c r="J46" s="235"/>
      <c r="K46" s="237" t="str">
        <f>IFERROR(J46/I46,"")</f>
        <v>#ERROR!</v>
      </c>
      <c r="L46" s="235"/>
      <c r="M46" s="235"/>
      <c r="N46" s="235"/>
      <c r="O46" s="235"/>
      <c r="P46" s="235"/>
      <c r="Q46" s="239" t="str">
        <f>IFERROR(IF(A46="","",A46+IFERROR(INDEX(Config!B:B,MATCH("DDM appertisation standard (mois)",Config!A:A,0)),36)*30),"")</f>
        <v>#ERROR!</v>
      </c>
      <c r="R46" s="235"/>
      <c r="S46" s="235"/>
      <c r="T46" s="240"/>
    </row>
    <row r="47" ht="16.5" customHeight="1">
      <c r="A47" s="242"/>
      <c r="B47" s="225" t="str">
        <f>IF(A47="","",IF(C47="","","LOT-"&amp;TEXT(A47,"YYYYMMDD")&amp;"-"&amp;TEXT(ROW()-3,"000")))</f>
        <v>#ERROR!</v>
      </c>
      <c r="C47" s="227"/>
      <c r="D47" s="227" t="str">
        <f>IFERROR(INDEX(Recettes!C:C,MATCH(C47,Recettes!B:B,0)),"")</f>
        <v>#ERROR!</v>
      </c>
      <c r="E47" s="227"/>
      <c r="F47" s="227"/>
      <c r="G47" s="227"/>
      <c r="H47" s="236" t="str">
        <f>IFERROR(IF(F47="","",IF(F47="100x4/4 (100 boc. ref.)",SWITCH(E47,"W60-050",320,"W60-080",280,"W60-160",220,"RR100-290",130,"RR100-370",120,"RR100-580",130,"RR100-850",64,"RR100-1050",55,"RR100-1550",40,100),IF(F47="200x4/4 (200 boc. ref.)",SWITCH(E47,"W60-050",640,"W60-080",560,"W60-160",440,"RR100-290",260,"RR100-370",240,"RR100-580",260,"RR100-850",128,"RR100-1050",110,"RR100-1550",80,200),IF(F47="100L eau (~20 boc.)",SWITCH(E47,"W60-050",60,"W60-080",50,"W60-160",40,"RR100-290",28,"RR100-370",24,"RR100-580",20,"RR100-850",12,"RR100-1050",10,"RR100-1550",6,15),"")))),"")</f>
        <v>#ERROR!</v>
      </c>
      <c r="I47" s="243" t="str">
        <f>IFERROR(IF(OR(H47="",G47=""),"",ROUND(H47*SWITCH(G47,"1/4",0.25,"1/2",0.5,"3/4",0.75,"Complet",1,1),0)),"")</f>
        <v>#ERROR!</v>
      </c>
      <c r="J47" s="227"/>
      <c r="K47" s="230" t="str">
        <f>IFERROR(J47/I47,"")</f>
        <v>#ERROR!</v>
      </c>
      <c r="L47" s="227"/>
      <c r="M47" s="227"/>
      <c r="N47" s="227"/>
      <c r="O47" s="227"/>
      <c r="P47" s="227"/>
      <c r="Q47" s="232" t="str">
        <f>IFERROR(IF(A47="","",A47+IFERROR(INDEX(Config!B:B,MATCH("DDM appertisation standard (mois)",Config!A:A,0)),36)*30),"")</f>
        <v>#ERROR!</v>
      </c>
      <c r="R47" s="227"/>
      <c r="S47" s="227"/>
      <c r="T47" s="233"/>
    </row>
    <row r="48" ht="16.5" customHeight="1">
      <c r="A48" s="242"/>
      <c r="B48" s="225" t="str">
        <f>IF(A48="","",IF(C48="","","LOT-"&amp;TEXT(A48,"YYYYMMDD")&amp;"-"&amp;TEXT(ROW()-3,"000")))</f>
        <v>#ERROR!</v>
      </c>
      <c r="C48" s="235"/>
      <c r="D48" s="235" t="str">
        <f>IFERROR(INDEX(Recettes!C:C,MATCH(C48,Recettes!B:B,0)),"")</f>
        <v>#ERROR!</v>
      </c>
      <c r="E48" s="235"/>
      <c r="F48" s="235"/>
      <c r="G48" s="235"/>
      <c r="H48" s="236" t="str">
        <f>IFERROR(IF(F48="","",IF(F48="100x4/4 (100 boc. ref.)",SWITCH(E48,"W60-050",320,"W60-080",280,"W60-160",220,"RR100-290",130,"RR100-370",120,"RR100-580",130,"RR100-850",64,"RR100-1050",55,"RR100-1550",40,100),IF(F48="200x4/4 (200 boc. ref.)",SWITCH(E48,"W60-050",640,"W60-080",560,"W60-160",440,"RR100-290",260,"RR100-370",240,"RR100-580",260,"RR100-850",128,"RR100-1050",110,"RR100-1550",80,200),IF(F48="100L eau (~20 boc.)",SWITCH(E48,"W60-050",60,"W60-080",50,"W60-160",40,"RR100-290",28,"RR100-370",24,"RR100-580",20,"RR100-850",12,"RR100-1050",10,"RR100-1550",6,15),"")))),"")</f>
        <v>#ERROR!</v>
      </c>
      <c r="I48" s="243" t="str">
        <f>IFERROR(IF(OR(H48="",G48=""),"",ROUND(H48*SWITCH(G48,"1/4",0.25,"1/2",0.5,"3/4",0.75,"Complet",1,1),0)),"")</f>
        <v>#ERROR!</v>
      </c>
      <c r="J48" s="235"/>
      <c r="K48" s="237" t="str">
        <f>IFERROR(J48/I48,"")</f>
        <v>#ERROR!</v>
      </c>
      <c r="L48" s="235"/>
      <c r="M48" s="235"/>
      <c r="N48" s="235"/>
      <c r="O48" s="235"/>
      <c r="P48" s="235"/>
      <c r="Q48" s="239" t="str">
        <f>IFERROR(IF(A48="","",A48+IFERROR(INDEX(Config!B:B,MATCH("DDM appertisation standard (mois)",Config!A:A,0)),36)*30),"")</f>
        <v>#ERROR!</v>
      </c>
      <c r="R48" s="235"/>
      <c r="S48" s="235"/>
      <c r="T48" s="240"/>
    </row>
    <row r="49" ht="16.5" customHeight="1">
      <c r="A49" s="242"/>
      <c r="B49" s="225" t="str">
        <f>IF(A49="","",IF(C49="","","LOT-"&amp;TEXT(A49,"YYYYMMDD")&amp;"-"&amp;TEXT(ROW()-3,"000")))</f>
        <v>#ERROR!</v>
      </c>
      <c r="C49" s="227"/>
      <c r="D49" s="227" t="str">
        <f>IFERROR(INDEX(Recettes!C:C,MATCH(C49,Recettes!B:B,0)),"")</f>
        <v>#ERROR!</v>
      </c>
      <c r="E49" s="227"/>
      <c r="F49" s="227"/>
      <c r="G49" s="227"/>
      <c r="H49" s="236" t="str">
        <f>IFERROR(IF(F49="","",IF(F49="100x4/4 (100 boc. ref.)",SWITCH(E49,"W60-050",320,"W60-080",280,"W60-160",220,"RR100-290",130,"RR100-370",120,"RR100-580",130,"RR100-850",64,"RR100-1050",55,"RR100-1550",40,100),IF(F49="200x4/4 (200 boc. ref.)",SWITCH(E49,"W60-050",640,"W60-080",560,"W60-160",440,"RR100-290",260,"RR100-370",240,"RR100-580",260,"RR100-850",128,"RR100-1050",110,"RR100-1550",80,200),IF(F49="100L eau (~20 boc.)",SWITCH(E49,"W60-050",60,"W60-080",50,"W60-160",40,"RR100-290",28,"RR100-370",24,"RR100-580",20,"RR100-850",12,"RR100-1050",10,"RR100-1550",6,15),"")))),"")</f>
        <v>#ERROR!</v>
      </c>
      <c r="I49" s="243" t="str">
        <f>IFERROR(IF(OR(H49="",G49=""),"",ROUND(H49*SWITCH(G49,"1/4",0.25,"1/2",0.5,"3/4",0.75,"Complet",1,1),0)),"")</f>
        <v>#ERROR!</v>
      </c>
      <c r="J49" s="227"/>
      <c r="K49" s="230" t="str">
        <f>IFERROR(J49/I49,"")</f>
        <v>#ERROR!</v>
      </c>
      <c r="L49" s="227"/>
      <c r="M49" s="227"/>
      <c r="N49" s="227"/>
      <c r="O49" s="227"/>
      <c r="P49" s="227"/>
      <c r="Q49" s="232" t="str">
        <f>IFERROR(IF(A49="","",A49+IFERROR(INDEX(Config!B:B,MATCH("DDM appertisation standard (mois)",Config!A:A,0)),36)*30),"")</f>
        <v>#ERROR!</v>
      </c>
      <c r="R49" s="227"/>
      <c r="S49" s="227"/>
      <c r="T49" s="233"/>
    </row>
    <row r="50" ht="16.5" customHeight="1">
      <c r="A50" s="242"/>
      <c r="B50" s="225" t="str">
        <f>IF(A50="","",IF(C50="","","LOT-"&amp;TEXT(A50,"YYYYMMDD")&amp;"-"&amp;TEXT(ROW()-3,"000")))</f>
        <v>#ERROR!</v>
      </c>
      <c r="C50" s="235"/>
      <c r="D50" s="235" t="str">
        <f>IFERROR(INDEX(Recettes!C:C,MATCH(C50,Recettes!B:B,0)),"")</f>
        <v>#ERROR!</v>
      </c>
      <c r="E50" s="235"/>
      <c r="F50" s="235"/>
      <c r="G50" s="235"/>
      <c r="H50" s="236" t="str">
        <f>IFERROR(IF(F50="","",IF(F50="100x4/4 (100 boc. ref.)",SWITCH(E50,"W60-050",320,"W60-080",280,"W60-160",220,"RR100-290",130,"RR100-370",120,"RR100-580",130,"RR100-850",64,"RR100-1050",55,"RR100-1550",40,100),IF(F50="200x4/4 (200 boc. ref.)",SWITCH(E50,"W60-050",640,"W60-080",560,"W60-160",440,"RR100-290",260,"RR100-370",240,"RR100-580",260,"RR100-850",128,"RR100-1050",110,"RR100-1550",80,200),IF(F50="100L eau (~20 boc.)",SWITCH(E50,"W60-050",60,"W60-080",50,"W60-160",40,"RR100-290",28,"RR100-370",24,"RR100-580",20,"RR100-850",12,"RR100-1050",10,"RR100-1550",6,15),"")))),"")</f>
        <v>#ERROR!</v>
      </c>
      <c r="I50" s="243" t="str">
        <f>IFERROR(IF(OR(H50="",G50=""),"",ROUND(H50*SWITCH(G50,"1/4",0.25,"1/2",0.5,"3/4",0.75,"Complet",1,1),0)),"")</f>
        <v>#ERROR!</v>
      </c>
      <c r="J50" s="235"/>
      <c r="K50" s="237" t="str">
        <f>IFERROR(J50/I50,"")</f>
        <v>#ERROR!</v>
      </c>
      <c r="L50" s="235"/>
      <c r="M50" s="235"/>
      <c r="N50" s="235"/>
      <c r="O50" s="235"/>
      <c r="P50" s="235"/>
      <c r="Q50" s="239" t="str">
        <f>IFERROR(IF(A50="","",A50+IFERROR(INDEX(Config!B:B,MATCH("DDM appertisation standard (mois)",Config!A:A,0)),36)*30),"")</f>
        <v>#ERROR!</v>
      </c>
      <c r="R50" s="235"/>
      <c r="S50" s="235"/>
      <c r="T50" s="240"/>
    </row>
    <row r="51" ht="16.5" customHeight="1">
      <c r="A51" s="242"/>
      <c r="B51" s="225" t="str">
        <f>IF(A51="","",IF(C51="","","LOT-"&amp;TEXT(A51,"YYYYMMDD")&amp;"-"&amp;TEXT(ROW()-3,"000")))</f>
        <v>#ERROR!</v>
      </c>
      <c r="C51" s="227"/>
      <c r="D51" s="227" t="str">
        <f>IFERROR(INDEX(Recettes!C:C,MATCH(C51,Recettes!B:B,0)),"")</f>
        <v>#ERROR!</v>
      </c>
      <c r="E51" s="227"/>
      <c r="F51" s="227"/>
      <c r="G51" s="227"/>
      <c r="H51" s="236" t="str">
        <f>IFERROR(IF(F51="","",IF(F51="100x4/4 (100 boc. ref.)",SWITCH(E51,"W60-050",320,"W60-080",280,"W60-160",220,"RR100-290",130,"RR100-370",120,"RR100-580",130,"RR100-850",64,"RR100-1050",55,"RR100-1550",40,100),IF(F51="200x4/4 (200 boc. ref.)",SWITCH(E51,"W60-050",640,"W60-080",560,"W60-160",440,"RR100-290",260,"RR100-370",240,"RR100-580",260,"RR100-850",128,"RR100-1050",110,"RR100-1550",80,200),IF(F51="100L eau (~20 boc.)",SWITCH(E51,"W60-050",60,"W60-080",50,"W60-160",40,"RR100-290",28,"RR100-370",24,"RR100-580",20,"RR100-850",12,"RR100-1050",10,"RR100-1550",6,15),"")))),"")</f>
        <v>#ERROR!</v>
      </c>
      <c r="I51" s="243" t="str">
        <f>IFERROR(IF(OR(H51="",G51=""),"",ROUND(H51*SWITCH(G51,"1/4",0.25,"1/2",0.5,"3/4",0.75,"Complet",1,1),0)),"")</f>
        <v>#ERROR!</v>
      </c>
      <c r="J51" s="227"/>
      <c r="K51" s="230" t="str">
        <f>IFERROR(J51/I51,"")</f>
        <v>#ERROR!</v>
      </c>
      <c r="L51" s="227"/>
      <c r="M51" s="227"/>
      <c r="N51" s="227"/>
      <c r="O51" s="227"/>
      <c r="P51" s="227"/>
      <c r="Q51" s="232" t="str">
        <f>IFERROR(IF(A51="","",A51+IFERROR(INDEX(Config!B:B,MATCH("DDM appertisation standard (mois)",Config!A:A,0)),36)*30),"")</f>
        <v>#ERROR!</v>
      </c>
      <c r="R51" s="227"/>
      <c r="S51" s="227"/>
      <c r="T51" s="233"/>
    </row>
    <row r="52" ht="16.5" customHeight="1">
      <c r="A52" s="242"/>
      <c r="B52" s="225" t="str">
        <f>IF(A52="","",IF(C52="","","LOT-"&amp;TEXT(A52,"YYYYMMDD")&amp;"-"&amp;TEXT(ROW()-3,"000")))</f>
        <v>#ERROR!</v>
      </c>
      <c r="C52" s="235"/>
      <c r="D52" s="235" t="str">
        <f>IFERROR(INDEX(Recettes!C:C,MATCH(C52,Recettes!B:B,0)),"")</f>
        <v>#ERROR!</v>
      </c>
      <c r="E52" s="235"/>
      <c r="F52" s="235"/>
      <c r="G52" s="235"/>
      <c r="H52" s="236" t="str">
        <f>IFERROR(IF(F52="","",IF(F52="100x4/4 (100 boc. ref.)",SWITCH(E52,"W60-050",320,"W60-080",280,"W60-160",220,"RR100-290",130,"RR100-370",120,"RR100-580",130,"RR100-850",64,"RR100-1050",55,"RR100-1550",40,100),IF(F52="200x4/4 (200 boc. ref.)",SWITCH(E52,"W60-050",640,"W60-080",560,"W60-160",440,"RR100-290",260,"RR100-370",240,"RR100-580",260,"RR100-850",128,"RR100-1050",110,"RR100-1550",80,200),IF(F52="100L eau (~20 boc.)",SWITCH(E52,"W60-050",60,"W60-080",50,"W60-160",40,"RR100-290",28,"RR100-370",24,"RR100-580",20,"RR100-850",12,"RR100-1050",10,"RR100-1550",6,15),"")))),"")</f>
        <v>#ERROR!</v>
      </c>
      <c r="I52" s="243" t="str">
        <f>IFERROR(IF(OR(H52="",G52=""),"",ROUND(H52*SWITCH(G52,"1/4",0.25,"1/2",0.5,"3/4",0.75,"Complet",1,1),0)),"")</f>
        <v>#ERROR!</v>
      </c>
      <c r="J52" s="235"/>
      <c r="K52" s="237" t="str">
        <f>IFERROR(J52/I52,"")</f>
        <v>#ERROR!</v>
      </c>
      <c r="L52" s="235"/>
      <c r="M52" s="235"/>
      <c r="N52" s="235"/>
      <c r="O52" s="235"/>
      <c r="P52" s="235"/>
      <c r="Q52" s="239" t="str">
        <f>IFERROR(IF(A52="","",A52+IFERROR(INDEX(Config!B:B,MATCH("DDM appertisation standard (mois)",Config!A:A,0)),36)*30),"")</f>
        <v>#ERROR!</v>
      </c>
      <c r="R52" s="235"/>
      <c r="S52" s="235"/>
      <c r="T52" s="240"/>
    </row>
    <row r="53" ht="16.5" customHeight="1">
      <c r="A53" s="242"/>
      <c r="B53" s="225" t="str">
        <f>IF(A53="","",IF(C53="","","LOT-"&amp;TEXT(A53,"YYYYMMDD")&amp;"-"&amp;TEXT(ROW()-3,"000")))</f>
        <v>#ERROR!</v>
      </c>
      <c r="C53" s="227"/>
      <c r="D53" s="227" t="str">
        <f>IFERROR(INDEX(Recettes!C:C,MATCH(C53,Recettes!B:B,0)),"")</f>
        <v>#ERROR!</v>
      </c>
      <c r="E53" s="227"/>
      <c r="F53" s="227"/>
      <c r="G53" s="227"/>
      <c r="H53" s="236" t="str">
        <f>IFERROR(IF(F53="","",IF(F53="100x4/4 (100 boc. ref.)",SWITCH(E53,"W60-050",320,"W60-080",280,"W60-160",220,"RR100-290",130,"RR100-370",120,"RR100-580",130,"RR100-850",64,"RR100-1050",55,"RR100-1550",40,100),IF(F53="200x4/4 (200 boc. ref.)",SWITCH(E53,"W60-050",640,"W60-080",560,"W60-160",440,"RR100-290",260,"RR100-370",240,"RR100-580",260,"RR100-850",128,"RR100-1050",110,"RR100-1550",80,200),IF(F53="100L eau (~20 boc.)",SWITCH(E53,"W60-050",60,"W60-080",50,"W60-160",40,"RR100-290",28,"RR100-370",24,"RR100-580",20,"RR100-850",12,"RR100-1050",10,"RR100-1550",6,15),"")))),"")</f>
        <v>#ERROR!</v>
      </c>
      <c r="I53" s="243" t="str">
        <f>IFERROR(IF(OR(H53="",G53=""),"",ROUND(H53*SWITCH(G53,"1/4",0.25,"1/2",0.5,"3/4",0.75,"Complet",1,1),0)),"")</f>
        <v>#ERROR!</v>
      </c>
      <c r="J53" s="227"/>
      <c r="K53" s="230" t="str">
        <f>IFERROR(J53/I53,"")</f>
        <v>#ERROR!</v>
      </c>
      <c r="L53" s="227"/>
      <c r="M53" s="227"/>
      <c r="N53" s="227"/>
      <c r="O53" s="227"/>
      <c r="P53" s="227"/>
      <c r="Q53" s="232" t="str">
        <f>IFERROR(IF(A53="","",A53+IFERROR(INDEX(Config!B:B,MATCH("DDM appertisation standard (mois)",Config!A:A,0)),36)*30),"")</f>
        <v>#ERROR!</v>
      </c>
      <c r="R53" s="227"/>
      <c r="S53" s="227"/>
      <c r="T53" s="233"/>
    </row>
    <row r="54" ht="16.5" customHeight="1">
      <c r="A54" s="242"/>
      <c r="B54" s="225" t="str">
        <f>IF(A54="","",IF(C54="","","LOT-"&amp;TEXT(A54,"YYYYMMDD")&amp;"-"&amp;TEXT(ROW()-3,"000")))</f>
        <v>#ERROR!</v>
      </c>
      <c r="C54" s="235"/>
      <c r="D54" s="235" t="str">
        <f>IFERROR(INDEX(Recettes!C:C,MATCH(C54,Recettes!B:B,0)),"")</f>
        <v>#ERROR!</v>
      </c>
      <c r="E54" s="235"/>
      <c r="F54" s="235"/>
      <c r="G54" s="235"/>
      <c r="H54" s="236" t="str">
        <f>IFERROR(IF(F54="","",IF(F54="100x4/4 (100 boc. ref.)",SWITCH(E54,"W60-050",320,"W60-080",280,"W60-160",220,"RR100-290",130,"RR100-370",120,"RR100-580",130,"RR100-850",64,"RR100-1050",55,"RR100-1550",40,100),IF(F54="200x4/4 (200 boc. ref.)",SWITCH(E54,"W60-050",640,"W60-080",560,"W60-160",440,"RR100-290",260,"RR100-370",240,"RR100-580",260,"RR100-850",128,"RR100-1050",110,"RR100-1550",80,200),IF(F54="100L eau (~20 boc.)",SWITCH(E54,"W60-050",60,"W60-080",50,"W60-160",40,"RR100-290",28,"RR100-370",24,"RR100-580",20,"RR100-850",12,"RR100-1050",10,"RR100-1550",6,15),"")))),"")</f>
        <v>#ERROR!</v>
      </c>
      <c r="I54" s="243" t="str">
        <f>IFERROR(IF(OR(H54="",G54=""),"",ROUND(H54*SWITCH(G54,"1/4",0.25,"1/2",0.5,"3/4",0.75,"Complet",1,1),0)),"")</f>
        <v>#ERROR!</v>
      </c>
      <c r="J54" s="235"/>
      <c r="K54" s="237" t="str">
        <f>IFERROR(J54/I54,"")</f>
        <v>#ERROR!</v>
      </c>
      <c r="L54" s="235"/>
      <c r="M54" s="235"/>
      <c r="N54" s="235"/>
      <c r="O54" s="235"/>
      <c r="P54" s="235"/>
      <c r="Q54" s="239" t="str">
        <f>IFERROR(IF(A54="","",A54+IFERROR(INDEX(Config!B:B,MATCH("DDM appertisation standard (mois)",Config!A:A,0)),36)*30),"")</f>
        <v>#ERROR!</v>
      </c>
      <c r="R54" s="235"/>
      <c r="S54" s="235"/>
      <c r="T54" s="240"/>
    </row>
    <row r="55" ht="16.5" customHeight="1">
      <c r="A55" s="242"/>
      <c r="B55" s="225" t="str">
        <f>IF(A55="","",IF(C55="","","LOT-"&amp;TEXT(A55,"YYYYMMDD")&amp;"-"&amp;TEXT(ROW()-3,"000")))</f>
        <v>#ERROR!</v>
      </c>
      <c r="C55" s="227"/>
      <c r="D55" s="227" t="str">
        <f>IFERROR(INDEX(Recettes!C:C,MATCH(C55,Recettes!B:B,0)),"")</f>
        <v>#ERROR!</v>
      </c>
      <c r="E55" s="227"/>
      <c r="F55" s="227"/>
      <c r="G55" s="227"/>
      <c r="H55" s="236" t="str">
        <f>IFERROR(IF(F55="","",IF(F55="100x4/4 (100 boc. ref.)",SWITCH(E55,"W60-050",320,"W60-080",280,"W60-160",220,"RR100-290",130,"RR100-370",120,"RR100-580",130,"RR100-850",64,"RR100-1050",55,"RR100-1550",40,100),IF(F55="200x4/4 (200 boc. ref.)",SWITCH(E55,"W60-050",640,"W60-080",560,"W60-160",440,"RR100-290",260,"RR100-370",240,"RR100-580",260,"RR100-850",128,"RR100-1050",110,"RR100-1550",80,200),IF(F55="100L eau (~20 boc.)",SWITCH(E55,"W60-050",60,"W60-080",50,"W60-160",40,"RR100-290",28,"RR100-370",24,"RR100-580",20,"RR100-850",12,"RR100-1050",10,"RR100-1550",6,15),"")))),"")</f>
        <v>#ERROR!</v>
      </c>
      <c r="I55" s="243" t="str">
        <f>IFERROR(IF(OR(H55="",G55=""),"",ROUND(H55*SWITCH(G55,"1/4",0.25,"1/2",0.5,"3/4",0.75,"Complet",1,1),0)),"")</f>
        <v>#ERROR!</v>
      </c>
      <c r="J55" s="227"/>
      <c r="K55" s="230" t="str">
        <f>IFERROR(J55/I55,"")</f>
        <v>#ERROR!</v>
      </c>
      <c r="L55" s="227"/>
      <c r="M55" s="227"/>
      <c r="N55" s="227"/>
      <c r="O55" s="227"/>
      <c r="P55" s="227"/>
      <c r="Q55" s="232" t="str">
        <f>IFERROR(IF(A55="","",A55+IFERROR(INDEX(Config!B:B,MATCH("DDM appertisation standard (mois)",Config!A:A,0)),36)*30),"")</f>
        <v>#ERROR!</v>
      </c>
      <c r="R55" s="227"/>
      <c r="S55" s="227"/>
      <c r="T55" s="233"/>
    </row>
    <row r="56" ht="16.5" customHeight="1">
      <c r="A56" s="242"/>
      <c r="B56" s="225" t="str">
        <f>IF(A56="","",IF(C56="","","LOT-"&amp;TEXT(A56,"YYYYMMDD")&amp;"-"&amp;TEXT(ROW()-3,"000")))</f>
        <v>#ERROR!</v>
      </c>
      <c r="C56" s="235"/>
      <c r="D56" s="235" t="str">
        <f>IFERROR(INDEX(Recettes!C:C,MATCH(C56,Recettes!B:B,0)),"")</f>
        <v>#ERROR!</v>
      </c>
      <c r="E56" s="235"/>
      <c r="F56" s="235"/>
      <c r="G56" s="235"/>
      <c r="H56" s="236" t="str">
        <f>IFERROR(IF(F56="","",IF(F56="100x4/4 (100 boc. ref.)",SWITCH(E56,"W60-050",320,"W60-080",280,"W60-160",220,"RR100-290",130,"RR100-370",120,"RR100-580",130,"RR100-850",64,"RR100-1050",55,"RR100-1550",40,100),IF(F56="200x4/4 (200 boc. ref.)",SWITCH(E56,"W60-050",640,"W60-080",560,"W60-160",440,"RR100-290",260,"RR100-370",240,"RR100-580",260,"RR100-850",128,"RR100-1050",110,"RR100-1550",80,200),IF(F56="100L eau (~20 boc.)",SWITCH(E56,"W60-050",60,"W60-080",50,"W60-160",40,"RR100-290",28,"RR100-370",24,"RR100-580",20,"RR100-850",12,"RR100-1050",10,"RR100-1550",6,15),"")))),"")</f>
        <v>#ERROR!</v>
      </c>
      <c r="I56" s="243" t="str">
        <f>IFERROR(IF(OR(H56="",G56=""),"",ROUND(H56*SWITCH(G56,"1/4",0.25,"1/2",0.5,"3/4",0.75,"Complet",1,1),0)),"")</f>
        <v>#ERROR!</v>
      </c>
      <c r="J56" s="235"/>
      <c r="K56" s="237" t="str">
        <f>IFERROR(J56/I56,"")</f>
        <v>#ERROR!</v>
      </c>
      <c r="L56" s="235"/>
      <c r="M56" s="235"/>
      <c r="N56" s="235"/>
      <c r="O56" s="235"/>
      <c r="P56" s="235"/>
      <c r="Q56" s="239" t="str">
        <f>IFERROR(IF(A56="","",A56+IFERROR(INDEX(Config!B:B,MATCH("DDM appertisation standard (mois)",Config!A:A,0)),36)*30),"")</f>
        <v>#ERROR!</v>
      </c>
      <c r="R56" s="235"/>
      <c r="S56" s="235"/>
      <c r="T56" s="240"/>
    </row>
    <row r="57" ht="16.5" customHeight="1">
      <c r="A57" s="242"/>
      <c r="B57" s="225" t="str">
        <f>IF(A57="","",IF(C57="","","LOT-"&amp;TEXT(A57,"YYYYMMDD")&amp;"-"&amp;TEXT(ROW()-3,"000")))</f>
        <v>#ERROR!</v>
      </c>
      <c r="C57" s="227"/>
      <c r="D57" s="227" t="str">
        <f>IFERROR(INDEX(Recettes!C:C,MATCH(C57,Recettes!B:B,0)),"")</f>
        <v>#ERROR!</v>
      </c>
      <c r="E57" s="227"/>
      <c r="F57" s="227"/>
      <c r="G57" s="227"/>
      <c r="H57" s="236" t="str">
        <f>IFERROR(IF(F57="","",IF(F57="100x4/4 (100 boc. ref.)",SWITCH(E57,"W60-050",320,"W60-080",280,"W60-160",220,"RR100-290",130,"RR100-370",120,"RR100-580",130,"RR100-850",64,"RR100-1050",55,"RR100-1550",40,100),IF(F57="200x4/4 (200 boc. ref.)",SWITCH(E57,"W60-050",640,"W60-080",560,"W60-160",440,"RR100-290",260,"RR100-370",240,"RR100-580",260,"RR100-850",128,"RR100-1050",110,"RR100-1550",80,200),IF(F57="100L eau (~20 boc.)",SWITCH(E57,"W60-050",60,"W60-080",50,"W60-160",40,"RR100-290",28,"RR100-370",24,"RR100-580",20,"RR100-850",12,"RR100-1050",10,"RR100-1550",6,15),"")))),"")</f>
        <v>#ERROR!</v>
      </c>
      <c r="I57" s="243" t="str">
        <f>IFERROR(IF(OR(H57="",G57=""),"",ROUND(H57*SWITCH(G57,"1/4",0.25,"1/2",0.5,"3/4",0.75,"Complet",1,1),0)),"")</f>
        <v>#ERROR!</v>
      </c>
      <c r="J57" s="227"/>
      <c r="K57" s="230" t="str">
        <f>IFERROR(J57/I57,"")</f>
        <v>#ERROR!</v>
      </c>
      <c r="L57" s="227"/>
      <c r="M57" s="227"/>
      <c r="N57" s="227"/>
      <c r="O57" s="227"/>
      <c r="P57" s="227"/>
      <c r="Q57" s="232" t="str">
        <f>IFERROR(IF(A57="","",A57+IFERROR(INDEX(Config!B:B,MATCH("DDM appertisation standard (mois)",Config!A:A,0)),36)*30),"")</f>
        <v>#ERROR!</v>
      </c>
      <c r="R57" s="227"/>
      <c r="S57" s="227"/>
      <c r="T57" s="233"/>
    </row>
    <row r="58" ht="16.5" customHeight="1">
      <c r="A58" s="242"/>
      <c r="B58" s="225" t="str">
        <f>IF(A58="","",IF(C58="","","LOT-"&amp;TEXT(A58,"YYYYMMDD")&amp;"-"&amp;TEXT(ROW()-3,"000")))</f>
        <v>#ERROR!</v>
      </c>
      <c r="C58" s="235"/>
      <c r="D58" s="235" t="str">
        <f>IFERROR(INDEX(Recettes!C:C,MATCH(C58,Recettes!B:B,0)),"")</f>
        <v>#ERROR!</v>
      </c>
      <c r="E58" s="235"/>
      <c r="F58" s="235"/>
      <c r="G58" s="235"/>
      <c r="H58" s="236" t="str">
        <f>IFERROR(IF(F58="","",IF(F58="100x4/4 (100 boc. ref.)",SWITCH(E58,"W60-050",320,"W60-080",280,"W60-160",220,"RR100-290",130,"RR100-370",120,"RR100-580",130,"RR100-850",64,"RR100-1050",55,"RR100-1550",40,100),IF(F58="200x4/4 (200 boc. ref.)",SWITCH(E58,"W60-050",640,"W60-080",560,"W60-160",440,"RR100-290",260,"RR100-370",240,"RR100-580",260,"RR100-850",128,"RR100-1050",110,"RR100-1550",80,200),IF(F58="100L eau (~20 boc.)",SWITCH(E58,"W60-050",60,"W60-080",50,"W60-160",40,"RR100-290",28,"RR100-370",24,"RR100-580",20,"RR100-850",12,"RR100-1050",10,"RR100-1550",6,15),"")))),"")</f>
        <v>#ERROR!</v>
      </c>
      <c r="I58" s="243" t="str">
        <f>IFERROR(IF(OR(H58="",G58=""),"",ROUND(H58*SWITCH(G58,"1/4",0.25,"1/2",0.5,"3/4",0.75,"Complet",1,1),0)),"")</f>
        <v>#ERROR!</v>
      </c>
      <c r="J58" s="235"/>
      <c r="K58" s="237" t="str">
        <f>IFERROR(J58/I58,"")</f>
        <v>#ERROR!</v>
      </c>
      <c r="L58" s="235"/>
      <c r="M58" s="235"/>
      <c r="N58" s="235"/>
      <c r="O58" s="235"/>
      <c r="P58" s="235"/>
      <c r="Q58" s="239" t="str">
        <f>IFERROR(IF(A58="","",A58+IFERROR(INDEX(Config!B:B,MATCH("DDM appertisation standard (mois)",Config!A:A,0)),36)*30),"")</f>
        <v>#ERROR!</v>
      </c>
      <c r="R58" s="235"/>
      <c r="S58" s="235"/>
      <c r="T58" s="240"/>
    </row>
    <row r="59" ht="16.5" customHeight="1">
      <c r="A59" s="242"/>
      <c r="B59" s="225" t="str">
        <f>IF(A59="","",IF(C59="","","LOT-"&amp;TEXT(A59,"YYYYMMDD")&amp;"-"&amp;TEXT(ROW()-3,"000")))</f>
        <v>#ERROR!</v>
      </c>
      <c r="C59" s="227"/>
      <c r="D59" s="227" t="str">
        <f>IFERROR(INDEX(Recettes!C:C,MATCH(C59,Recettes!B:B,0)),"")</f>
        <v>#ERROR!</v>
      </c>
      <c r="E59" s="227"/>
      <c r="F59" s="227"/>
      <c r="G59" s="227"/>
      <c r="H59" s="236" t="str">
        <f>IFERROR(IF(F59="","",IF(F59="100x4/4 (100 boc. ref.)",SWITCH(E59,"W60-050",320,"W60-080",280,"W60-160",220,"RR100-290",130,"RR100-370",120,"RR100-580",130,"RR100-850",64,"RR100-1050",55,"RR100-1550",40,100),IF(F59="200x4/4 (200 boc. ref.)",SWITCH(E59,"W60-050",640,"W60-080",560,"W60-160",440,"RR100-290",260,"RR100-370",240,"RR100-580",260,"RR100-850",128,"RR100-1050",110,"RR100-1550",80,200),IF(F59="100L eau (~20 boc.)",SWITCH(E59,"W60-050",60,"W60-080",50,"W60-160",40,"RR100-290",28,"RR100-370",24,"RR100-580",20,"RR100-850",12,"RR100-1050",10,"RR100-1550",6,15),"")))),"")</f>
        <v>#ERROR!</v>
      </c>
      <c r="I59" s="243" t="str">
        <f>IFERROR(IF(OR(H59="",G59=""),"",ROUND(H59*SWITCH(G59,"1/4",0.25,"1/2",0.5,"3/4",0.75,"Complet",1,1),0)),"")</f>
        <v>#ERROR!</v>
      </c>
      <c r="J59" s="227"/>
      <c r="K59" s="230" t="str">
        <f>IFERROR(J59/I59,"")</f>
        <v>#ERROR!</v>
      </c>
      <c r="L59" s="227"/>
      <c r="M59" s="227"/>
      <c r="N59" s="227"/>
      <c r="O59" s="227"/>
      <c r="P59" s="227"/>
      <c r="Q59" s="232" t="str">
        <f>IFERROR(IF(A59="","",A59+IFERROR(INDEX(Config!B:B,MATCH("DDM appertisation standard (mois)",Config!A:A,0)),36)*30),"")</f>
        <v>#ERROR!</v>
      </c>
      <c r="R59" s="227"/>
      <c r="S59" s="227"/>
      <c r="T59" s="233"/>
    </row>
    <row r="60" ht="16.5" customHeight="1">
      <c r="A60" s="242"/>
      <c r="B60" s="225" t="str">
        <f>IF(A60="","",IF(C60="","","LOT-"&amp;TEXT(A60,"YYYYMMDD")&amp;"-"&amp;TEXT(ROW()-3,"000")))</f>
        <v>#ERROR!</v>
      </c>
      <c r="C60" s="235"/>
      <c r="D60" s="235" t="str">
        <f>IFERROR(INDEX(Recettes!C:C,MATCH(C60,Recettes!B:B,0)),"")</f>
        <v>#ERROR!</v>
      </c>
      <c r="E60" s="235"/>
      <c r="F60" s="235"/>
      <c r="G60" s="235"/>
      <c r="H60" s="236" t="str">
        <f>IFERROR(IF(F60="","",IF(F60="100x4/4 (100 boc. ref.)",SWITCH(E60,"W60-050",320,"W60-080",280,"W60-160",220,"RR100-290",130,"RR100-370",120,"RR100-580",130,"RR100-850",64,"RR100-1050",55,"RR100-1550",40,100),IF(F60="200x4/4 (200 boc. ref.)",SWITCH(E60,"W60-050",640,"W60-080",560,"W60-160",440,"RR100-290",260,"RR100-370",240,"RR100-580",260,"RR100-850",128,"RR100-1050",110,"RR100-1550",80,200),IF(F60="100L eau (~20 boc.)",SWITCH(E60,"W60-050",60,"W60-080",50,"W60-160",40,"RR100-290",28,"RR100-370",24,"RR100-580",20,"RR100-850",12,"RR100-1050",10,"RR100-1550",6,15),"")))),"")</f>
        <v>#ERROR!</v>
      </c>
      <c r="I60" s="243" t="str">
        <f>IFERROR(IF(OR(H60="",G60=""),"",ROUND(H60*SWITCH(G60,"1/4",0.25,"1/2",0.5,"3/4",0.75,"Complet",1,1),0)),"")</f>
        <v>#ERROR!</v>
      </c>
      <c r="J60" s="235"/>
      <c r="K60" s="237" t="str">
        <f>IFERROR(J60/I60,"")</f>
        <v>#ERROR!</v>
      </c>
      <c r="L60" s="235"/>
      <c r="M60" s="235"/>
      <c r="N60" s="235"/>
      <c r="O60" s="235"/>
      <c r="P60" s="235"/>
      <c r="Q60" s="239" t="str">
        <f>IFERROR(IF(A60="","",A60+IFERROR(INDEX(Config!B:B,MATCH("DDM appertisation standard (mois)",Config!A:A,0)),36)*30),"")</f>
        <v>#ERROR!</v>
      </c>
      <c r="R60" s="235"/>
      <c r="S60" s="235"/>
      <c r="T60" s="240"/>
    </row>
    <row r="61" ht="16.5" customHeight="1">
      <c r="A61" s="242"/>
      <c r="B61" s="225" t="str">
        <f>IF(A61="","",IF(C61="","","LOT-"&amp;TEXT(A61,"YYYYMMDD")&amp;"-"&amp;TEXT(ROW()-3,"000")))</f>
        <v>#ERROR!</v>
      </c>
      <c r="C61" s="227"/>
      <c r="D61" s="227" t="str">
        <f>IFERROR(INDEX(Recettes!C:C,MATCH(C61,Recettes!B:B,0)),"")</f>
        <v>#ERROR!</v>
      </c>
      <c r="E61" s="227"/>
      <c r="F61" s="227"/>
      <c r="G61" s="227"/>
      <c r="H61" s="236" t="str">
        <f>IFERROR(IF(F61="","",IF(F61="100x4/4 (100 boc. ref.)",SWITCH(E61,"W60-050",320,"W60-080",280,"W60-160",220,"RR100-290",130,"RR100-370",120,"RR100-580",130,"RR100-850",64,"RR100-1050",55,"RR100-1550",40,100),IF(F61="200x4/4 (200 boc. ref.)",SWITCH(E61,"W60-050",640,"W60-080",560,"W60-160",440,"RR100-290",260,"RR100-370",240,"RR100-580",260,"RR100-850",128,"RR100-1050",110,"RR100-1550",80,200),IF(F61="100L eau (~20 boc.)",SWITCH(E61,"W60-050",60,"W60-080",50,"W60-160",40,"RR100-290",28,"RR100-370",24,"RR100-580",20,"RR100-850",12,"RR100-1050",10,"RR100-1550",6,15),"")))),"")</f>
        <v>#ERROR!</v>
      </c>
      <c r="I61" s="243" t="str">
        <f>IFERROR(IF(OR(H61="",G61=""),"",ROUND(H61*SWITCH(G61,"1/4",0.25,"1/2",0.5,"3/4",0.75,"Complet",1,1),0)),"")</f>
        <v>#ERROR!</v>
      </c>
      <c r="J61" s="227"/>
      <c r="K61" s="230" t="str">
        <f>IFERROR(J61/I61,"")</f>
        <v>#ERROR!</v>
      </c>
      <c r="L61" s="227"/>
      <c r="M61" s="227"/>
      <c r="N61" s="227"/>
      <c r="O61" s="227"/>
      <c r="P61" s="227"/>
      <c r="Q61" s="232" t="str">
        <f>IFERROR(IF(A61="","",A61+IFERROR(INDEX(Config!B:B,MATCH("DDM appertisation standard (mois)",Config!A:A,0)),36)*30),"")</f>
        <v>#ERROR!</v>
      </c>
      <c r="R61" s="227"/>
      <c r="S61" s="227"/>
      <c r="T61" s="233"/>
    </row>
    <row r="62" ht="16.5" customHeight="1">
      <c r="A62" s="242"/>
      <c r="B62" s="225" t="str">
        <f>IF(A62="","",IF(C62="","","LOT-"&amp;TEXT(A62,"YYYYMMDD")&amp;"-"&amp;TEXT(ROW()-3,"000")))</f>
        <v>#ERROR!</v>
      </c>
      <c r="C62" s="235"/>
      <c r="D62" s="235" t="str">
        <f>IFERROR(INDEX(Recettes!C:C,MATCH(C62,Recettes!B:B,0)),"")</f>
        <v>#ERROR!</v>
      </c>
      <c r="E62" s="235"/>
      <c r="F62" s="235"/>
      <c r="G62" s="235"/>
      <c r="H62" s="236" t="str">
        <f>IFERROR(IF(F62="","",IF(F62="100x4/4 (100 boc. ref.)",SWITCH(E62,"W60-050",320,"W60-080",280,"W60-160",220,"RR100-290",130,"RR100-370",120,"RR100-580",130,"RR100-850",64,"RR100-1050",55,"RR100-1550",40,100),IF(F62="200x4/4 (200 boc. ref.)",SWITCH(E62,"W60-050",640,"W60-080",560,"W60-160",440,"RR100-290",260,"RR100-370",240,"RR100-580",260,"RR100-850",128,"RR100-1050",110,"RR100-1550",80,200),IF(F62="100L eau (~20 boc.)",SWITCH(E62,"W60-050",60,"W60-080",50,"W60-160",40,"RR100-290",28,"RR100-370",24,"RR100-580",20,"RR100-850",12,"RR100-1050",10,"RR100-1550",6,15),"")))),"")</f>
        <v>#ERROR!</v>
      </c>
      <c r="I62" s="243" t="str">
        <f>IFERROR(IF(OR(H62="",G62=""),"",ROUND(H62*SWITCH(G62,"1/4",0.25,"1/2",0.5,"3/4",0.75,"Complet",1,1),0)),"")</f>
        <v>#ERROR!</v>
      </c>
      <c r="J62" s="235"/>
      <c r="K62" s="237" t="str">
        <f>IFERROR(J62/I62,"")</f>
        <v>#ERROR!</v>
      </c>
      <c r="L62" s="235"/>
      <c r="M62" s="235"/>
      <c r="N62" s="235"/>
      <c r="O62" s="235"/>
      <c r="P62" s="235"/>
      <c r="Q62" s="239" t="str">
        <f>IFERROR(IF(A62="","",A62+IFERROR(INDEX(Config!B:B,MATCH("DDM appertisation standard (mois)",Config!A:A,0)),36)*30),"")</f>
        <v>#ERROR!</v>
      </c>
      <c r="R62" s="235"/>
      <c r="S62" s="235"/>
      <c r="T62" s="240"/>
    </row>
    <row r="63" ht="16.5" customHeight="1">
      <c r="A63" s="242"/>
      <c r="B63" s="225" t="str">
        <f>IF(A63="","",IF(C63="","","LOT-"&amp;TEXT(A63,"YYYYMMDD")&amp;"-"&amp;TEXT(ROW()-3,"000")))</f>
        <v>#ERROR!</v>
      </c>
      <c r="C63" s="227"/>
      <c r="D63" s="227" t="str">
        <f>IFERROR(INDEX(Recettes!C:C,MATCH(C63,Recettes!B:B,0)),"")</f>
        <v>#ERROR!</v>
      </c>
      <c r="E63" s="227"/>
      <c r="F63" s="227"/>
      <c r="G63" s="227"/>
      <c r="H63" s="236" t="str">
        <f>IFERROR(IF(F63="","",IF(F63="100x4/4 (100 boc. ref.)",SWITCH(E63,"W60-050",320,"W60-080",280,"W60-160",220,"RR100-290",130,"RR100-370",120,"RR100-580",130,"RR100-850",64,"RR100-1050",55,"RR100-1550",40,100),IF(F63="200x4/4 (200 boc. ref.)",SWITCH(E63,"W60-050",640,"W60-080",560,"W60-160",440,"RR100-290",260,"RR100-370",240,"RR100-580",260,"RR100-850",128,"RR100-1050",110,"RR100-1550",80,200),IF(F63="100L eau (~20 boc.)",SWITCH(E63,"W60-050",60,"W60-080",50,"W60-160",40,"RR100-290",28,"RR100-370",24,"RR100-580",20,"RR100-850",12,"RR100-1050",10,"RR100-1550",6,15),"")))),"")</f>
        <v>#ERROR!</v>
      </c>
      <c r="I63" s="243" t="str">
        <f>IFERROR(IF(OR(H63="",G63=""),"",ROUND(H63*SWITCH(G63,"1/4",0.25,"1/2",0.5,"3/4",0.75,"Complet",1,1),0)),"")</f>
        <v>#ERROR!</v>
      </c>
      <c r="J63" s="227"/>
      <c r="K63" s="230" t="str">
        <f>IFERROR(J63/I63,"")</f>
        <v>#ERROR!</v>
      </c>
      <c r="L63" s="227"/>
      <c r="M63" s="227"/>
      <c r="N63" s="227"/>
      <c r="O63" s="227"/>
      <c r="P63" s="227"/>
      <c r="Q63" s="232" t="str">
        <f>IFERROR(IF(A63="","",A63+IFERROR(INDEX(Config!B:B,MATCH("DDM appertisation standard (mois)",Config!A:A,0)),36)*30),"")</f>
        <v>#ERROR!</v>
      </c>
      <c r="R63" s="227"/>
      <c r="S63" s="227"/>
      <c r="T63" s="233"/>
    </row>
    <row r="64" ht="16.5" customHeight="1">
      <c r="A64" s="242"/>
      <c r="B64" s="225" t="str">
        <f>IF(A64="","",IF(C64="","","LOT-"&amp;TEXT(A64,"YYYYMMDD")&amp;"-"&amp;TEXT(ROW()-3,"000")))</f>
        <v>#ERROR!</v>
      </c>
      <c r="C64" s="235"/>
      <c r="D64" s="235" t="str">
        <f>IFERROR(INDEX(Recettes!C:C,MATCH(C64,Recettes!B:B,0)),"")</f>
        <v>#ERROR!</v>
      </c>
      <c r="E64" s="235"/>
      <c r="F64" s="235"/>
      <c r="G64" s="235"/>
      <c r="H64" s="236" t="str">
        <f>IFERROR(IF(F64="","",IF(F64="100x4/4 (100 boc. ref.)",SWITCH(E64,"W60-050",320,"W60-080",280,"W60-160",220,"RR100-290",130,"RR100-370",120,"RR100-580",130,"RR100-850",64,"RR100-1050",55,"RR100-1550",40,100),IF(F64="200x4/4 (200 boc. ref.)",SWITCH(E64,"W60-050",640,"W60-080",560,"W60-160",440,"RR100-290",260,"RR100-370",240,"RR100-580",260,"RR100-850",128,"RR100-1050",110,"RR100-1550",80,200),IF(F64="100L eau (~20 boc.)",SWITCH(E64,"W60-050",60,"W60-080",50,"W60-160",40,"RR100-290",28,"RR100-370",24,"RR100-580",20,"RR100-850",12,"RR100-1050",10,"RR100-1550",6,15),"")))),"")</f>
        <v>#ERROR!</v>
      </c>
      <c r="I64" s="243" t="str">
        <f>IFERROR(IF(OR(H64="",G64=""),"",ROUND(H64*SWITCH(G64,"1/4",0.25,"1/2",0.5,"3/4",0.75,"Complet",1,1),0)),"")</f>
        <v>#ERROR!</v>
      </c>
      <c r="J64" s="235"/>
      <c r="K64" s="237" t="str">
        <f>IFERROR(J64/I64,"")</f>
        <v>#ERROR!</v>
      </c>
      <c r="L64" s="235"/>
      <c r="M64" s="235"/>
      <c r="N64" s="235"/>
      <c r="O64" s="235"/>
      <c r="P64" s="235"/>
      <c r="Q64" s="239" t="str">
        <f>IFERROR(IF(A64="","",A64+IFERROR(INDEX(Config!B:B,MATCH("DDM appertisation standard (mois)",Config!A:A,0)),36)*30),"")</f>
        <v>#ERROR!</v>
      </c>
      <c r="R64" s="235"/>
      <c r="S64" s="235"/>
      <c r="T64" s="240"/>
    </row>
    <row r="65" ht="16.5" customHeight="1">
      <c r="A65" s="242"/>
      <c r="B65" s="225" t="str">
        <f>IF(A65="","",IF(C65="","","LOT-"&amp;TEXT(A65,"YYYYMMDD")&amp;"-"&amp;TEXT(ROW()-3,"000")))</f>
        <v>#ERROR!</v>
      </c>
      <c r="C65" s="227"/>
      <c r="D65" s="227" t="str">
        <f>IFERROR(INDEX(Recettes!C:C,MATCH(C65,Recettes!B:B,0)),"")</f>
        <v>#ERROR!</v>
      </c>
      <c r="E65" s="227"/>
      <c r="F65" s="227"/>
      <c r="G65" s="227"/>
      <c r="H65" s="236" t="str">
        <f>IFERROR(IF(F65="","",IF(F65="100x4/4 (100 boc. ref.)",SWITCH(E65,"W60-050",320,"W60-080",280,"W60-160",220,"RR100-290",130,"RR100-370",120,"RR100-580",130,"RR100-850",64,"RR100-1050",55,"RR100-1550",40,100),IF(F65="200x4/4 (200 boc. ref.)",SWITCH(E65,"W60-050",640,"W60-080",560,"W60-160",440,"RR100-290",260,"RR100-370",240,"RR100-580",260,"RR100-850",128,"RR100-1050",110,"RR100-1550",80,200),IF(F65="100L eau (~20 boc.)",SWITCH(E65,"W60-050",60,"W60-080",50,"W60-160",40,"RR100-290",28,"RR100-370",24,"RR100-580",20,"RR100-850",12,"RR100-1050",10,"RR100-1550",6,15),"")))),"")</f>
        <v>#ERROR!</v>
      </c>
      <c r="I65" s="243" t="str">
        <f>IFERROR(IF(OR(H65="",G65=""),"",ROUND(H65*SWITCH(G65,"1/4",0.25,"1/2",0.5,"3/4",0.75,"Complet",1,1),0)),"")</f>
        <v>#ERROR!</v>
      </c>
      <c r="J65" s="227"/>
      <c r="K65" s="230" t="str">
        <f>IFERROR(J65/I65,"")</f>
        <v>#ERROR!</v>
      </c>
      <c r="L65" s="227"/>
      <c r="M65" s="227"/>
      <c r="N65" s="227"/>
      <c r="O65" s="227"/>
      <c r="P65" s="227"/>
      <c r="Q65" s="232" t="str">
        <f>IFERROR(IF(A65="","",A65+IFERROR(INDEX(Config!B:B,MATCH("DDM appertisation standard (mois)",Config!A:A,0)),36)*30),"")</f>
        <v>#ERROR!</v>
      </c>
      <c r="R65" s="227"/>
      <c r="S65" s="227"/>
      <c r="T65" s="233"/>
    </row>
    <row r="66" ht="16.5" customHeight="1">
      <c r="A66" s="242"/>
      <c r="B66" s="225" t="str">
        <f>IF(A66="","",IF(C66="","","LOT-"&amp;TEXT(A66,"YYYYMMDD")&amp;"-"&amp;TEXT(ROW()-3,"000")))</f>
        <v>#ERROR!</v>
      </c>
      <c r="C66" s="235"/>
      <c r="D66" s="235" t="str">
        <f>IFERROR(INDEX(Recettes!C:C,MATCH(C66,Recettes!B:B,0)),"")</f>
        <v>#ERROR!</v>
      </c>
      <c r="E66" s="235"/>
      <c r="F66" s="235"/>
      <c r="G66" s="235"/>
      <c r="H66" s="236" t="str">
        <f>IFERROR(IF(F66="","",IF(F66="100x4/4 (100 boc. ref.)",SWITCH(E66,"W60-050",320,"W60-080",280,"W60-160",220,"RR100-290",130,"RR100-370",120,"RR100-580",130,"RR100-850",64,"RR100-1050",55,"RR100-1550",40,100),IF(F66="200x4/4 (200 boc. ref.)",SWITCH(E66,"W60-050",640,"W60-080",560,"W60-160",440,"RR100-290",260,"RR100-370",240,"RR100-580",260,"RR100-850",128,"RR100-1050",110,"RR100-1550",80,200),IF(F66="100L eau (~20 boc.)",SWITCH(E66,"W60-050",60,"W60-080",50,"W60-160",40,"RR100-290",28,"RR100-370",24,"RR100-580",20,"RR100-850",12,"RR100-1050",10,"RR100-1550",6,15),"")))),"")</f>
        <v>#ERROR!</v>
      </c>
      <c r="I66" s="243" t="str">
        <f>IFERROR(IF(OR(H66="",G66=""),"",ROUND(H66*SWITCH(G66,"1/4",0.25,"1/2",0.5,"3/4",0.75,"Complet",1,1),0)),"")</f>
        <v>#ERROR!</v>
      </c>
      <c r="J66" s="235"/>
      <c r="K66" s="237" t="str">
        <f>IFERROR(J66/I66,"")</f>
        <v>#ERROR!</v>
      </c>
      <c r="L66" s="235"/>
      <c r="M66" s="235"/>
      <c r="N66" s="235"/>
      <c r="O66" s="235"/>
      <c r="P66" s="235"/>
      <c r="Q66" s="239" t="str">
        <f>IFERROR(IF(A66="","",A66+IFERROR(INDEX(Config!B:B,MATCH("DDM appertisation standard (mois)",Config!A:A,0)),36)*30),"")</f>
        <v>#ERROR!</v>
      </c>
      <c r="R66" s="235"/>
      <c r="S66" s="235"/>
      <c r="T66" s="240"/>
    </row>
    <row r="67" ht="16.5" customHeight="1">
      <c r="A67" s="242"/>
      <c r="B67" s="225" t="str">
        <f>IF(A67="","",IF(C67="","","LOT-"&amp;TEXT(A67,"YYYYMMDD")&amp;"-"&amp;TEXT(ROW()-3,"000")))</f>
        <v>#ERROR!</v>
      </c>
      <c r="C67" s="227"/>
      <c r="D67" s="227" t="str">
        <f>IFERROR(INDEX(Recettes!C:C,MATCH(C67,Recettes!B:B,0)),"")</f>
        <v>#ERROR!</v>
      </c>
      <c r="E67" s="227"/>
      <c r="F67" s="227"/>
      <c r="G67" s="227"/>
      <c r="H67" s="236" t="str">
        <f>IFERROR(IF(F67="","",IF(F67="100x4/4 (100 boc. ref.)",SWITCH(E67,"W60-050",320,"W60-080",280,"W60-160",220,"RR100-290",130,"RR100-370",120,"RR100-580",130,"RR100-850",64,"RR100-1050",55,"RR100-1550",40,100),IF(F67="200x4/4 (200 boc. ref.)",SWITCH(E67,"W60-050",640,"W60-080",560,"W60-160",440,"RR100-290",260,"RR100-370",240,"RR100-580",260,"RR100-850",128,"RR100-1050",110,"RR100-1550",80,200),IF(F67="100L eau (~20 boc.)",SWITCH(E67,"W60-050",60,"W60-080",50,"W60-160",40,"RR100-290",28,"RR100-370",24,"RR100-580",20,"RR100-850",12,"RR100-1050",10,"RR100-1550",6,15),"")))),"")</f>
        <v>#ERROR!</v>
      </c>
      <c r="I67" s="243" t="str">
        <f>IFERROR(IF(OR(H67="",G67=""),"",ROUND(H67*SWITCH(G67,"1/4",0.25,"1/2",0.5,"3/4",0.75,"Complet",1,1),0)),"")</f>
        <v>#ERROR!</v>
      </c>
      <c r="J67" s="227"/>
      <c r="K67" s="230" t="str">
        <f>IFERROR(J67/I67,"")</f>
        <v>#ERROR!</v>
      </c>
      <c r="L67" s="227"/>
      <c r="M67" s="227"/>
      <c r="N67" s="227"/>
      <c r="O67" s="227"/>
      <c r="P67" s="227"/>
      <c r="Q67" s="232" t="str">
        <f>IFERROR(IF(A67="","",A67+IFERROR(INDEX(Config!B:B,MATCH("DDM appertisation standard (mois)",Config!A:A,0)),36)*30),"")</f>
        <v>#ERROR!</v>
      </c>
      <c r="R67" s="227"/>
      <c r="S67" s="227"/>
      <c r="T67" s="233"/>
    </row>
    <row r="68" ht="16.5" customHeight="1">
      <c r="A68" s="242"/>
      <c r="B68" s="225" t="str">
        <f>IF(A68="","",IF(C68="","","LOT-"&amp;TEXT(A68,"YYYYMMDD")&amp;"-"&amp;TEXT(ROW()-3,"000")))</f>
        <v>#ERROR!</v>
      </c>
      <c r="C68" s="235"/>
      <c r="D68" s="235" t="str">
        <f>IFERROR(INDEX(Recettes!C:C,MATCH(C68,Recettes!B:B,0)),"")</f>
        <v>#ERROR!</v>
      </c>
      <c r="E68" s="235"/>
      <c r="F68" s="235"/>
      <c r="G68" s="235"/>
      <c r="H68" s="236" t="str">
        <f>IFERROR(IF(F68="","",IF(F68="100x4/4 (100 boc. ref.)",SWITCH(E68,"W60-050",320,"W60-080",280,"W60-160",220,"RR100-290",130,"RR100-370",120,"RR100-580",130,"RR100-850",64,"RR100-1050",55,"RR100-1550",40,100),IF(F68="200x4/4 (200 boc. ref.)",SWITCH(E68,"W60-050",640,"W60-080",560,"W60-160",440,"RR100-290",260,"RR100-370",240,"RR100-580",260,"RR100-850",128,"RR100-1050",110,"RR100-1550",80,200),IF(F68="100L eau (~20 boc.)",SWITCH(E68,"W60-050",60,"W60-080",50,"W60-160",40,"RR100-290",28,"RR100-370",24,"RR100-580",20,"RR100-850",12,"RR100-1050",10,"RR100-1550",6,15),"")))),"")</f>
        <v>#ERROR!</v>
      </c>
      <c r="I68" s="243" t="str">
        <f>IFERROR(IF(OR(H68="",G68=""),"",ROUND(H68*SWITCH(G68,"1/4",0.25,"1/2",0.5,"3/4",0.75,"Complet",1,1),0)),"")</f>
        <v>#ERROR!</v>
      </c>
      <c r="J68" s="235"/>
      <c r="K68" s="237" t="str">
        <f>IFERROR(J68/I68,"")</f>
        <v>#ERROR!</v>
      </c>
      <c r="L68" s="235"/>
      <c r="M68" s="235"/>
      <c r="N68" s="235"/>
      <c r="O68" s="235"/>
      <c r="P68" s="235"/>
      <c r="Q68" s="239" t="str">
        <f>IFERROR(IF(A68="","",A68+IFERROR(INDEX(Config!B:B,MATCH("DDM appertisation standard (mois)",Config!A:A,0)),36)*30),"")</f>
        <v>#ERROR!</v>
      </c>
      <c r="R68" s="235"/>
      <c r="S68" s="235"/>
      <c r="T68" s="240"/>
    </row>
    <row r="69" ht="16.5" customHeight="1">
      <c r="A69" s="242"/>
      <c r="B69" s="225" t="str">
        <f>IF(A69="","",IF(C69="","","LOT-"&amp;TEXT(A69,"YYYYMMDD")&amp;"-"&amp;TEXT(ROW()-3,"000")))</f>
        <v>#ERROR!</v>
      </c>
      <c r="C69" s="227"/>
      <c r="D69" s="227" t="str">
        <f>IFERROR(INDEX(Recettes!C:C,MATCH(C69,Recettes!B:B,0)),"")</f>
        <v>#ERROR!</v>
      </c>
      <c r="E69" s="227"/>
      <c r="F69" s="227"/>
      <c r="G69" s="227"/>
      <c r="H69" s="236" t="str">
        <f>IFERROR(IF(F69="","",IF(F69="100x4/4 (100 boc. ref.)",SWITCH(E69,"W60-050",320,"W60-080",280,"W60-160",220,"RR100-290",130,"RR100-370",120,"RR100-580",130,"RR100-850",64,"RR100-1050",55,"RR100-1550",40,100),IF(F69="200x4/4 (200 boc. ref.)",SWITCH(E69,"W60-050",640,"W60-080",560,"W60-160",440,"RR100-290",260,"RR100-370",240,"RR100-580",260,"RR100-850",128,"RR100-1050",110,"RR100-1550",80,200),IF(F69="100L eau (~20 boc.)",SWITCH(E69,"W60-050",60,"W60-080",50,"W60-160",40,"RR100-290",28,"RR100-370",24,"RR100-580",20,"RR100-850",12,"RR100-1050",10,"RR100-1550",6,15),"")))),"")</f>
        <v>#ERROR!</v>
      </c>
      <c r="I69" s="243" t="str">
        <f>IFERROR(IF(OR(H69="",G69=""),"",ROUND(H69*SWITCH(G69,"1/4",0.25,"1/2",0.5,"3/4",0.75,"Complet",1,1),0)),"")</f>
        <v>#ERROR!</v>
      </c>
      <c r="J69" s="227"/>
      <c r="K69" s="230" t="str">
        <f>IFERROR(J69/I69,"")</f>
        <v>#ERROR!</v>
      </c>
      <c r="L69" s="227"/>
      <c r="M69" s="227"/>
      <c r="N69" s="227"/>
      <c r="O69" s="227"/>
      <c r="P69" s="227"/>
      <c r="Q69" s="232" t="str">
        <f>IFERROR(IF(A69="","",A69+IFERROR(INDEX(Config!B:B,MATCH("DDM appertisation standard (mois)",Config!A:A,0)),36)*30),"")</f>
        <v>#ERROR!</v>
      </c>
      <c r="R69" s="227"/>
      <c r="S69" s="227"/>
      <c r="T69" s="233"/>
    </row>
    <row r="70" ht="16.5" customHeight="1">
      <c r="A70" s="242"/>
      <c r="B70" s="225" t="str">
        <f>IF(A70="","",IF(C70="","","LOT-"&amp;TEXT(A70,"YYYYMMDD")&amp;"-"&amp;TEXT(ROW()-3,"000")))</f>
        <v>#ERROR!</v>
      </c>
      <c r="C70" s="235"/>
      <c r="D70" s="235" t="str">
        <f>IFERROR(INDEX(Recettes!C:C,MATCH(C70,Recettes!B:B,0)),"")</f>
        <v>#ERROR!</v>
      </c>
      <c r="E70" s="235"/>
      <c r="F70" s="235"/>
      <c r="G70" s="235"/>
      <c r="H70" s="236" t="str">
        <f>IFERROR(IF(F70="","",IF(F70="100x4/4 (100 boc. ref.)",SWITCH(E70,"W60-050",320,"W60-080",280,"W60-160",220,"RR100-290",130,"RR100-370",120,"RR100-580",130,"RR100-850",64,"RR100-1050",55,"RR100-1550",40,100),IF(F70="200x4/4 (200 boc. ref.)",SWITCH(E70,"W60-050",640,"W60-080",560,"W60-160",440,"RR100-290",260,"RR100-370",240,"RR100-580",260,"RR100-850",128,"RR100-1050",110,"RR100-1550",80,200),IF(F70="100L eau (~20 boc.)",SWITCH(E70,"W60-050",60,"W60-080",50,"W60-160",40,"RR100-290",28,"RR100-370",24,"RR100-580",20,"RR100-850",12,"RR100-1050",10,"RR100-1550",6,15),"")))),"")</f>
        <v>#ERROR!</v>
      </c>
      <c r="I70" s="243" t="str">
        <f>IFERROR(IF(OR(H70="",G70=""),"",ROUND(H70*SWITCH(G70,"1/4",0.25,"1/2",0.5,"3/4",0.75,"Complet",1,1),0)),"")</f>
        <v>#ERROR!</v>
      </c>
      <c r="J70" s="235"/>
      <c r="K70" s="237" t="str">
        <f>IFERROR(J70/I70,"")</f>
        <v>#ERROR!</v>
      </c>
      <c r="L70" s="235"/>
      <c r="M70" s="235"/>
      <c r="N70" s="235"/>
      <c r="O70" s="235"/>
      <c r="P70" s="235"/>
      <c r="Q70" s="239" t="str">
        <f>IFERROR(IF(A70="","",A70+IFERROR(INDEX(Config!B:B,MATCH("DDM appertisation standard (mois)",Config!A:A,0)),36)*30),"")</f>
        <v>#ERROR!</v>
      </c>
      <c r="R70" s="235"/>
      <c r="S70" s="235"/>
      <c r="T70" s="240"/>
    </row>
    <row r="71" ht="16.5" customHeight="1">
      <c r="A71" s="242"/>
      <c r="B71" s="225" t="str">
        <f>IF(A71="","",IF(C71="","","LOT-"&amp;TEXT(A71,"YYYYMMDD")&amp;"-"&amp;TEXT(ROW()-3,"000")))</f>
        <v>#ERROR!</v>
      </c>
      <c r="C71" s="227"/>
      <c r="D71" s="227" t="str">
        <f>IFERROR(INDEX(Recettes!C:C,MATCH(C71,Recettes!B:B,0)),"")</f>
        <v>#ERROR!</v>
      </c>
      <c r="E71" s="227"/>
      <c r="F71" s="227"/>
      <c r="G71" s="227"/>
      <c r="H71" s="236" t="str">
        <f>IFERROR(IF(F71="","",IF(F71="100x4/4 (100 boc. ref.)",SWITCH(E71,"W60-050",320,"W60-080",280,"W60-160",220,"RR100-290",130,"RR100-370",120,"RR100-580",130,"RR100-850",64,"RR100-1050",55,"RR100-1550",40,100),IF(F71="200x4/4 (200 boc. ref.)",SWITCH(E71,"W60-050",640,"W60-080",560,"W60-160",440,"RR100-290",260,"RR100-370",240,"RR100-580",260,"RR100-850",128,"RR100-1050",110,"RR100-1550",80,200),IF(F71="100L eau (~20 boc.)",SWITCH(E71,"W60-050",60,"W60-080",50,"W60-160",40,"RR100-290",28,"RR100-370",24,"RR100-580",20,"RR100-850",12,"RR100-1050",10,"RR100-1550",6,15),"")))),"")</f>
        <v>#ERROR!</v>
      </c>
      <c r="I71" s="243" t="str">
        <f>IFERROR(IF(OR(H71="",G71=""),"",ROUND(H71*SWITCH(G71,"1/4",0.25,"1/2",0.5,"3/4",0.75,"Complet",1,1),0)),"")</f>
        <v>#ERROR!</v>
      </c>
      <c r="J71" s="227"/>
      <c r="K71" s="230" t="str">
        <f>IFERROR(J71/I71,"")</f>
        <v>#ERROR!</v>
      </c>
      <c r="L71" s="227"/>
      <c r="M71" s="227"/>
      <c r="N71" s="227"/>
      <c r="O71" s="227"/>
      <c r="P71" s="227"/>
      <c r="Q71" s="232" t="str">
        <f>IFERROR(IF(A71="","",A71+IFERROR(INDEX(Config!B:B,MATCH("DDM appertisation standard (mois)",Config!A:A,0)),36)*30),"")</f>
        <v>#ERROR!</v>
      </c>
      <c r="R71" s="227"/>
      <c r="S71" s="227"/>
      <c r="T71" s="233"/>
    </row>
    <row r="72" ht="16.5" customHeight="1">
      <c r="A72" s="242"/>
      <c r="B72" s="225" t="str">
        <f>IF(A72="","",IF(C72="","","LOT-"&amp;TEXT(A72,"YYYYMMDD")&amp;"-"&amp;TEXT(ROW()-3,"000")))</f>
        <v>#ERROR!</v>
      </c>
      <c r="C72" s="235"/>
      <c r="D72" s="235" t="str">
        <f>IFERROR(INDEX(Recettes!C:C,MATCH(C72,Recettes!B:B,0)),"")</f>
        <v>#ERROR!</v>
      </c>
      <c r="E72" s="235"/>
      <c r="F72" s="235"/>
      <c r="G72" s="235"/>
      <c r="H72" s="236" t="str">
        <f>IFERROR(IF(F72="","",IF(F72="100x4/4 (100 boc. ref.)",SWITCH(E72,"W60-050",320,"W60-080",280,"W60-160",220,"RR100-290",130,"RR100-370",120,"RR100-580",130,"RR100-850",64,"RR100-1050",55,"RR100-1550",40,100),IF(F72="200x4/4 (200 boc. ref.)",SWITCH(E72,"W60-050",640,"W60-080",560,"W60-160",440,"RR100-290",260,"RR100-370",240,"RR100-580",260,"RR100-850",128,"RR100-1050",110,"RR100-1550",80,200),IF(F72="100L eau (~20 boc.)",SWITCH(E72,"W60-050",60,"W60-080",50,"W60-160",40,"RR100-290",28,"RR100-370",24,"RR100-580",20,"RR100-850",12,"RR100-1050",10,"RR100-1550",6,15),"")))),"")</f>
        <v>#ERROR!</v>
      </c>
      <c r="I72" s="243" t="str">
        <f>IFERROR(IF(OR(H72="",G72=""),"",ROUND(H72*SWITCH(G72,"1/4",0.25,"1/2",0.5,"3/4",0.75,"Complet",1,1),0)),"")</f>
        <v>#ERROR!</v>
      </c>
      <c r="J72" s="235"/>
      <c r="K72" s="237" t="str">
        <f>IFERROR(J72/I72,"")</f>
        <v>#ERROR!</v>
      </c>
      <c r="L72" s="235"/>
      <c r="M72" s="235"/>
      <c r="N72" s="235"/>
      <c r="O72" s="235"/>
      <c r="P72" s="235"/>
      <c r="Q72" s="239" t="str">
        <f>IFERROR(IF(A72="","",A72+IFERROR(INDEX(Config!B:B,MATCH("DDM appertisation standard (mois)",Config!A:A,0)),36)*30),"")</f>
        <v>#ERROR!</v>
      </c>
      <c r="R72" s="235"/>
      <c r="S72" s="235"/>
      <c r="T72" s="240"/>
    </row>
    <row r="73" ht="16.5" customHeight="1">
      <c r="A73" s="242"/>
      <c r="B73" s="225" t="str">
        <f>IF(A73="","",IF(C73="","","LOT-"&amp;TEXT(A73,"YYYYMMDD")&amp;"-"&amp;TEXT(ROW()-3,"000")))</f>
        <v>#ERROR!</v>
      </c>
      <c r="C73" s="227"/>
      <c r="D73" s="227" t="str">
        <f>IFERROR(INDEX(Recettes!C:C,MATCH(C73,Recettes!B:B,0)),"")</f>
        <v>#ERROR!</v>
      </c>
      <c r="E73" s="227"/>
      <c r="F73" s="227"/>
      <c r="G73" s="227"/>
      <c r="H73" s="236" t="str">
        <f>IFERROR(IF(F73="","",IF(F73="100x4/4 (100 boc. ref.)",SWITCH(E73,"W60-050",320,"W60-080",280,"W60-160",220,"RR100-290",130,"RR100-370",120,"RR100-580",130,"RR100-850",64,"RR100-1050",55,"RR100-1550",40,100),IF(F73="200x4/4 (200 boc. ref.)",SWITCH(E73,"W60-050",640,"W60-080",560,"W60-160",440,"RR100-290",260,"RR100-370",240,"RR100-580",260,"RR100-850",128,"RR100-1050",110,"RR100-1550",80,200),IF(F73="100L eau (~20 boc.)",SWITCH(E73,"W60-050",60,"W60-080",50,"W60-160",40,"RR100-290",28,"RR100-370",24,"RR100-580",20,"RR100-850",12,"RR100-1050",10,"RR100-1550",6,15),"")))),"")</f>
        <v>#ERROR!</v>
      </c>
      <c r="I73" s="243" t="str">
        <f>IFERROR(IF(OR(H73="",G73=""),"",ROUND(H73*SWITCH(G73,"1/4",0.25,"1/2",0.5,"3/4",0.75,"Complet",1,1),0)),"")</f>
        <v>#ERROR!</v>
      </c>
      <c r="J73" s="227"/>
      <c r="K73" s="230" t="str">
        <f>IFERROR(J73/I73,"")</f>
        <v>#ERROR!</v>
      </c>
      <c r="L73" s="227"/>
      <c r="M73" s="227"/>
      <c r="N73" s="227"/>
      <c r="O73" s="227"/>
      <c r="P73" s="227"/>
      <c r="Q73" s="232" t="str">
        <f>IFERROR(IF(A73="","",A73+IFERROR(INDEX(Config!B:B,MATCH("DDM appertisation standard (mois)",Config!A:A,0)),36)*30),"")</f>
        <v>#ERROR!</v>
      </c>
      <c r="R73" s="227"/>
      <c r="S73" s="227"/>
      <c r="T73" s="233"/>
    </row>
    <row r="74" ht="16.5" customHeight="1">
      <c r="A74" s="242"/>
      <c r="B74" s="225" t="str">
        <f>IF(A74="","",IF(C74="","","LOT-"&amp;TEXT(A74,"YYYYMMDD")&amp;"-"&amp;TEXT(ROW()-3,"000")))</f>
        <v>#ERROR!</v>
      </c>
      <c r="C74" s="235"/>
      <c r="D74" s="235" t="str">
        <f>IFERROR(INDEX(Recettes!C:C,MATCH(C74,Recettes!B:B,0)),"")</f>
        <v>#ERROR!</v>
      </c>
      <c r="E74" s="235"/>
      <c r="F74" s="235"/>
      <c r="G74" s="235"/>
      <c r="H74" s="236" t="str">
        <f>IFERROR(IF(F74="","",IF(F74="100x4/4 (100 boc. ref.)",SWITCH(E74,"W60-050",320,"W60-080",280,"W60-160",220,"RR100-290",130,"RR100-370",120,"RR100-580",130,"RR100-850",64,"RR100-1050",55,"RR100-1550",40,100),IF(F74="200x4/4 (200 boc. ref.)",SWITCH(E74,"W60-050",640,"W60-080",560,"W60-160",440,"RR100-290",260,"RR100-370",240,"RR100-580",260,"RR100-850",128,"RR100-1050",110,"RR100-1550",80,200),IF(F74="100L eau (~20 boc.)",SWITCH(E74,"W60-050",60,"W60-080",50,"W60-160",40,"RR100-290",28,"RR100-370",24,"RR100-580",20,"RR100-850",12,"RR100-1050",10,"RR100-1550",6,15),"")))),"")</f>
        <v>#ERROR!</v>
      </c>
      <c r="I74" s="243" t="str">
        <f>IFERROR(IF(OR(H74="",G74=""),"",ROUND(H74*SWITCH(G74,"1/4",0.25,"1/2",0.5,"3/4",0.75,"Complet",1,1),0)),"")</f>
        <v>#ERROR!</v>
      </c>
      <c r="J74" s="235"/>
      <c r="K74" s="237" t="str">
        <f>IFERROR(J74/I74,"")</f>
        <v>#ERROR!</v>
      </c>
      <c r="L74" s="235"/>
      <c r="M74" s="235"/>
      <c r="N74" s="235"/>
      <c r="O74" s="235"/>
      <c r="P74" s="235"/>
      <c r="Q74" s="239" t="str">
        <f>IFERROR(IF(A74="","",A74+IFERROR(INDEX(Config!B:B,MATCH("DDM appertisation standard (mois)",Config!A:A,0)),36)*30),"")</f>
        <v>#ERROR!</v>
      </c>
      <c r="R74" s="235"/>
      <c r="S74" s="235"/>
      <c r="T74" s="240"/>
    </row>
    <row r="75" ht="16.5" customHeight="1">
      <c r="A75" s="242"/>
      <c r="B75" s="225" t="str">
        <f>IF(A75="","",IF(C75="","","LOT-"&amp;TEXT(A75,"YYYYMMDD")&amp;"-"&amp;TEXT(ROW()-3,"000")))</f>
        <v>#ERROR!</v>
      </c>
      <c r="C75" s="227"/>
      <c r="D75" s="227" t="str">
        <f>IFERROR(INDEX(Recettes!C:C,MATCH(C75,Recettes!B:B,0)),"")</f>
        <v>#ERROR!</v>
      </c>
      <c r="E75" s="227"/>
      <c r="F75" s="227"/>
      <c r="G75" s="227"/>
      <c r="H75" s="236" t="str">
        <f>IFERROR(IF(F75="","",IF(F75="100x4/4 (100 boc. ref.)",SWITCH(E75,"W60-050",320,"W60-080",280,"W60-160",220,"RR100-290",130,"RR100-370",120,"RR100-580",130,"RR100-850",64,"RR100-1050",55,"RR100-1550",40,100),IF(F75="200x4/4 (200 boc. ref.)",SWITCH(E75,"W60-050",640,"W60-080",560,"W60-160",440,"RR100-290",260,"RR100-370",240,"RR100-580",260,"RR100-850",128,"RR100-1050",110,"RR100-1550",80,200),IF(F75="100L eau (~20 boc.)",SWITCH(E75,"W60-050",60,"W60-080",50,"W60-160",40,"RR100-290",28,"RR100-370",24,"RR100-580",20,"RR100-850",12,"RR100-1050",10,"RR100-1550",6,15),"")))),"")</f>
        <v>#ERROR!</v>
      </c>
      <c r="I75" s="243" t="str">
        <f>IFERROR(IF(OR(H75="",G75=""),"",ROUND(H75*SWITCH(G75,"1/4",0.25,"1/2",0.5,"3/4",0.75,"Complet",1,1),0)),"")</f>
        <v>#ERROR!</v>
      </c>
      <c r="J75" s="227"/>
      <c r="K75" s="230" t="str">
        <f>IFERROR(J75/I75,"")</f>
        <v>#ERROR!</v>
      </c>
      <c r="L75" s="227"/>
      <c r="M75" s="227"/>
      <c r="N75" s="227"/>
      <c r="O75" s="227"/>
      <c r="P75" s="227"/>
      <c r="Q75" s="232" t="str">
        <f>IFERROR(IF(A75="","",A75+IFERROR(INDEX(Config!B:B,MATCH("DDM appertisation standard (mois)",Config!A:A,0)),36)*30),"")</f>
        <v>#ERROR!</v>
      </c>
      <c r="R75" s="227"/>
      <c r="S75" s="227"/>
      <c r="T75" s="233"/>
    </row>
    <row r="76" ht="16.5" customHeight="1">
      <c r="A76" s="242"/>
      <c r="B76" s="225" t="str">
        <f>IF(A76="","",IF(C76="","","LOT-"&amp;TEXT(A76,"YYYYMMDD")&amp;"-"&amp;TEXT(ROW()-3,"000")))</f>
        <v>#ERROR!</v>
      </c>
      <c r="C76" s="235"/>
      <c r="D76" s="235" t="str">
        <f>IFERROR(INDEX(Recettes!C:C,MATCH(C76,Recettes!B:B,0)),"")</f>
        <v>#ERROR!</v>
      </c>
      <c r="E76" s="235"/>
      <c r="F76" s="235"/>
      <c r="G76" s="235"/>
      <c r="H76" s="236" t="str">
        <f>IFERROR(IF(F76="","",IF(F76="100x4/4 (100 boc. ref.)",SWITCH(E76,"W60-050",320,"W60-080",280,"W60-160",220,"RR100-290",130,"RR100-370",120,"RR100-580",130,"RR100-850",64,"RR100-1050",55,"RR100-1550",40,100),IF(F76="200x4/4 (200 boc. ref.)",SWITCH(E76,"W60-050",640,"W60-080",560,"W60-160",440,"RR100-290",260,"RR100-370",240,"RR100-580",260,"RR100-850",128,"RR100-1050",110,"RR100-1550",80,200),IF(F76="100L eau (~20 boc.)",SWITCH(E76,"W60-050",60,"W60-080",50,"W60-160",40,"RR100-290",28,"RR100-370",24,"RR100-580",20,"RR100-850",12,"RR100-1050",10,"RR100-1550",6,15),"")))),"")</f>
        <v>#ERROR!</v>
      </c>
      <c r="I76" s="243" t="str">
        <f>IFERROR(IF(OR(H76="",G76=""),"",ROUND(H76*SWITCH(G76,"1/4",0.25,"1/2",0.5,"3/4",0.75,"Complet",1,1),0)),"")</f>
        <v>#ERROR!</v>
      </c>
      <c r="J76" s="235"/>
      <c r="K76" s="237" t="str">
        <f>IFERROR(J76/I76,"")</f>
        <v>#ERROR!</v>
      </c>
      <c r="L76" s="235"/>
      <c r="M76" s="235"/>
      <c r="N76" s="235"/>
      <c r="O76" s="235"/>
      <c r="P76" s="235"/>
      <c r="Q76" s="239" t="str">
        <f>IFERROR(IF(A76="","",A76+IFERROR(INDEX(Config!B:B,MATCH("DDM appertisation standard (mois)",Config!A:A,0)),36)*30),"")</f>
        <v>#ERROR!</v>
      </c>
      <c r="R76" s="235"/>
      <c r="S76" s="235"/>
      <c r="T76" s="240"/>
    </row>
    <row r="77" ht="16.5" customHeight="1">
      <c r="A77" s="242"/>
      <c r="B77" s="225" t="str">
        <f>IF(A77="","",IF(C77="","","LOT-"&amp;TEXT(A77,"YYYYMMDD")&amp;"-"&amp;TEXT(ROW()-3,"000")))</f>
        <v>#ERROR!</v>
      </c>
      <c r="C77" s="227"/>
      <c r="D77" s="227" t="str">
        <f>IFERROR(INDEX(Recettes!C:C,MATCH(C77,Recettes!B:B,0)),"")</f>
        <v>#ERROR!</v>
      </c>
      <c r="E77" s="227"/>
      <c r="F77" s="227"/>
      <c r="G77" s="227"/>
      <c r="H77" s="236" t="str">
        <f>IFERROR(IF(F77="","",IF(F77="100x4/4 (100 boc. ref.)",SWITCH(E77,"W60-050",320,"W60-080",280,"W60-160",220,"RR100-290",130,"RR100-370",120,"RR100-580",130,"RR100-850",64,"RR100-1050",55,"RR100-1550",40,100),IF(F77="200x4/4 (200 boc. ref.)",SWITCH(E77,"W60-050",640,"W60-080",560,"W60-160",440,"RR100-290",260,"RR100-370",240,"RR100-580",260,"RR100-850",128,"RR100-1050",110,"RR100-1550",80,200),IF(F77="100L eau (~20 boc.)",SWITCH(E77,"W60-050",60,"W60-080",50,"W60-160",40,"RR100-290",28,"RR100-370",24,"RR100-580",20,"RR100-850",12,"RR100-1050",10,"RR100-1550",6,15),"")))),"")</f>
        <v>#ERROR!</v>
      </c>
      <c r="I77" s="243" t="str">
        <f>IFERROR(IF(OR(H77="",G77=""),"",ROUND(H77*SWITCH(G77,"1/4",0.25,"1/2",0.5,"3/4",0.75,"Complet",1,1),0)),"")</f>
        <v>#ERROR!</v>
      </c>
      <c r="J77" s="227"/>
      <c r="K77" s="230" t="str">
        <f>IFERROR(J77/I77,"")</f>
        <v>#ERROR!</v>
      </c>
      <c r="L77" s="227"/>
      <c r="M77" s="227"/>
      <c r="N77" s="227"/>
      <c r="O77" s="227"/>
      <c r="P77" s="227"/>
      <c r="Q77" s="232" t="str">
        <f>IFERROR(IF(A77="","",A77+IFERROR(INDEX(Config!B:B,MATCH("DDM appertisation standard (mois)",Config!A:A,0)),36)*30),"")</f>
        <v>#ERROR!</v>
      </c>
      <c r="R77" s="227"/>
      <c r="S77" s="227"/>
      <c r="T77" s="233"/>
    </row>
    <row r="78" ht="16.5" customHeight="1">
      <c r="A78" s="242"/>
      <c r="B78" s="225" t="str">
        <f>IF(A78="","",IF(C78="","","LOT-"&amp;TEXT(A78,"YYYYMMDD")&amp;"-"&amp;TEXT(ROW()-3,"000")))</f>
        <v>#ERROR!</v>
      </c>
      <c r="C78" s="235"/>
      <c r="D78" s="235" t="str">
        <f>IFERROR(INDEX(Recettes!C:C,MATCH(C78,Recettes!B:B,0)),"")</f>
        <v>#ERROR!</v>
      </c>
      <c r="E78" s="235"/>
      <c r="F78" s="235"/>
      <c r="G78" s="235"/>
      <c r="H78" s="236" t="str">
        <f>IFERROR(IF(F78="","",IF(F78="100x4/4 (100 boc. ref.)",SWITCH(E78,"W60-050",320,"W60-080",280,"W60-160",220,"RR100-290",130,"RR100-370",120,"RR100-580",130,"RR100-850",64,"RR100-1050",55,"RR100-1550",40,100),IF(F78="200x4/4 (200 boc. ref.)",SWITCH(E78,"W60-050",640,"W60-080",560,"W60-160",440,"RR100-290",260,"RR100-370",240,"RR100-580",260,"RR100-850",128,"RR100-1050",110,"RR100-1550",80,200),IF(F78="100L eau (~20 boc.)",SWITCH(E78,"W60-050",60,"W60-080",50,"W60-160",40,"RR100-290",28,"RR100-370",24,"RR100-580",20,"RR100-850",12,"RR100-1050",10,"RR100-1550",6,15),"")))),"")</f>
        <v>#ERROR!</v>
      </c>
      <c r="I78" s="243" t="str">
        <f>IFERROR(IF(OR(H78="",G78=""),"",ROUND(H78*SWITCH(G78,"1/4",0.25,"1/2",0.5,"3/4",0.75,"Complet",1,1),0)),"")</f>
        <v>#ERROR!</v>
      </c>
      <c r="J78" s="235"/>
      <c r="K78" s="237" t="str">
        <f>IFERROR(J78/I78,"")</f>
        <v>#ERROR!</v>
      </c>
      <c r="L78" s="235"/>
      <c r="M78" s="235"/>
      <c r="N78" s="235"/>
      <c r="O78" s="235"/>
      <c r="P78" s="235"/>
      <c r="Q78" s="239" t="str">
        <f>IFERROR(IF(A78="","",A78+IFERROR(INDEX(Config!B:B,MATCH("DDM appertisation standard (mois)",Config!A:A,0)),36)*30),"")</f>
        <v>#ERROR!</v>
      </c>
      <c r="R78" s="235"/>
      <c r="S78" s="235"/>
      <c r="T78" s="240"/>
    </row>
    <row r="79" ht="16.5" customHeight="1">
      <c r="A79" s="242"/>
      <c r="B79" s="225" t="str">
        <f>IF(A79="","",IF(C79="","","LOT-"&amp;TEXT(A79,"YYYYMMDD")&amp;"-"&amp;TEXT(ROW()-3,"000")))</f>
        <v>#ERROR!</v>
      </c>
      <c r="C79" s="227"/>
      <c r="D79" s="227" t="str">
        <f>IFERROR(INDEX(Recettes!C:C,MATCH(C79,Recettes!B:B,0)),"")</f>
        <v>#ERROR!</v>
      </c>
      <c r="E79" s="227"/>
      <c r="F79" s="227"/>
      <c r="G79" s="227"/>
      <c r="H79" s="236" t="str">
        <f>IFERROR(IF(F79="","",IF(F79="100x4/4 (100 boc. ref.)",SWITCH(E79,"W60-050",320,"W60-080",280,"W60-160",220,"RR100-290",130,"RR100-370",120,"RR100-580",130,"RR100-850",64,"RR100-1050",55,"RR100-1550",40,100),IF(F79="200x4/4 (200 boc. ref.)",SWITCH(E79,"W60-050",640,"W60-080",560,"W60-160",440,"RR100-290",260,"RR100-370",240,"RR100-580",260,"RR100-850",128,"RR100-1050",110,"RR100-1550",80,200),IF(F79="100L eau (~20 boc.)",SWITCH(E79,"W60-050",60,"W60-080",50,"W60-160",40,"RR100-290",28,"RR100-370",24,"RR100-580",20,"RR100-850",12,"RR100-1050",10,"RR100-1550",6,15),"")))),"")</f>
        <v>#ERROR!</v>
      </c>
      <c r="I79" s="243" t="str">
        <f>IFERROR(IF(OR(H79="",G79=""),"",ROUND(H79*SWITCH(G79,"1/4",0.25,"1/2",0.5,"3/4",0.75,"Complet",1,1),0)),"")</f>
        <v>#ERROR!</v>
      </c>
      <c r="J79" s="227"/>
      <c r="K79" s="230" t="str">
        <f>IFERROR(J79/I79,"")</f>
        <v>#ERROR!</v>
      </c>
      <c r="L79" s="227"/>
      <c r="M79" s="227"/>
      <c r="N79" s="227"/>
      <c r="O79" s="227"/>
      <c r="P79" s="227"/>
      <c r="Q79" s="232" t="str">
        <f>IFERROR(IF(A79="","",A79+IFERROR(INDEX(Config!B:B,MATCH("DDM appertisation standard (mois)",Config!A:A,0)),36)*30),"")</f>
        <v>#ERROR!</v>
      </c>
      <c r="R79" s="227"/>
      <c r="S79" s="227"/>
      <c r="T79" s="233"/>
    </row>
    <row r="80" ht="16.5" customHeight="1">
      <c r="A80" s="242"/>
      <c r="B80" s="225" t="str">
        <f>IF(A80="","",IF(C80="","","LOT-"&amp;TEXT(A80,"YYYYMMDD")&amp;"-"&amp;TEXT(ROW()-3,"000")))</f>
        <v>#ERROR!</v>
      </c>
      <c r="C80" s="235"/>
      <c r="D80" s="235" t="str">
        <f>IFERROR(INDEX(Recettes!C:C,MATCH(C80,Recettes!B:B,0)),"")</f>
        <v>#ERROR!</v>
      </c>
      <c r="E80" s="235"/>
      <c r="F80" s="235"/>
      <c r="G80" s="235"/>
      <c r="H80" s="236" t="str">
        <f>IFERROR(IF(F80="","",IF(F80="100x4/4 (100 boc. ref.)",SWITCH(E80,"W60-050",320,"W60-080",280,"W60-160",220,"RR100-290",130,"RR100-370",120,"RR100-580",130,"RR100-850",64,"RR100-1050",55,"RR100-1550",40,100),IF(F80="200x4/4 (200 boc. ref.)",SWITCH(E80,"W60-050",640,"W60-080",560,"W60-160",440,"RR100-290",260,"RR100-370",240,"RR100-580",260,"RR100-850",128,"RR100-1050",110,"RR100-1550",80,200),IF(F80="100L eau (~20 boc.)",SWITCH(E80,"W60-050",60,"W60-080",50,"W60-160",40,"RR100-290",28,"RR100-370",24,"RR100-580",20,"RR100-850",12,"RR100-1050",10,"RR100-1550",6,15),"")))),"")</f>
        <v>#ERROR!</v>
      </c>
      <c r="I80" s="243" t="str">
        <f>IFERROR(IF(OR(H80="",G80=""),"",ROUND(H80*SWITCH(G80,"1/4",0.25,"1/2",0.5,"3/4",0.75,"Complet",1,1),0)),"")</f>
        <v>#ERROR!</v>
      </c>
      <c r="J80" s="235"/>
      <c r="K80" s="237" t="str">
        <f>IFERROR(J80/I80,"")</f>
        <v>#ERROR!</v>
      </c>
      <c r="L80" s="235"/>
      <c r="M80" s="235"/>
      <c r="N80" s="235"/>
      <c r="O80" s="235"/>
      <c r="P80" s="235"/>
      <c r="Q80" s="239" t="str">
        <f>IFERROR(IF(A80="","",A80+IFERROR(INDEX(Config!B:B,MATCH("DDM appertisation standard (mois)",Config!A:A,0)),36)*30),"")</f>
        <v>#ERROR!</v>
      </c>
      <c r="R80" s="235"/>
      <c r="S80" s="235"/>
      <c r="T80" s="240"/>
    </row>
    <row r="81" ht="16.5" customHeight="1">
      <c r="A81" s="242"/>
      <c r="B81" s="225" t="str">
        <f>IF(A81="","",IF(C81="","","LOT-"&amp;TEXT(A81,"YYYYMMDD")&amp;"-"&amp;TEXT(ROW()-3,"000")))</f>
        <v>#ERROR!</v>
      </c>
      <c r="C81" s="227"/>
      <c r="D81" s="227" t="str">
        <f>IFERROR(INDEX(Recettes!C:C,MATCH(C81,Recettes!B:B,0)),"")</f>
        <v>#ERROR!</v>
      </c>
      <c r="E81" s="227"/>
      <c r="F81" s="227"/>
      <c r="G81" s="227"/>
      <c r="H81" s="236" t="str">
        <f>IFERROR(IF(F81="","",IF(F81="100x4/4 (100 boc. ref.)",SWITCH(E81,"W60-050",320,"W60-080",280,"W60-160",220,"RR100-290",130,"RR100-370",120,"RR100-580",130,"RR100-850",64,"RR100-1050",55,"RR100-1550",40,100),IF(F81="200x4/4 (200 boc. ref.)",SWITCH(E81,"W60-050",640,"W60-080",560,"W60-160",440,"RR100-290",260,"RR100-370",240,"RR100-580",260,"RR100-850",128,"RR100-1050",110,"RR100-1550",80,200),IF(F81="100L eau (~20 boc.)",SWITCH(E81,"W60-050",60,"W60-080",50,"W60-160",40,"RR100-290",28,"RR100-370",24,"RR100-580",20,"RR100-850",12,"RR100-1050",10,"RR100-1550",6,15),"")))),"")</f>
        <v>#ERROR!</v>
      </c>
      <c r="I81" s="243" t="str">
        <f>IFERROR(IF(OR(H81="",G81=""),"",ROUND(H81*SWITCH(G81,"1/4",0.25,"1/2",0.5,"3/4",0.75,"Complet",1,1),0)),"")</f>
        <v>#ERROR!</v>
      </c>
      <c r="J81" s="227"/>
      <c r="K81" s="230" t="str">
        <f>IFERROR(J81/I81,"")</f>
        <v>#ERROR!</v>
      </c>
      <c r="L81" s="227"/>
      <c r="M81" s="227"/>
      <c r="N81" s="227"/>
      <c r="O81" s="227"/>
      <c r="P81" s="227"/>
      <c r="Q81" s="232" t="str">
        <f>IFERROR(IF(A81="","",A81+IFERROR(INDEX(Config!B:B,MATCH("DDM appertisation standard (mois)",Config!A:A,0)),36)*30),"")</f>
        <v>#ERROR!</v>
      </c>
      <c r="R81" s="227"/>
      <c r="S81" s="227"/>
      <c r="T81" s="233"/>
    </row>
    <row r="82" ht="16.5" customHeight="1">
      <c r="A82" s="242"/>
      <c r="B82" s="225" t="str">
        <f>IF(A82="","",IF(C82="","","LOT-"&amp;TEXT(A82,"YYYYMMDD")&amp;"-"&amp;TEXT(ROW()-3,"000")))</f>
        <v>#ERROR!</v>
      </c>
      <c r="C82" s="235"/>
      <c r="D82" s="235" t="str">
        <f>IFERROR(INDEX(Recettes!C:C,MATCH(C82,Recettes!B:B,0)),"")</f>
        <v>#ERROR!</v>
      </c>
      <c r="E82" s="235"/>
      <c r="F82" s="235"/>
      <c r="G82" s="235"/>
      <c r="H82" s="236" t="str">
        <f>IFERROR(IF(F82="","",IF(F82="100x4/4 (100 boc. ref.)",SWITCH(E82,"W60-050",320,"W60-080",280,"W60-160",220,"RR100-290",130,"RR100-370",120,"RR100-580",130,"RR100-850",64,"RR100-1050",55,"RR100-1550",40,100),IF(F82="200x4/4 (200 boc. ref.)",SWITCH(E82,"W60-050",640,"W60-080",560,"W60-160",440,"RR100-290",260,"RR100-370",240,"RR100-580",260,"RR100-850",128,"RR100-1050",110,"RR100-1550",80,200),IF(F82="100L eau (~20 boc.)",SWITCH(E82,"W60-050",60,"W60-080",50,"W60-160",40,"RR100-290",28,"RR100-370",24,"RR100-580",20,"RR100-850",12,"RR100-1050",10,"RR100-1550",6,15),"")))),"")</f>
        <v>#ERROR!</v>
      </c>
      <c r="I82" s="243" t="str">
        <f>IFERROR(IF(OR(H82="",G82=""),"",ROUND(H82*SWITCH(G82,"1/4",0.25,"1/2",0.5,"3/4",0.75,"Complet",1,1),0)),"")</f>
        <v>#ERROR!</v>
      </c>
      <c r="J82" s="235"/>
      <c r="K82" s="237" t="str">
        <f>IFERROR(J82/I82,"")</f>
        <v>#ERROR!</v>
      </c>
      <c r="L82" s="235"/>
      <c r="M82" s="235"/>
      <c r="N82" s="235"/>
      <c r="O82" s="235"/>
      <c r="P82" s="235"/>
      <c r="Q82" s="239" t="str">
        <f>IFERROR(IF(A82="","",A82+IFERROR(INDEX(Config!B:B,MATCH("DDM appertisation standard (mois)",Config!A:A,0)),36)*30),"")</f>
        <v>#ERROR!</v>
      </c>
      <c r="R82" s="235"/>
      <c r="S82" s="235"/>
      <c r="T82" s="240"/>
    </row>
    <row r="83" ht="16.5" customHeight="1">
      <c r="A83" s="242"/>
      <c r="B83" s="225" t="str">
        <f>IF(A83="","",IF(C83="","","LOT-"&amp;TEXT(A83,"YYYYMMDD")&amp;"-"&amp;TEXT(ROW()-3,"000")))</f>
        <v>#ERROR!</v>
      </c>
      <c r="C83" s="227"/>
      <c r="D83" s="227" t="str">
        <f>IFERROR(INDEX(Recettes!C:C,MATCH(C83,Recettes!B:B,0)),"")</f>
        <v>#ERROR!</v>
      </c>
      <c r="E83" s="227"/>
      <c r="F83" s="227"/>
      <c r="G83" s="227"/>
      <c r="H83" s="236" t="str">
        <f>IFERROR(IF(F83="","",IF(F83="100x4/4 (100 boc. ref.)",SWITCH(E83,"W60-050",320,"W60-080",280,"W60-160",220,"RR100-290",130,"RR100-370",120,"RR100-580",130,"RR100-850",64,"RR100-1050",55,"RR100-1550",40,100),IF(F83="200x4/4 (200 boc. ref.)",SWITCH(E83,"W60-050",640,"W60-080",560,"W60-160",440,"RR100-290",260,"RR100-370",240,"RR100-580",260,"RR100-850",128,"RR100-1050",110,"RR100-1550",80,200),IF(F83="100L eau (~20 boc.)",SWITCH(E83,"W60-050",60,"W60-080",50,"W60-160",40,"RR100-290",28,"RR100-370",24,"RR100-580",20,"RR100-850",12,"RR100-1050",10,"RR100-1550",6,15),"")))),"")</f>
        <v>#ERROR!</v>
      </c>
      <c r="I83" s="243" t="str">
        <f>IFERROR(IF(OR(H83="",G83=""),"",ROUND(H83*SWITCH(G83,"1/4",0.25,"1/2",0.5,"3/4",0.75,"Complet",1,1),0)),"")</f>
        <v>#ERROR!</v>
      </c>
      <c r="J83" s="227"/>
      <c r="K83" s="230" t="str">
        <f>IFERROR(J83/I83,"")</f>
        <v>#ERROR!</v>
      </c>
      <c r="L83" s="227"/>
      <c r="M83" s="227"/>
      <c r="N83" s="227"/>
      <c r="O83" s="227"/>
      <c r="P83" s="227"/>
      <c r="Q83" s="232" t="str">
        <f>IFERROR(IF(A83="","",A83+IFERROR(INDEX(Config!B:B,MATCH("DDM appertisation standard (mois)",Config!A:A,0)),36)*30),"")</f>
        <v>#ERROR!</v>
      </c>
      <c r="R83" s="227"/>
      <c r="S83" s="227"/>
      <c r="T83" s="233"/>
    </row>
    <row r="84" ht="16.5" customHeight="1">
      <c r="A84" s="242"/>
      <c r="B84" s="225" t="str">
        <f>IF(A84="","",IF(C84="","","LOT-"&amp;TEXT(A84,"YYYYMMDD")&amp;"-"&amp;TEXT(ROW()-3,"000")))</f>
        <v>#ERROR!</v>
      </c>
      <c r="C84" s="235"/>
      <c r="D84" s="235" t="str">
        <f>IFERROR(INDEX(Recettes!C:C,MATCH(C84,Recettes!B:B,0)),"")</f>
        <v>#ERROR!</v>
      </c>
      <c r="E84" s="235"/>
      <c r="F84" s="235"/>
      <c r="G84" s="235"/>
      <c r="H84" s="236" t="str">
        <f>IFERROR(IF(F84="","",IF(F84="100x4/4 (100 boc. ref.)",SWITCH(E84,"W60-050",320,"W60-080",280,"W60-160",220,"RR100-290",130,"RR100-370",120,"RR100-580",130,"RR100-850",64,"RR100-1050",55,"RR100-1550",40,100),IF(F84="200x4/4 (200 boc. ref.)",SWITCH(E84,"W60-050",640,"W60-080",560,"W60-160",440,"RR100-290",260,"RR100-370",240,"RR100-580",260,"RR100-850",128,"RR100-1050",110,"RR100-1550",80,200),IF(F84="100L eau (~20 boc.)",SWITCH(E84,"W60-050",60,"W60-080",50,"W60-160",40,"RR100-290",28,"RR100-370",24,"RR100-580",20,"RR100-850",12,"RR100-1050",10,"RR100-1550",6,15),"")))),"")</f>
        <v>#ERROR!</v>
      </c>
      <c r="I84" s="243" t="str">
        <f>IFERROR(IF(OR(H84="",G84=""),"",ROUND(H84*SWITCH(G84,"1/4",0.25,"1/2",0.5,"3/4",0.75,"Complet",1,1),0)),"")</f>
        <v>#ERROR!</v>
      </c>
      <c r="J84" s="235"/>
      <c r="K84" s="237" t="str">
        <f>IFERROR(J84/I84,"")</f>
        <v>#ERROR!</v>
      </c>
      <c r="L84" s="235"/>
      <c r="M84" s="235"/>
      <c r="N84" s="235"/>
      <c r="O84" s="235"/>
      <c r="P84" s="235"/>
      <c r="Q84" s="239" t="str">
        <f>IFERROR(IF(A84="","",A84+IFERROR(INDEX(Config!B:B,MATCH("DDM appertisation standard (mois)",Config!A:A,0)),36)*30),"")</f>
        <v>#ERROR!</v>
      </c>
      <c r="R84" s="235"/>
      <c r="S84" s="235"/>
      <c r="T84" s="240"/>
    </row>
    <row r="85" ht="16.5" customHeight="1">
      <c r="A85" s="242"/>
      <c r="B85" s="225" t="str">
        <f>IF(A85="","",IF(C85="","","LOT-"&amp;TEXT(A85,"YYYYMMDD")&amp;"-"&amp;TEXT(ROW()-3,"000")))</f>
        <v>#ERROR!</v>
      </c>
      <c r="C85" s="227"/>
      <c r="D85" s="227" t="str">
        <f>IFERROR(INDEX(Recettes!C:C,MATCH(C85,Recettes!B:B,0)),"")</f>
        <v>#ERROR!</v>
      </c>
      <c r="E85" s="227"/>
      <c r="F85" s="227"/>
      <c r="G85" s="227"/>
      <c r="H85" s="236" t="str">
        <f>IFERROR(IF(F85="","",IF(F85="100x4/4 (100 boc. ref.)",SWITCH(E85,"W60-050",320,"W60-080",280,"W60-160",220,"RR100-290",130,"RR100-370",120,"RR100-580",130,"RR100-850",64,"RR100-1050",55,"RR100-1550",40,100),IF(F85="200x4/4 (200 boc. ref.)",SWITCH(E85,"W60-050",640,"W60-080",560,"W60-160",440,"RR100-290",260,"RR100-370",240,"RR100-580",260,"RR100-850",128,"RR100-1050",110,"RR100-1550",80,200),IF(F85="100L eau (~20 boc.)",SWITCH(E85,"W60-050",60,"W60-080",50,"W60-160",40,"RR100-290",28,"RR100-370",24,"RR100-580",20,"RR100-850",12,"RR100-1050",10,"RR100-1550",6,15),"")))),"")</f>
        <v>#ERROR!</v>
      </c>
      <c r="I85" s="243" t="str">
        <f>IFERROR(IF(OR(H85="",G85=""),"",ROUND(H85*SWITCH(G85,"1/4",0.25,"1/2",0.5,"3/4",0.75,"Complet",1,1),0)),"")</f>
        <v>#ERROR!</v>
      </c>
      <c r="J85" s="227"/>
      <c r="K85" s="230" t="str">
        <f>IFERROR(J85/I85,"")</f>
        <v>#ERROR!</v>
      </c>
      <c r="L85" s="227"/>
      <c r="M85" s="227"/>
      <c r="N85" s="227"/>
      <c r="O85" s="227"/>
      <c r="P85" s="227"/>
      <c r="Q85" s="232" t="str">
        <f>IFERROR(IF(A85="","",A85+IFERROR(INDEX(Config!B:B,MATCH("DDM appertisation standard (mois)",Config!A:A,0)),36)*30),"")</f>
        <v>#ERROR!</v>
      </c>
      <c r="R85" s="227"/>
      <c r="S85" s="227"/>
      <c r="T85" s="233"/>
    </row>
    <row r="86" ht="16.5" customHeight="1">
      <c r="A86" s="242"/>
      <c r="B86" s="225" t="str">
        <f>IF(A86="","",IF(C86="","","LOT-"&amp;TEXT(A86,"YYYYMMDD")&amp;"-"&amp;TEXT(ROW()-3,"000")))</f>
        <v>#ERROR!</v>
      </c>
      <c r="C86" s="235"/>
      <c r="D86" s="235" t="str">
        <f>IFERROR(INDEX(Recettes!C:C,MATCH(C86,Recettes!B:B,0)),"")</f>
        <v>#ERROR!</v>
      </c>
      <c r="E86" s="235"/>
      <c r="F86" s="235"/>
      <c r="G86" s="235"/>
      <c r="H86" s="236" t="str">
        <f>IFERROR(IF(F86="","",IF(F86="100x4/4 (100 boc. ref.)",SWITCH(E86,"W60-050",320,"W60-080",280,"W60-160",220,"RR100-290",130,"RR100-370",120,"RR100-580",130,"RR100-850",64,"RR100-1050",55,"RR100-1550",40,100),IF(F86="200x4/4 (200 boc. ref.)",SWITCH(E86,"W60-050",640,"W60-080",560,"W60-160",440,"RR100-290",260,"RR100-370",240,"RR100-580",260,"RR100-850",128,"RR100-1050",110,"RR100-1550",80,200),IF(F86="100L eau (~20 boc.)",SWITCH(E86,"W60-050",60,"W60-080",50,"W60-160",40,"RR100-290",28,"RR100-370",24,"RR100-580",20,"RR100-850",12,"RR100-1050",10,"RR100-1550",6,15),"")))),"")</f>
        <v>#ERROR!</v>
      </c>
      <c r="I86" s="243" t="str">
        <f>IFERROR(IF(OR(H86="",G86=""),"",ROUND(H86*SWITCH(G86,"1/4",0.25,"1/2",0.5,"3/4",0.75,"Complet",1,1),0)),"")</f>
        <v>#ERROR!</v>
      </c>
      <c r="J86" s="235"/>
      <c r="K86" s="237" t="str">
        <f>IFERROR(J86/I86,"")</f>
        <v>#ERROR!</v>
      </c>
      <c r="L86" s="235"/>
      <c r="M86" s="235"/>
      <c r="N86" s="235"/>
      <c r="O86" s="235"/>
      <c r="P86" s="235"/>
      <c r="Q86" s="239" t="str">
        <f>IFERROR(IF(A86="","",A86+IFERROR(INDEX(Config!B:B,MATCH("DDM appertisation standard (mois)",Config!A:A,0)),36)*30),"")</f>
        <v>#ERROR!</v>
      </c>
      <c r="R86" s="235"/>
      <c r="S86" s="235"/>
      <c r="T86" s="240"/>
    </row>
    <row r="87" ht="16.5" customHeight="1">
      <c r="A87" s="242"/>
      <c r="B87" s="225" t="str">
        <f>IF(A87="","",IF(C87="","","LOT-"&amp;TEXT(A87,"YYYYMMDD")&amp;"-"&amp;TEXT(ROW()-3,"000")))</f>
        <v>#ERROR!</v>
      </c>
      <c r="C87" s="227"/>
      <c r="D87" s="227" t="str">
        <f>IFERROR(INDEX(Recettes!C:C,MATCH(C87,Recettes!B:B,0)),"")</f>
        <v>#ERROR!</v>
      </c>
      <c r="E87" s="227"/>
      <c r="F87" s="227"/>
      <c r="G87" s="227"/>
      <c r="H87" s="236" t="str">
        <f>IFERROR(IF(F87="","",IF(F87="100x4/4 (100 boc. ref.)",SWITCH(E87,"W60-050",320,"W60-080",280,"W60-160",220,"RR100-290",130,"RR100-370",120,"RR100-580",130,"RR100-850",64,"RR100-1050",55,"RR100-1550",40,100),IF(F87="200x4/4 (200 boc. ref.)",SWITCH(E87,"W60-050",640,"W60-080",560,"W60-160",440,"RR100-290",260,"RR100-370",240,"RR100-580",260,"RR100-850",128,"RR100-1050",110,"RR100-1550",80,200),IF(F87="100L eau (~20 boc.)",SWITCH(E87,"W60-050",60,"W60-080",50,"W60-160",40,"RR100-290",28,"RR100-370",24,"RR100-580",20,"RR100-850",12,"RR100-1050",10,"RR100-1550",6,15),"")))),"")</f>
        <v>#ERROR!</v>
      </c>
      <c r="I87" s="243" t="str">
        <f>IFERROR(IF(OR(H87="",G87=""),"",ROUND(H87*SWITCH(G87,"1/4",0.25,"1/2",0.5,"3/4",0.75,"Complet",1,1),0)),"")</f>
        <v>#ERROR!</v>
      </c>
      <c r="J87" s="227"/>
      <c r="K87" s="230" t="str">
        <f>IFERROR(J87/I87,"")</f>
        <v>#ERROR!</v>
      </c>
      <c r="L87" s="227"/>
      <c r="M87" s="227"/>
      <c r="N87" s="227"/>
      <c r="O87" s="227"/>
      <c r="P87" s="227"/>
      <c r="Q87" s="232" t="str">
        <f>IFERROR(IF(A87="","",A87+IFERROR(INDEX(Config!B:B,MATCH("DDM appertisation standard (mois)",Config!A:A,0)),36)*30),"")</f>
        <v>#ERROR!</v>
      </c>
      <c r="R87" s="227"/>
      <c r="S87" s="227"/>
      <c r="T87" s="233"/>
    </row>
    <row r="88" ht="16.5" customHeight="1">
      <c r="A88" s="242"/>
      <c r="B88" s="225" t="str">
        <f>IF(A88="","",IF(C88="","","LOT-"&amp;TEXT(A88,"YYYYMMDD")&amp;"-"&amp;TEXT(ROW()-3,"000")))</f>
        <v>#ERROR!</v>
      </c>
      <c r="C88" s="235"/>
      <c r="D88" s="235" t="str">
        <f>IFERROR(INDEX(Recettes!C:C,MATCH(C88,Recettes!B:B,0)),"")</f>
        <v>#ERROR!</v>
      </c>
      <c r="E88" s="235"/>
      <c r="F88" s="235"/>
      <c r="G88" s="235"/>
      <c r="H88" s="236" t="str">
        <f>IFERROR(IF(F88="","",IF(F88="100x4/4 (100 boc. ref.)",SWITCH(E88,"W60-050",320,"W60-080",280,"W60-160",220,"RR100-290",130,"RR100-370",120,"RR100-580",130,"RR100-850",64,"RR100-1050",55,"RR100-1550",40,100),IF(F88="200x4/4 (200 boc. ref.)",SWITCH(E88,"W60-050",640,"W60-080",560,"W60-160",440,"RR100-290",260,"RR100-370",240,"RR100-580",260,"RR100-850",128,"RR100-1050",110,"RR100-1550",80,200),IF(F88="100L eau (~20 boc.)",SWITCH(E88,"W60-050",60,"W60-080",50,"W60-160",40,"RR100-290",28,"RR100-370",24,"RR100-580",20,"RR100-850",12,"RR100-1050",10,"RR100-1550",6,15),"")))),"")</f>
        <v>#ERROR!</v>
      </c>
      <c r="I88" s="243" t="str">
        <f>IFERROR(IF(OR(H88="",G88=""),"",ROUND(H88*SWITCH(G88,"1/4",0.25,"1/2",0.5,"3/4",0.75,"Complet",1,1),0)),"")</f>
        <v>#ERROR!</v>
      </c>
      <c r="J88" s="235"/>
      <c r="K88" s="237" t="str">
        <f>IFERROR(J88/I88,"")</f>
        <v>#ERROR!</v>
      </c>
      <c r="L88" s="235"/>
      <c r="M88" s="235"/>
      <c r="N88" s="235"/>
      <c r="O88" s="235"/>
      <c r="P88" s="235"/>
      <c r="Q88" s="239" t="str">
        <f>IFERROR(IF(A88="","",A88+IFERROR(INDEX(Config!B:B,MATCH("DDM appertisation standard (mois)",Config!A:A,0)),36)*30),"")</f>
        <v>#ERROR!</v>
      </c>
      <c r="R88" s="235"/>
      <c r="S88" s="235"/>
      <c r="T88" s="240"/>
    </row>
    <row r="89" ht="16.5" customHeight="1">
      <c r="A89" s="242"/>
      <c r="B89" s="225" t="str">
        <f>IF(A89="","",IF(C89="","","LOT-"&amp;TEXT(A89,"YYYYMMDD")&amp;"-"&amp;TEXT(ROW()-3,"000")))</f>
        <v>#ERROR!</v>
      </c>
      <c r="C89" s="227"/>
      <c r="D89" s="227" t="str">
        <f>IFERROR(INDEX(Recettes!C:C,MATCH(C89,Recettes!B:B,0)),"")</f>
        <v>#ERROR!</v>
      </c>
      <c r="E89" s="227"/>
      <c r="F89" s="227"/>
      <c r="G89" s="227"/>
      <c r="H89" s="236" t="str">
        <f>IFERROR(IF(F89="","",IF(F89="100x4/4 (100 boc. ref.)",SWITCH(E89,"W60-050",320,"W60-080",280,"W60-160",220,"RR100-290",130,"RR100-370",120,"RR100-580",130,"RR100-850",64,"RR100-1050",55,"RR100-1550",40,100),IF(F89="200x4/4 (200 boc. ref.)",SWITCH(E89,"W60-050",640,"W60-080",560,"W60-160",440,"RR100-290",260,"RR100-370",240,"RR100-580",260,"RR100-850",128,"RR100-1050",110,"RR100-1550",80,200),IF(F89="100L eau (~20 boc.)",SWITCH(E89,"W60-050",60,"W60-080",50,"W60-160",40,"RR100-290",28,"RR100-370",24,"RR100-580",20,"RR100-850",12,"RR100-1050",10,"RR100-1550",6,15),"")))),"")</f>
        <v>#ERROR!</v>
      </c>
      <c r="I89" s="243" t="str">
        <f>IFERROR(IF(OR(H89="",G89=""),"",ROUND(H89*SWITCH(G89,"1/4",0.25,"1/2",0.5,"3/4",0.75,"Complet",1,1),0)),"")</f>
        <v>#ERROR!</v>
      </c>
      <c r="J89" s="227"/>
      <c r="K89" s="230" t="str">
        <f>IFERROR(J89/I89,"")</f>
        <v>#ERROR!</v>
      </c>
      <c r="L89" s="227"/>
      <c r="M89" s="227"/>
      <c r="N89" s="227"/>
      <c r="O89" s="227"/>
      <c r="P89" s="227"/>
      <c r="Q89" s="232" t="str">
        <f>IFERROR(IF(A89="","",A89+IFERROR(INDEX(Config!B:B,MATCH("DDM appertisation standard (mois)",Config!A:A,0)),36)*30),"")</f>
        <v>#ERROR!</v>
      </c>
      <c r="R89" s="227"/>
      <c r="S89" s="227"/>
      <c r="T89" s="233"/>
    </row>
    <row r="90" ht="16.5" customHeight="1">
      <c r="A90" s="242"/>
      <c r="B90" s="225" t="str">
        <f>IF(A90="","",IF(C90="","","LOT-"&amp;TEXT(A90,"YYYYMMDD")&amp;"-"&amp;TEXT(ROW()-3,"000")))</f>
        <v>#ERROR!</v>
      </c>
      <c r="C90" s="235"/>
      <c r="D90" s="235" t="str">
        <f>IFERROR(INDEX(Recettes!C:C,MATCH(C90,Recettes!B:B,0)),"")</f>
        <v>#ERROR!</v>
      </c>
      <c r="E90" s="235"/>
      <c r="F90" s="235"/>
      <c r="G90" s="235"/>
      <c r="H90" s="236" t="str">
        <f>IFERROR(IF(F90="","",IF(F90="100x4/4 (100 boc. ref.)",SWITCH(E90,"W60-050",320,"W60-080",280,"W60-160",220,"RR100-290",130,"RR100-370",120,"RR100-580",130,"RR100-850",64,"RR100-1050",55,"RR100-1550",40,100),IF(F90="200x4/4 (200 boc. ref.)",SWITCH(E90,"W60-050",640,"W60-080",560,"W60-160",440,"RR100-290",260,"RR100-370",240,"RR100-580",260,"RR100-850",128,"RR100-1050",110,"RR100-1550",80,200),IF(F90="100L eau (~20 boc.)",SWITCH(E90,"W60-050",60,"W60-080",50,"W60-160",40,"RR100-290",28,"RR100-370",24,"RR100-580",20,"RR100-850",12,"RR100-1050",10,"RR100-1550",6,15),"")))),"")</f>
        <v>#ERROR!</v>
      </c>
      <c r="I90" s="243" t="str">
        <f>IFERROR(IF(OR(H90="",G90=""),"",ROUND(H90*SWITCH(G90,"1/4",0.25,"1/2",0.5,"3/4",0.75,"Complet",1,1),0)),"")</f>
        <v>#ERROR!</v>
      </c>
      <c r="J90" s="235"/>
      <c r="K90" s="237" t="str">
        <f>IFERROR(J90/I90,"")</f>
        <v>#ERROR!</v>
      </c>
      <c r="L90" s="235"/>
      <c r="M90" s="235"/>
      <c r="N90" s="235"/>
      <c r="O90" s="235"/>
      <c r="P90" s="235"/>
      <c r="Q90" s="239" t="str">
        <f>IFERROR(IF(A90="","",A90+IFERROR(INDEX(Config!B:B,MATCH("DDM appertisation standard (mois)",Config!A:A,0)),36)*30),"")</f>
        <v>#ERROR!</v>
      </c>
      <c r="R90" s="235"/>
      <c r="S90" s="235"/>
      <c r="T90" s="240"/>
    </row>
    <row r="91" ht="16.5" customHeight="1">
      <c r="A91" s="242"/>
      <c r="B91" s="225" t="str">
        <f>IF(A91="","",IF(C91="","","LOT-"&amp;TEXT(A91,"YYYYMMDD")&amp;"-"&amp;TEXT(ROW()-3,"000")))</f>
        <v>#ERROR!</v>
      </c>
      <c r="C91" s="227"/>
      <c r="D91" s="227" t="str">
        <f>IFERROR(INDEX(Recettes!C:C,MATCH(C91,Recettes!B:B,0)),"")</f>
        <v>#ERROR!</v>
      </c>
      <c r="E91" s="227"/>
      <c r="F91" s="227"/>
      <c r="G91" s="227"/>
      <c r="H91" s="236" t="str">
        <f>IFERROR(IF(F91="","",IF(F91="100x4/4 (100 boc. ref.)",SWITCH(E91,"W60-050",320,"W60-080",280,"W60-160",220,"RR100-290",130,"RR100-370",120,"RR100-580",130,"RR100-850",64,"RR100-1050",55,"RR100-1550",40,100),IF(F91="200x4/4 (200 boc. ref.)",SWITCH(E91,"W60-050",640,"W60-080",560,"W60-160",440,"RR100-290",260,"RR100-370",240,"RR100-580",260,"RR100-850",128,"RR100-1050",110,"RR100-1550",80,200),IF(F91="100L eau (~20 boc.)",SWITCH(E91,"W60-050",60,"W60-080",50,"W60-160",40,"RR100-290",28,"RR100-370",24,"RR100-580",20,"RR100-850",12,"RR100-1050",10,"RR100-1550",6,15),"")))),"")</f>
        <v>#ERROR!</v>
      </c>
      <c r="I91" s="243" t="str">
        <f>IFERROR(IF(OR(H91="",G91=""),"",ROUND(H91*SWITCH(G91,"1/4",0.25,"1/2",0.5,"3/4",0.75,"Complet",1,1),0)),"")</f>
        <v>#ERROR!</v>
      </c>
      <c r="J91" s="227"/>
      <c r="K91" s="230" t="str">
        <f>IFERROR(J91/I91,"")</f>
        <v>#ERROR!</v>
      </c>
      <c r="L91" s="227"/>
      <c r="M91" s="227"/>
      <c r="N91" s="227"/>
      <c r="O91" s="227"/>
      <c r="P91" s="227"/>
      <c r="Q91" s="232" t="str">
        <f>IFERROR(IF(A91="","",A91+IFERROR(INDEX(Config!B:B,MATCH("DDM appertisation standard (mois)",Config!A:A,0)),36)*30),"")</f>
        <v>#ERROR!</v>
      </c>
      <c r="R91" s="227"/>
      <c r="S91" s="227"/>
      <c r="T91" s="233"/>
    </row>
    <row r="92" ht="16.5" customHeight="1">
      <c r="A92" s="242"/>
      <c r="B92" s="225" t="str">
        <f>IF(A92="","",IF(C92="","","LOT-"&amp;TEXT(A92,"YYYYMMDD")&amp;"-"&amp;TEXT(ROW()-3,"000")))</f>
        <v>#ERROR!</v>
      </c>
      <c r="C92" s="235"/>
      <c r="D92" s="235" t="str">
        <f>IFERROR(INDEX(Recettes!C:C,MATCH(C92,Recettes!B:B,0)),"")</f>
        <v>#ERROR!</v>
      </c>
      <c r="E92" s="235"/>
      <c r="F92" s="235"/>
      <c r="G92" s="235"/>
      <c r="H92" s="236" t="str">
        <f>IFERROR(IF(F92="","",IF(F92="100x4/4 (100 boc. ref.)",SWITCH(E92,"W60-050",320,"W60-080",280,"W60-160",220,"RR100-290",130,"RR100-370",120,"RR100-580",130,"RR100-850",64,"RR100-1050",55,"RR100-1550",40,100),IF(F92="200x4/4 (200 boc. ref.)",SWITCH(E92,"W60-050",640,"W60-080",560,"W60-160",440,"RR100-290",260,"RR100-370",240,"RR100-580",260,"RR100-850",128,"RR100-1050",110,"RR100-1550",80,200),IF(F92="100L eau (~20 boc.)",SWITCH(E92,"W60-050",60,"W60-080",50,"W60-160",40,"RR100-290",28,"RR100-370",24,"RR100-580",20,"RR100-850",12,"RR100-1050",10,"RR100-1550",6,15),"")))),"")</f>
        <v>#ERROR!</v>
      </c>
      <c r="I92" s="243" t="str">
        <f>IFERROR(IF(OR(H92="",G92=""),"",ROUND(H92*SWITCH(G92,"1/4",0.25,"1/2",0.5,"3/4",0.75,"Complet",1,1),0)),"")</f>
        <v>#ERROR!</v>
      </c>
      <c r="J92" s="235"/>
      <c r="K92" s="237" t="str">
        <f>IFERROR(J92/I92,"")</f>
        <v>#ERROR!</v>
      </c>
      <c r="L92" s="235"/>
      <c r="M92" s="235"/>
      <c r="N92" s="235"/>
      <c r="O92" s="235"/>
      <c r="P92" s="235"/>
      <c r="Q92" s="239" t="str">
        <f>IFERROR(IF(A92="","",A92+IFERROR(INDEX(Config!B:B,MATCH("DDM appertisation standard (mois)",Config!A:A,0)),36)*30),"")</f>
        <v>#ERROR!</v>
      </c>
      <c r="R92" s="235"/>
      <c r="S92" s="235"/>
      <c r="T92" s="240"/>
    </row>
    <row r="93" ht="16.5" customHeight="1">
      <c r="A93" s="242"/>
      <c r="B93" s="225" t="str">
        <f>IF(A93="","",IF(C93="","","LOT-"&amp;TEXT(A93,"YYYYMMDD")&amp;"-"&amp;TEXT(ROW()-3,"000")))</f>
        <v>#ERROR!</v>
      </c>
      <c r="C93" s="227"/>
      <c r="D93" s="227" t="str">
        <f>IFERROR(INDEX(Recettes!C:C,MATCH(C93,Recettes!B:B,0)),"")</f>
        <v>#ERROR!</v>
      </c>
      <c r="E93" s="227"/>
      <c r="F93" s="227"/>
      <c r="G93" s="227"/>
      <c r="H93" s="236" t="str">
        <f>IFERROR(IF(F93="","",IF(F93="100x4/4 (100 boc. ref.)",SWITCH(E93,"W60-050",320,"W60-080",280,"W60-160",220,"RR100-290",130,"RR100-370",120,"RR100-580",130,"RR100-850",64,"RR100-1050",55,"RR100-1550",40,100),IF(F93="200x4/4 (200 boc. ref.)",SWITCH(E93,"W60-050",640,"W60-080",560,"W60-160",440,"RR100-290",260,"RR100-370",240,"RR100-580",260,"RR100-850",128,"RR100-1050",110,"RR100-1550",80,200),IF(F93="100L eau (~20 boc.)",SWITCH(E93,"W60-050",60,"W60-080",50,"W60-160",40,"RR100-290",28,"RR100-370",24,"RR100-580",20,"RR100-850",12,"RR100-1050",10,"RR100-1550",6,15),"")))),"")</f>
        <v>#ERROR!</v>
      </c>
      <c r="I93" s="243" t="str">
        <f>IFERROR(IF(OR(H93="",G93=""),"",ROUND(H93*SWITCH(G93,"1/4",0.25,"1/2",0.5,"3/4",0.75,"Complet",1,1),0)),"")</f>
        <v>#ERROR!</v>
      </c>
      <c r="J93" s="227"/>
      <c r="K93" s="230" t="str">
        <f>IFERROR(J93/I93,"")</f>
        <v>#ERROR!</v>
      </c>
      <c r="L93" s="227"/>
      <c r="M93" s="227"/>
      <c r="N93" s="227"/>
      <c r="O93" s="227"/>
      <c r="P93" s="227"/>
      <c r="Q93" s="232" t="str">
        <f>IFERROR(IF(A93="","",A93+IFERROR(INDEX(Config!B:B,MATCH("DDM appertisation standard (mois)",Config!A:A,0)),36)*30),"")</f>
        <v>#ERROR!</v>
      </c>
      <c r="R93" s="227"/>
      <c r="S93" s="227"/>
      <c r="T93" s="233"/>
    </row>
    <row r="94" ht="16.5" customHeight="1">
      <c r="A94" s="242"/>
      <c r="B94" s="225" t="str">
        <f>IF(A94="","",IF(C94="","","LOT-"&amp;TEXT(A94,"YYYYMMDD")&amp;"-"&amp;TEXT(ROW()-3,"000")))</f>
        <v>#ERROR!</v>
      </c>
      <c r="C94" s="235"/>
      <c r="D94" s="235" t="str">
        <f>IFERROR(INDEX(Recettes!C:C,MATCH(C94,Recettes!B:B,0)),"")</f>
        <v>#ERROR!</v>
      </c>
      <c r="E94" s="235"/>
      <c r="F94" s="235"/>
      <c r="G94" s="235"/>
      <c r="H94" s="236" t="str">
        <f>IFERROR(IF(F94="","",IF(F94="100x4/4 (100 boc. ref.)",SWITCH(E94,"W60-050",320,"W60-080",280,"W60-160",220,"RR100-290",130,"RR100-370",120,"RR100-580",130,"RR100-850",64,"RR100-1050",55,"RR100-1550",40,100),IF(F94="200x4/4 (200 boc. ref.)",SWITCH(E94,"W60-050",640,"W60-080",560,"W60-160",440,"RR100-290",260,"RR100-370",240,"RR100-580",260,"RR100-850",128,"RR100-1050",110,"RR100-1550",80,200),IF(F94="100L eau (~20 boc.)",SWITCH(E94,"W60-050",60,"W60-080",50,"W60-160",40,"RR100-290",28,"RR100-370",24,"RR100-580",20,"RR100-850",12,"RR100-1050",10,"RR100-1550",6,15),"")))),"")</f>
        <v>#ERROR!</v>
      </c>
      <c r="I94" s="243" t="str">
        <f>IFERROR(IF(OR(H94="",G94=""),"",ROUND(H94*SWITCH(G94,"1/4",0.25,"1/2",0.5,"3/4",0.75,"Complet",1,1),0)),"")</f>
        <v>#ERROR!</v>
      </c>
      <c r="J94" s="235"/>
      <c r="K94" s="237" t="str">
        <f>IFERROR(J94/I94,"")</f>
        <v>#ERROR!</v>
      </c>
      <c r="L94" s="235"/>
      <c r="M94" s="235"/>
      <c r="N94" s="235"/>
      <c r="O94" s="235"/>
      <c r="P94" s="235"/>
      <c r="Q94" s="239" t="str">
        <f>IFERROR(IF(A94="","",A94+IFERROR(INDEX(Config!B:B,MATCH("DDM appertisation standard (mois)",Config!A:A,0)),36)*30),"")</f>
        <v>#ERROR!</v>
      </c>
      <c r="R94" s="235"/>
      <c r="S94" s="235"/>
      <c r="T94" s="240"/>
    </row>
    <row r="95" ht="16.5" customHeight="1">
      <c r="A95" s="242"/>
      <c r="B95" s="225" t="str">
        <f>IF(A95="","",IF(C95="","","LOT-"&amp;TEXT(A95,"YYYYMMDD")&amp;"-"&amp;TEXT(ROW()-3,"000")))</f>
        <v>#ERROR!</v>
      </c>
      <c r="C95" s="227"/>
      <c r="D95" s="227" t="str">
        <f>IFERROR(INDEX(Recettes!C:C,MATCH(C95,Recettes!B:B,0)),"")</f>
        <v>#ERROR!</v>
      </c>
      <c r="E95" s="227"/>
      <c r="F95" s="227"/>
      <c r="G95" s="227"/>
      <c r="H95" s="236" t="str">
        <f>IFERROR(IF(F95="","",IF(F95="100x4/4 (100 boc. ref.)",SWITCH(E95,"W60-050",320,"W60-080",280,"W60-160",220,"RR100-290",130,"RR100-370",120,"RR100-580",130,"RR100-850",64,"RR100-1050",55,"RR100-1550",40,100),IF(F95="200x4/4 (200 boc. ref.)",SWITCH(E95,"W60-050",640,"W60-080",560,"W60-160",440,"RR100-290",260,"RR100-370",240,"RR100-580",260,"RR100-850",128,"RR100-1050",110,"RR100-1550",80,200),IF(F95="100L eau (~20 boc.)",SWITCH(E95,"W60-050",60,"W60-080",50,"W60-160",40,"RR100-290",28,"RR100-370",24,"RR100-580",20,"RR100-850",12,"RR100-1050",10,"RR100-1550",6,15),"")))),"")</f>
        <v>#ERROR!</v>
      </c>
      <c r="I95" s="243" t="str">
        <f>IFERROR(IF(OR(H95="",G95=""),"",ROUND(H95*SWITCH(G95,"1/4",0.25,"1/2",0.5,"3/4",0.75,"Complet",1,1),0)),"")</f>
        <v>#ERROR!</v>
      </c>
      <c r="J95" s="227"/>
      <c r="K95" s="230" t="str">
        <f>IFERROR(J95/I95,"")</f>
        <v>#ERROR!</v>
      </c>
      <c r="L95" s="227"/>
      <c r="M95" s="227"/>
      <c r="N95" s="227"/>
      <c r="O95" s="227"/>
      <c r="P95" s="227"/>
      <c r="Q95" s="232" t="str">
        <f>IFERROR(IF(A95="","",A95+IFERROR(INDEX(Config!B:B,MATCH("DDM appertisation standard (mois)",Config!A:A,0)),36)*30),"")</f>
        <v>#ERROR!</v>
      </c>
      <c r="R95" s="227"/>
      <c r="S95" s="227"/>
      <c r="T95" s="233"/>
    </row>
    <row r="96" ht="16.5" customHeight="1">
      <c r="A96" s="242"/>
      <c r="B96" s="225" t="str">
        <f>IF(A96="","",IF(C96="","","LOT-"&amp;TEXT(A96,"YYYYMMDD")&amp;"-"&amp;TEXT(ROW()-3,"000")))</f>
        <v>#ERROR!</v>
      </c>
      <c r="C96" s="235"/>
      <c r="D96" s="235" t="str">
        <f>IFERROR(INDEX(Recettes!C:C,MATCH(C96,Recettes!B:B,0)),"")</f>
        <v>#ERROR!</v>
      </c>
      <c r="E96" s="235"/>
      <c r="F96" s="235"/>
      <c r="G96" s="235"/>
      <c r="H96" s="236" t="str">
        <f>IFERROR(IF(F96="","",IF(F96="100x4/4 (100 boc. ref.)",SWITCH(E96,"W60-050",320,"W60-080",280,"W60-160",220,"RR100-290",130,"RR100-370",120,"RR100-580",130,"RR100-850",64,"RR100-1050",55,"RR100-1550",40,100),IF(F96="200x4/4 (200 boc. ref.)",SWITCH(E96,"W60-050",640,"W60-080",560,"W60-160",440,"RR100-290",260,"RR100-370",240,"RR100-580",260,"RR100-850",128,"RR100-1050",110,"RR100-1550",80,200),IF(F96="100L eau (~20 boc.)",SWITCH(E96,"W60-050",60,"W60-080",50,"W60-160",40,"RR100-290",28,"RR100-370",24,"RR100-580",20,"RR100-850",12,"RR100-1050",10,"RR100-1550",6,15),"")))),"")</f>
        <v>#ERROR!</v>
      </c>
      <c r="I96" s="243" t="str">
        <f>IFERROR(IF(OR(H96="",G96=""),"",ROUND(H96*SWITCH(G96,"1/4",0.25,"1/2",0.5,"3/4",0.75,"Complet",1,1),0)),"")</f>
        <v>#ERROR!</v>
      </c>
      <c r="J96" s="235"/>
      <c r="K96" s="237" t="str">
        <f>IFERROR(J96/I96,"")</f>
        <v>#ERROR!</v>
      </c>
      <c r="L96" s="235"/>
      <c r="M96" s="235"/>
      <c r="N96" s="235"/>
      <c r="O96" s="235"/>
      <c r="P96" s="235"/>
      <c r="Q96" s="239" t="str">
        <f>IFERROR(IF(A96="","",A96+IFERROR(INDEX(Config!B:B,MATCH("DDM appertisation standard (mois)",Config!A:A,0)),36)*30),"")</f>
        <v>#ERROR!</v>
      </c>
      <c r="R96" s="235"/>
      <c r="S96" s="235"/>
      <c r="T96" s="240"/>
    </row>
    <row r="97" ht="16.5" customHeight="1">
      <c r="A97" s="242"/>
      <c r="B97" s="225" t="str">
        <f>IF(A97="","",IF(C97="","","LOT-"&amp;TEXT(A97,"YYYYMMDD")&amp;"-"&amp;TEXT(ROW()-3,"000")))</f>
        <v>#ERROR!</v>
      </c>
      <c r="C97" s="227"/>
      <c r="D97" s="227" t="str">
        <f>IFERROR(INDEX(Recettes!C:C,MATCH(C97,Recettes!B:B,0)),"")</f>
        <v>#ERROR!</v>
      </c>
      <c r="E97" s="227"/>
      <c r="F97" s="227"/>
      <c r="G97" s="227"/>
      <c r="H97" s="236" t="str">
        <f>IFERROR(IF(F97="","",IF(F97="100x4/4 (100 boc. ref.)",SWITCH(E97,"W60-050",320,"W60-080",280,"W60-160",220,"RR100-290",130,"RR100-370",120,"RR100-580",130,"RR100-850",64,"RR100-1050",55,"RR100-1550",40,100),IF(F97="200x4/4 (200 boc. ref.)",SWITCH(E97,"W60-050",640,"W60-080",560,"W60-160",440,"RR100-290",260,"RR100-370",240,"RR100-580",260,"RR100-850",128,"RR100-1050",110,"RR100-1550",80,200),IF(F97="100L eau (~20 boc.)",SWITCH(E97,"W60-050",60,"W60-080",50,"W60-160",40,"RR100-290",28,"RR100-370",24,"RR100-580",20,"RR100-850",12,"RR100-1050",10,"RR100-1550",6,15),"")))),"")</f>
        <v>#ERROR!</v>
      </c>
      <c r="I97" s="243" t="str">
        <f>IFERROR(IF(OR(H97="",G97=""),"",ROUND(H97*SWITCH(G97,"1/4",0.25,"1/2",0.5,"3/4",0.75,"Complet",1,1),0)),"")</f>
        <v>#ERROR!</v>
      </c>
      <c r="J97" s="227"/>
      <c r="K97" s="230" t="str">
        <f>IFERROR(J97/I97,"")</f>
        <v>#ERROR!</v>
      </c>
      <c r="L97" s="227"/>
      <c r="M97" s="227"/>
      <c r="N97" s="227"/>
      <c r="O97" s="227"/>
      <c r="P97" s="227"/>
      <c r="Q97" s="232" t="str">
        <f>IFERROR(IF(A97="","",A97+IFERROR(INDEX(Config!B:B,MATCH("DDM appertisation standard (mois)",Config!A:A,0)),36)*30),"")</f>
        <v>#ERROR!</v>
      </c>
      <c r="R97" s="227"/>
      <c r="S97" s="227"/>
      <c r="T97" s="233"/>
    </row>
    <row r="98" ht="16.5" customHeight="1">
      <c r="A98" s="242"/>
      <c r="B98" s="225" t="str">
        <f>IF(A98="","",IF(C98="","","LOT-"&amp;TEXT(A98,"YYYYMMDD")&amp;"-"&amp;TEXT(ROW()-3,"000")))</f>
        <v>#ERROR!</v>
      </c>
      <c r="C98" s="235"/>
      <c r="D98" s="235" t="str">
        <f>IFERROR(INDEX(Recettes!C:C,MATCH(C98,Recettes!B:B,0)),"")</f>
        <v>#ERROR!</v>
      </c>
      <c r="E98" s="235"/>
      <c r="F98" s="235"/>
      <c r="G98" s="235"/>
      <c r="H98" s="236" t="str">
        <f>IFERROR(IF(F98="","",IF(F98="100x4/4 (100 boc. ref.)",SWITCH(E98,"W60-050",320,"W60-080",280,"W60-160",220,"RR100-290",130,"RR100-370",120,"RR100-580",130,"RR100-850",64,"RR100-1050",55,"RR100-1550",40,100),IF(F98="200x4/4 (200 boc. ref.)",SWITCH(E98,"W60-050",640,"W60-080",560,"W60-160",440,"RR100-290",260,"RR100-370",240,"RR100-580",260,"RR100-850",128,"RR100-1050",110,"RR100-1550",80,200),IF(F98="100L eau (~20 boc.)",SWITCH(E98,"W60-050",60,"W60-080",50,"W60-160",40,"RR100-290",28,"RR100-370",24,"RR100-580",20,"RR100-850",12,"RR100-1050",10,"RR100-1550",6,15),"")))),"")</f>
        <v>#ERROR!</v>
      </c>
      <c r="I98" s="243" t="str">
        <f>IFERROR(IF(OR(H98="",G98=""),"",ROUND(H98*SWITCH(G98,"1/4",0.25,"1/2",0.5,"3/4",0.75,"Complet",1,1),0)),"")</f>
        <v>#ERROR!</v>
      </c>
      <c r="J98" s="235"/>
      <c r="K98" s="237" t="str">
        <f>IFERROR(J98/I98,"")</f>
        <v>#ERROR!</v>
      </c>
      <c r="L98" s="235"/>
      <c r="M98" s="235"/>
      <c r="N98" s="235"/>
      <c r="O98" s="235"/>
      <c r="P98" s="235"/>
      <c r="Q98" s="239" t="str">
        <f>IFERROR(IF(A98="","",A98+IFERROR(INDEX(Config!B:B,MATCH("DDM appertisation standard (mois)",Config!A:A,0)),36)*30),"")</f>
        <v>#ERROR!</v>
      </c>
      <c r="R98" s="235"/>
      <c r="S98" s="235"/>
      <c r="T98" s="240"/>
    </row>
    <row r="99" ht="16.5" customHeight="1">
      <c r="A99" s="242"/>
      <c r="B99" s="225" t="str">
        <f>IF(A99="","",IF(C99="","","LOT-"&amp;TEXT(A99,"YYYYMMDD")&amp;"-"&amp;TEXT(ROW()-3,"000")))</f>
        <v>#ERROR!</v>
      </c>
      <c r="C99" s="227"/>
      <c r="D99" s="227" t="str">
        <f>IFERROR(INDEX(Recettes!C:C,MATCH(C99,Recettes!B:B,0)),"")</f>
        <v>#ERROR!</v>
      </c>
      <c r="E99" s="227"/>
      <c r="F99" s="227"/>
      <c r="G99" s="227"/>
      <c r="H99" s="236" t="str">
        <f>IFERROR(IF(F99="","",IF(F99="100x4/4 (100 boc. ref.)",SWITCH(E99,"W60-050",320,"W60-080",280,"W60-160",220,"RR100-290",130,"RR100-370",120,"RR100-580",130,"RR100-850",64,"RR100-1050",55,"RR100-1550",40,100),IF(F99="200x4/4 (200 boc. ref.)",SWITCH(E99,"W60-050",640,"W60-080",560,"W60-160",440,"RR100-290",260,"RR100-370",240,"RR100-580",260,"RR100-850",128,"RR100-1050",110,"RR100-1550",80,200),IF(F99="100L eau (~20 boc.)",SWITCH(E99,"W60-050",60,"W60-080",50,"W60-160",40,"RR100-290",28,"RR100-370",24,"RR100-580",20,"RR100-850",12,"RR100-1050",10,"RR100-1550",6,15),"")))),"")</f>
        <v>#ERROR!</v>
      </c>
      <c r="I99" s="243" t="str">
        <f>IFERROR(IF(OR(H99="",G99=""),"",ROUND(H99*SWITCH(G99,"1/4",0.25,"1/2",0.5,"3/4",0.75,"Complet",1,1),0)),"")</f>
        <v>#ERROR!</v>
      </c>
      <c r="J99" s="227"/>
      <c r="K99" s="230" t="str">
        <f>IFERROR(J99/I99,"")</f>
        <v>#ERROR!</v>
      </c>
      <c r="L99" s="227"/>
      <c r="M99" s="227"/>
      <c r="N99" s="227"/>
      <c r="O99" s="227"/>
      <c r="P99" s="227"/>
      <c r="Q99" s="232" t="str">
        <f>IFERROR(IF(A99="","",A99+IFERROR(INDEX(Config!B:B,MATCH("DDM appertisation standard (mois)",Config!A:A,0)),36)*30),"")</f>
        <v>#ERROR!</v>
      </c>
      <c r="R99" s="227"/>
      <c r="S99" s="227"/>
      <c r="T99" s="233"/>
    </row>
    <row r="100" ht="16.5" customHeight="1">
      <c r="A100" s="242"/>
      <c r="B100" s="225" t="str">
        <f>IF(A100="","",IF(C100="","","LOT-"&amp;TEXT(A100,"YYYYMMDD")&amp;"-"&amp;TEXT(ROW()-3,"000")))</f>
        <v>#ERROR!</v>
      </c>
      <c r="C100" s="235"/>
      <c r="D100" s="235" t="str">
        <f>IFERROR(INDEX(Recettes!C:C,MATCH(C100,Recettes!B:B,0)),"")</f>
        <v>#ERROR!</v>
      </c>
      <c r="E100" s="235"/>
      <c r="F100" s="235"/>
      <c r="G100" s="235"/>
      <c r="H100" s="236" t="str">
        <f>IFERROR(IF(F100="","",IF(F100="100x4/4 (100 boc. ref.)",SWITCH(E100,"W60-050",320,"W60-080",280,"W60-160",220,"RR100-290",130,"RR100-370",120,"RR100-580",130,"RR100-850",64,"RR100-1050",55,"RR100-1550",40,100),IF(F100="200x4/4 (200 boc. ref.)",SWITCH(E100,"W60-050",640,"W60-080",560,"W60-160",440,"RR100-290",260,"RR100-370",240,"RR100-580",260,"RR100-850",128,"RR100-1050",110,"RR100-1550",80,200),IF(F100="100L eau (~20 boc.)",SWITCH(E100,"W60-050",60,"W60-080",50,"W60-160",40,"RR100-290",28,"RR100-370",24,"RR100-580",20,"RR100-850",12,"RR100-1050",10,"RR100-1550",6,15),"")))),"")</f>
        <v>#ERROR!</v>
      </c>
      <c r="I100" s="243" t="str">
        <f>IFERROR(IF(OR(H100="",G100=""),"",ROUND(H100*SWITCH(G100,"1/4",0.25,"1/2",0.5,"3/4",0.75,"Complet",1,1),0)),"")</f>
        <v>#ERROR!</v>
      </c>
      <c r="J100" s="235"/>
      <c r="K100" s="237" t="str">
        <f>IFERROR(J100/I100,"")</f>
        <v>#ERROR!</v>
      </c>
      <c r="L100" s="235"/>
      <c r="M100" s="235"/>
      <c r="N100" s="235"/>
      <c r="O100" s="235"/>
      <c r="P100" s="235"/>
      <c r="Q100" s="239" t="str">
        <f>IFERROR(IF(A100="","",A100+IFERROR(INDEX(Config!B:B,MATCH("DDM appertisation standard (mois)",Config!A:A,0)),36)*30),"")</f>
        <v>#ERROR!</v>
      </c>
      <c r="R100" s="235"/>
      <c r="S100" s="235"/>
      <c r="T100" s="240"/>
    </row>
    <row r="101" ht="16.5" customHeight="1">
      <c r="A101" s="242"/>
      <c r="B101" s="225" t="str">
        <f>IF(A101="","",IF(C101="","","LOT-"&amp;TEXT(A101,"YYYYMMDD")&amp;"-"&amp;TEXT(ROW()-3,"000")))</f>
        <v>#ERROR!</v>
      </c>
      <c r="C101" s="227"/>
      <c r="D101" s="227" t="str">
        <f>IFERROR(INDEX(Recettes!C:C,MATCH(C101,Recettes!B:B,0)),"")</f>
        <v>#ERROR!</v>
      </c>
      <c r="E101" s="227"/>
      <c r="F101" s="227"/>
      <c r="G101" s="227"/>
      <c r="H101" s="236" t="str">
        <f>IFERROR(IF(F101="","",IF(F101="100x4/4 (100 boc. ref.)",SWITCH(E101,"W60-050",320,"W60-080",280,"W60-160",220,"RR100-290",130,"RR100-370",120,"RR100-580",130,"RR100-850",64,"RR100-1050",55,"RR100-1550",40,100),IF(F101="200x4/4 (200 boc. ref.)",SWITCH(E101,"W60-050",640,"W60-080",560,"W60-160",440,"RR100-290",260,"RR100-370",240,"RR100-580",260,"RR100-850",128,"RR100-1050",110,"RR100-1550",80,200),IF(F101="100L eau (~20 boc.)",SWITCH(E101,"W60-050",60,"W60-080",50,"W60-160",40,"RR100-290",28,"RR100-370",24,"RR100-580",20,"RR100-850",12,"RR100-1050",10,"RR100-1550",6,15),"")))),"")</f>
        <v>#ERROR!</v>
      </c>
      <c r="I101" s="243" t="str">
        <f>IFERROR(IF(OR(H101="",G101=""),"",ROUND(H101*SWITCH(G101,"1/4",0.25,"1/2",0.5,"3/4",0.75,"Complet",1,1),0)),"")</f>
        <v>#ERROR!</v>
      </c>
      <c r="J101" s="227"/>
      <c r="K101" s="230" t="str">
        <f>IFERROR(J101/I101,"")</f>
        <v>#ERROR!</v>
      </c>
      <c r="L101" s="227"/>
      <c r="M101" s="227"/>
      <c r="N101" s="227"/>
      <c r="O101" s="227"/>
      <c r="P101" s="227"/>
      <c r="Q101" s="232" t="str">
        <f>IFERROR(IF(A101="","",A101+IFERROR(INDEX(Config!B:B,MATCH("DDM appertisation standard (mois)",Config!A:A,0)),36)*30),"")</f>
        <v>#ERROR!</v>
      </c>
      <c r="R101" s="227"/>
      <c r="S101" s="227"/>
      <c r="T101" s="233"/>
    </row>
    <row r="102" ht="16.5" customHeight="1">
      <c r="A102" s="242"/>
      <c r="B102" s="225" t="str">
        <f>IF(A102="","",IF(C102="","","LOT-"&amp;TEXT(A102,"YYYYMMDD")&amp;"-"&amp;TEXT(ROW()-3,"000")))</f>
        <v>#ERROR!</v>
      </c>
      <c r="C102" s="235"/>
      <c r="D102" s="235" t="str">
        <f>IFERROR(INDEX(Recettes!C:C,MATCH(C102,Recettes!B:B,0)),"")</f>
        <v>#ERROR!</v>
      </c>
      <c r="E102" s="235"/>
      <c r="F102" s="235"/>
      <c r="G102" s="235"/>
      <c r="H102" s="236" t="str">
        <f>IFERROR(IF(F102="","",IF(F102="100x4/4 (100 boc. ref.)",SWITCH(E102,"W60-050",320,"W60-080",280,"W60-160",220,"RR100-290",130,"RR100-370",120,"RR100-580",130,"RR100-850",64,"RR100-1050",55,"RR100-1550",40,100),IF(F102="200x4/4 (200 boc. ref.)",SWITCH(E102,"W60-050",640,"W60-080",560,"W60-160",440,"RR100-290",260,"RR100-370",240,"RR100-580",260,"RR100-850",128,"RR100-1050",110,"RR100-1550",80,200),IF(F102="100L eau (~20 boc.)",SWITCH(E102,"W60-050",60,"W60-080",50,"W60-160",40,"RR100-290",28,"RR100-370",24,"RR100-580",20,"RR100-850",12,"RR100-1050",10,"RR100-1550",6,15),"")))),"")</f>
        <v>#ERROR!</v>
      </c>
      <c r="I102" s="243" t="str">
        <f>IFERROR(IF(OR(H102="",G102=""),"",ROUND(H102*SWITCH(G102,"1/4",0.25,"1/2",0.5,"3/4",0.75,"Complet",1,1),0)),"")</f>
        <v>#ERROR!</v>
      </c>
      <c r="J102" s="235"/>
      <c r="K102" s="237" t="str">
        <f>IFERROR(J102/I102,"")</f>
        <v>#ERROR!</v>
      </c>
      <c r="L102" s="235"/>
      <c r="M102" s="235"/>
      <c r="N102" s="235"/>
      <c r="O102" s="235"/>
      <c r="P102" s="235"/>
      <c r="Q102" s="239" t="str">
        <f>IFERROR(IF(A102="","",A102+IFERROR(INDEX(Config!B:B,MATCH("DDM appertisation standard (mois)",Config!A:A,0)),36)*30),"")</f>
        <v>#ERROR!</v>
      </c>
      <c r="R102" s="235"/>
      <c r="S102" s="235"/>
      <c r="T102" s="240"/>
    </row>
    <row r="103" ht="16.5" customHeight="1">
      <c r="A103" s="242"/>
      <c r="B103" s="225" t="str">
        <f>IF(A103="","",IF(C103="","","LOT-"&amp;TEXT(A103,"YYYYMMDD")&amp;"-"&amp;TEXT(ROW()-3,"000")))</f>
        <v>#ERROR!</v>
      </c>
      <c r="C103" s="227"/>
      <c r="D103" s="227" t="str">
        <f>IFERROR(INDEX(Recettes!C:C,MATCH(C103,Recettes!B:B,0)),"")</f>
        <v>#ERROR!</v>
      </c>
      <c r="E103" s="227"/>
      <c r="F103" s="227"/>
      <c r="G103" s="227"/>
      <c r="H103" s="236" t="str">
        <f>IFERROR(IF(F103="","",IF(F103="100x4/4 (100 boc. ref.)",SWITCH(E103,"W60-050",320,"W60-080",280,"W60-160",220,"RR100-290",130,"RR100-370",120,"RR100-580",130,"RR100-850",64,"RR100-1050",55,"RR100-1550",40,100),IF(F103="200x4/4 (200 boc. ref.)",SWITCH(E103,"W60-050",640,"W60-080",560,"W60-160",440,"RR100-290",260,"RR100-370",240,"RR100-580",260,"RR100-850",128,"RR100-1050",110,"RR100-1550",80,200),IF(F103="100L eau (~20 boc.)",SWITCH(E103,"W60-050",60,"W60-080",50,"W60-160",40,"RR100-290",28,"RR100-370",24,"RR100-580",20,"RR100-850",12,"RR100-1050",10,"RR100-1550",6,15),"")))),"")</f>
        <v>#ERROR!</v>
      </c>
      <c r="I103" s="243" t="str">
        <f>IFERROR(IF(OR(H103="",G103=""),"",ROUND(H103*SWITCH(G103,"1/4",0.25,"1/2",0.5,"3/4",0.75,"Complet",1,1),0)),"")</f>
        <v>#ERROR!</v>
      </c>
      <c r="J103" s="227"/>
      <c r="K103" s="230" t="str">
        <f>IFERROR(J103/I103,"")</f>
        <v>#ERROR!</v>
      </c>
      <c r="L103" s="227"/>
      <c r="M103" s="227"/>
      <c r="N103" s="227"/>
      <c r="O103" s="227"/>
      <c r="P103" s="227"/>
      <c r="Q103" s="232" t="str">
        <f>IFERROR(IF(A103="","",A103+IFERROR(INDEX(Config!B:B,MATCH("DDM appertisation standard (mois)",Config!A:A,0)),36)*30),"")</f>
        <v>#ERROR!</v>
      </c>
      <c r="R103" s="227"/>
      <c r="S103" s="227"/>
      <c r="T103" s="233"/>
    </row>
    <row r="104" ht="16.5" customHeight="1">
      <c r="A104" s="242"/>
      <c r="B104" s="225" t="str">
        <f>IF(A104="","",IF(C104="","","LOT-"&amp;TEXT(A104,"YYYYMMDD")&amp;"-"&amp;TEXT(ROW()-3,"000")))</f>
        <v>#ERROR!</v>
      </c>
      <c r="C104" s="235"/>
      <c r="D104" s="235" t="str">
        <f>IFERROR(INDEX(Recettes!C:C,MATCH(C104,Recettes!B:B,0)),"")</f>
        <v>#ERROR!</v>
      </c>
      <c r="E104" s="235"/>
      <c r="F104" s="235"/>
      <c r="G104" s="235"/>
      <c r="H104" s="236" t="str">
        <f>IFERROR(IF(F104="","",IF(F104="100x4/4 (100 boc. ref.)",SWITCH(E104,"W60-050",320,"W60-080",280,"W60-160",220,"RR100-290",130,"RR100-370",120,"RR100-580",130,"RR100-850",64,"RR100-1050",55,"RR100-1550",40,100),IF(F104="200x4/4 (200 boc. ref.)",SWITCH(E104,"W60-050",640,"W60-080",560,"W60-160",440,"RR100-290",260,"RR100-370",240,"RR100-580",260,"RR100-850",128,"RR100-1050",110,"RR100-1550",80,200),IF(F104="100L eau (~20 boc.)",SWITCH(E104,"W60-050",60,"W60-080",50,"W60-160",40,"RR100-290",28,"RR100-370",24,"RR100-580",20,"RR100-850",12,"RR100-1050",10,"RR100-1550",6,15),"")))),"")</f>
        <v>#ERROR!</v>
      </c>
      <c r="I104" s="243" t="str">
        <f>IFERROR(IF(OR(H104="",G104=""),"",ROUND(H104*SWITCH(G104,"1/4",0.25,"1/2",0.5,"3/4",0.75,"Complet",1,1),0)),"")</f>
        <v>#ERROR!</v>
      </c>
      <c r="J104" s="235"/>
      <c r="K104" s="237" t="str">
        <f>IFERROR(J104/I104,"")</f>
        <v>#ERROR!</v>
      </c>
      <c r="L104" s="235"/>
      <c r="M104" s="235"/>
      <c r="N104" s="235"/>
      <c r="O104" s="235"/>
      <c r="P104" s="235"/>
      <c r="Q104" s="239" t="str">
        <f>IFERROR(IF(A104="","",A104+IFERROR(INDEX(Config!B:B,MATCH("DDM appertisation standard (mois)",Config!A:A,0)),36)*30),"")</f>
        <v>#ERROR!</v>
      </c>
      <c r="R104" s="235"/>
      <c r="S104" s="235"/>
      <c r="T104" s="240"/>
    </row>
    <row r="105" ht="16.5" customHeight="1">
      <c r="A105" s="242"/>
      <c r="B105" s="225" t="str">
        <f>IF(A105="","",IF(C105="","","LOT-"&amp;TEXT(A105,"YYYYMMDD")&amp;"-"&amp;TEXT(ROW()-3,"000")))</f>
        <v>#ERROR!</v>
      </c>
      <c r="C105" s="227"/>
      <c r="D105" s="227" t="str">
        <f>IFERROR(INDEX(Recettes!C:C,MATCH(C105,Recettes!B:B,0)),"")</f>
        <v>#ERROR!</v>
      </c>
      <c r="E105" s="227"/>
      <c r="F105" s="227"/>
      <c r="G105" s="227"/>
      <c r="H105" s="236" t="str">
        <f>IFERROR(IF(F105="","",IF(F105="100x4/4 (100 boc. ref.)",SWITCH(E105,"W60-050",320,"W60-080",280,"W60-160",220,"RR100-290",130,"RR100-370",120,"RR100-580",130,"RR100-850",64,"RR100-1050",55,"RR100-1550",40,100),IF(F105="200x4/4 (200 boc. ref.)",SWITCH(E105,"W60-050",640,"W60-080",560,"W60-160",440,"RR100-290",260,"RR100-370",240,"RR100-580",260,"RR100-850",128,"RR100-1050",110,"RR100-1550",80,200),IF(F105="100L eau (~20 boc.)",SWITCH(E105,"W60-050",60,"W60-080",50,"W60-160",40,"RR100-290",28,"RR100-370",24,"RR100-580",20,"RR100-850",12,"RR100-1050",10,"RR100-1550",6,15),"")))),"")</f>
        <v>#ERROR!</v>
      </c>
      <c r="I105" s="243" t="str">
        <f>IFERROR(IF(OR(H105="",G105=""),"",ROUND(H105*SWITCH(G105,"1/4",0.25,"1/2",0.5,"3/4",0.75,"Complet",1,1),0)),"")</f>
        <v>#ERROR!</v>
      </c>
      <c r="J105" s="227"/>
      <c r="K105" s="230" t="str">
        <f>IFERROR(J105/I105,"")</f>
        <v>#ERROR!</v>
      </c>
      <c r="L105" s="227"/>
      <c r="M105" s="227"/>
      <c r="N105" s="227"/>
      <c r="O105" s="227"/>
      <c r="P105" s="227"/>
      <c r="Q105" s="232" t="str">
        <f>IFERROR(IF(A105="","",A105+IFERROR(INDEX(Config!B:B,MATCH("DDM appertisation standard (mois)",Config!A:A,0)),36)*30),"")</f>
        <v>#ERROR!</v>
      </c>
      <c r="R105" s="227"/>
      <c r="S105" s="227"/>
      <c r="T105" s="233"/>
    </row>
    <row r="106" ht="16.5" customHeight="1">
      <c r="A106" s="242"/>
      <c r="B106" s="225" t="str">
        <f>IF(A106="","",IF(C106="","","LOT-"&amp;TEXT(A106,"YYYYMMDD")&amp;"-"&amp;TEXT(ROW()-3,"000")))</f>
        <v>#ERROR!</v>
      </c>
      <c r="C106" s="235"/>
      <c r="D106" s="235" t="str">
        <f>IFERROR(INDEX(Recettes!C:C,MATCH(C106,Recettes!B:B,0)),"")</f>
        <v>#ERROR!</v>
      </c>
      <c r="E106" s="235"/>
      <c r="F106" s="235"/>
      <c r="G106" s="235"/>
      <c r="H106" s="236" t="str">
        <f>IFERROR(IF(F106="","",IF(F106="100x4/4 (100 boc. ref.)",SWITCH(E106,"W60-050",320,"W60-080",280,"W60-160",220,"RR100-290",130,"RR100-370",120,"RR100-580",130,"RR100-850",64,"RR100-1050",55,"RR100-1550",40,100),IF(F106="200x4/4 (200 boc. ref.)",SWITCH(E106,"W60-050",640,"W60-080",560,"W60-160",440,"RR100-290",260,"RR100-370",240,"RR100-580",260,"RR100-850",128,"RR100-1050",110,"RR100-1550",80,200),IF(F106="100L eau (~20 boc.)",SWITCH(E106,"W60-050",60,"W60-080",50,"W60-160",40,"RR100-290",28,"RR100-370",24,"RR100-580",20,"RR100-850",12,"RR100-1050",10,"RR100-1550",6,15),"")))),"")</f>
        <v>#ERROR!</v>
      </c>
      <c r="I106" s="243" t="str">
        <f>IFERROR(IF(OR(H106="",G106=""),"",ROUND(H106*SWITCH(G106,"1/4",0.25,"1/2",0.5,"3/4",0.75,"Complet",1,1),0)),"")</f>
        <v>#ERROR!</v>
      </c>
      <c r="J106" s="235"/>
      <c r="K106" s="237" t="str">
        <f>IFERROR(J106/I106,"")</f>
        <v>#ERROR!</v>
      </c>
      <c r="L106" s="235"/>
      <c r="M106" s="235"/>
      <c r="N106" s="235"/>
      <c r="O106" s="235"/>
      <c r="P106" s="235"/>
      <c r="Q106" s="239" t="str">
        <f>IFERROR(IF(A106="","",A106+IFERROR(INDEX(Config!B:B,MATCH("DDM appertisation standard (mois)",Config!A:A,0)),36)*30),"")</f>
        <v>#ERROR!</v>
      </c>
      <c r="R106" s="235"/>
      <c r="S106" s="235"/>
      <c r="T106" s="240"/>
    </row>
    <row r="107" ht="16.5" customHeight="1">
      <c r="A107" s="242"/>
      <c r="B107" s="225" t="str">
        <f>IF(A107="","",IF(C107="","","LOT-"&amp;TEXT(A107,"YYYYMMDD")&amp;"-"&amp;TEXT(ROW()-3,"000")))</f>
        <v>#ERROR!</v>
      </c>
      <c r="C107" s="227"/>
      <c r="D107" s="227" t="str">
        <f>IFERROR(INDEX(Recettes!C:C,MATCH(C107,Recettes!B:B,0)),"")</f>
        <v>#ERROR!</v>
      </c>
      <c r="E107" s="227"/>
      <c r="F107" s="227"/>
      <c r="G107" s="227"/>
      <c r="H107" s="236" t="str">
        <f>IFERROR(IF(F107="","",IF(F107="100x4/4 (100 boc. ref.)",SWITCH(E107,"W60-050",320,"W60-080",280,"W60-160",220,"RR100-290",130,"RR100-370",120,"RR100-580",130,"RR100-850",64,"RR100-1050",55,"RR100-1550",40,100),IF(F107="200x4/4 (200 boc. ref.)",SWITCH(E107,"W60-050",640,"W60-080",560,"W60-160",440,"RR100-290",260,"RR100-370",240,"RR100-580",260,"RR100-850",128,"RR100-1050",110,"RR100-1550",80,200),IF(F107="100L eau (~20 boc.)",SWITCH(E107,"W60-050",60,"W60-080",50,"W60-160",40,"RR100-290",28,"RR100-370",24,"RR100-580",20,"RR100-850",12,"RR100-1050",10,"RR100-1550",6,15),"")))),"")</f>
        <v>#ERROR!</v>
      </c>
      <c r="I107" s="243" t="str">
        <f>IFERROR(IF(OR(H107="",G107=""),"",ROUND(H107*SWITCH(G107,"1/4",0.25,"1/2",0.5,"3/4",0.75,"Complet",1,1),0)),"")</f>
        <v>#ERROR!</v>
      </c>
      <c r="J107" s="227"/>
      <c r="K107" s="230" t="str">
        <f>IFERROR(J107/I107,"")</f>
        <v>#ERROR!</v>
      </c>
      <c r="L107" s="227"/>
      <c r="M107" s="227"/>
      <c r="N107" s="227"/>
      <c r="O107" s="227"/>
      <c r="P107" s="227"/>
      <c r="Q107" s="232" t="str">
        <f>IFERROR(IF(A107="","",A107+IFERROR(INDEX(Config!B:B,MATCH("DDM appertisation standard (mois)",Config!A:A,0)),36)*30),"")</f>
        <v>#ERROR!</v>
      </c>
      <c r="R107" s="227"/>
      <c r="S107" s="227"/>
      <c r="T107" s="233"/>
    </row>
    <row r="108" ht="16.5" customHeight="1">
      <c r="A108" s="242"/>
      <c r="B108" s="225" t="str">
        <f>IF(A108="","",IF(C108="","","LOT-"&amp;TEXT(A108,"YYYYMMDD")&amp;"-"&amp;TEXT(ROW()-3,"000")))</f>
        <v>#ERROR!</v>
      </c>
      <c r="C108" s="235"/>
      <c r="D108" s="235" t="str">
        <f>IFERROR(INDEX(Recettes!C:C,MATCH(C108,Recettes!B:B,0)),"")</f>
        <v>#ERROR!</v>
      </c>
      <c r="E108" s="235"/>
      <c r="F108" s="235"/>
      <c r="G108" s="235"/>
      <c r="H108" s="236" t="str">
        <f>IFERROR(IF(F108="","",IF(F108="100x4/4 (100 boc. ref.)",SWITCH(E108,"W60-050",320,"W60-080",280,"W60-160",220,"RR100-290",130,"RR100-370",120,"RR100-580",130,"RR100-850",64,"RR100-1050",55,"RR100-1550",40,100),IF(F108="200x4/4 (200 boc. ref.)",SWITCH(E108,"W60-050",640,"W60-080",560,"W60-160",440,"RR100-290",260,"RR100-370",240,"RR100-580",260,"RR100-850",128,"RR100-1050",110,"RR100-1550",80,200),IF(F108="100L eau (~20 boc.)",SWITCH(E108,"W60-050",60,"W60-080",50,"W60-160",40,"RR100-290",28,"RR100-370",24,"RR100-580",20,"RR100-850",12,"RR100-1050",10,"RR100-1550",6,15),"")))),"")</f>
        <v>#ERROR!</v>
      </c>
      <c r="I108" s="243" t="str">
        <f>IFERROR(IF(OR(H108="",G108=""),"",ROUND(H108*SWITCH(G108,"1/4",0.25,"1/2",0.5,"3/4",0.75,"Complet",1,1),0)),"")</f>
        <v>#ERROR!</v>
      </c>
      <c r="J108" s="235"/>
      <c r="K108" s="237" t="str">
        <f>IFERROR(J108/I108,"")</f>
        <v>#ERROR!</v>
      </c>
      <c r="L108" s="235"/>
      <c r="M108" s="235"/>
      <c r="N108" s="235"/>
      <c r="O108" s="235"/>
      <c r="P108" s="235"/>
      <c r="Q108" s="239" t="str">
        <f>IFERROR(IF(A108="","",A108+IFERROR(INDEX(Config!B:B,MATCH("DDM appertisation standard (mois)",Config!A:A,0)),36)*30),"")</f>
        <v>#ERROR!</v>
      </c>
      <c r="R108" s="235"/>
      <c r="S108" s="235"/>
      <c r="T108" s="240"/>
    </row>
    <row r="109" ht="16.5" customHeight="1">
      <c r="A109" s="242"/>
      <c r="B109" s="225" t="str">
        <f>IF(A109="","",IF(C109="","","LOT-"&amp;TEXT(A109,"YYYYMMDD")&amp;"-"&amp;TEXT(ROW()-3,"000")))</f>
        <v>#ERROR!</v>
      </c>
      <c r="C109" s="227"/>
      <c r="D109" s="227" t="str">
        <f>IFERROR(INDEX(Recettes!C:C,MATCH(C109,Recettes!B:B,0)),"")</f>
        <v>#ERROR!</v>
      </c>
      <c r="E109" s="227"/>
      <c r="F109" s="227"/>
      <c r="G109" s="227"/>
      <c r="H109" s="236" t="str">
        <f>IFERROR(IF(F109="","",IF(F109="100x4/4 (100 boc. ref.)",SWITCH(E109,"W60-050",320,"W60-080",280,"W60-160",220,"RR100-290",130,"RR100-370",120,"RR100-580",130,"RR100-850",64,"RR100-1050",55,"RR100-1550",40,100),IF(F109="200x4/4 (200 boc. ref.)",SWITCH(E109,"W60-050",640,"W60-080",560,"W60-160",440,"RR100-290",260,"RR100-370",240,"RR100-580",260,"RR100-850",128,"RR100-1050",110,"RR100-1550",80,200),IF(F109="100L eau (~20 boc.)",SWITCH(E109,"W60-050",60,"W60-080",50,"W60-160",40,"RR100-290",28,"RR100-370",24,"RR100-580",20,"RR100-850",12,"RR100-1050",10,"RR100-1550",6,15),"")))),"")</f>
        <v>#ERROR!</v>
      </c>
      <c r="I109" s="243" t="str">
        <f>IFERROR(IF(OR(H109="",G109=""),"",ROUND(H109*SWITCH(G109,"1/4",0.25,"1/2",0.5,"3/4",0.75,"Complet",1,1),0)),"")</f>
        <v>#ERROR!</v>
      </c>
      <c r="J109" s="227"/>
      <c r="K109" s="230" t="str">
        <f>IFERROR(J109/I109,"")</f>
        <v>#ERROR!</v>
      </c>
      <c r="L109" s="227"/>
      <c r="M109" s="227"/>
      <c r="N109" s="227"/>
      <c r="O109" s="227"/>
      <c r="P109" s="227"/>
      <c r="Q109" s="232" t="str">
        <f>IFERROR(IF(A109="","",A109+IFERROR(INDEX(Config!B:B,MATCH("DDM appertisation standard (mois)",Config!A:A,0)),36)*30),"")</f>
        <v>#ERROR!</v>
      </c>
      <c r="R109" s="227"/>
      <c r="S109" s="227"/>
      <c r="T109" s="233"/>
    </row>
    <row r="110" ht="16.5" customHeight="1">
      <c r="A110" s="242"/>
      <c r="B110" s="225" t="str">
        <f>IF(A110="","",IF(C110="","","LOT-"&amp;TEXT(A110,"YYYYMMDD")&amp;"-"&amp;TEXT(ROW()-3,"000")))</f>
        <v>#ERROR!</v>
      </c>
      <c r="C110" s="235"/>
      <c r="D110" s="235" t="str">
        <f>IFERROR(INDEX(Recettes!C:C,MATCH(C110,Recettes!B:B,0)),"")</f>
        <v>#ERROR!</v>
      </c>
      <c r="E110" s="235"/>
      <c r="F110" s="235"/>
      <c r="G110" s="235"/>
      <c r="H110" s="236" t="str">
        <f>IFERROR(IF(F110="","",IF(F110="100x4/4 (100 boc. ref.)",SWITCH(E110,"W60-050",320,"W60-080",280,"W60-160",220,"RR100-290",130,"RR100-370",120,"RR100-580",130,"RR100-850",64,"RR100-1050",55,"RR100-1550",40,100),IF(F110="200x4/4 (200 boc. ref.)",SWITCH(E110,"W60-050",640,"W60-080",560,"W60-160",440,"RR100-290",260,"RR100-370",240,"RR100-580",260,"RR100-850",128,"RR100-1050",110,"RR100-1550",80,200),IF(F110="100L eau (~20 boc.)",SWITCH(E110,"W60-050",60,"W60-080",50,"W60-160",40,"RR100-290",28,"RR100-370",24,"RR100-580",20,"RR100-850",12,"RR100-1050",10,"RR100-1550",6,15),"")))),"")</f>
        <v>#ERROR!</v>
      </c>
      <c r="I110" s="243" t="str">
        <f>IFERROR(IF(OR(H110="",G110=""),"",ROUND(H110*SWITCH(G110,"1/4",0.25,"1/2",0.5,"3/4",0.75,"Complet",1,1),0)),"")</f>
        <v>#ERROR!</v>
      </c>
      <c r="J110" s="235"/>
      <c r="K110" s="237" t="str">
        <f>IFERROR(J110/I110,"")</f>
        <v>#ERROR!</v>
      </c>
      <c r="L110" s="235"/>
      <c r="M110" s="235"/>
      <c r="N110" s="235"/>
      <c r="O110" s="235"/>
      <c r="P110" s="235"/>
      <c r="Q110" s="239" t="str">
        <f>IFERROR(IF(A110="","",A110+IFERROR(INDEX(Config!B:B,MATCH("DDM appertisation standard (mois)",Config!A:A,0)),36)*30),"")</f>
        <v>#ERROR!</v>
      </c>
      <c r="R110" s="235"/>
      <c r="S110" s="235"/>
      <c r="T110" s="240"/>
    </row>
    <row r="111" ht="16.5" customHeight="1">
      <c r="A111" s="242"/>
      <c r="B111" s="225" t="str">
        <f>IF(A111="","",IF(C111="","","LOT-"&amp;TEXT(A111,"YYYYMMDD")&amp;"-"&amp;TEXT(ROW()-3,"000")))</f>
        <v>#ERROR!</v>
      </c>
      <c r="C111" s="227"/>
      <c r="D111" s="227" t="str">
        <f>IFERROR(INDEX(Recettes!C:C,MATCH(C111,Recettes!B:B,0)),"")</f>
        <v>#ERROR!</v>
      </c>
      <c r="E111" s="227"/>
      <c r="F111" s="227"/>
      <c r="G111" s="227"/>
      <c r="H111" s="236" t="str">
        <f>IFERROR(IF(F111="","",IF(F111="100x4/4 (100 boc. ref.)",SWITCH(E111,"W60-050",320,"W60-080",280,"W60-160",220,"RR100-290",130,"RR100-370",120,"RR100-580",130,"RR100-850",64,"RR100-1050",55,"RR100-1550",40,100),IF(F111="200x4/4 (200 boc. ref.)",SWITCH(E111,"W60-050",640,"W60-080",560,"W60-160",440,"RR100-290",260,"RR100-370",240,"RR100-580",260,"RR100-850",128,"RR100-1050",110,"RR100-1550",80,200),IF(F111="100L eau (~20 boc.)",SWITCH(E111,"W60-050",60,"W60-080",50,"W60-160",40,"RR100-290",28,"RR100-370",24,"RR100-580",20,"RR100-850",12,"RR100-1050",10,"RR100-1550",6,15),"")))),"")</f>
        <v>#ERROR!</v>
      </c>
      <c r="I111" s="243" t="str">
        <f>IFERROR(IF(OR(H111="",G111=""),"",ROUND(H111*SWITCH(G111,"1/4",0.25,"1/2",0.5,"3/4",0.75,"Complet",1,1),0)),"")</f>
        <v>#ERROR!</v>
      </c>
      <c r="J111" s="227"/>
      <c r="K111" s="230" t="str">
        <f>IFERROR(J111/I111,"")</f>
        <v>#ERROR!</v>
      </c>
      <c r="L111" s="227"/>
      <c r="M111" s="227"/>
      <c r="N111" s="227"/>
      <c r="O111" s="227"/>
      <c r="P111" s="227"/>
      <c r="Q111" s="232" t="str">
        <f>IFERROR(IF(A111="","",A111+IFERROR(INDEX(Config!B:B,MATCH("DDM appertisation standard (mois)",Config!A:A,0)),36)*30),"")</f>
        <v>#ERROR!</v>
      </c>
      <c r="R111" s="227"/>
      <c r="S111" s="227"/>
      <c r="T111" s="233"/>
    </row>
    <row r="112" ht="16.5" customHeight="1">
      <c r="A112" s="242"/>
      <c r="B112" s="225" t="str">
        <f>IF(A112="","",IF(C112="","","LOT-"&amp;TEXT(A112,"YYYYMMDD")&amp;"-"&amp;TEXT(ROW()-3,"000")))</f>
        <v>#ERROR!</v>
      </c>
      <c r="C112" s="235"/>
      <c r="D112" s="235" t="str">
        <f>IFERROR(INDEX(Recettes!C:C,MATCH(C112,Recettes!B:B,0)),"")</f>
        <v>#ERROR!</v>
      </c>
      <c r="E112" s="235"/>
      <c r="F112" s="235"/>
      <c r="G112" s="235"/>
      <c r="H112" s="236" t="str">
        <f>IFERROR(IF(F112="","",IF(F112="100x4/4 (100 boc. ref.)",SWITCH(E112,"W60-050",320,"W60-080",280,"W60-160",220,"RR100-290",130,"RR100-370",120,"RR100-580",130,"RR100-850",64,"RR100-1050",55,"RR100-1550",40,100),IF(F112="200x4/4 (200 boc. ref.)",SWITCH(E112,"W60-050",640,"W60-080",560,"W60-160",440,"RR100-290",260,"RR100-370",240,"RR100-580",260,"RR100-850",128,"RR100-1050",110,"RR100-1550",80,200),IF(F112="100L eau (~20 boc.)",SWITCH(E112,"W60-050",60,"W60-080",50,"W60-160",40,"RR100-290",28,"RR100-370",24,"RR100-580",20,"RR100-850",12,"RR100-1050",10,"RR100-1550",6,15),"")))),"")</f>
        <v>#ERROR!</v>
      </c>
      <c r="I112" s="243" t="str">
        <f>IFERROR(IF(OR(H112="",G112=""),"",ROUND(H112*SWITCH(G112,"1/4",0.25,"1/2",0.5,"3/4",0.75,"Complet",1,1),0)),"")</f>
        <v>#ERROR!</v>
      </c>
      <c r="J112" s="235"/>
      <c r="K112" s="237" t="str">
        <f>IFERROR(J112/I112,"")</f>
        <v>#ERROR!</v>
      </c>
      <c r="L112" s="235"/>
      <c r="M112" s="235"/>
      <c r="N112" s="235"/>
      <c r="O112" s="235"/>
      <c r="P112" s="235"/>
      <c r="Q112" s="239" t="str">
        <f>IFERROR(IF(A112="","",A112+IFERROR(INDEX(Config!B:B,MATCH("DDM appertisation standard (mois)",Config!A:A,0)),36)*30),"")</f>
        <v>#ERROR!</v>
      </c>
      <c r="R112" s="235"/>
      <c r="S112" s="235"/>
      <c r="T112" s="240"/>
    </row>
    <row r="113" ht="16.5" customHeight="1">
      <c r="A113" s="242"/>
      <c r="B113" s="225" t="str">
        <f>IF(A113="","",IF(C113="","","LOT-"&amp;TEXT(A113,"YYYYMMDD")&amp;"-"&amp;TEXT(ROW()-3,"000")))</f>
        <v>#ERROR!</v>
      </c>
      <c r="C113" s="227"/>
      <c r="D113" s="227" t="str">
        <f>IFERROR(INDEX(Recettes!C:C,MATCH(C113,Recettes!B:B,0)),"")</f>
        <v>#ERROR!</v>
      </c>
      <c r="E113" s="227"/>
      <c r="F113" s="227"/>
      <c r="G113" s="227"/>
      <c r="H113" s="236" t="str">
        <f>IFERROR(IF(F113="","",IF(F113="100x4/4 (100 boc. ref.)",SWITCH(E113,"W60-050",320,"W60-080",280,"W60-160",220,"RR100-290",130,"RR100-370",120,"RR100-580",130,"RR100-850",64,"RR100-1050",55,"RR100-1550",40,100),IF(F113="200x4/4 (200 boc. ref.)",SWITCH(E113,"W60-050",640,"W60-080",560,"W60-160",440,"RR100-290",260,"RR100-370",240,"RR100-580",260,"RR100-850",128,"RR100-1050",110,"RR100-1550",80,200),IF(F113="100L eau (~20 boc.)",SWITCH(E113,"W60-050",60,"W60-080",50,"W60-160",40,"RR100-290",28,"RR100-370",24,"RR100-580",20,"RR100-850",12,"RR100-1050",10,"RR100-1550",6,15),"")))),"")</f>
        <v>#ERROR!</v>
      </c>
      <c r="I113" s="243" t="str">
        <f>IFERROR(IF(OR(H113="",G113=""),"",ROUND(H113*SWITCH(G113,"1/4",0.25,"1/2",0.5,"3/4",0.75,"Complet",1,1),0)),"")</f>
        <v>#ERROR!</v>
      </c>
      <c r="J113" s="227"/>
      <c r="K113" s="230" t="str">
        <f>IFERROR(J113/I113,"")</f>
        <v>#ERROR!</v>
      </c>
      <c r="L113" s="227"/>
      <c r="M113" s="227"/>
      <c r="N113" s="227"/>
      <c r="O113" s="227"/>
      <c r="P113" s="227"/>
      <c r="Q113" s="232" t="str">
        <f>IFERROR(IF(A113="","",A113+IFERROR(INDEX(Config!B:B,MATCH("DDM appertisation standard (mois)",Config!A:A,0)),36)*30),"")</f>
        <v>#ERROR!</v>
      </c>
      <c r="R113" s="227"/>
      <c r="S113" s="227"/>
      <c r="T113" s="233"/>
    </row>
    <row r="114" ht="16.5" customHeight="1">
      <c r="A114" s="242"/>
      <c r="B114" s="225" t="str">
        <f>IF(A114="","",IF(C114="","","LOT-"&amp;TEXT(A114,"YYYYMMDD")&amp;"-"&amp;TEXT(ROW()-3,"000")))</f>
        <v>#ERROR!</v>
      </c>
      <c r="C114" s="235"/>
      <c r="D114" s="235" t="str">
        <f>IFERROR(INDEX(Recettes!C:C,MATCH(C114,Recettes!B:B,0)),"")</f>
        <v>#ERROR!</v>
      </c>
      <c r="E114" s="235"/>
      <c r="F114" s="235"/>
      <c r="G114" s="235"/>
      <c r="H114" s="236" t="str">
        <f>IFERROR(IF(F114="","",IF(F114="100x4/4 (100 boc. ref.)",SWITCH(E114,"W60-050",320,"W60-080",280,"W60-160",220,"RR100-290",130,"RR100-370",120,"RR100-580",130,"RR100-850",64,"RR100-1050",55,"RR100-1550",40,100),IF(F114="200x4/4 (200 boc. ref.)",SWITCH(E114,"W60-050",640,"W60-080",560,"W60-160",440,"RR100-290",260,"RR100-370",240,"RR100-580",260,"RR100-850",128,"RR100-1050",110,"RR100-1550",80,200),IF(F114="100L eau (~20 boc.)",SWITCH(E114,"W60-050",60,"W60-080",50,"W60-160",40,"RR100-290",28,"RR100-370",24,"RR100-580",20,"RR100-850",12,"RR100-1050",10,"RR100-1550",6,15),"")))),"")</f>
        <v>#ERROR!</v>
      </c>
      <c r="I114" s="243" t="str">
        <f>IFERROR(IF(OR(H114="",G114=""),"",ROUND(H114*SWITCH(G114,"1/4",0.25,"1/2",0.5,"3/4",0.75,"Complet",1,1),0)),"")</f>
        <v>#ERROR!</v>
      </c>
      <c r="J114" s="235"/>
      <c r="K114" s="237" t="str">
        <f>IFERROR(J114/I114,"")</f>
        <v>#ERROR!</v>
      </c>
      <c r="L114" s="235"/>
      <c r="M114" s="235"/>
      <c r="N114" s="235"/>
      <c r="O114" s="235"/>
      <c r="P114" s="235"/>
      <c r="Q114" s="239" t="str">
        <f>IFERROR(IF(A114="","",A114+IFERROR(INDEX(Config!B:B,MATCH("DDM appertisation standard (mois)",Config!A:A,0)),36)*30),"")</f>
        <v>#ERROR!</v>
      </c>
      <c r="R114" s="235"/>
      <c r="S114" s="235"/>
      <c r="T114" s="240"/>
    </row>
    <row r="115" ht="16.5" customHeight="1">
      <c r="A115" s="242"/>
      <c r="B115" s="225" t="str">
        <f>IF(A115="","",IF(C115="","","LOT-"&amp;TEXT(A115,"YYYYMMDD")&amp;"-"&amp;TEXT(ROW()-3,"000")))</f>
        <v>#ERROR!</v>
      </c>
      <c r="C115" s="227"/>
      <c r="D115" s="227" t="str">
        <f>IFERROR(INDEX(Recettes!C:C,MATCH(C115,Recettes!B:B,0)),"")</f>
        <v>#ERROR!</v>
      </c>
      <c r="E115" s="227"/>
      <c r="F115" s="227"/>
      <c r="G115" s="227"/>
      <c r="H115" s="236" t="str">
        <f>IFERROR(IF(F115="","",IF(F115="100x4/4 (100 boc. ref.)",SWITCH(E115,"W60-050",320,"W60-080",280,"W60-160",220,"RR100-290",130,"RR100-370",120,"RR100-580",130,"RR100-850",64,"RR100-1050",55,"RR100-1550",40,100),IF(F115="200x4/4 (200 boc. ref.)",SWITCH(E115,"W60-050",640,"W60-080",560,"W60-160",440,"RR100-290",260,"RR100-370",240,"RR100-580",260,"RR100-850",128,"RR100-1050",110,"RR100-1550",80,200),IF(F115="100L eau (~20 boc.)",SWITCH(E115,"W60-050",60,"W60-080",50,"W60-160",40,"RR100-290",28,"RR100-370",24,"RR100-580",20,"RR100-850",12,"RR100-1050",10,"RR100-1550",6,15),"")))),"")</f>
        <v>#ERROR!</v>
      </c>
      <c r="I115" s="243" t="str">
        <f>IFERROR(IF(OR(H115="",G115=""),"",ROUND(H115*SWITCH(G115,"1/4",0.25,"1/2",0.5,"3/4",0.75,"Complet",1,1),0)),"")</f>
        <v>#ERROR!</v>
      </c>
      <c r="J115" s="227"/>
      <c r="K115" s="230" t="str">
        <f>IFERROR(J115/I115,"")</f>
        <v>#ERROR!</v>
      </c>
      <c r="L115" s="227"/>
      <c r="M115" s="227"/>
      <c r="N115" s="227"/>
      <c r="O115" s="227"/>
      <c r="P115" s="227"/>
      <c r="Q115" s="232" t="str">
        <f>IFERROR(IF(A115="","",A115+IFERROR(INDEX(Config!B:B,MATCH("DDM appertisation standard (mois)",Config!A:A,0)),36)*30),"")</f>
        <v>#ERROR!</v>
      </c>
      <c r="R115" s="227"/>
      <c r="S115" s="227"/>
      <c r="T115" s="233"/>
    </row>
    <row r="116" ht="16.5" customHeight="1">
      <c r="A116" s="242"/>
      <c r="B116" s="225" t="str">
        <f>IF(A116="","",IF(C116="","","LOT-"&amp;TEXT(A116,"YYYYMMDD")&amp;"-"&amp;TEXT(ROW()-3,"000")))</f>
        <v>#ERROR!</v>
      </c>
      <c r="C116" s="235"/>
      <c r="D116" s="235" t="str">
        <f>IFERROR(INDEX(Recettes!C:C,MATCH(C116,Recettes!B:B,0)),"")</f>
        <v>#ERROR!</v>
      </c>
      <c r="E116" s="235"/>
      <c r="F116" s="235"/>
      <c r="G116" s="235"/>
      <c r="H116" s="236" t="str">
        <f>IFERROR(IF(F116="","",IF(F116="100x4/4 (100 boc. ref.)",SWITCH(E116,"W60-050",320,"W60-080",280,"W60-160",220,"RR100-290",130,"RR100-370",120,"RR100-580",130,"RR100-850",64,"RR100-1050",55,"RR100-1550",40,100),IF(F116="200x4/4 (200 boc. ref.)",SWITCH(E116,"W60-050",640,"W60-080",560,"W60-160",440,"RR100-290",260,"RR100-370",240,"RR100-580",260,"RR100-850",128,"RR100-1050",110,"RR100-1550",80,200),IF(F116="100L eau (~20 boc.)",SWITCH(E116,"W60-050",60,"W60-080",50,"W60-160",40,"RR100-290",28,"RR100-370",24,"RR100-580",20,"RR100-850",12,"RR100-1050",10,"RR100-1550",6,15),"")))),"")</f>
        <v>#ERROR!</v>
      </c>
      <c r="I116" s="243" t="str">
        <f>IFERROR(IF(OR(H116="",G116=""),"",ROUND(H116*SWITCH(G116,"1/4",0.25,"1/2",0.5,"3/4",0.75,"Complet",1,1),0)),"")</f>
        <v>#ERROR!</v>
      </c>
      <c r="J116" s="235"/>
      <c r="K116" s="237" t="str">
        <f>IFERROR(J116/I116,"")</f>
        <v>#ERROR!</v>
      </c>
      <c r="L116" s="235"/>
      <c r="M116" s="235"/>
      <c r="N116" s="235"/>
      <c r="O116" s="235"/>
      <c r="P116" s="235"/>
      <c r="Q116" s="239" t="str">
        <f>IFERROR(IF(A116="","",A116+IFERROR(INDEX(Config!B:B,MATCH("DDM appertisation standard (mois)",Config!A:A,0)),36)*30),"")</f>
        <v>#ERROR!</v>
      </c>
      <c r="R116" s="235"/>
      <c r="S116" s="235"/>
      <c r="T116" s="240"/>
    </row>
    <row r="117" ht="16.5" customHeight="1">
      <c r="A117" s="242"/>
      <c r="B117" s="225" t="str">
        <f>IF(A117="","",IF(C117="","","LOT-"&amp;TEXT(A117,"YYYYMMDD")&amp;"-"&amp;TEXT(ROW()-3,"000")))</f>
        <v>#ERROR!</v>
      </c>
      <c r="C117" s="227"/>
      <c r="D117" s="227" t="str">
        <f>IFERROR(INDEX(Recettes!C:C,MATCH(C117,Recettes!B:B,0)),"")</f>
        <v>#ERROR!</v>
      </c>
      <c r="E117" s="227"/>
      <c r="F117" s="227"/>
      <c r="G117" s="227"/>
      <c r="H117" s="236" t="str">
        <f>IFERROR(IF(F117="","",IF(F117="100x4/4 (100 boc. ref.)",SWITCH(E117,"W60-050",320,"W60-080",280,"W60-160",220,"RR100-290",130,"RR100-370",120,"RR100-580",130,"RR100-850",64,"RR100-1050",55,"RR100-1550",40,100),IF(F117="200x4/4 (200 boc. ref.)",SWITCH(E117,"W60-050",640,"W60-080",560,"W60-160",440,"RR100-290",260,"RR100-370",240,"RR100-580",260,"RR100-850",128,"RR100-1050",110,"RR100-1550",80,200),IF(F117="100L eau (~20 boc.)",SWITCH(E117,"W60-050",60,"W60-080",50,"W60-160",40,"RR100-290",28,"RR100-370",24,"RR100-580",20,"RR100-850",12,"RR100-1050",10,"RR100-1550",6,15),"")))),"")</f>
        <v>#ERROR!</v>
      </c>
      <c r="I117" s="243" t="str">
        <f>IFERROR(IF(OR(H117="",G117=""),"",ROUND(H117*SWITCH(G117,"1/4",0.25,"1/2",0.5,"3/4",0.75,"Complet",1,1),0)),"")</f>
        <v>#ERROR!</v>
      </c>
      <c r="J117" s="227"/>
      <c r="K117" s="230" t="str">
        <f>IFERROR(J117/I117,"")</f>
        <v>#ERROR!</v>
      </c>
      <c r="L117" s="227"/>
      <c r="M117" s="227"/>
      <c r="N117" s="227"/>
      <c r="O117" s="227"/>
      <c r="P117" s="227"/>
      <c r="Q117" s="232" t="str">
        <f>IFERROR(IF(A117="","",A117+IFERROR(INDEX(Config!B:B,MATCH("DDM appertisation standard (mois)",Config!A:A,0)),36)*30),"")</f>
        <v>#ERROR!</v>
      </c>
      <c r="R117" s="227"/>
      <c r="S117" s="227"/>
      <c r="T117" s="233"/>
    </row>
    <row r="118" ht="16.5" customHeight="1">
      <c r="A118" s="242"/>
      <c r="B118" s="225" t="str">
        <f>IF(A118="","",IF(C118="","","LOT-"&amp;TEXT(A118,"YYYYMMDD")&amp;"-"&amp;TEXT(ROW()-3,"000")))</f>
        <v>#ERROR!</v>
      </c>
      <c r="C118" s="235"/>
      <c r="D118" s="235" t="str">
        <f>IFERROR(INDEX(Recettes!C:C,MATCH(C118,Recettes!B:B,0)),"")</f>
        <v>#ERROR!</v>
      </c>
      <c r="E118" s="235"/>
      <c r="F118" s="235"/>
      <c r="G118" s="235"/>
      <c r="H118" s="236" t="str">
        <f>IFERROR(IF(F118="","",IF(F118="100x4/4 (100 boc. ref.)",SWITCH(E118,"W60-050",320,"W60-080",280,"W60-160",220,"RR100-290",130,"RR100-370",120,"RR100-580",130,"RR100-850",64,"RR100-1050",55,"RR100-1550",40,100),IF(F118="200x4/4 (200 boc. ref.)",SWITCH(E118,"W60-050",640,"W60-080",560,"W60-160",440,"RR100-290",260,"RR100-370",240,"RR100-580",260,"RR100-850",128,"RR100-1050",110,"RR100-1550",80,200),IF(F118="100L eau (~20 boc.)",SWITCH(E118,"W60-050",60,"W60-080",50,"W60-160",40,"RR100-290",28,"RR100-370",24,"RR100-580",20,"RR100-850",12,"RR100-1050",10,"RR100-1550",6,15),"")))),"")</f>
        <v>#ERROR!</v>
      </c>
      <c r="I118" s="243" t="str">
        <f>IFERROR(IF(OR(H118="",G118=""),"",ROUND(H118*SWITCH(G118,"1/4",0.25,"1/2",0.5,"3/4",0.75,"Complet",1,1),0)),"")</f>
        <v>#ERROR!</v>
      </c>
      <c r="J118" s="235"/>
      <c r="K118" s="237" t="str">
        <f>IFERROR(J118/I118,"")</f>
        <v>#ERROR!</v>
      </c>
      <c r="L118" s="235"/>
      <c r="M118" s="235"/>
      <c r="N118" s="235"/>
      <c r="O118" s="235"/>
      <c r="P118" s="235"/>
      <c r="Q118" s="239" t="str">
        <f>IFERROR(IF(A118="","",A118+IFERROR(INDEX(Config!B:B,MATCH("DDM appertisation standard (mois)",Config!A:A,0)),36)*30),"")</f>
        <v>#ERROR!</v>
      </c>
      <c r="R118" s="235"/>
      <c r="S118" s="235"/>
      <c r="T118" s="240"/>
    </row>
    <row r="119" ht="16.5" customHeight="1">
      <c r="A119" s="242"/>
      <c r="B119" s="225" t="str">
        <f>IF(A119="","",IF(C119="","","LOT-"&amp;TEXT(A119,"YYYYMMDD")&amp;"-"&amp;TEXT(ROW()-3,"000")))</f>
        <v>#ERROR!</v>
      </c>
      <c r="C119" s="227"/>
      <c r="D119" s="227" t="str">
        <f>IFERROR(INDEX(Recettes!C:C,MATCH(C119,Recettes!B:B,0)),"")</f>
        <v>#ERROR!</v>
      </c>
      <c r="E119" s="227"/>
      <c r="F119" s="227"/>
      <c r="G119" s="227"/>
      <c r="H119" s="236" t="str">
        <f>IFERROR(IF(F119="","",IF(F119="100x4/4 (100 boc. ref.)",SWITCH(E119,"W60-050",320,"W60-080",280,"W60-160",220,"RR100-290",130,"RR100-370",120,"RR100-580",130,"RR100-850",64,"RR100-1050",55,"RR100-1550",40,100),IF(F119="200x4/4 (200 boc. ref.)",SWITCH(E119,"W60-050",640,"W60-080",560,"W60-160",440,"RR100-290",260,"RR100-370",240,"RR100-580",260,"RR100-850",128,"RR100-1050",110,"RR100-1550",80,200),IF(F119="100L eau (~20 boc.)",SWITCH(E119,"W60-050",60,"W60-080",50,"W60-160",40,"RR100-290",28,"RR100-370",24,"RR100-580",20,"RR100-850",12,"RR100-1050",10,"RR100-1550",6,15),"")))),"")</f>
        <v>#ERROR!</v>
      </c>
      <c r="I119" s="243" t="str">
        <f>IFERROR(IF(OR(H119="",G119=""),"",ROUND(H119*SWITCH(G119,"1/4",0.25,"1/2",0.5,"3/4",0.75,"Complet",1,1),0)),"")</f>
        <v>#ERROR!</v>
      </c>
      <c r="J119" s="227"/>
      <c r="K119" s="230" t="str">
        <f>IFERROR(J119/I119,"")</f>
        <v>#ERROR!</v>
      </c>
      <c r="L119" s="227"/>
      <c r="M119" s="227"/>
      <c r="N119" s="227"/>
      <c r="O119" s="227"/>
      <c r="P119" s="227"/>
      <c r="Q119" s="232" t="str">
        <f>IFERROR(IF(A119="","",A119+IFERROR(INDEX(Config!B:B,MATCH("DDM appertisation standard (mois)",Config!A:A,0)),36)*30),"")</f>
        <v>#ERROR!</v>
      </c>
      <c r="R119" s="227"/>
      <c r="S119" s="227"/>
      <c r="T119" s="233"/>
    </row>
    <row r="120" ht="16.5" customHeight="1">
      <c r="A120" s="242"/>
      <c r="B120" s="225" t="str">
        <f>IF(A120="","",IF(C120="","","LOT-"&amp;TEXT(A120,"YYYYMMDD")&amp;"-"&amp;TEXT(ROW()-3,"000")))</f>
        <v>#ERROR!</v>
      </c>
      <c r="C120" s="235"/>
      <c r="D120" s="235" t="str">
        <f>IFERROR(INDEX(Recettes!C:C,MATCH(C120,Recettes!B:B,0)),"")</f>
        <v>#ERROR!</v>
      </c>
      <c r="E120" s="235"/>
      <c r="F120" s="235"/>
      <c r="G120" s="235"/>
      <c r="H120" s="236" t="str">
        <f>IFERROR(IF(F120="","",IF(F120="100x4/4 (100 boc. ref.)",SWITCH(E120,"W60-050",320,"W60-080",280,"W60-160",220,"RR100-290",130,"RR100-370",120,"RR100-580",130,"RR100-850",64,"RR100-1050",55,"RR100-1550",40,100),IF(F120="200x4/4 (200 boc. ref.)",SWITCH(E120,"W60-050",640,"W60-080",560,"W60-160",440,"RR100-290",260,"RR100-370",240,"RR100-580",260,"RR100-850",128,"RR100-1050",110,"RR100-1550",80,200),IF(F120="100L eau (~20 boc.)",SWITCH(E120,"W60-050",60,"W60-080",50,"W60-160",40,"RR100-290",28,"RR100-370",24,"RR100-580",20,"RR100-850",12,"RR100-1050",10,"RR100-1550",6,15),"")))),"")</f>
        <v>#ERROR!</v>
      </c>
      <c r="I120" s="243" t="str">
        <f>IFERROR(IF(OR(H120="",G120=""),"",ROUND(H120*SWITCH(G120,"1/4",0.25,"1/2",0.5,"3/4",0.75,"Complet",1,1),0)),"")</f>
        <v>#ERROR!</v>
      </c>
      <c r="J120" s="235"/>
      <c r="K120" s="237" t="str">
        <f>IFERROR(J120/I120,"")</f>
        <v>#ERROR!</v>
      </c>
      <c r="L120" s="235"/>
      <c r="M120" s="235"/>
      <c r="N120" s="235"/>
      <c r="O120" s="235"/>
      <c r="P120" s="235"/>
      <c r="Q120" s="239" t="str">
        <f>IFERROR(IF(A120="","",A120+IFERROR(INDEX(Config!B:B,MATCH("DDM appertisation standard (mois)",Config!A:A,0)),36)*30),"")</f>
        <v>#ERROR!</v>
      </c>
      <c r="R120" s="235"/>
      <c r="S120" s="235"/>
      <c r="T120" s="240"/>
    </row>
    <row r="121" ht="16.5" customHeight="1">
      <c r="A121" s="242"/>
      <c r="B121" s="225" t="str">
        <f>IF(A121="","",IF(C121="","","LOT-"&amp;TEXT(A121,"YYYYMMDD")&amp;"-"&amp;TEXT(ROW()-3,"000")))</f>
        <v>#ERROR!</v>
      </c>
      <c r="C121" s="227"/>
      <c r="D121" s="227" t="str">
        <f>IFERROR(INDEX(Recettes!C:C,MATCH(C121,Recettes!B:B,0)),"")</f>
        <v>#ERROR!</v>
      </c>
      <c r="E121" s="227"/>
      <c r="F121" s="227"/>
      <c r="G121" s="227"/>
      <c r="H121" s="236" t="str">
        <f>IFERROR(IF(F121="","",IF(F121="100x4/4 (100 boc. ref.)",SWITCH(E121,"W60-050",320,"W60-080",280,"W60-160",220,"RR100-290",130,"RR100-370",120,"RR100-580",130,"RR100-850",64,"RR100-1050",55,"RR100-1550",40,100),IF(F121="200x4/4 (200 boc. ref.)",SWITCH(E121,"W60-050",640,"W60-080",560,"W60-160",440,"RR100-290",260,"RR100-370",240,"RR100-580",260,"RR100-850",128,"RR100-1050",110,"RR100-1550",80,200),IF(F121="100L eau (~20 boc.)",SWITCH(E121,"W60-050",60,"W60-080",50,"W60-160",40,"RR100-290",28,"RR100-370",24,"RR100-580",20,"RR100-850",12,"RR100-1050",10,"RR100-1550",6,15),"")))),"")</f>
        <v>#ERROR!</v>
      </c>
      <c r="I121" s="243" t="str">
        <f>IFERROR(IF(OR(H121="",G121=""),"",ROUND(H121*SWITCH(G121,"1/4",0.25,"1/2",0.5,"3/4",0.75,"Complet",1,1),0)),"")</f>
        <v>#ERROR!</v>
      </c>
      <c r="J121" s="227"/>
      <c r="K121" s="230" t="str">
        <f>IFERROR(J121/I121,"")</f>
        <v>#ERROR!</v>
      </c>
      <c r="L121" s="227"/>
      <c r="M121" s="227"/>
      <c r="N121" s="227"/>
      <c r="O121" s="227"/>
      <c r="P121" s="227"/>
      <c r="Q121" s="232" t="str">
        <f>IFERROR(IF(A121="","",A121+IFERROR(INDEX(Config!B:B,MATCH("DDM appertisation standard (mois)",Config!A:A,0)),36)*30),"")</f>
        <v>#ERROR!</v>
      </c>
      <c r="R121" s="227"/>
      <c r="S121" s="227"/>
      <c r="T121" s="233"/>
    </row>
    <row r="122" ht="16.5" customHeight="1">
      <c r="A122" s="242"/>
      <c r="B122" s="225" t="str">
        <f>IF(A122="","",IF(C122="","","LOT-"&amp;TEXT(A122,"YYYYMMDD")&amp;"-"&amp;TEXT(ROW()-3,"000")))</f>
        <v>#ERROR!</v>
      </c>
      <c r="C122" s="235"/>
      <c r="D122" s="235" t="str">
        <f>IFERROR(INDEX(Recettes!C:C,MATCH(C122,Recettes!B:B,0)),"")</f>
        <v>#ERROR!</v>
      </c>
      <c r="E122" s="235"/>
      <c r="F122" s="235"/>
      <c r="G122" s="235"/>
      <c r="H122" s="236" t="str">
        <f>IFERROR(IF(F122="","",IF(F122="100x4/4 (100 boc. ref.)",SWITCH(E122,"W60-050",320,"W60-080",280,"W60-160",220,"RR100-290",130,"RR100-370",120,"RR100-580",130,"RR100-850",64,"RR100-1050",55,"RR100-1550",40,100),IF(F122="200x4/4 (200 boc. ref.)",SWITCH(E122,"W60-050",640,"W60-080",560,"W60-160",440,"RR100-290",260,"RR100-370",240,"RR100-580",260,"RR100-850",128,"RR100-1050",110,"RR100-1550",80,200),IF(F122="100L eau (~20 boc.)",SWITCH(E122,"W60-050",60,"W60-080",50,"W60-160",40,"RR100-290",28,"RR100-370",24,"RR100-580",20,"RR100-850",12,"RR100-1050",10,"RR100-1550",6,15),"")))),"")</f>
        <v>#ERROR!</v>
      </c>
      <c r="I122" s="243" t="str">
        <f>IFERROR(IF(OR(H122="",G122=""),"",ROUND(H122*SWITCH(G122,"1/4",0.25,"1/2",0.5,"3/4",0.75,"Complet",1,1),0)),"")</f>
        <v>#ERROR!</v>
      </c>
      <c r="J122" s="235"/>
      <c r="K122" s="237" t="str">
        <f>IFERROR(J122/I122,"")</f>
        <v>#ERROR!</v>
      </c>
      <c r="L122" s="235"/>
      <c r="M122" s="235"/>
      <c r="N122" s="235"/>
      <c r="O122" s="235"/>
      <c r="P122" s="235"/>
      <c r="Q122" s="239" t="str">
        <f>IFERROR(IF(A122="","",A122+IFERROR(INDEX(Config!B:B,MATCH("DDM appertisation standard (mois)",Config!A:A,0)),36)*30),"")</f>
        <v>#ERROR!</v>
      </c>
      <c r="R122" s="235"/>
      <c r="S122" s="235"/>
      <c r="T122" s="240"/>
    </row>
    <row r="123" ht="16.5" customHeight="1">
      <c r="A123" s="242"/>
      <c r="B123" s="225" t="str">
        <f>IF(A123="","",IF(C123="","","LOT-"&amp;TEXT(A123,"YYYYMMDD")&amp;"-"&amp;TEXT(ROW()-3,"000")))</f>
        <v>#ERROR!</v>
      </c>
      <c r="C123" s="227"/>
      <c r="D123" s="227" t="str">
        <f>IFERROR(INDEX(Recettes!C:C,MATCH(C123,Recettes!B:B,0)),"")</f>
        <v>#ERROR!</v>
      </c>
      <c r="E123" s="227"/>
      <c r="F123" s="227"/>
      <c r="G123" s="227"/>
      <c r="H123" s="236" t="str">
        <f>IFERROR(IF(F123="","",IF(F123="100x4/4 (100 boc. ref.)",SWITCH(E123,"W60-050",320,"W60-080",280,"W60-160",220,"RR100-290",130,"RR100-370",120,"RR100-580",130,"RR100-850",64,"RR100-1050",55,"RR100-1550",40,100),IF(F123="200x4/4 (200 boc. ref.)",SWITCH(E123,"W60-050",640,"W60-080",560,"W60-160",440,"RR100-290",260,"RR100-370",240,"RR100-580",260,"RR100-850",128,"RR100-1050",110,"RR100-1550",80,200),IF(F123="100L eau (~20 boc.)",SWITCH(E123,"W60-050",60,"W60-080",50,"W60-160",40,"RR100-290",28,"RR100-370",24,"RR100-580",20,"RR100-850",12,"RR100-1050",10,"RR100-1550",6,15),"")))),"")</f>
        <v>#ERROR!</v>
      </c>
      <c r="I123" s="243" t="str">
        <f>IFERROR(IF(OR(H123="",G123=""),"",ROUND(H123*SWITCH(G123,"1/4",0.25,"1/2",0.5,"3/4",0.75,"Complet",1,1),0)),"")</f>
        <v>#ERROR!</v>
      </c>
      <c r="J123" s="227"/>
      <c r="K123" s="230" t="str">
        <f>IFERROR(J123/I123,"")</f>
        <v>#ERROR!</v>
      </c>
      <c r="L123" s="227"/>
      <c r="M123" s="227"/>
      <c r="N123" s="227"/>
      <c r="O123" s="227"/>
      <c r="P123" s="227"/>
      <c r="Q123" s="232" t="str">
        <f>IFERROR(IF(A123="","",A123+IFERROR(INDEX(Config!B:B,MATCH("DDM appertisation standard (mois)",Config!A:A,0)),36)*30),"")</f>
        <v>#ERROR!</v>
      </c>
      <c r="R123" s="227"/>
      <c r="S123" s="227"/>
      <c r="T123" s="233"/>
    </row>
    <row r="124" ht="16.5" customHeight="1">
      <c r="A124" s="242"/>
      <c r="B124" s="225" t="str">
        <f>IF(A124="","",IF(C124="","","LOT-"&amp;TEXT(A124,"YYYYMMDD")&amp;"-"&amp;TEXT(ROW()-3,"000")))</f>
        <v>#ERROR!</v>
      </c>
      <c r="C124" s="235"/>
      <c r="D124" s="235" t="str">
        <f>IFERROR(INDEX(Recettes!C:C,MATCH(C124,Recettes!B:B,0)),"")</f>
        <v>#ERROR!</v>
      </c>
      <c r="E124" s="235"/>
      <c r="F124" s="235"/>
      <c r="G124" s="235"/>
      <c r="H124" s="236" t="str">
        <f>IFERROR(IF(F124="","",IF(F124="100x4/4 (100 boc. ref.)",SWITCH(E124,"W60-050",320,"W60-080",280,"W60-160",220,"RR100-290",130,"RR100-370",120,"RR100-580",130,"RR100-850",64,"RR100-1050",55,"RR100-1550",40,100),IF(F124="200x4/4 (200 boc. ref.)",SWITCH(E124,"W60-050",640,"W60-080",560,"W60-160",440,"RR100-290",260,"RR100-370",240,"RR100-580",260,"RR100-850",128,"RR100-1050",110,"RR100-1550",80,200),IF(F124="100L eau (~20 boc.)",SWITCH(E124,"W60-050",60,"W60-080",50,"W60-160",40,"RR100-290",28,"RR100-370",24,"RR100-580",20,"RR100-850",12,"RR100-1050",10,"RR100-1550",6,15),"")))),"")</f>
        <v>#ERROR!</v>
      </c>
      <c r="I124" s="243" t="str">
        <f>IFERROR(IF(OR(H124="",G124=""),"",ROUND(H124*SWITCH(G124,"1/4",0.25,"1/2",0.5,"3/4",0.75,"Complet",1,1),0)),"")</f>
        <v>#ERROR!</v>
      </c>
      <c r="J124" s="235"/>
      <c r="K124" s="237" t="str">
        <f>IFERROR(J124/I124,"")</f>
        <v>#ERROR!</v>
      </c>
      <c r="L124" s="235"/>
      <c r="M124" s="235"/>
      <c r="N124" s="235"/>
      <c r="O124" s="235"/>
      <c r="P124" s="235"/>
      <c r="Q124" s="239" t="str">
        <f>IFERROR(IF(A124="","",A124+IFERROR(INDEX(Config!B:B,MATCH("DDM appertisation standard (mois)",Config!A:A,0)),36)*30),"")</f>
        <v>#ERROR!</v>
      </c>
      <c r="R124" s="235"/>
      <c r="S124" s="235"/>
      <c r="T124" s="240"/>
    </row>
    <row r="125" ht="16.5" customHeight="1">
      <c r="A125" s="242"/>
      <c r="B125" s="225" t="str">
        <f>IF(A125="","",IF(C125="","","LOT-"&amp;TEXT(A125,"YYYYMMDD")&amp;"-"&amp;TEXT(ROW()-3,"000")))</f>
        <v>#ERROR!</v>
      </c>
      <c r="C125" s="227"/>
      <c r="D125" s="227" t="str">
        <f>IFERROR(INDEX(Recettes!C:C,MATCH(C125,Recettes!B:B,0)),"")</f>
        <v>#ERROR!</v>
      </c>
      <c r="E125" s="227"/>
      <c r="F125" s="227"/>
      <c r="G125" s="227"/>
      <c r="H125" s="236" t="str">
        <f>IFERROR(IF(F125="","",IF(F125="100x4/4 (100 boc. ref.)",SWITCH(E125,"W60-050",320,"W60-080",280,"W60-160",220,"RR100-290",130,"RR100-370",120,"RR100-580",130,"RR100-850",64,"RR100-1050",55,"RR100-1550",40,100),IF(F125="200x4/4 (200 boc. ref.)",SWITCH(E125,"W60-050",640,"W60-080",560,"W60-160",440,"RR100-290",260,"RR100-370",240,"RR100-580",260,"RR100-850",128,"RR100-1050",110,"RR100-1550",80,200),IF(F125="100L eau (~20 boc.)",SWITCH(E125,"W60-050",60,"W60-080",50,"W60-160",40,"RR100-290",28,"RR100-370",24,"RR100-580",20,"RR100-850",12,"RR100-1050",10,"RR100-1550",6,15),"")))),"")</f>
        <v>#ERROR!</v>
      </c>
      <c r="I125" s="243" t="str">
        <f>IFERROR(IF(OR(H125="",G125=""),"",ROUND(H125*SWITCH(G125,"1/4",0.25,"1/2",0.5,"3/4",0.75,"Complet",1,1),0)),"")</f>
        <v>#ERROR!</v>
      </c>
      <c r="J125" s="227"/>
      <c r="K125" s="230" t="str">
        <f>IFERROR(J125/I125,"")</f>
        <v>#ERROR!</v>
      </c>
      <c r="L125" s="227"/>
      <c r="M125" s="227"/>
      <c r="N125" s="227"/>
      <c r="O125" s="227"/>
      <c r="P125" s="227"/>
      <c r="Q125" s="232" t="str">
        <f>IFERROR(IF(A125="","",A125+IFERROR(INDEX(Config!B:B,MATCH("DDM appertisation standard (mois)",Config!A:A,0)),36)*30),"")</f>
        <v>#ERROR!</v>
      </c>
      <c r="R125" s="227"/>
      <c r="S125" s="227"/>
      <c r="T125" s="233"/>
    </row>
    <row r="126" ht="16.5" customHeight="1">
      <c r="A126" s="242"/>
      <c r="B126" s="225" t="str">
        <f>IF(A126="","",IF(C126="","","LOT-"&amp;TEXT(A126,"YYYYMMDD")&amp;"-"&amp;TEXT(ROW()-3,"000")))</f>
        <v>#ERROR!</v>
      </c>
      <c r="C126" s="235"/>
      <c r="D126" s="235" t="str">
        <f>IFERROR(INDEX(Recettes!C:C,MATCH(C126,Recettes!B:B,0)),"")</f>
        <v>#ERROR!</v>
      </c>
      <c r="E126" s="235"/>
      <c r="F126" s="235"/>
      <c r="G126" s="235"/>
      <c r="H126" s="236" t="str">
        <f>IFERROR(IF(F126="","",IF(F126="100x4/4 (100 boc. ref.)",SWITCH(E126,"W60-050",320,"W60-080",280,"W60-160",220,"RR100-290",130,"RR100-370",120,"RR100-580",130,"RR100-850",64,"RR100-1050",55,"RR100-1550",40,100),IF(F126="200x4/4 (200 boc. ref.)",SWITCH(E126,"W60-050",640,"W60-080",560,"W60-160",440,"RR100-290",260,"RR100-370",240,"RR100-580",260,"RR100-850",128,"RR100-1050",110,"RR100-1550",80,200),IF(F126="100L eau (~20 boc.)",SWITCH(E126,"W60-050",60,"W60-080",50,"W60-160",40,"RR100-290",28,"RR100-370",24,"RR100-580",20,"RR100-850",12,"RR100-1050",10,"RR100-1550",6,15),"")))),"")</f>
        <v>#ERROR!</v>
      </c>
      <c r="I126" s="243" t="str">
        <f>IFERROR(IF(OR(H126="",G126=""),"",ROUND(H126*SWITCH(G126,"1/4",0.25,"1/2",0.5,"3/4",0.75,"Complet",1,1),0)),"")</f>
        <v>#ERROR!</v>
      </c>
      <c r="J126" s="235"/>
      <c r="K126" s="237" t="str">
        <f>IFERROR(J126/I126,"")</f>
        <v>#ERROR!</v>
      </c>
      <c r="L126" s="235"/>
      <c r="M126" s="235"/>
      <c r="N126" s="235"/>
      <c r="O126" s="235"/>
      <c r="P126" s="235"/>
      <c r="Q126" s="239" t="str">
        <f>IFERROR(IF(A126="","",A126+IFERROR(INDEX(Config!B:B,MATCH("DDM appertisation standard (mois)",Config!A:A,0)),36)*30),"")</f>
        <v>#ERROR!</v>
      </c>
      <c r="R126" s="235"/>
      <c r="S126" s="235"/>
      <c r="T126" s="240"/>
    </row>
    <row r="127" ht="16.5" customHeight="1">
      <c r="A127" s="242"/>
      <c r="B127" s="225" t="str">
        <f>IF(A127="","",IF(C127="","","LOT-"&amp;TEXT(A127,"YYYYMMDD")&amp;"-"&amp;TEXT(ROW()-3,"000")))</f>
        <v>#ERROR!</v>
      </c>
      <c r="C127" s="227"/>
      <c r="D127" s="227" t="str">
        <f>IFERROR(INDEX(Recettes!C:C,MATCH(C127,Recettes!B:B,0)),"")</f>
        <v>#ERROR!</v>
      </c>
      <c r="E127" s="227"/>
      <c r="F127" s="227"/>
      <c r="G127" s="227"/>
      <c r="H127" s="236" t="str">
        <f>IFERROR(IF(F127="","",IF(F127="100x4/4 (100 boc. ref.)",SWITCH(E127,"W60-050",320,"W60-080",280,"W60-160",220,"RR100-290",130,"RR100-370",120,"RR100-580",130,"RR100-850",64,"RR100-1050",55,"RR100-1550",40,100),IF(F127="200x4/4 (200 boc. ref.)",SWITCH(E127,"W60-050",640,"W60-080",560,"W60-160",440,"RR100-290",260,"RR100-370",240,"RR100-580",260,"RR100-850",128,"RR100-1050",110,"RR100-1550",80,200),IF(F127="100L eau (~20 boc.)",SWITCH(E127,"W60-050",60,"W60-080",50,"W60-160",40,"RR100-290",28,"RR100-370",24,"RR100-580",20,"RR100-850",12,"RR100-1050",10,"RR100-1550",6,15),"")))),"")</f>
        <v>#ERROR!</v>
      </c>
      <c r="I127" s="243" t="str">
        <f>IFERROR(IF(OR(H127="",G127=""),"",ROUND(H127*SWITCH(G127,"1/4",0.25,"1/2",0.5,"3/4",0.75,"Complet",1,1),0)),"")</f>
        <v>#ERROR!</v>
      </c>
      <c r="J127" s="227"/>
      <c r="K127" s="230" t="str">
        <f>IFERROR(J127/I127,"")</f>
        <v>#ERROR!</v>
      </c>
      <c r="L127" s="227"/>
      <c r="M127" s="227"/>
      <c r="N127" s="227"/>
      <c r="O127" s="227"/>
      <c r="P127" s="227"/>
      <c r="Q127" s="232" t="str">
        <f>IFERROR(IF(A127="","",A127+IFERROR(INDEX(Config!B:B,MATCH("DDM appertisation standard (mois)",Config!A:A,0)),36)*30),"")</f>
        <v>#ERROR!</v>
      </c>
      <c r="R127" s="227"/>
      <c r="S127" s="227"/>
      <c r="T127" s="233"/>
    </row>
    <row r="128" ht="16.5" customHeight="1">
      <c r="A128" s="242"/>
      <c r="B128" s="225" t="str">
        <f>IF(A128="","",IF(C128="","","LOT-"&amp;TEXT(A128,"YYYYMMDD")&amp;"-"&amp;TEXT(ROW()-3,"000")))</f>
        <v>#ERROR!</v>
      </c>
      <c r="C128" s="235"/>
      <c r="D128" s="235" t="str">
        <f>IFERROR(INDEX(Recettes!C:C,MATCH(C128,Recettes!B:B,0)),"")</f>
        <v>#ERROR!</v>
      </c>
      <c r="E128" s="235"/>
      <c r="F128" s="235"/>
      <c r="G128" s="235"/>
      <c r="H128" s="236" t="str">
        <f>IFERROR(IF(F128="","",IF(F128="100x4/4 (100 boc. ref.)",SWITCH(E128,"W60-050",320,"W60-080",280,"W60-160",220,"RR100-290",130,"RR100-370",120,"RR100-580",130,"RR100-850",64,"RR100-1050",55,"RR100-1550",40,100),IF(F128="200x4/4 (200 boc. ref.)",SWITCH(E128,"W60-050",640,"W60-080",560,"W60-160",440,"RR100-290",260,"RR100-370",240,"RR100-580",260,"RR100-850",128,"RR100-1050",110,"RR100-1550",80,200),IF(F128="100L eau (~20 boc.)",SWITCH(E128,"W60-050",60,"W60-080",50,"W60-160",40,"RR100-290",28,"RR100-370",24,"RR100-580",20,"RR100-850",12,"RR100-1050",10,"RR100-1550",6,15),"")))),"")</f>
        <v>#ERROR!</v>
      </c>
      <c r="I128" s="243" t="str">
        <f>IFERROR(IF(OR(H128="",G128=""),"",ROUND(H128*SWITCH(G128,"1/4",0.25,"1/2",0.5,"3/4",0.75,"Complet",1,1),0)),"")</f>
        <v>#ERROR!</v>
      </c>
      <c r="J128" s="235"/>
      <c r="K128" s="237" t="str">
        <f>IFERROR(J128/I128,"")</f>
        <v>#ERROR!</v>
      </c>
      <c r="L128" s="235"/>
      <c r="M128" s="235"/>
      <c r="N128" s="235"/>
      <c r="O128" s="235"/>
      <c r="P128" s="235"/>
      <c r="Q128" s="239" t="str">
        <f>IFERROR(IF(A128="","",A128+IFERROR(INDEX(Config!B:B,MATCH("DDM appertisation standard (mois)",Config!A:A,0)),36)*30),"")</f>
        <v>#ERROR!</v>
      </c>
      <c r="R128" s="235"/>
      <c r="S128" s="235"/>
      <c r="T128" s="240"/>
    </row>
    <row r="129" ht="16.5" customHeight="1">
      <c r="A129" s="242"/>
      <c r="B129" s="225" t="str">
        <f>IF(A129="","",IF(C129="","","LOT-"&amp;TEXT(A129,"YYYYMMDD")&amp;"-"&amp;TEXT(ROW()-3,"000")))</f>
        <v>#ERROR!</v>
      </c>
      <c r="C129" s="227"/>
      <c r="D129" s="227" t="str">
        <f>IFERROR(INDEX(Recettes!C:C,MATCH(C129,Recettes!B:B,0)),"")</f>
        <v>#ERROR!</v>
      </c>
      <c r="E129" s="227"/>
      <c r="F129" s="227"/>
      <c r="G129" s="227"/>
      <c r="H129" s="236" t="str">
        <f>IFERROR(IF(F129="","",IF(F129="100x4/4 (100 boc. ref.)",SWITCH(E129,"W60-050",320,"W60-080",280,"W60-160",220,"RR100-290",130,"RR100-370",120,"RR100-580",130,"RR100-850",64,"RR100-1050",55,"RR100-1550",40,100),IF(F129="200x4/4 (200 boc. ref.)",SWITCH(E129,"W60-050",640,"W60-080",560,"W60-160",440,"RR100-290",260,"RR100-370",240,"RR100-580",260,"RR100-850",128,"RR100-1050",110,"RR100-1550",80,200),IF(F129="100L eau (~20 boc.)",SWITCH(E129,"W60-050",60,"W60-080",50,"W60-160",40,"RR100-290",28,"RR100-370",24,"RR100-580",20,"RR100-850",12,"RR100-1050",10,"RR100-1550",6,15),"")))),"")</f>
        <v>#ERROR!</v>
      </c>
      <c r="I129" s="243" t="str">
        <f>IFERROR(IF(OR(H129="",G129=""),"",ROUND(H129*SWITCH(G129,"1/4",0.25,"1/2",0.5,"3/4",0.75,"Complet",1,1),0)),"")</f>
        <v>#ERROR!</v>
      </c>
      <c r="J129" s="227"/>
      <c r="K129" s="230" t="str">
        <f>IFERROR(J129/I129,"")</f>
        <v>#ERROR!</v>
      </c>
      <c r="L129" s="227"/>
      <c r="M129" s="227"/>
      <c r="N129" s="227"/>
      <c r="O129" s="227"/>
      <c r="P129" s="227"/>
      <c r="Q129" s="232" t="str">
        <f>IFERROR(IF(A129="","",A129+IFERROR(INDEX(Config!B:B,MATCH("DDM appertisation standard (mois)",Config!A:A,0)),36)*30),"")</f>
        <v>#ERROR!</v>
      </c>
      <c r="R129" s="227"/>
      <c r="S129" s="227"/>
      <c r="T129" s="233"/>
    </row>
    <row r="130" ht="16.5" customHeight="1">
      <c r="A130" s="242"/>
      <c r="B130" s="225" t="str">
        <f>IF(A130="","",IF(C130="","","LOT-"&amp;TEXT(A130,"YYYYMMDD")&amp;"-"&amp;TEXT(ROW()-3,"000")))</f>
        <v>#ERROR!</v>
      </c>
      <c r="C130" s="235"/>
      <c r="D130" s="235" t="str">
        <f>IFERROR(INDEX(Recettes!C:C,MATCH(C130,Recettes!B:B,0)),"")</f>
        <v>#ERROR!</v>
      </c>
      <c r="E130" s="235"/>
      <c r="F130" s="235"/>
      <c r="G130" s="235"/>
      <c r="H130" s="236" t="str">
        <f>IFERROR(IF(F130="","",IF(F130="100x4/4 (100 boc. ref.)",SWITCH(E130,"W60-050",320,"W60-080",280,"W60-160",220,"RR100-290",130,"RR100-370",120,"RR100-580",130,"RR100-850",64,"RR100-1050",55,"RR100-1550",40,100),IF(F130="200x4/4 (200 boc. ref.)",SWITCH(E130,"W60-050",640,"W60-080",560,"W60-160",440,"RR100-290",260,"RR100-370",240,"RR100-580",260,"RR100-850",128,"RR100-1050",110,"RR100-1550",80,200),IF(F130="100L eau (~20 boc.)",SWITCH(E130,"W60-050",60,"W60-080",50,"W60-160",40,"RR100-290",28,"RR100-370",24,"RR100-580",20,"RR100-850",12,"RR100-1050",10,"RR100-1550",6,15),"")))),"")</f>
        <v>#ERROR!</v>
      </c>
      <c r="I130" s="243" t="str">
        <f>IFERROR(IF(OR(H130="",G130=""),"",ROUND(H130*SWITCH(G130,"1/4",0.25,"1/2",0.5,"3/4",0.75,"Complet",1,1),0)),"")</f>
        <v>#ERROR!</v>
      </c>
      <c r="J130" s="235"/>
      <c r="K130" s="237" t="str">
        <f>IFERROR(J130/I130,"")</f>
        <v>#ERROR!</v>
      </c>
      <c r="L130" s="235"/>
      <c r="M130" s="235"/>
      <c r="N130" s="235"/>
      <c r="O130" s="235"/>
      <c r="P130" s="235"/>
      <c r="Q130" s="239" t="str">
        <f>IFERROR(IF(A130="","",A130+IFERROR(INDEX(Config!B:B,MATCH("DDM appertisation standard (mois)",Config!A:A,0)),36)*30),"")</f>
        <v>#ERROR!</v>
      </c>
      <c r="R130" s="235"/>
      <c r="S130" s="235"/>
      <c r="T130" s="240"/>
    </row>
    <row r="131" ht="16.5" customHeight="1">
      <c r="A131" s="242"/>
      <c r="B131" s="225" t="str">
        <f>IF(A131="","",IF(C131="","","LOT-"&amp;TEXT(A131,"YYYYMMDD")&amp;"-"&amp;TEXT(ROW()-3,"000")))</f>
        <v>#ERROR!</v>
      </c>
      <c r="C131" s="227"/>
      <c r="D131" s="227" t="str">
        <f>IFERROR(INDEX(Recettes!C:C,MATCH(C131,Recettes!B:B,0)),"")</f>
        <v>#ERROR!</v>
      </c>
      <c r="E131" s="227"/>
      <c r="F131" s="227"/>
      <c r="G131" s="227"/>
      <c r="H131" s="236" t="str">
        <f>IFERROR(IF(F131="","",IF(F131="100x4/4 (100 boc. ref.)",SWITCH(E131,"W60-050",320,"W60-080",280,"W60-160",220,"RR100-290",130,"RR100-370",120,"RR100-580",130,"RR100-850",64,"RR100-1050",55,"RR100-1550",40,100),IF(F131="200x4/4 (200 boc. ref.)",SWITCH(E131,"W60-050",640,"W60-080",560,"W60-160",440,"RR100-290",260,"RR100-370",240,"RR100-580",260,"RR100-850",128,"RR100-1050",110,"RR100-1550",80,200),IF(F131="100L eau (~20 boc.)",SWITCH(E131,"W60-050",60,"W60-080",50,"W60-160",40,"RR100-290",28,"RR100-370",24,"RR100-580",20,"RR100-850",12,"RR100-1050",10,"RR100-1550",6,15),"")))),"")</f>
        <v>#ERROR!</v>
      </c>
      <c r="I131" s="243" t="str">
        <f>IFERROR(IF(OR(H131="",G131=""),"",ROUND(H131*SWITCH(G131,"1/4",0.25,"1/2",0.5,"3/4",0.75,"Complet",1,1),0)),"")</f>
        <v>#ERROR!</v>
      </c>
      <c r="J131" s="227"/>
      <c r="K131" s="230" t="str">
        <f>IFERROR(J131/I131,"")</f>
        <v>#ERROR!</v>
      </c>
      <c r="L131" s="227"/>
      <c r="M131" s="227"/>
      <c r="N131" s="227"/>
      <c r="O131" s="227"/>
      <c r="P131" s="227"/>
      <c r="Q131" s="232" t="str">
        <f>IFERROR(IF(A131="","",A131+IFERROR(INDEX(Config!B:B,MATCH("DDM appertisation standard (mois)",Config!A:A,0)),36)*30),"")</f>
        <v>#ERROR!</v>
      </c>
      <c r="R131" s="227"/>
      <c r="S131" s="227"/>
      <c r="T131" s="233"/>
    </row>
    <row r="132" ht="16.5" customHeight="1">
      <c r="A132" s="242"/>
      <c r="B132" s="225" t="str">
        <f>IF(A132="","",IF(C132="","","LOT-"&amp;TEXT(A132,"YYYYMMDD")&amp;"-"&amp;TEXT(ROW()-3,"000")))</f>
        <v>#ERROR!</v>
      </c>
      <c r="C132" s="235"/>
      <c r="D132" s="235" t="str">
        <f>IFERROR(INDEX(Recettes!C:C,MATCH(C132,Recettes!B:B,0)),"")</f>
        <v>#ERROR!</v>
      </c>
      <c r="E132" s="235"/>
      <c r="F132" s="235"/>
      <c r="G132" s="235"/>
      <c r="H132" s="236" t="str">
        <f>IFERROR(IF(F132="","",IF(F132="100x4/4 (100 boc. ref.)",SWITCH(E132,"W60-050",320,"W60-080",280,"W60-160",220,"RR100-290",130,"RR100-370",120,"RR100-580",130,"RR100-850",64,"RR100-1050",55,"RR100-1550",40,100),IF(F132="200x4/4 (200 boc. ref.)",SWITCH(E132,"W60-050",640,"W60-080",560,"W60-160",440,"RR100-290",260,"RR100-370",240,"RR100-580",260,"RR100-850",128,"RR100-1050",110,"RR100-1550",80,200),IF(F132="100L eau (~20 boc.)",SWITCH(E132,"W60-050",60,"W60-080",50,"W60-160",40,"RR100-290",28,"RR100-370",24,"RR100-580",20,"RR100-850",12,"RR100-1050",10,"RR100-1550",6,15),"")))),"")</f>
        <v>#ERROR!</v>
      </c>
      <c r="I132" s="243" t="str">
        <f>IFERROR(IF(OR(H132="",G132=""),"",ROUND(H132*SWITCH(G132,"1/4",0.25,"1/2",0.5,"3/4",0.75,"Complet",1,1),0)),"")</f>
        <v>#ERROR!</v>
      </c>
      <c r="J132" s="235"/>
      <c r="K132" s="237" t="str">
        <f>IFERROR(J132/I132,"")</f>
        <v>#ERROR!</v>
      </c>
      <c r="L132" s="235"/>
      <c r="M132" s="235"/>
      <c r="N132" s="235"/>
      <c r="O132" s="235"/>
      <c r="P132" s="235"/>
      <c r="Q132" s="239" t="str">
        <f>IFERROR(IF(A132="","",A132+IFERROR(INDEX(Config!B:B,MATCH("DDM appertisation standard (mois)",Config!A:A,0)),36)*30),"")</f>
        <v>#ERROR!</v>
      </c>
      <c r="R132" s="235"/>
      <c r="S132" s="235"/>
      <c r="T132" s="240"/>
    </row>
    <row r="133" ht="16.5" customHeight="1">
      <c r="A133" s="242"/>
      <c r="B133" s="225" t="str">
        <f>IF(A133="","",IF(C133="","","LOT-"&amp;TEXT(A133,"YYYYMMDD")&amp;"-"&amp;TEXT(ROW()-3,"000")))</f>
        <v>#ERROR!</v>
      </c>
      <c r="C133" s="227"/>
      <c r="D133" s="227" t="str">
        <f>IFERROR(INDEX(Recettes!C:C,MATCH(C133,Recettes!B:B,0)),"")</f>
        <v>#ERROR!</v>
      </c>
      <c r="E133" s="227"/>
      <c r="F133" s="227"/>
      <c r="G133" s="227"/>
      <c r="H133" s="236" t="str">
        <f>IFERROR(IF(F133="","",IF(F133="100x4/4 (100 boc. ref.)",SWITCH(E133,"W60-050",320,"W60-080",280,"W60-160",220,"RR100-290",130,"RR100-370",120,"RR100-580",130,"RR100-850",64,"RR100-1050",55,"RR100-1550",40,100),IF(F133="200x4/4 (200 boc. ref.)",SWITCH(E133,"W60-050",640,"W60-080",560,"W60-160",440,"RR100-290",260,"RR100-370",240,"RR100-580",260,"RR100-850",128,"RR100-1050",110,"RR100-1550",80,200),IF(F133="100L eau (~20 boc.)",SWITCH(E133,"W60-050",60,"W60-080",50,"W60-160",40,"RR100-290",28,"RR100-370",24,"RR100-580",20,"RR100-850",12,"RR100-1050",10,"RR100-1550",6,15),"")))),"")</f>
        <v>#ERROR!</v>
      </c>
      <c r="I133" s="243" t="str">
        <f>IFERROR(IF(OR(H133="",G133=""),"",ROUND(H133*SWITCH(G133,"1/4",0.25,"1/2",0.5,"3/4",0.75,"Complet",1,1),0)),"")</f>
        <v>#ERROR!</v>
      </c>
      <c r="J133" s="227"/>
      <c r="K133" s="230" t="str">
        <f>IFERROR(J133/I133,"")</f>
        <v>#ERROR!</v>
      </c>
      <c r="L133" s="227"/>
      <c r="M133" s="227"/>
      <c r="N133" s="227"/>
      <c r="O133" s="227"/>
      <c r="P133" s="227"/>
      <c r="Q133" s="232" t="str">
        <f>IFERROR(IF(A133="","",A133+IFERROR(INDEX(Config!B:B,MATCH("DDM appertisation standard (mois)",Config!A:A,0)),36)*30),"")</f>
        <v>#ERROR!</v>
      </c>
      <c r="R133" s="227"/>
      <c r="S133" s="227"/>
      <c r="T133" s="233"/>
    </row>
    <row r="134" ht="16.5" customHeight="1">
      <c r="A134" s="242"/>
      <c r="B134" s="225" t="str">
        <f>IF(A134="","",IF(C134="","","LOT-"&amp;TEXT(A134,"YYYYMMDD")&amp;"-"&amp;TEXT(ROW()-3,"000")))</f>
        <v>#ERROR!</v>
      </c>
      <c r="C134" s="235"/>
      <c r="D134" s="235" t="str">
        <f>IFERROR(INDEX(Recettes!C:C,MATCH(C134,Recettes!B:B,0)),"")</f>
        <v>#ERROR!</v>
      </c>
      <c r="E134" s="235"/>
      <c r="F134" s="235"/>
      <c r="G134" s="235"/>
      <c r="H134" s="236" t="str">
        <f>IFERROR(IF(F134="","",IF(F134="100x4/4 (100 boc. ref.)",SWITCH(E134,"W60-050",320,"W60-080",280,"W60-160",220,"RR100-290",130,"RR100-370",120,"RR100-580",130,"RR100-850",64,"RR100-1050",55,"RR100-1550",40,100),IF(F134="200x4/4 (200 boc. ref.)",SWITCH(E134,"W60-050",640,"W60-080",560,"W60-160",440,"RR100-290",260,"RR100-370",240,"RR100-580",260,"RR100-850",128,"RR100-1050",110,"RR100-1550",80,200),IF(F134="100L eau (~20 boc.)",SWITCH(E134,"W60-050",60,"W60-080",50,"W60-160",40,"RR100-290",28,"RR100-370",24,"RR100-580",20,"RR100-850",12,"RR100-1050",10,"RR100-1550",6,15),"")))),"")</f>
        <v>#ERROR!</v>
      </c>
      <c r="I134" s="243" t="str">
        <f>IFERROR(IF(OR(H134="",G134=""),"",ROUND(H134*SWITCH(G134,"1/4",0.25,"1/2",0.5,"3/4",0.75,"Complet",1,1),0)),"")</f>
        <v>#ERROR!</v>
      </c>
      <c r="J134" s="235"/>
      <c r="K134" s="237" t="str">
        <f>IFERROR(J134/I134,"")</f>
        <v>#ERROR!</v>
      </c>
      <c r="L134" s="235"/>
      <c r="M134" s="235"/>
      <c r="N134" s="235"/>
      <c r="O134" s="235"/>
      <c r="P134" s="235"/>
      <c r="Q134" s="239" t="str">
        <f>IFERROR(IF(A134="","",A134+IFERROR(INDEX(Config!B:B,MATCH("DDM appertisation standard (mois)",Config!A:A,0)),36)*30),"")</f>
        <v>#ERROR!</v>
      </c>
      <c r="R134" s="235"/>
      <c r="S134" s="235"/>
      <c r="T134" s="240"/>
    </row>
    <row r="135" ht="16.5" customHeight="1">
      <c r="A135" s="242"/>
      <c r="B135" s="225" t="str">
        <f>IF(A135="","",IF(C135="","","LOT-"&amp;TEXT(A135,"YYYYMMDD")&amp;"-"&amp;TEXT(ROW()-3,"000")))</f>
        <v>#ERROR!</v>
      </c>
      <c r="C135" s="227"/>
      <c r="D135" s="227" t="str">
        <f>IFERROR(INDEX(Recettes!C:C,MATCH(C135,Recettes!B:B,0)),"")</f>
        <v>#ERROR!</v>
      </c>
      <c r="E135" s="227"/>
      <c r="F135" s="227"/>
      <c r="G135" s="227"/>
      <c r="H135" s="236" t="str">
        <f>IFERROR(IF(F135="","",IF(F135="100x4/4 (100 boc. ref.)",SWITCH(E135,"W60-050",320,"W60-080",280,"W60-160",220,"RR100-290",130,"RR100-370",120,"RR100-580",130,"RR100-850",64,"RR100-1050",55,"RR100-1550",40,100),IF(F135="200x4/4 (200 boc. ref.)",SWITCH(E135,"W60-050",640,"W60-080",560,"W60-160",440,"RR100-290",260,"RR100-370",240,"RR100-580",260,"RR100-850",128,"RR100-1050",110,"RR100-1550",80,200),IF(F135="100L eau (~20 boc.)",SWITCH(E135,"W60-050",60,"W60-080",50,"W60-160",40,"RR100-290",28,"RR100-370",24,"RR100-580",20,"RR100-850",12,"RR100-1050",10,"RR100-1550",6,15),"")))),"")</f>
        <v>#ERROR!</v>
      </c>
      <c r="I135" s="243" t="str">
        <f>IFERROR(IF(OR(H135="",G135=""),"",ROUND(H135*SWITCH(G135,"1/4",0.25,"1/2",0.5,"3/4",0.75,"Complet",1,1),0)),"")</f>
        <v>#ERROR!</v>
      </c>
      <c r="J135" s="227"/>
      <c r="K135" s="230" t="str">
        <f>IFERROR(J135/I135,"")</f>
        <v>#ERROR!</v>
      </c>
      <c r="L135" s="227"/>
      <c r="M135" s="227"/>
      <c r="N135" s="227"/>
      <c r="O135" s="227"/>
      <c r="P135" s="227"/>
      <c r="Q135" s="232" t="str">
        <f>IFERROR(IF(A135="","",A135+IFERROR(INDEX(Config!B:B,MATCH("DDM appertisation standard (mois)",Config!A:A,0)),36)*30),"")</f>
        <v>#ERROR!</v>
      </c>
      <c r="R135" s="227"/>
      <c r="S135" s="227"/>
      <c r="T135" s="233"/>
    </row>
    <row r="136" ht="16.5" customHeight="1">
      <c r="A136" s="242"/>
      <c r="B136" s="225" t="str">
        <f>IF(A136="","",IF(C136="","","LOT-"&amp;TEXT(A136,"YYYYMMDD")&amp;"-"&amp;TEXT(ROW()-3,"000")))</f>
        <v>#ERROR!</v>
      </c>
      <c r="C136" s="235"/>
      <c r="D136" s="235" t="str">
        <f>IFERROR(INDEX(Recettes!C:C,MATCH(C136,Recettes!B:B,0)),"")</f>
        <v>#ERROR!</v>
      </c>
      <c r="E136" s="235"/>
      <c r="F136" s="235"/>
      <c r="G136" s="235"/>
      <c r="H136" s="236" t="str">
        <f>IFERROR(IF(F136="","",IF(F136="100x4/4 (100 boc. ref.)",SWITCH(E136,"W60-050",320,"W60-080",280,"W60-160",220,"RR100-290",130,"RR100-370",120,"RR100-580",130,"RR100-850",64,"RR100-1050",55,"RR100-1550",40,100),IF(F136="200x4/4 (200 boc. ref.)",SWITCH(E136,"W60-050",640,"W60-080",560,"W60-160",440,"RR100-290",260,"RR100-370",240,"RR100-580",260,"RR100-850",128,"RR100-1050",110,"RR100-1550",80,200),IF(F136="100L eau (~20 boc.)",SWITCH(E136,"W60-050",60,"W60-080",50,"W60-160",40,"RR100-290",28,"RR100-370",24,"RR100-580",20,"RR100-850",12,"RR100-1050",10,"RR100-1550",6,15),"")))),"")</f>
        <v>#ERROR!</v>
      </c>
      <c r="I136" s="243" t="str">
        <f>IFERROR(IF(OR(H136="",G136=""),"",ROUND(H136*SWITCH(G136,"1/4",0.25,"1/2",0.5,"3/4",0.75,"Complet",1,1),0)),"")</f>
        <v>#ERROR!</v>
      </c>
      <c r="J136" s="235"/>
      <c r="K136" s="237" t="str">
        <f>IFERROR(J136/I136,"")</f>
        <v>#ERROR!</v>
      </c>
      <c r="L136" s="235"/>
      <c r="M136" s="235"/>
      <c r="N136" s="235"/>
      <c r="O136" s="235"/>
      <c r="P136" s="235"/>
      <c r="Q136" s="239" t="str">
        <f>IFERROR(IF(A136="","",A136+IFERROR(INDEX(Config!B:B,MATCH("DDM appertisation standard (mois)",Config!A:A,0)),36)*30),"")</f>
        <v>#ERROR!</v>
      </c>
      <c r="R136" s="235"/>
      <c r="S136" s="235"/>
      <c r="T136" s="240"/>
    </row>
    <row r="137" ht="16.5" customHeight="1">
      <c r="A137" s="242"/>
      <c r="B137" s="225" t="str">
        <f>IF(A137="","",IF(C137="","","LOT-"&amp;TEXT(A137,"YYYYMMDD")&amp;"-"&amp;TEXT(ROW()-3,"000")))</f>
        <v>#ERROR!</v>
      </c>
      <c r="C137" s="227"/>
      <c r="D137" s="227" t="str">
        <f>IFERROR(INDEX(Recettes!C:C,MATCH(C137,Recettes!B:B,0)),"")</f>
        <v>#ERROR!</v>
      </c>
      <c r="E137" s="227"/>
      <c r="F137" s="227"/>
      <c r="G137" s="227"/>
      <c r="H137" s="236" t="str">
        <f>IFERROR(IF(F137="","",IF(F137="100x4/4 (100 boc. ref.)",SWITCH(E137,"W60-050",320,"W60-080",280,"W60-160",220,"RR100-290",130,"RR100-370",120,"RR100-580",130,"RR100-850",64,"RR100-1050",55,"RR100-1550",40,100),IF(F137="200x4/4 (200 boc. ref.)",SWITCH(E137,"W60-050",640,"W60-080",560,"W60-160",440,"RR100-290",260,"RR100-370",240,"RR100-580",260,"RR100-850",128,"RR100-1050",110,"RR100-1550",80,200),IF(F137="100L eau (~20 boc.)",SWITCH(E137,"W60-050",60,"W60-080",50,"W60-160",40,"RR100-290",28,"RR100-370",24,"RR100-580",20,"RR100-850",12,"RR100-1050",10,"RR100-1550",6,15),"")))),"")</f>
        <v>#ERROR!</v>
      </c>
      <c r="I137" s="243" t="str">
        <f>IFERROR(IF(OR(H137="",G137=""),"",ROUND(H137*SWITCH(G137,"1/4",0.25,"1/2",0.5,"3/4",0.75,"Complet",1,1),0)),"")</f>
        <v>#ERROR!</v>
      </c>
      <c r="J137" s="227"/>
      <c r="K137" s="230" t="str">
        <f>IFERROR(J137/I137,"")</f>
        <v>#ERROR!</v>
      </c>
      <c r="L137" s="227"/>
      <c r="M137" s="227"/>
      <c r="N137" s="227"/>
      <c r="O137" s="227"/>
      <c r="P137" s="227"/>
      <c r="Q137" s="232" t="str">
        <f>IFERROR(IF(A137="","",A137+IFERROR(INDEX(Config!B:B,MATCH("DDM appertisation standard (mois)",Config!A:A,0)),36)*30),"")</f>
        <v>#ERROR!</v>
      </c>
      <c r="R137" s="227"/>
      <c r="S137" s="227"/>
      <c r="T137" s="233"/>
    </row>
    <row r="138" ht="16.5" customHeight="1">
      <c r="A138" s="242"/>
      <c r="B138" s="225" t="str">
        <f>IF(A138="","",IF(C138="","","LOT-"&amp;TEXT(A138,"YYYYMMDD")&amp;"-"&amp;TEXT(ROW()-3,"000")))</f>
        <v>#ERROR!</v>
      </c>
      <c r="C138" s="235"/>
      <c r="D138" s="235" t="str">
        <f>IFERROR(INDEX(Recettes!C:C,MATCH(C138,Recettes!B:B,0)),"")</f>
        <v>#ERROR!</v>
      </c>
      <c r="E138" s="235"/>
      <c r="F138" s="235"/>
      <c r="G138" s="235"/>
      <c r="H138" s="236" t="str">
        <f>IFERROR(IF(F138="","",IF(F138="100x4/4 (100 boc. ref.)",SWITCH(E138,"W60-050",320,"W60-080",280,"W60-160",220,"RR100-290",130,"RR100-370",120,"RR100-580",130,"RR100-850",64,"RR100-1050",55,"RR100-1550",40,100),IF(F138="200x4/4 (200 boc. ref.)",SWITCH(E138,"W60-050",640,"W60-080",560,"W60-160",440,"RR100-290",260,"RR100-370",240,"RR100-580",260,"RR100-850",128,"RR100-1050",110,"RR100-1550",80,200),IF(F138="100L eau (~20 boc.)",SWITCH(E138,"W60-050",60,"W60-080",50,"W60-160",40,"RR100-290",28,"RR100-370",24,"RR100-580",20,"RR100-850",12,"RR100-1050",10,"RR100-1550",6,15),"")))),"")</f>
        <v>#ERROR!</v>
      </c>
      <c r="I138" s="243" t="str">
        <f>IFERROR(IF(OR(H138="",G138=""),"",ROUND(H138*SWITCH(G138,"1/4",0.25,"1/2",0.5,"3/4",0.75,"Complet",1,1),0)),"")</f>
        <v>#ERROR!</v>
      </c>
      <c r="J138" s="235"/>
      <c r="K138" s="237" t="str">
        <f>IFERROR(J138/I138,"")</f>
        <v>#ERROR!</v>
      </c>
      <c r="L138" s="235"/>
      <c r="M138" s="235"/>
      <c r="N138" s="235"/>
      <c r="O138" s="235"/>
      <c r="P138" s="235"/>
      <c r="Q138" s="239" t="str">
        <f>IFERROR(IF(A138="","",A138+IFERROR(INDEX(Config!B:B,MATCH("DDM appertisation standard (mois)",Config!A:A,0)),36)*30),"")</f>
        <v>#ERROR!</v>
      </c>
      <c r="R138" s="235"/>
      <c r="S138" s="235"/>
      <c r="T138" s="240"/>
    </row>
    <row r="139" ht="16.5" customHeight="1">
      <c r="A139" s="242"/>
      <c r="B139" s="225" t="str">
        <f>IF(A139="","",IF(C139="","","LOT-"&amp;TEXT(A139,"YYYYMMDD")&amp;"-"&amp;TEXT(ROW()-3,"000")))</f>
        <v>#ERROR!</v>
      </c>
      <c r="C139" s="227"/>
      <c r="D139" s="227" t="str">
        <f>IFERROR(INDEX(Recettes!C:C,MATCH(C139,Recettes!B:B,0)),"")</f>
        <v>#ERROR!</v>
      </c>
      <c r="E139" s="227"/>
      <c r="F139" s="227"/>
      <c r="G139" s="227"/>
      <c r="H139" s="236" t="str">
        <f>IFERROR(IF(F139="","",IF(F139="100x4/4 (100 boc. ref.)",SWITCH(E139,"W60-050",320,"W60-080",280,"W60-160",220,"RR100-290",130,"RR100-370",120,"RR100-580",130,"RR100-850",64,"RR100-1050",55,"RR100-1550",40,100),IF(F139="200x4/4 (200 boc. ref.)",SWITCH(E139,"W60-050",640,"W60-080",560,"W60-160",440,"RR100-290",260,"RR100-370",240,"RR100-580",260,"RR100-850",128,"RR100-1050",110,"RR100-1550",80,200),IF(F139="100L eau (~20 boc.)",SWITCH(E139,"W60-050",60,"W60-080",50,"W60-160",40,"RR100-290",28,"RR100-370",24,"RR100-580",20,"RR100-850",12,"RR100-1050",10,"RR100-1550",6,15),"")))),"")</f>
        <v>#ERROR!</v>
      </c>
      <c r="I139" s="243" t="str">
        <f>IFERROR(IF(OR(H139="",G139=""),"",ROUND(H139*SWITCH(G139,"1/4",0.25,"1/2",0.5,"3/4",0.75,"Complet",1,1),0)),"")</f>
        <v>#ERROR!</v>
      </c>
      <c r="J139" s="227"/>
      <c r="K139" s="230" t="str">
        <f>IFERROR(J139/I139,"")</f>
        <v>#ERROR!</v>
      </c>
      <c r="L139" s="227"/>
      <c r="M139" s="227"/>
      <c r="N139" s="227"/>
      <c r="O139" s="227"/>
      <c r="P139" s="227"/>
      <c r="Q139" s="232" t="str">
        <f>IFERROR(IF(A139="","",A139+IFERROR(INDEX(Config!B:B,MATCH("DDM appertisation standard (mois)",Config!A:A,0)),36)*30),"")</f>
        <v>#ERROR!</v>
      </c>
      <c r="R139" s="227"/>
      <c r="S139" s="227"/>
      <c r="T139" s="233"/>
    </row>
    <row r="140" ht="16.5" customHeight="1">
      <c r="A140" s="242"/>
      <c r="B140" s="225" t="str">
        <f>IF(A140="","",IF(C140="","","LOT-"&amp;TEXT(A140,"YYYYMMDD")&amp;"-"&amp;TEXT(ROW()-3,"000")))</f>
        <v>#ERROR!</v>
      </c>
      <c r="C140" s="235"/>
      <c r="D140" s="235" t="str">
        <f>IFERROR(INDEX(Recettes!C:C,MATCH(C140,Recettes!B:B,0)),"")</f>
        <v>#ERROR!</v>
      </c>
      <c r="E140" s="235"/>
      <c r="F140" s="235"/>
      <c r="G140" s="235"/>
      <c r="H140" s="236" t="str">
        <f>IFERROR(IF(F140="","",IF(F140="100x4/4 (100 boc. ref.)",SWITCH(E140,"W60-050",320,"W60-080",280,"W60-160",220,"RR100-290",130,"RR100-370",120,"RR100-580",130,"RR100-850",64,"RR100-1050",55,"RR100-1550",40,100),IF(F140="200x4/4 (200 boc. ref.)",SWITCH(E140,"W60-050",640,"W60-080",560,"W60-160",440,"RR100-290",260,"RR100-370",240,"RR100-580",260,"RR100-850",128,"RR100-1050",110,"RR100-1550",80,200),IF(F140="100L eau (~20 boc.)",SWITCH(E140,"W60-050",60,"W60-080",50,"W60-160",40,"RR100-290",28,"RR100-370",24,"RR100-580",20,"RR100-850",12,"RR100-1050",10,"RR100-1550",6,15),"")))),"")</f>
        <v>#ERROR!</v>
      </c>
      <c r="I140" s="243" t="str">
        <f>IFERROR(IF(OR(H140="",G140=""),"",ROUND(H140*SWITCH(G140,"1/4",0.25,"1/2",0.5,"3/4",0.75,"Complet",1,1),0)),"")</f>
        <v>#ERROR!</v>
      </c>
      <c r="J140" s="235"/>
      <c r="K140" s="237" t="str">
        <f>IFERROR(J140/I140,"")</f>
        <v>#ERROR!</v>
      </c>
      <c r="L140" s="235"/>
      <c r="M140" s="235"/>
      <c r="N140" s="235"/>
      <c r="O140" s="235"/>
      <c r="P140" s="235"/>
      <c r="Q140" s="239" t="str">
        <f>IFERROR(IF(A140="","",A140+IFERROR(INDEX(Config!B:B,MATCH("DDM appertisation standard (mois)",Config!A:A,0)),36)*30),"")</f>
        <v>#ERROR!</v>
      </c>
      <c r="R140" s="235"/>
      <c r="S140" s="235"/>
      <c r="T140" s="240"/>
    </row>
    <row r="141" ht="16.5" customHeight="1">
      <c r="A141" s="242"/>
      <c r="B141" s="225" t="str">
        <f>IF(A141="","",IF(C141="","","LOT-"&amp;TEXT(A141,"YYYYMMDD")&amp;"-"&amp;TEXT(ROW()-3,"000")))</f>
        <v>#ERROR!</v>
      </c>
      <c r="C141" s="227"/>
      <c r="D141" s="227" t="str">
        <f>IFERROR(INDEX(Recettes!C:C,MATCH(C141,Recettes!B:B,0)),"")</f>
        <v>#ERROR!</v>
      </c>
      <c r="E141" s="227"/>
      <c r="F141" s="227"/>
      <c r="G141" s="227"/>
      <c r="H141" s="236" t="str">
        <f>IFERROR(IF(F141="","",IF(F141="100x4/4 (100 boc. ref.)",SWITCH(E141,"W60-050",320,"W60-080",280,"W60-160",220,"RR100-290",130,"RR100-370",120,"RR100-580",130,"RR100-850",64,"RR100-1050",55,"RR100-1550",40,100),IF(F141="200x4/4 (200 boc. ref.)",SWITCH(E141,"W60-050",640,"W60-080",560,"W60-160",440,"RR100-290",260,"RR100-370",240,"RR100-580",260,"RR100-850",128,"RR100-1050",110,"RR100-1550",80,200),IF(F141="100L eau (~20 boc.)",SWITCH(E141,"W60-050",60,"W60-080",50,"W60-160",40,"RR100-290",28,"RR100-370",24,"RR100-580",20,"RR100-850",12,"RR100-1050",10,"RR100-1550",6,15),"")))),"")</f>
        <v>#ERROR!</v>
      </c>
      <c r="I141" s="243" t="str">
        <f>IFERROR(IF(OR(H141="",G141=""),"",ROUND(H141*SWITCH(G141,"1/4",0.25,"1/2",0.5,"3/4",0.75,"Complet",1,1),0)),"")</f>
        <v>#ERROR!</v>
      </c>
      <c r="J141" s="227"/>
      <c r="K141" s="230" t="str">
        <f>IFERROR(J141/I141,"")</f>
        <v>#ERROR!</v>
      </c>
      <c r="L141" s="227"/>
      <c r="M141" s="227"/>
      <c r="N141" s="227"/>
      <c r="O141" s="227"/>
      <c r="P141" s="227"/>
      <c r="Q141" s="232" t="str">
        <f>IFERROR(IF(A141="","",A141+IFERROR(INDEX(Config!B:B,MATCH("DDM appertisation standard (mois)",Config!A:A,0)),36)*30),"")</f>
        <v>#ERROR!</v>
      </c>
      <c r="R141" s="227"/>
      <c r="S141" s="227"/>
      <c r="T141" s="233"/>
    </row>
    <row r="142" ht="16.5" customHeight="1">
      <c r="A142" s="242"/>
      <c r="B142" s="225" t="str">
        <f>IF(A142="","",IF(C142="","","LOT-"&amp;TEXT(A142,"YYYYMMDD")&amp;"-"&amp;TEXT(ROW()-3,"000")))</f>
        <v>#ERROR!</v>
      </c>
      <c r="C142" s="235"/>
      <c r="D142" s="235" t="str">
        <f>IFERROR(INDEX(Recettes!C:C,MATCH(C142,Recettes!B:B,0)),"")</f>
        <v>#ERROR!</v>
      </c>
      <c r="E142" s="235"/>
      <c r="F142" s="235"/>
      <c r="G142" s="235"/>
      <c r="H142" s="236" t="str">
        <f>IFERROR(IF(F142="","",IF(F142="100x4/4 (100 boc. ref.)",SWITCH(E142,"W60-050",320,"W60-080",280,"W60-160",220,"RR100-290",130,"RR100-370",120,"RR100-580",130,"RR100-850",64,"RR100-1050",55,"RR100-1550",40,100),IF(F142="200x4/4 (200 boc. ref.)",SWITCH(E142,"W60-050",640,"W60-080",560,"W60-160",440,"RR100-290",260,"RR100-370",240,"RR100-580",260,"RR100-850",128,"RR100-1050",110,"RR100-1550",80,200),IF(F142="100L eau (~20 boc.)",SWITCH(E142,"W60-050",60,"W60-080",50,"W60-160",40,"RR100-290",28,"RR100-370",24,"RR100-580",20,"RR100-850",12,"RR100-1050",10,"RR100-1550",6,15),"")))),"")</f>
        <v>#ERROR!</v>
      </c>
      <c r="I142" s="243" t="str">
        <f>IFERROR(IF(OR(H142="",G142=""),"",ROUND(H142*SWITCH(G142,"1/4",0.25,"1/2",0.5,"3/4",0.75,"Complet",1,1),0)),"")</f>
        <v>#ERROR!</v>
      </c>
      <c r="J142" s="235"/>
      <c r="K142" s="237" t="str">
        <f>IFERROR(J142/I142,"")</f>
        <v>#ERROR!</v>
      </c>
      <c r="L142" s="235"/>
      <c r="M142" s="235"/>
      <c r="N142" s="235"/>
      <c r="O142" s="235"/>
      <c r="P142" s="235"/>
      <c r="Q142" s="239" t="str">
        <f>IFERROR(IF(A142="","",A142+IFERROR(INDEX(Config!B:B,MATCH("DDM appertisation standard (mois)",Config!A:A,0)),36)*30),"")</f>
        <v>#ERROR!</v>
      </c>
      <c r="R142" s="235"/>
      <c r="S142" s="235"/>
      <c r="T142" s="240"/>
    </row>
    <row r="143" ht="16.5" customHeight="1">
      <c r="A143" s="242"/>
      <c r="B143" s="225" t="str">
        <f>IF(A143="","",IF(C143="","","LOT-"&amp;TEXT(A143,"YYYYMMDD")&amp;"-"&amp;TEXT(ROW()-3,"000")))</f>
        <v>#ERROR!</v>
      </c>
      <c r="C143" s="227"/>
      <c r="D143" s="227" t="str">
        <f>IFERROR(INDEX(Recettes!C:C,MATCH(C143,Recettes!B:B,0)),"")</f>
        <v>#ERROR!</v>
      </c>
      <c r="E143" s="227"/>
      <c r="F143" s="227"/>
      <c r="G143" s="227"/>
      <c r="H143" s="236" t="str">
        <f>IFERROR(IF(F143="","",IF(F143="100x4/4 (100 boc. ref.)",SWITCH(E143,"W60-050",320,"W60-080",280,"W60-160",220,"RR100-290",130,"RR100-370",120,"RR100-580",130,"RR100-850",64,"RR100-1050",55,"RR100-1550",40,100),IF(F143="200x4/4 (200 boc. ref.)",SWITCH(E143,"W60-050",640,"W60-080",560,"W60-160",440,"RR100-290",260,"RR100-370",240,"RR100-580",260,"RR100-850",128,"RR100-1050",110,"RR100-1550",80,200),IF(F143="100L eau (~20 boc.)",SWITCH(E143,"W60-050",60,"W60-080",50,"W60-160",40,"RR100-290",28,"RR100-370",24,"RR100-580",20,"RR100-850",12,"RR100-1050",10,"RR100-1550",6,15),"")))),"")</f>
        <v>#ERROR!</v>
      </c>
      <c r="I143" s="243" t="str">
        <f>IFERROR(IF(OR(H143="",G143=""),"",ROUND(H143*SWITCH(G143,"1/4",0.25,"1/2",0.5,"3/4",0.75,"Complet",1,1),0)),"")</f>
        <v>#ERROR!</v>
      </c>
      <c r="J143" s="227"/>
      <c r="K143" s="230" t="str">
        <f>IFERROR(J143/I143,"")</f>
        <v>#ERROR!</v>
      </c>
      <c r="L143" s="227"/>
      <c r="M143" s="227"/>
      <c r="N143" s="227"/>
      <c r="O143" s="227"/>
      <c r="P143" s="227"/>
      <c r="Q143" s="232" t="str">
        <f>IFERROR(IF(A143="","",A143+IFERROR(INDEX(Config!B:B,MATCH("DDM appertisation standard (mois)",Config!A:A,0)),36)*30),"")</f>
        <v>#ERROR!</v>
      </c>
      <c r="R143" s="227"/>
      <c r="S143" s="227"/>
      <c r="T143" s="233"/>
    </row>
    <row r="144" ht="16.5" customHeight="1">
      <c r="A144" s="242"/>
      <c r="B144" s="225" t="str">
        <f>IF(A144="","",IF(C144="","","LOT-"&amp;TEXT(A144,"YYYYMMDD")&amp;"-"&amp;TEXT(ROW()-3,"000")))</f>
        <v>#ERROR!</v>
      </c>
      <c r="C144" s="235"/>
      <c r="D144" s="235" t="str">
        <f>IFERROR(INDEX(Recettes!C:C,MATCH(C144,Recettes!B:B,0)),"")</f>
        <v>#ERROR!</v>
      </c>
      <c r="E144" s="235"/>
      <c r="F144" s="235"/>
      <c r="G144" s="235"/>
      <c r="H144" s="236" t="str">
        <f>IFERROR(IF(F144="","",IF(F144="100x4/4 (100 boc. ref.)",SWITCH(E144,"W60-050",320,"W60-080",280,"W60-160",220,"RR100-290",130,"RR100-370",120,"RR100-580",130,"RR100-850",64,"RR100-1050",55,"RR100-1550",40,100),IF(F144="200x4/4 (200 boc. ref.)",SWITCH(E144,"W60-050",640,"W60-080",560,"W60-160",440,"RR100-290",260,"RR100-370",240,"RR100-580",260,"RR100-850",128,"RR100-1050",110,"RR100-1550",80,200),IF(F144="100L eau (~20 boc.)",SWITCH(E144,"W60-050",60,"W60-080",50,"W60-160",40,"RR100-290",28,"RR100-370",24,"RR100-580",20,"RR100-850",12,"RR100-1050",10,"RR100-1550",6,15),"")))),"")</f>
        <v>#ERROR!</v>
      </c>
      <c r="I144" s="243" t="str">
        <f>IFERROR(IF(OR(H144="",G144=""),"",ROUND(H144*SWITCH(G144,"1/4",0.25,"1/2",0.5,"3/4",0.75,"Complet",1,1),0)),"")</f>
        <v>#ERROR!</v>
      </c>
      <c r="J144" s="235"/>
      <c r="K144" s="237" t="str">
        <f>IFERROR(J144/I144,"")</f>
        <v>#ERROR!</v>
      </c>
      <c r="L144" s="235"/>
      <c r="M144" s="235"/>
      <c r="N144" s="235"/>
      <c r="O144" s="235"/>
      <c r="P144" s="235"/>
      <c r="Q144" s="239" t="str">
        <f>IFERROR(IF(A144="","",A144+IFERROR(INDEX(Config!B:B,MATCH("DDM appertisation standard (mois)",Config!A:A,0)),36)*30),"")</f>
        <v>#ERROR!</v>
      </c>
      <c r="R144" s="235"/>
      <c r="S144" s="235"/>
      <c r="T144" s="240"/>
    </row>
    <row r="145" ht="16.5" customHeight="1">
      <c r="A145" s="242"/>
      <c r="B145" s="225" t="str">
        <f>IF(A145="","",IF(C145="","","LOT-"&amp;TEXT(A145,"YYYYMMDD")&amp;"-"&amp;TEXT(ROW()-3,"000")))</f>
        <v>#ERROR!</v>
      </c>
      <c r="C145" s="227"/>
      <c r="D145" s="227" t="str">
        <f>IFERROR(INDEX(Recettes!C:C,MATCH(C145,Recettes!B:B,0)),"")</f>
        <v>#ERROR!</v>
      </c>
      <c r="E145" s="227"/>
      <c r="F145" s="227"/>
      <c r="G145" s="227"/>
      <c r="H145" s="236" t="str">
        <f>IFERROR(IF(F145="","",IF(F145="100x4/4 (100 boc. ref.)",SWITCH(E145,"W60-050",320,"W60-080",280,"W60-160",220,"RR100-290",130,"RR100-370",120,"RR100-580",130,"RR100-850",64,"RR100-1050",55,"RR100-1550",40,100),IF(F145="200x4/4 (200 boc. ref.)",SWITCH(E145,"W60-050",640,"W60-080",560,"W60-160",440,"RR100-290",260,"RR100-370",240,"RR100-580",260,"RR100-850",128,"RR100-1050",110,"RR100-1550",80,200),IF(F145="100L eau (~20 boc.)",SWITCH(E145,"W60-050",60,"W60-080",50,"W60-160",40,"RR100-290",28,"RR100-370",24,"RR100-580",20,"RR100-850",12,"RR100-1050",10,"RR100-1550",6,15),"")))),"")</f>
        <v>#ERROR!</v>
      </c>
      <c r="I145" s="243" t="str">
        <f>IFERROR(IF(OR(H145="",G145=""),"",ROUND(H145*SWITCH(G145,"1/4",0.25,"1/2",0.5,"3/4",0.75,"Complet",1,1),0)),"")</f>
        <v>#ERROR!</v>
      </c>
      <c r="J145" s="227"/>
      <c r="K145" s="230" t="str">
        <f>IFERROR(J145/I145,"")</f>
        <v>#ERROR!</v>
      </c>
      <c r="L145" s="227"/>
      <c r="M145" s="227"/>
      <c r="N145" s="227"/>
      <c r="O145" s="227"/>
      <c r="P145" s="227"/>
      <c r="Q145" s="232" t="str">
        <f>IFERROR(IF(A145="","",A145+IFERROR(INDEX(Config!B:B,MATCH("DDM appertisation standard (mois)",Config!A:A,0)),36)*30),"")</f>
        <v>#ERROR!</v>
      </c>
      <c r="R145" s="227"/>
      <c r="S145" s="227"/>
      <c r="T145" s="233"/>
    </row>
    <row r="146" ht="16.5" customHeight="1">
      <c r="A146" s="242"/>
      <c r="B146" s="225" t="str">
        <f>IF(A146="","",IF(C146="","","LOT-"&amp;TEXT(A146,"YYYYMMDD")&amp;"-"&amp;TEXT(ROW()-3,"000")))</f>
        <v>#ERROR!</v>
      </c>
      <c r="C146" s="235"/>
      <c r="D146" s="235" t="str">
        <f>IFERROR(INDEX(Recettes!C:C,MATCH(C146,Recettes!B:B,0)),"")</f>
        <v>#ERROR!</v>
      </c>
      <c r="E146" s="235"/>
      <c r="F146" s="235"/>
      <c r="G146" s="235"/>
      <c r="H146" s="236" t="str">
        <f>IFERROR(IF(F146="","",IF(F146="100x4/4 (100 boc. ref.)",SWITCH(E146,"W60-050",320,"W60-080",280,"W60-160",220,"RR100-290",130,"RR100-370",120,"RR100-580",130,"RR100-850",64,"RR100-1050",55,"RR100-1550",40,100),IF(F146="200x4/4 (200 boc. ref.)",SWITCH(E146,"W60-050",640,"W60-080",560,"W60-160",440,"RR100-290",260,"RR100-370",240,"RR100-580",260,"RR100-850",128,"RR100-1050",110,"RR100-1550",80,200),IF(F146="100L eau (~20 boc.)",SWITCH(E146,"W60-050",60,"W60-080",50,"W60-160",40,"RR100-290",28,"RR100-370",24,"RR100-580",20,"RR100-850",12,"RR100-1050",10,"RR100-1550",6,15),"")))),"")</f>
        <v>#ERROR!</v>
      </c>
      <c r="I146" s="243" t="str">
        <f>IFERROR(IF(OR(H146="",G146=""),"",ROUND(H146*SWITCH(G146,"1/4",0.25,"1/2",0.5,"3/4",0.75,"Complet",1,1),0)),"")</f>
        <v>#ERROR!</v>
      </c>
      <c r="J146" s="235"/>
      <c r="K146" s="237" t="str">
        <f>IFERROR(J146/I146,"")</f>
        <v>#ERROR!</v>
      </c>
      <c r="L146" s="235"/>
      <c r="M146" s="235"/>
      <c r="N146" s="235"/>
      <c r="O146" s="235"/>
      <c r="P146" s="235"/>
      <c r="Q146" s="239" t="str">
        <f>IFERROR(IF(A146="","",A146+IFERROR(INDEX(Config!B:B,MATCH("DDM appertisation standard (mois)",Config!A:A,0)),36)*30),"")</f>
        <v>#ERROR!</v>
      </c>
      <c r="R146" s="235"/>
      <c r="S146" s="235"/>
      <c r="T146" s="240"/>
    </row>
    <row r="147" ht="16.5" customHeight="1">
      <c r="A147" s="242"/>
      <c r="B147" s="225" t="str">
        <f>IF(A147="","",IF(C147="","","LOT-"&amp;TEXT(A147,"YYYYMMDD")&amp;"-"&amp;TEXT(ROW()-3,"000")))</f>
        <v>#ERROR!</v>
      </c>
      <c r="C147" s="227"/>
      <c r="D147" s="227" t="str">
        <f>IFERROR(INDEX(Recettes!C:C,MATCH(C147,Recettes!B:B,0)),"")</f>
        <v>#ERROR!</v>
      </c>
      <c r="E147" s="227"/>
      <c r="F147" s="227"/>
      <c r="G147" s="227"/>
      <c r="H147" s="236" t="str">
        <f>IFERROR(IF(F147="","",IF(F147="100x4/4 (100 boc. ref.)",SWITCH(E147,"W60-050",320,"W60-080",280,"W60-160",220,"RR100-290",130,"RR100-370",120,"RR100-580",130,"RR100-850",64,"RR100-1050",55,"RR100-1550",40,100),IF(F147="200x4/4 (200 boc. ref.)",SWITCH(E147,"W60-050",640,"W60-080",560,"W60-160",440,"RR100-290",260,"RR100-370",240,"RR100-580",260,"RR100-850",128,"RR100-1050",110,"RR100-1550",80,200),IF(F147="100L eau (~20 boc.)",SWITCH(E147,"W60-050",60,"W60-080",50,"W60-160",40,"RR100-290",28,"RR100-370",24,"RR100-580",20,"RR100-850",12,"RR100-1050",10,"RR100-1550",6,15),"")))),"")</f>
        <v>#ERROR!</v>
      </c>
      <c r="I147" s="243" t="str">
        <f>IFERROR(IF(OR(H147="",G147=""),"",ROUND(H147*SWITCH(G147,"1/4",0.25,"1/2",0.5,"3/4",0.75,"Complet",1,1),0)),"")</f>
        <v>#ERROR!</v>
      </c>
      <c r="J147" s="227"/>
      <c r="K147" s="230" t="str">
        <f>IFERROR(J147/I147,"")</f>
        <v>#ERROR!</v>
      </c>
      <c r="L147" s="227"/>
      <c r="M147" s="227"/>
      <c r="N147" s="227"/>
      <c r="O147" s="227"/>
      <c r="P147" s="227"/>
      <c r="Q147" s="232" t="str">
        <f>IFERROR(IF(A147="","",A147+IFERROR(INDEX(Config!B:B,MATCH("DDM appertisation standard (mois)",Config!A:A,0)),36)*30),"")</f>
        <v>#ERROR!</v>
      </c>
      <c r="R147" s="227"/>
      <c r="S147" s="227"/>
      <c r="T147" s="233"/>
    </row>
    <row r="148" ht="16.5" customHeight="1">
      <c r="A148" s="242"/>
      <c r="B148" s="225" t="str">
        <f>IF(A148="","",IF(C148="","","LOT-"&amp;TEXT(A148,"YYYYMMDD")&amp;"-"&amp;TEXT(ROW()-3,"000")))</f>
        <v>#ERROR!</v>
      </c>
      <c r="C148" s="235"/>
      <c r="D148" s="235" t="str">
        <f>IFERROR(INDEX(Recettes!C:C,MATCH(C148,Recettes!B:B,0)),"")</f>
        <v>#ERROR!</v>
      </c>
      <c r="E148" s="235"/>
      <c r="F148" s="235"/>
      <c r="G148" s="235"/>
      <c r="H148" s="236" t="str">
        <f>IFERROR(IF(F148="","",IF(F148="100x4/4 (100 boc. ref.)",SWITCH(E148,"W60-050",320,"W60-080",280,"W60-160",220,"RR100-290",130,"RR100-370",120,"RR100-580",130,"RR100-850",64,"RR100-1050",55,"RR100-1550",40,100),IF(F148="200x4/4 (200 boc. ref.)",SWITCH(E148,"W60-050",640,"W60-080",560,"W60-160",440,"RR100-290",260,"RR100-370",240,"RR100-580",260,"RR100-850",128,"RR100-1050",110,"RR100-1550",80,200),IF(F148="100L eau (~20 boc.)",SWITCH(E148,"W60-050",60,"W60-080",50,"W60-160",40,"RR100-290",28,"RR100-370",24,"RR100-580",20,"RR100-850",12,"RR100-1050",10,"RR100-1550",6,15),"")))),"")</f>
        <v>#ERROR!</v>
      </c>
      <c r="I148" s="243" t="str">
        <f>IFERROR(IF(OR(H148="",G148=""),"",ROUND(H148*SWITCH(G148,"1/4",0.25,"1/2",0.5,"3/4",0.75,"Complet",1,1),0)),"")</f>
        <v>#ERROR!</v>
      </c>
      <c r="J148" s="235"/>
      <c r="K148" s="237" t="str">
        <f>IFERROR(J148/I148,"")</f>
        <v>#ERROR!</v>
      </c>
      <c r="L148" s="235"/>
      <c r="M148" s="235"/>
      <c r="N148" s="235"/>
      <c r="O148" s="235"/>
      <c r="P148" s="235"/>
      <c r="Q148" s="239" t="str">
        <f>IFERROR(IF(A148="","",A148+IFERROR(INDEX(Config!B:B,MATCH("DDM appertisation standard (mois)",Config!A:A,0)),36)*30),"")</f>
        <v>#ERROR!</v>
      </c>
      <c r="R148" s="235"/>
      <c r="S148" s="235"/>
      <c r="T148" s="240"/>
    </row>
    <row r="149" ht="16.5" customHeight="1">
      <c r="A149" s="242"/>
      <c r="B149" s="225" t="str">
        <f>IF(A149="","",IF(C149="","","LOT-"&amp;TEXT(A149,"YYYYMMDD")&amp;"-"&amp;TEXT(ROW()-3,"000")))</f>
        <v>#ERROR!</v>
      </c>
      <c r="C149" s="227"/>
      <c r="D149" s="227" t="str">
        <f>IFERROR(INDEX(Recettes!C:C,MATCH(C149,Recettes!B:B,0)),"")</f>
        <v>#ERROR!</v>
      </c>
      <c r="E149" s="227"/>
      <c r="F149" s="227"/>
      <c r="G149" s="227"/>
      <c r="H149" s="236" t="str">
        <f>IFERROR(IF(F149="","",IF(F149="100x4/4 (100 boc. ref.)",SWITCH(E149,"W60-050",320,"W60-080",280,"W60-160",220,"RR100-290",130,"RR100-370",120,"RR100-580",130,"RR100-850",64,"RR100-1050",55,"RR100-1550",40,100),IF(F149="200x4/4 (200 boc. ref.)",SWITCH(E149,"W60-050",640,"W60-080",560,"W60-160",440,"RR100-290",260,"RR100-370",240,"RR100-580",260,"RR100-850",128,"RR100-1050",110,"RR100-1550",80,200),IF(F149="100L eau (~20 boc.)",SWITCH(E149,"W60-050",60,"W60-080",50,"W60-160",40,"RR100-290",28,"RR100-370",24,"RR100-580",20,"RR100-850",12,"RR100-1050",10,"RR100-1550",6,15),"")))),"")</f>
        <v>#ERROR!</v>
      </c>
      <c r="I149" s="243" t="str">
        <f>IFERROR(IF(OR(H149="",G149=""),"",ROUND(H149*SWITCH(G149,"1/4",0.25,"1/2",0.5,"3/4",0.75,"Complet",1,1),0)),"")</f>
        <v>#ERROR!</v>
      </c>
      <c r="J149" s="227"/>
      <c r="K149" s="230" t="str">
        <f>IFERROR(J149/I149,"")</f>
        <v>#ERROR!</v>
      </c>
      <c r="L149" s="227"/>
      <c r="M149" s="227"/>
      <c r="N149" s="227"/>
      <c r="O149" s="227"/>
      <c r="P149" s="227"/>
      <c r="Q149" s="232" t="str">
        <f>IFERROR(IF(A149="","",A149+IFERROR(INDEX(Config!B:B,MATCH("DDM appertisation standard (mois)",Config!A:A,0)),36)*30),"")</f>
        <v>#ERROR!</v>
      </c>
      <c r="R149" s="227"/>
      <c r="S149" s="227"/>
      <c r="T149" s="233"/>
    </row>
    <row r="150" ht="16.5" customHeight="1">
      <c r="A150" s="242"/>
      <c r="B150" s="225" t="str">
        <f>IF(A150="","",IF(C150="","","LOT-"&amp;TEXT(A150,"YYYYMMDD")&amp;"-"&amp;TEXT(ROW()-3,"000")))</f>
        <v>#ERROR!</v>
      </c>
      <c r="C150" s="235"/>
      <c r="D150" s="235" t="str">
        <f>IFERROR(INDEX(Recettes!C:C,MATCH(C150,Recettes!B:B,0)),"")</f>
        <v>#ERROR!</v>
      </c>
      <c r="E150" s="235"/>
      <c r="F150" s="235"/>
      <c r="G150" s="235"/>
      <c r="H150" s="236" t="str">
        <f>IFERROR(IF(F150="","",IF(F150="100x4/4 (100 boc. ref.)",SWITCH(E150,"W60-050",320,"W60-080",280,"W60-160",220,"RR100-290",130,"RR100-370",120,"RR100-580",130,"RR100-850",64,"RR100-1050",55,"RR100-1550",40,100),IF(F150="200x4/4 (200 boc. ref.)",SWITCH(E150,"W60-050",640,"W60-080",560,"W60-160",440,"RR100-290",260,"RR100-370",240,"RR100-580",260,"RR100-850",128,"RR100-1050",110,"RR100-1550",80,200),IF(F150="100L eau (~20 boc.)",SWITCH(E150,"W60-050",60,"W60-080",50,"W60-160",40,"RR100-290",28,"RR100-370",24,"RR100-580",20,"RR100-850",12,"RR100-1050",10,"RR100-1550",6,15),"")))),"")</f>
        <v>#ERROR!</v>
      </c>
      <c r="I150" s="243" t="str">
        <f>IFERROR(IF(OR(H150="",G150=""),"",ROUND(H150*SWITCH(G150,"1/4",0.25,"1/2",0.5,"3/4",0.75,"Complet",1,1),0)),"")</f>
        <v>#ERROR!</v>
      </c>
      <c r="J150" s="235"/>
      <c r="K150" s="237" t="str">
        <f>IFERROR(J150/I150,"")</f>
        <v>#ERROR!</v>
      </c>
      <c r="L150" s="235"/>
      <c r="M150" s="235"/>
      <c r="N150" s="235"/>
      <c r="O150" s="235"/>
      <c r="P150" s="235"/>
      <c r="Q150" s="239" t="str">
        <f>IFERROR(IF(A150="","",A150+IFERROR(INDEX(Config!B:B,MATCH("DDM appertisation standard (mois)",Config!A:A,0)),36)*30),"")</f>
        <v>#ERROR!</v>
      </c>
      <c r="R150" s="235"/>
      <c r="S150" s="235"/>
      <c r="T150" s="240"/>
    </row>
    <row r="151" ht="16.5" customHeight="1">
      <c r="A151" s="242"/>
      <c r="B151" s="225" t="str">
        <f>IF(A151="","",IF(C151="","","LOT-"&amp;TEXT(A151,"YYYYMMDD")&amp;"-"&amp;TEXT(ROW()-3,"000")))</f>
        <v>#ERROR!</v>
      </c>
      <c r="C151" s="227"/>
      <c r="D151" s="227" t="str">
        <f>IFERROR(INDEX(Recettes!C:C,MATCH(C151,Recettes!B:B,0)),"")</f>
        <v>#ERROR!</v>
      </c>
      <c r="E151" s="227"/>
      <c r="F151" s="227"/>
      <c r="G151" s="227"/>
      <c r="H151" s="236" t="str">
        <f>IFERROR(IF(F151="","",IF(F151="100x4/4 (100 boc. ref.)",SWITCH(E151,"W60-050",320,"W60-080",280,"W60-160",220,"RR100-290",130,"RR100-370",120,"RR100-580",130,"RR100-850",64,"RR100-1050",55,"RR100-1550",40,100),IF(F151="200x4/4 (200 boc. ref.)",SWITCH(E151,"W60-050",640,"W60-080",560,"W60-160",440,"RR100-290",260,"RR100-370",240,"RR100-580",260,"RR100-850",128,"RR100-1050",110,"RR100-1550",80,200),IF(F151="100L eau (~20 boc.)",SWITCH(E151,"W60-050",60,"W60-080",50,"W60-160",40,"RR100-290",28,"RR100-370",24,"RR100-580",20,"RR100-850",12,"RR100-1050",10,"RR100-1550",6,15),"")))),"")</f>
        <v>#ERROR!</v>
      </c>
      <c r="I151" s="243" t="str">
        <f>IFERROR(IF(OR(H151="",G151=""),"",ROUND(H151*SWITCH(G151,"1/4",0.25,"1/2",0.5,"3/4",0.75,"Complet",1,1),0)),"")</f>
        <v>#ERROR!</v>
      </c>
      <c r="J151" s="227"/>
      <c r="K151" s="230" t="str">
        <f>IFERROR(J151/I151,"")</f>
        <v>#ERROR!</v>
      </c>
      <c r="L151" s="227"/>
      <c r="M151" s="227"/>
      <c r="N151" s="227"/>
      <c r="O151" s="227"/>
      <c r="P151" s="227"/>
      <c r="Q151" s="232" t="str">
        <f>IFERROR(IF(A151="","",A151+IFERROR(INDEX(Config!B:B,MATCH("DDM appertisation standard (mois)",Config!A:A,0)),36)*30),"")</f>
        <v>#ERROR!</v>
      </c>
      <c r="R151" s="227"/>
      <c r="S151" s="227"/>
      <c r="T151" s="233"/>
    </row>
    <row r="152" ht="16.5" customHeight="1">
      <c r="A152" s="242"/>
      <c r="B152" s="225" t="str">
        <f>IF(A152="","",IF(C152="","","LOT-"&amp;TEXT(A152,"YYYYMMDD")&amp;"-"&amp;TEXT(ROW()-3,"000")))</f>
        <v>#ERROR!</v>
      </c>
      <c r="C152" s="235"/>
      <c r="D152" s="235" t="str">
        <f>IFERROR(INDEX(Recettes!C:C,MATCH(C152,Recettes!B:B,0)),"")</f>
        <v>#ERROR!</v>
      </c>
      <c r="E152" s="235"/>
      <c r="F152" s="235"/>
      <c r="G152" s="235"/>
      <c r="H152" s="236" t="str">
        <f>IFERROR(IF(F152="","",IF(F152="100x4/4 (100 boc. ref.)",SWITCH(E152,"W60-050",320,"W60-080",280,"W60-160",220,"RR100-290",130,"RR100-370",120,"RR100-580",130,"RR100-850",64,"RR100-1050",55,"RR100-1550",40,100),IF(F152="200x4/4 (200 boc. ref.)",SWITCH(E152,"W60-050",640,"W60-080",560,"W60-160",440,"RR100-290",260,"RR100-370",240,"RR100-580",260,"RR100-850",128,"RR100-1050",110,"RR100-1550",80,200),IF(F152="100L eau (~20 boc.)",SWITCH(E152,"W60-050",60,"W60-080",50,"W60-160",40,"RR100-290",28,"RR100-370",24,"RR100-580",20,"RR100-850",12,"RR100-1050",10,"RR100-1550",6,15),"")))),"")</f>
        <v>#ERROR!</v>
      </c>
      <c r="I152" s="243" t="str">
        <f>IFERROR(IF(OR(H152="",G152=""),"",ROUND(H152*SWITCH(G152,"1/4",0.25,"1/2",0.5,"3/4",0.75,"Complet",1,1),0)),"")</f>
        <v>#ERROR!</v>
      </c>
      <c r="J152" s="235"/>
      <c r="K152" s="237" t="str">
        <f>IFERROR(J152/I152,"")</f>
        <v>#ERROR!</v>
      </c>
      <c r="L152" s="235"/>
      <c r="M152" s="235"/>
      <c r="N152" s="235"/>
      <c r="O152" s="235"/>
      <c r="P152" s="235"/>
      <c r="Q152" s="239" t="str">
        <f>IFERROR(IF(A152="","",A152+IFERROR(INDEX(Config!B:B,MATCH("DDM appertisation standard (mois)",Config!A:A,0)),36)*30),"")</f>
        <v>#ERROR!</v>
      </c>
      <c r="R152" s="235"/>
      <c r="S152" s="235"/>
      <c r="T152" s="240"/>
    </row>
    <row r="153" ht="16.5" customHeight="1">
      <c r="A153" s="242"/>
      <c r="B153" s="225" t="str">
        <f>IF(A153="","",IF(C153="","","LOT-"&amp;TEXT(A153,"YYYYMMDD")&amp;"-"&amp;TEXT(ROW()-3,"000")))</f>
        <v>#ERROR!</v>
      </c>
      <c r="C153" s="227"/>
      <c r="D153" s="227" t="str">
        <f>IFERROR(INDEX(Recettes!C:C,MATCH(C153,Recettes!B:B,0)),"")</f>
        <v>#ERROR!</v>
      </c>
      <c r="E153" s="227"/>
      <c r="F153" s="227"/>
      <c r="G153" s="227"/>
      <c r="H153" s="236" t="str">
        <f>IFERROR(IF(F153="","",IF(F153="100x4/4 (100 boc. ref.)",SWITCH(E153,"W60-050",320,"W60-080",280,"W60-160",220,"RR100-290",130,"RR100-370",120,"RR100-580",130,"RR100-850",64,"RR100-1050",55,"RR100-1550",40,100),IF(F153="200x4/4 (200 boc. ref.)",SWITCH(E153,"W60-050",640,"W60-080",560,"W60-160",440,"RR100-290",260,"RR100-370",240,"RR100-580",260,"RR100-850",128,"RR100-1050",110,"RR100-1550",80,200),IF(F153="100L eau (~20 boc.)",SWITCH(E153,"W60-050",60,"W60-080",50,"W60-160",40,"RR100-290",28,"RR100-370",24,"RR100-580",20,"RR100-850",12,"RR100-1050",10,"RR100-1550",6,15),"")))),"")</f>
        <v>#ERROR!</v>
      </c>
      <c r="I153" s="243" t="str">
        <f>IFERROR(IF(OR(H153="",G153=""),"",ROUND(H153*SWITCH(G153,"1/4",0.25,"1/2",0.5,"3/4",0.75,"Complet",1,1),0)),"")</f>
        <v>#ERROR!</v>
      </c>
      <c r="J153" s="227"/>
      <c r="K153" s="230" t="str">
        <f>IFERROR(J153/I153,"")</f>
        <v>#ERROR!</v>
      </c>
      <c r="L153" s="227"/>
      <c r="M153" s="227"/>
      <c r="N153" s="227"/>
      <c r="O153" s="227"/>
      <c r="P153" s="227"/>
      <c r="Q153" s="232" t="str">
        <f>IFERROR(IF(A153="","",A153+IFERROR(INDEX(Config!B:B,MATCH("DDM appertisation standard (mois)",Config!A:A,0)),36)*30),"")</f>
        <v>#ERROR!</v>
      </c>
      <c r="R153" s="227"/>
      <c r="S153" s="227"/>
      <c r="T153" s="233"/>
    </row>
    <row r="154" ht="16.5" customHeight="1">
      <c r="A154" s="242"/>
      <c r="B154" s="225" t="str">
        <f>IF(A154="","",IF(C154="","","LOT-"&amp;TEXT(A154,"YYYYMMDD")&amp;"-"&amp;TEXT(ROW()-3,"000")))</f>
        <v>#ERROR!</v>
      </c>
      <c r="C154" s="235"/>
      <c r="D154" s="235" t="str">
        <f>IFERROR(INDEX(Recettes!C:C,MATCH(C154,Recettes!B:B,0)),"")</f>
        <v>#ERROR!</v>
      </c>
      <c r="E154" s="235"/>
      <c r="F154" s="235"/>
      <c r="G154" s="235"/>
      <c r="H154" s="236" t="str">
        <f>IFERROR(IF(F154="","",IF(F154="100x4/4 (100 boc. ref.)",SWITCH(E154,"W60-050",320,"W60-080",280,"W60-160",220,"RR100-290",130,"RR100-370",120,"RR100-580",130,"RR100-850",64,"RR100-1050",55,"RR100-1550",40,100),IF(F154="200x4/4 (200 boc. ref.)",SWITCH(E154,"W60-050",640,"W60-080",560,"W60-160",440,"RR100-290",260,"RR100-370",240,"RR100-580",260,"RR100-850",128,"RR100-1050",110,"RR100-1550",80,200),IF(F154="100L eau (~20 boc.)",SWITCH(E154,"W60-050",60,"W60-080",50,"W60-160",40,"RR100-290",28,"RR100-370",24,"RR100-580",20,"RR100-850",12,"RR100-1050",10,"RR100-1550",6,15),"")))),"")</f>
        <v>#ERROR!</v>
      </c>
      <c r="I154" s="243" t="str">
        <f>IFERROR(IF(OR(H154="",G154=""),"",ROUND(H154*SWITCH(G154,"1/4",0.25,"1/2",0.5,"3/4",0.75,"Complet",1,1),0)),"")</f>
        <v>#ERROR!</v>
      </c>
      <c r="J154" s="235"/>
      <c r="K154" s="237" t="str">
        <f>IFERROR(J154/I154,"")</f>
        <v>#ERROR!</v>
      </c>
      <c r="L154" s="235"/>
      <c r="M154" s="235"/>
      <c r="N154" s="235"/>
      <c r="O154" s="235"/>
      <c r="P154" s="235"/>
      <c r="Q154" s="239" t="str">
        <f>IFERROR(IF(A154="","",A154+IFERROR(INDEX(Config!B:B,MATCH("DDM appertisation standard (mois)",Config!A:A,0)),36)*30),"")</f>
        <v>#ERROR!</v>
      </c>
      <c r="R154" s="235"/>
      <c r="S154" s="235"/>
      <c r="T154" s="240"/>
    </row>
    <row r="155" ht="16.5" customHeight="1">
      <c r="A155" s="242"/>
      <c r="B155" s="225" t="str">
        <f>IF(A155="","",IF(C155="","","LOT-"&amp;TEXT(A155,"YYYYMMDD")&amp;"-"&amp;TEXT(ROW()-3,"000")))</f>
        <v>#ERROR!</v>
      </c>
      <c r="C155" s="227"/>
      <c r="D155" s="227" t="str">
        <f>IFERROR(INDEX(Recettes!C:C,MATCH(C155,Recettes!B:B,0)),"")</f>
        <v>#ERROR!</v>
      </c>
      <c r="E155" s="227"/>
      <c r="F155" s="227"/>
      <c r="G155" s="227"/>
      <c r="H155" s="236" t="str">
        <f>IFERROR(IF(F155="","",IF(F155="100x4/4 (100 boc. ref.)",SWITCH(E155,"W60-050",320,"W60-080",280,"W60-160",220,"RR100-290",130,"RR100-370",120,"RR100-580",130,"RR100-850",64,"RR100-1050",55,"RR100-1550",40,100),IF(F155="200x4/4 (200 boc. ref.)",SWITCH(E155,"W60-050",640,"W60-080",560,"W60-160",440,"RR100-290",260,"RR100-370",240,"RR100-580",260,"RR100-850",128,"RR100-1050",110,"RR100-1550",80,200),IF(F155="100L eau (~20 boc.)",SWITCH(E155,"W60-050",60,"W60-080",50,"W60-160",40,"RR100-290",28,"RR100-370",24,"RR100-580",20,"RR100-850",12,"RR100-1050",10,"RR100-1550",6,15),"")))),"")</f>
        <v>#ERROR!</v>
      </c>
      <c r="I155" s="243" t="str">
        <f>IFERROR(IF(OR(H155="",G155=""),"",ROUND(H155*SWITCH(G155,"1/4",0.25,"1/2",0.5,"3/4",0.75,"Complet",1,1),0)),"")</f>
        <v>#ERROR!</v>
      </c>
      <c r="J155" s="227"/>
      <c r="K155" s="230" t="str">
        <f>IFERROR(J155/I155,"")</f>
        <v>#ERROR!</v>
      </c>
      <c r="L155" s="227"/>
      <c r="M155" s="227"/>
      <c r="N155" s="227"/>
      <c r="O155" s="227"/>
      <c r="P155" s="227"/>
      <c r="Q155" s="232" t="str">
        <f>IFERROR(IF(A155="","",A155+IFERROR(INDEX(Config!B:B,MATCH("DDM appertisation standard (mois)",Config!A:A,0)),36)*30),"")</f>
        <v>#ERROR!</v>
      </c>
      <c r="R155" s="227"/>
      <c r="S155" s="227"/>
      <c r="T155" s="233"/>
    </row>
    <row r="156" ht="16.5" customHeight="1">
      <c r="A156" s="242"/>
      <c r="B156" s="225" t="str">
        <f>IF(A156="","",IF(C156="","","LOT-"&amp;TEXT(A156,"YYYYMMDD")&amp;"-"&amp;TEXT(ROW()-3,"000")))</f>
        <v>#ERROR!</v>
      </c>
      <c r="C156" s="235"/>
      <c r="D156" s="235" t="str">
        <f>IFERROR(INDEX(Recettes!C:C,MATCH(C156,Recettes!B:B,0)),"")</f>
        <v>#ERROR!</v>
      </c>
      <c r="E156" s="235"/>
      <c r="F156" s="235"/>
      <c r="G156" s="235"/>
      <c r="H156" s="236" t="str">
        <f>IFERROR(IF(F156="","",IF(F156="100x4/4 (100 boc. ref.)",SWITCH(E156,"W60-050",320,"W60-080",280,"W60-160",220,"RR100-290",130,"RR100-370",120,"RR100-580",130,"RR100-850",64,"RR100-1050",55,"RR100-1550",40,100),IF(F156="200x4/4 (200 boc. ref.)",SWITCH(E156,"W60-050",640,"W60-080",560,"W60-160",440,"RR100-290",260,"RR100-370",240,"RR100-580",260,"RR100-850",128,"RR100-1050",110,"RR100-1550",80,200),IF(F156="100L eau (~20 boc.)",SWITCH(E156,"W60-050",60,"W60-080",50,"W60-160",40,"RR100-290",28,"RR100-370",24,"RR100-580",20,"RR100-850",12,"RR100-1050",10,"RR100-1550",6,15),"")))),"")</f>
        <v>#ERROR!</v>
      </c>
      <c r="I156" s="243" t="str">
        <f>IFERROR(IF(OR(H156="",G156=""),"",ROUND(H156*SWITCH(G156,"1/4",0.25,"1/2",0.5,"3/4",0.75,"Complet",1,1),0)),"")</f>
        <v>#ERROR!</v>
      </c>
      <c r="J156" s="235"/>
      <c r="K156" s="237" t="str">
        <f>IFERROR(J156/I156,"")</f>
        <v>#ERROR!</v>
      </c>
      <c r="L156" s="235"/>
      <c r="M156" s="235"/>
      <c r="N156" s="235"/>
      <c r="O156" s="235"/>
      <c r="P156" s="235"/>
      <c r="Q156" s="239" t="str">
        <f>IFERROR(IF(A156="","",A156+IFERROR(INDEX(Config!B:B,MATCH("DDM appertisation standard (mois)",Config!A:A,0)),36)*30),"")</f>
        <v>#ERROR!</v>
      </c>
      <c r="R156" s="235"/>
      <c r="S156" s="235"/>
      <c r="T156" s="240"/>
    </row>
    <row r="157" ht="16.5" customHeight="1">
      <c r="A157" s="242"/>
      <c r="B157" s="225" t="str">
        <f>IF(A157="","",IF(C157="","","LOT-"&amp;TEXT(A157,"YYYYMMDD")&amp;"-"&amp;TEXT(ROW()-3,"000")))</f>
        <v>#ERROR!</v>
      </c>
      <c r="C157" s="227"/>
      <c r="D157" s="227" t="str">
        <f>IFERROR(INDEX(Recettes!C:C,MATCH(C157,Recettes!B:B,0)),"")</f>
        <v>#ERROR!</v>
      </c>
      <c r="E157" s="227"/>
      <c r="F157" s="227"/>
      <c r="G157" s="227"/>
      <c r="H157" s="236" t="str">
        <f>IFERROR(IF(F157="","",IF(F157="100x4/4 (100 boc. ref.)",SWITCH(E157,"W60-050",320,"W60-080",280,"W60-160",220,"RR100-290",130,"RR100-370",120,"RR100-580",130,"RR100-850",64,"RR100-1050",55,"RR100-1550",40,100),IF(F157="200x4/4 (200 boc. ref.)",SWITCH(E157,"W60-050",640,"W60-080",560,"W60-160",440,"RR100-290",260,"RR100-370",240,"RR100-580",260,"RR100-850",128,"RR100-1050",110,"RR100-1550",80,200),IF(F157="100L eau (~20 boc.)",SWITCH(E157,"W60-050",60,"W60-080",50,"W60-160",40,"RR100-290",28,"RR100-370",24,"RR100-580",20,"RR100-850",12,"RR100-1050",10,"RR100-1550",6,15),"")))),"")</f>
        <v>#ERROR!</v>
      </c>
      <c r="I157" s="243" t="str">
        <f>IFERROR(IF(OR(H157="",G157=""),"",ROUND(H157*SWITCH(G157,"1/4",0.25,"1/2",0.5,"3/4",0.75,"Complet",1,1),0)),"")</f>
        <v>#ERROR!</v>
      </c>
      <c r="J157" s="227"/>
      <c r="K157" s="230" t="str">
        <f>IFERROR(J157/I157,"")</f>
        <v>#ERROR!</v>
      </c>
      <c r="L157" s="227"/>
      <c r="M157" s="227"/>
      <c r="N157" s="227"/>
      <c r="O157" s="227"/>
      <c r="P157" s="227"/>
      <c r="Q157" s="232" t="str">
        <f>IFERROR(IF(A157="","",A157+IFERROR(INDEX(Config!B:B,MATCH("DDM appertisation standard (mois)",Config!A:A,0)),36)*30),"")</f>
        <v>#ERROR!</v>
      </c>
      <c r="R157" s="227"/>
      <c r="S157" s="227"/>
      <c r="T157" s="233"/>
    </row>
    <row r="158" ht="16.5" customHeight="1">
      <c r="A158" s="242"/>
      <c r="B158" s="225" t="str">
        <f>IF(A158="","",IF(C158="","","LOT-"&amp;TEXT(A158,"YYYYMMDD")&amp;"-"&amp;TEXT(ROW()-3,"000")))</f>
        <v>#ERROR!</v>
      </c>
      <c r="C158" s="235"/>
      <c r="D158" s="235" t="str">
        <f>IFERROR(INDEX(Recettes!C:C,MATCH(C158,Recettes!B:B,0)),"")</f>
        <v>#ERROR!</v>
      </c>
      <c r="E158" s="235"/>
      <c r="F158" s="235"/>
      <c r="G158" s="235"/>
      <c r="H158" s="236" t="str">
        <f>IFERROR(IF(F158="","",IF(F158="100x4/4 (100 boc. ref.)",SWITCH(E158,"W60-050",320,"W60-080",280,"W60-160",220,"RR100-290",130,"RR100-370",120,"RR100-580",130,"RR100-850",64,"RR100-1050",55,"RR100-1550",40,100),IF(F158="200x4/4 (200 boc. ref.)",SWITCH(E158,"W60-050",640,"W60-080",560,"W60-160",440,"RR100-290",260,"RR100-370",240,"RR100-580",260,"RR100-850",128,"RR100-1050",110,"RR100-1550",80,200),IF(F158="100L eau (~20 boc.)",SWITCH(E158,"W60-050",60,"W60-080",50,"W60-160",40,"RR100-290",28,"RR100-370",24,"RR100-580",20,"RR100-850",12,"RR100-1050",10,"RR100-1550",6,15),"")))),"")</f>
        <v>#ERROR!</v>
      </c>
      <c r="I158" s="243" t="str">
        <f>IFERROR(IF(OR(H158="",G158=""),"",ROUND(H158*SWITCH(G158,"1/4",0.25,"1/2",0.5,"3/4",0.75,"Complet",1,1),0)),"")</f>
        <v>#ERROR!</v>
      </c>
      <c r="J158" s="235"/>
      <c r="K158" s="237" t="str">
        <f>IFERROR(J158/I158,"")</f>
        <v>#ERROR!</v>
      </c>
      <c r="L158" s="235"/>
      <c r="M158" s="235"/>
      <c r="N158" s="235"/>
      <c r="O158" s="235"/>
      <c r="P158" s="235"/>
      <c r="Q158" s="239" t="str">
        <f>IFERROR(IF(A158="","",A158+IFERROR(INDEX(Config!B:B,MATCH("DDM appertisation standard (mois)",Config!A:A,0)),36)*30),"")</f>
        <v>#ERROR!</v>
      </c>
      <c r="R158" s="235"/>
      <c r="S158" s="235"/>
      <c r="T158" s="240"/>
    </row>
    <row r="159" ht="16.5" customHeight="1">
      <c r="A159" s="242"/>
      <c r="B159" s="225" t="str">
        <f>IF(A159="","",IF(C159="","","LOT-"&amp;TEXT(A159,"YYYYMMDD")&amp;"-"&amp;TEXT(ROW()-3,"000")))</f>
        <v>#ERROR!</v>
      </c>
      <c r="C159" s="227"/>
      <c r="D159" s="227" t="str">
        <f>IFERROR(INDEX(Recettes!C:C,MATCH(C159,Recettes!B:B,0)),"")</f>
        <v>#ERROR!</v>
      </c>
      <c r="E159" s="227"/>
      <c r="F159" s="227"/>
      <c r="G159" s="227"/>
      <c r="H159" s="236" t="str">
        <f>IFERROR(IF(F159="","",IF(F159="100x4/4 (100 boc. ref.)",SWITCH(E159,"W60-050",320,"W60-080",280,"W60-160",220,"RR100-290",130,"RR100-370",120,"RR100-580",130,"RR100-850",64,"RR100-1050",55,"RR100-1550",40,100),IF(F159="200x4/4 (200 boc. ref.)",SWITCH(E159,"W60-050",640,"W60-080",560,"W60-160",440,"RR100-290",260,"RR100-370",240,"RR100-580",260,"RR100-850",128,"RR100-1050",110,"RR100-1550",80,200),IF(F159="100L eau (~20 boc.)",SWITCH(E159,"W60-050",60,"W60-080",50,"W60-160",40,"RR100-290",28,"RR100-370",24,"RR100-580",20,"RR100-850",12,"RR100-1050",10,"RR100-1550",6,15),"")))),"")</f>
        <v>#ERROR!</v>
      </c>
      <c r="I159" s="243" t="str">
        <f>IFERROR(IF(OR(H159="",G159=""),"",ROUND(H159*SWITCH(G159,"1/4",0.25,"1/2",0.5,"3/4",0.75,"Complet",1,1),0)),"")</f>
        <v>#ERROR!</v>
      </c>
      <c r="J159" s="227"/>
      <c r="K159" s="230" t="str">
        <f>IFERROR(J159/I159,"")</f>
        <v>#ERROR!</v>
      </c>
      <c r="L159" s="227"/>
      <c r="M159" s="227"/>
      <c r="N159" s="227"/>
      <c r="O159" s="227"/>
      <c r="P159" s="227"/>
      <c r="Q159" s="232" t="str">
        <f>IFERROR(IF(A159="","",A159+IFERROR(INDEX(Config!B:B,MATCH("DDM appertisation standard (mois)",Config!A:A,0)),36)*30),"")</f>
        <v>#ERROR!</v>
      </c>
      <c r="R159" s="227"/>
      <c r="S159" s="227"/>
      <c r="T159" s="233"/>
    </row>
    <row r="160" ht="16.5" customHeight="1">
      <c r="A160" s="242"/>
      <c r="B160" s="225" t="str">
        <f>IF(A160="","",IF(C160="","","LOT-"&amp;TEXT(A160,"YYYYMMDD")&amp;"-"&amp;TEXT(ROW()-3,"000")))</f>
        <v>#ERROR!</v>
      </c>
      <c r="C160" s="235"/>
      <c r="D160" s="235" t="str">
        <f>IFERROR(INDEX(Recettes!C:C,MATCH(C160,Recettes!B:B,0)),"")</f>
        <v>#ERROR!</v>
      </c>
      <c r="E160" s="235"/>
      <c r="F160" s="235"/>
      <c r="G160" s="235"/>
      <c r="H160" s="236" t="str">
        <f>IFERROR(IF(F160="","",IF(F160="100x4/4 (100 boc. ref.)",SWITCH(E160,"W60-050",320,"W60-080",280,"W60-160",220,"RR100-290",130,"RR100-370",120,"RR100-580",130,"RR100-850",64,"RR100-1050",55,"RR100-1550",40,100),IF(F160="200x4/4 (200 boc. ref.)",SWITCH(E160,"W60-050",640,"W60-080",560,"W60-160",440,"RR100-290",260,"RR100-370",240,"RR100-580",260,"RR100-850",128,"RR100-1050",110,"RR100-1550",80,200),IF(F160="100L eau (~20 boc.)",SWITCH(E160,"W60-050",60,"W60-080",50,"W60-160",40,"RR100-290",28,"RR100-370",24,"RR100-580",20,"RR100-850",12,"RR100-1050",10,"RR100-1550",6,15),"")))),"")</f>
        <v>#ERROR!</v>
      </c>
      <c r="I160" s="243" t="str">
        <f>IFERROR(IF(OR(H160="",G160=""),"",ROUND(H160*SWITCH(G160,"1/4",0.25,"1/2",0.5,"3/4",0.75,"Complet",1,1),0)),"")</f>
        <v>#ERROR!</v>
      </c>
      <c r="J160" s="235"/>
      <c r="K160" s="237" t="str">
        <f>IFERROR(J160/I160,"")</f>
        <v>#ERROR!</v>
      </c>
      <c r="L160" s="235"/>
      <c r="M160" s="235"/>
      <c r="N160" s="235"/>
      <c r="O160" s="235"/>
      <c r="P160" s="235"/>
      <c r="Q160" s="239" t="str">
        <f>IFERROR(IF(A160="","",A160+IFERROR(INDEX(Config!B:B,MATCH("DDM appertisation standard (mois)",Config!A:A,0)),36)*30),"")</f>
        <v>#ERROR!</v>
      </c>
      <c r="R160" s="235"/>
      <c r="S160" s="235"/>
      <c r="T160" s="240"/>
    </row>
    <row r="161" ht="16.5" customHeight="1">
      <c r="A161" s="242"/>
      <c r="B161" s="225" t="str">
        <f>IF(A161="","",IF(C161="","","LOT-"&amp;TEXT(A161,"YYYYMMDD")&amp;"-"&amp;TEXT(ROW()-3,"000")))</f>
        <v>#ERROR!</v>
      </c>
      <c r="C161" s="227"/>
      <c r="D161" s="227" t="str">
        <f>IFERROR(INDEX(Recettes!C:C,MATCH(C161,Recettes!B:B,0)),"")</f>
        <v>#ERROR!</v>
      </c>
      <c r="E161" s="227"/>
      <c r="F161" s="227"/>
      <c r="G161" s="227"/>
      <c r="H161" s="236" t="str">
        <f>IFERROR(IF(F161="","",IF(F161="100x4/4 (100 boc. ref.)",SWITCH(E161,"W60-050",320,"W60-080",280,"W60-160",220,"RR100-290",130,"RR100-370",120,"RR100-580",130,"RR100-850",64,"RR100-1050",55,"RR100-1550",40,100),IF(F161="200x4/4 (200 boc. ref.)",SWITCH(E161,"W60-050",640,"W60-080",560,"W60-160",440,"RR100-290",260,"RR100-370",240,"RR100-580",260,"RR100-850",128,"RR100-1050",110,"RR100-1550",80,200),IF(F161="100L eau (~20 boc.)",SWITCH(E161,"W60-050",60,"W60-080",50,"W60-160",40,"RR100-290",28,"RR100-370",24,"RR100-580",20,"RR100-850",12,"RR100-1050",10,"RR100-1550",6,15),"")))),"")</f>
        <v>#ERROR!</v>
      </c>
      <c r="I161" s="243" t="str">
        <f>IFERROR(IF(OR(H161="",G161=""),"",ROUND(H161*SWITCH(G161,"1/4",0.25,"1/2",0.5,"3/4",0.75,"Complet",1,1),0)),"")</f>
        <v>#ERROR!</v>
      </c>
      <c r="J161" s="227"/>
      <c r="K161" s="230" t="str">
        <f>IFERROR(J161/I161,"")</f>
        <v>#ERROR!</v>
      </c>
      <c r="L161" s="227"/>
      <c r="M161" s="227"/>
      <c r="N161" s="227"/>
      <c r="O161" s="227"/>
      <c r="P161" s="227"/>
      <c r="Q161" s="232" t="str">
        <f>IFERROR(IF(A161="","",A161+IFERROR(INDEX(Config!B:B,MATCH("DDM appertisation standard (mois)",Config!A:A,0)),36)*30),"")</f>
        <v>#ERROR!</v>
      </c>
      <c r="R161" s="227"/>
      <c r="S161" s="227"/>
      <c r="T161" s="233"/>
    </row>
    <row r="162" ht="16.5" customHeight="1">
      <c r="A162" s="242"/>
      <c r="B162" s="225" t="str">
        <f>IF(A162="","",IF(C162="","","LOT-"&amp;TEXT(A162,"YYYYMMDD")&amp;"-"&amp;TEXT(ROW()-3,"000")))</f>
        <v>#ERROR!</v>
      </c>
      <c r="C162" s="235"/>
      <c r="D162" s="235" t="str">
        <f>IFERROR(INDEX(Recettes!C:C,MATCH(C162,Recettes!B:B,0)),"")</f>
        <v>#ERROR!</v>
      </c>
      <c r="E162" s="235"/>
      <c r="F162" s="235"/>
      <c r="G162" s="235"/>
      <c r="H162" s="236" t="str">
        <f>IFERROR(IF(F162="","",IF(F162="100x4/4 (100 boc. ref.)",SWITCH(E162,"W60-050",320,"W60-080",280,"W60-160",220,"RR100-290",130,"RR100-370",120,"RR100-580",130,"RR100-850",64,"RR100-1050",55,"RR100-1550",40,100),IF(F162="200x4/4 (200 boc. ref.)",SWITCH(E162,"W60-050",640,"W60-080",560,"W60-160",440,"RR100-290",260,"RR100-370",240,"RR100-580",260,"RR100-850",128,"RR100-1050",110,"RR100-1550",80,200),IF(F162="100L eau (~20 boc.)",SWITCH(E162,"W60-050",60,"W60-080",50,"W60-160",40,"RR100-290",28,"RR100-370",24,"RR100-580",20,"RR100-850",12,"RR100-1050",10,"RR100-1550",6,15),"")))),"")</f>
        <v>#ERROR!</v>
      </c>
      <c r="I162" s="243" t="str">
        <f>IFERROR(IF(OR(H162="",G162=""),"",ROUND(H162*SWITCH(G162,"1/4",0.25,"1/2",0.5,"3/4",0.75,"Complet",1,1),0)),"")</f>
        <v>#ERROR!</v>
      </c>
      <c r="J162" s="235"/>
      <c r="K162" s="237" t="str">
        <f>IFERROR(J162/I162,"")</f>
        <v>#ERROR!</v>
      </c>
      <c r="L162" s="235"/>
      <c r="M162" s="235"/>
      <c r="N162" s="235"/>
      <c r="O162" s="235"/>
      <c r="P162" s="235"/>
      <c r="Q162" s="239" t="str">
        <f>IFERROR(IF(A162="","",A162+IFERROR(INDEX(Config!B:B,MATCH("DDM appertisation standard (mois)",Config!A:A,0)),36)*30),"")</f>
        <v>#ERROR!</v>
      </c>
      <c r="R162" s="235"/>
      <c r="S162" s="235"/>
      <c r="T162" s="240"/>
    </row>
    <row r="163" ht="16.5" customHeight="1">
      <c r="A163" s="242"/>
      <c r="B163" s="225" t="str">
        <f>IF(A163="","",IF(C163="","","LOT-"&amp;TEXT(A163,"YYYYMMDD")&amp;"-"&amp;TEXT(ROW()-3,"000")))</f>
        <v>#ERROR!</v>
      </c>
      <c r="C163" s="227"/>
      <c r="D163" s="227" t="str">
        <f>IFERROR(INDEX(Recettes!C:C,MATCH(C163,Recettes!B:B,0)),"")</f>
        <v>#ERROR!</v>
      </c>
      <c r="E163" s="227"/>
      <c r="F163" s="227"/>
      <c r="G163" s="227"/>
      <c r="H163" s="236" t="str">
        <f>IFERROR(IF(F163="","",IF(F163="100x4/4 (100 boc. ref.)",SWITCH(E163,"W60-050",320,"W60-080",280,"W60-160",220,"RR100-290",130,"RR100-370",120,"RR100-580",130,"RR100-850",64,"RR100-1050",55,"RR100-1550",40,100),IF(F163="200x4/4 (200 boc. ref.)",SWITCH(E163,"W60-050",640,"W60-080",560,"W60-160",440,"RR100-290",260,"RR100-370",240,"RR100-580",260,"RR100-850",128,"RR100-1050",110,"RR100-1550",80,200),IF(F163="100L eau (~20 boc.)",SWITCH(E163,"W60-050",60,"W60-080",50,"W60-160",40,"RR100-290",28,"RR100-370",24,"RR100-580",20,"RR100-850",12,"RR100-1050",10,"RR100-1550",6,15),"")))),"")</f>
        <v>#ERROR!</v>
      </c>
      <c r="I163" s="243" t="str">
        <f>IFERROR(IF(OR(H163="",G163=""),"",ROUND(H163*SWITCH(G163,"1/4",0.25,"1/2",0.5,"3/4",0.75,"Complet",1,1),0)),"")</f>
        <v>#ERROR!</v>
      </c>
      <c r="J163" s="227"/>
      <c r="K163" s="230" t="str">
        <f>IFERROR(J163/I163,"")</f>
        <v>#ERROR!</v>
      </c>
      <c r="L163" s="227"/>
      <c r="M163" s="227"/>
      <c r="N163" s="227"/>
      <c r="O163" s="227"/>
      <c r="P163" s="227"/>
      <c r="Q163" s="232" t="str">
        <f>IFERROR(IF(A163="","",A163+IFERROR(INDEX(Config!B:B,MATCH("DDM appertisation standard (mois)",Config!A:A,0)),36)*30),"")</f>
        <v>#ERROR!</v>
      </c>
      <c r="R163" s="227"/>
      <c r="S163" s="227"/>
      <c r="T163" s="233"/>
    </row>
    <row r="164" ht="16.5" customHeight="1">
      <c r="A164" s="242"/>
      <c r="B164" s="225" t="str">
        <f>IF(A164="","",IF(C164="","","LOT-"&amp;TEXT(A164,"YYYYMMDD")&amp;"-"&amp;TEXT(ROW()-3,"000")))</f>
        <v>#ERROR!</v>
      </c>
      <c r="C164" s="235"/>
      <c r="D164" s="235" t="str">
        <f>IFERROR(INDEX(Recettes!C:C,MATCH(C164,Recettes!B:B,0)),"")</f>
        <v>#ERROR!</v>
      </c>
      <c r="E164" s="235"/>
      <c r="F164" s="235"/>
      <c r="G164" s="235"/>
      <c r="H164" s="236" t="str">
        <f>IFERROR(IF(F164="","",IF(F164="100x4/4 (100 boc. ref.)",SWITCH(E164,"W60-050",320,"W60-080",280,"W60-160",220,"RR100-290",130,"RR100-370",120,"RR100-580",130,"RR100-850",64,"RR100-1050",55,"RR100-1550",40,100),IF(F164="200x4/4 (200 boc. ref.)",SWITCH(E164,"W60-050",640,"W60-080",560,"W60-160",440,"RR100-290",260,"RR100-370",240,"RR100-580",260,"RR100-850",128,"RR100-1050",110,"RR100-1550",80,200),IF(F164="100L eau (~20 boc.)",SWITCH(E164,"W60-050",60,"W60-080",50,"W60-160",40,"RR100-290",28,"RR100-370",24,"RR100-580",20,"RR100-850",12,"RR100-1050",10,"RR100-1550",6,15),"")))),"")</f>
        <v>#ERROR!</v>
      </c>
      <c r="I164" s="243" t="str">
        <f>IFERROR(IF(OR(H164="",G164=""),"",ROUND(H164*SWITCH(G164,"1/4",0.25,"1/2",0.5,"3/4",0.75,"Complet",1,1),0)),"")</f>
        <v>#ERROR!</v>
      </c>
      <c r="J164" s="235"/>
      <c r="K164" s="237" t="str">
        <f>IFERROR(J164/I164,"")</f>
        <v>#ERROR!</v>
      </c>
      <c r="L164" s="235"/>
      <c r="M164" s="235"/>
      <c r="N164" s="235"/>
      <c r="O164" s="235"/>
      <c r="P164" s="235"/>
      <c r="Q164" s="239" t="str">
        <f>IFERROR(IF(A164="","",A164+IFERROR(INDEX(Config!B:B,MATCH("DDM appertisation standard (mois)",Config!A:A,0)),36)*30),"")</f>
        <v>#ERROR!</v>
      </c>
      <c r="R164" s="235"/>
      <c r="S164" s="235"/>
      <c r="T164" s="240"/>
    </row>
    <row r="165" ht="16.5" customHeight="1">
      <c r="A165" s="242"/>
      <c r="B165" s="225" t="str">
        <f>IF(A165="","",IF(C165="","","LOT-"&amp;TEXT(A165,"YYYYMMDD")&amp;"-"&amp;TEXT(ROW()-3,"000")))</f>
        <v>#ERROR!</v>
      </c>
      <c r="C165" s="227"/>
      <c r="D165" s="227" t="str">
        <f>IFERROR(INDEX(Recettes!C:C,MATCH(C165,Recettes!B:B,0)),"")</f>
        <v>#ERROR!</v>
      </c>
      <c r="E165" s="227"/>
      <c r="F165" s="227"/>
      <c r="G165" s="227"/>
      <c r="H165" s="236" t="str">
        <f>IFERROR(IF(F165="","",IF(F165="100x4/4 (100 boc. ref.)",SWITCH(E165,"W60-050",320,"W60-080",280,"W60-160",220,"RR100-290",130,"RR100-370",120,"RR100-580",130,"RR100-850",64,"RR100-1050",55,"RR100-1550",40,100),IF(F165="200x4/4 (200 boc. ref.)",SWITCH(E165,"W60-050",640,"W60-080",560,"W60-160",440,"RR100-290",260,"RR100-370",240,"RR100-580",260,"RR100-850",128,"RR100-1050",110,"RR100-1550",80,200),IF(F165="100L eau (~20 boc.)",SWITCH(E165,"W60-050",60,"W60-080",50,"W60-160",40,"RR100-290",28,"RR100-370",24,"RR100-580",20,"RR100-850",12,"RR100-1050",10,"RR100-1550",6,15),"")))),"")</f>
        <v>#ERROR!</v>
      </c>
      <c r="I165" s="243" t="str">
        <f>IFERROR(IF(OR(H165="",G165=""),"",ROUND(H165*SWITCH(G165,"1/4",0.25,"1/2",0.5,"3/4",0.75,"Complet",1,1),0)),"")</f>
        <v>#ERROR!</v>
      </c>
      <c r="J165" s="227"/>
      <c r="K165" s="230" t="str">
        <f>IFERROR(J165/I165,"")</f>
        <v>#ERROR!</v>
      </c>
      <c r="L165" s="227"/>
      <c r="M165" s="227"/>
      <c r="N165" s="227"/>
      <c r="O165" s="227"/>
      <c r="P165" s="227"/>
      <c r="Q165" s="232" t="str">
        <f>IFERROR(IF(A165="","",A165+IFERROR(INDEX(Config!B:B,MATCH("DDM appertisation standard (mois)",Config!A:A,0)),36)*30),"")</f>
        <v>#ERROR!</v>
      </c>
      <c r="R165" s="227"/>
      <c r="S165" s="227"/>
      <c r="T165" s="233"/>
    </row>
    <row r="166" ht="16.5" customHeight="1">
      <c r="A166" s="242"/>
      <c r="B166" s="225" t="str">
        <f>IF(A166="","",IF(C166="","","LOT-"&amp;TEXT(A166,"YYYYMMDD")&amp;"-"&amp;TEXT(ROW()-3,"000")))</f>
        <v>#ERROR!</v>
      </c>
      <c r="C166" s="235"/>
      <c r="D166" s="235" t="str">
        <f>IFERROR(INDEX(Recettes!C:C,MATCH(C166,Recettes!B:B,0)),"")</f>
        <v>#ERROR!</v>
      </c>
      <c r="E166" s="235"/>
      <c r="F166" s="235"/>
      <c r="G166" s="235"/>
      <c r="H166" s="236" t="str">
        <f>IFERROR(IF(F166="","",IF(F166="100x4/4 (100 boc. ref.)",SWITCH(E166,"W60-050",320,"W60-080",280,"W60-160",220,"RR100-290",130,"RR100-370",120,"RR100-580",130,"RR100-850",64,"RR100-1050",55,"RR100-1550",40,100),IF(F166="200x4/4 (200 boc. ref.)",SWITCH(E166,"W60-050",640,"W60-080",560,"W60-160",440,"RR100-290",260,"RR100-370",240,"RR100-580",260,"RR100-850",128,"RR100-1050",110,"RR100-1550",80,200),IF(F166="100L eau (~20 boc.)",SWITCH(E166,"W60-050",60,"W60-080",50,"W60-160",40,"RR100-290",28,"RR100-370",24,"RR100-580",20,"RR100-850",12,"RR100-1050",10,"RR100-1550",6,15),"")))),"")</f>
        <v>#ERROR!</v>
      </c>
      <c r="I166" s="243" t="str">
        <f>IFERROR(IF(OR(H166="",G166=""),"",ROUND(H166*SWITCH(G166,"1/4",0.25,"1/2",0.5,"3/4",0.75,"Complet",1,1),0)),"")</f>
        <v>#ERROR!</v>
      </c>
      <c r="J166" s="235"/>
      <c r="K166" s="237" t="str">
        <f>IFERROR(J166/I166,"")</f>
        <v>#ERROR!</v>
      </c>
      <c r="L166" s="235"/>
      <c r="M166" s="235"/>
      <c r="N166" s="235"/>
      <c r="O166" s="235"/>
      <c r="P166" s="235"/>
      <c r="Q166" s="239" t="str">
        <f>IFERROR(IF(A166="","",A166+IFERROR(INDEX(Config!B:B,MATCH("DDM appertisation standard (mois)",Config!A:A,0)),36)*30),"")</f>
        <v>#ERROR!</v>
      </c>
      <c r="R166" s="235"/>
      <c r="S166" s="235"/>
      <c r="T166" s="240"/>
    </row>
    <row r="167" ht="16.5" customHeight="1">
      <c r="A167" s="242"/>
      <c r="B167" s="225" t="str">
        <f>IF(A167="","",IF(C167="","","LOT-"&amp;TEXT(A167,"YYYYMMDD")&amp;"-"&amp;TEXT(ROW()-3,"000")))</f>
        <v>#ERROR!</v>
      </c>
      <c r="C167" s="227"/>
      <c r="D167" s="227" t="str">
        <f>IFERROR(INDEX(Recettes!C:C,MATCH(C167,Recettes!B:B,0)),"")</f>
        <v>#ERROR!</v>
      </c>
      <c r="E167" s="227"/>
      <c r="F167" s="227"/>
      <c r="G167" s="227"/>
      <c r="H167" s="236" t="str">
        <f>IFERROR(IF(F167="","",IF(F167="100x4/4 (100 boc. ref.)",SWITCH(E167,"W60-050",320,"W60-080",280,"W60-160",220,"RR100-290",130,"RR100-370",120,"RR100-580",130,"RR100-850",64,"RR100-1050",55,"RR100-1550",40,100),IF(F167="200x4/4 (200 boc. ref.)",SWITCH(E167,"W60-050",640,"W60-080",560,"W60-160",440,"RR100-290",260,"RR100-370",240,"RR100-580",260,"RR100-850",128,"RR100-1050",110,"RR100-1550",80,200),IF(F167="100L eau (~20 boc.)",SWITCH(E167,"W60-050",60,"W60-080",50,"W60-160",40,"RR100-290",28,"RR100-370",24,"RR100-580",20,"RR100-850",12,"RR100-1050",10,"RR100-1550",6,15),"")))),"")</f>
        <v>#ERROR!</v>
      </c>
      <c r="I167" s="243" t="str">
        <f>IFERROR(IF(OR(H167="",G167=""),"",ROUND(H167*SWITCH(G167,"1/4",0.25,"1/2",0.5,"3/4",0.75,"Complet",1,1),0)),"")</f>
        <v>#ERROR!</v>
      </c>
      <c r="J167" s="227"/>
      <c r="K167" s="230" t="str">
        <f>IFERROR(J167/I167,"")</f>
        <v>#ERROR!</v>
      </c>
      <c r="L167" s="227"/>
      <c r="M167" s="227"/>
      <c r="N167" s="227"/>
      <c r="O167" s="227"/>
      <c r="P167" s="227"/>
      <c r="Q167" s="232" t="str">
        <f>IFERROR(IF(A167="","",A167+IFERROR(INDEX(Config!B:B,MATCH("DDM appertisation standard (mois)",Config!A:A,0)),36)*30),"")</f>
        <v>#ERROR!</v>
      </c>
      <c r="R167" s="227"/>
      <c r="S167" s="227"/>
      <c r="T167" s="233"/>
    </row>
    <row r="168" ht="16.5" customHeight="1">
      <c r="A168" s="242"/>
      <c r="B168" s="225" t="str">
        <f>IF(A168="","",IF(C168="","","LOT-"&amp;TEXT(A168,"YYYYMMDD")&amp;"-"&amp;TEXT(ROW()-3,"000")))</f>
        <v>#ERROR!</v>
      </c>
      <c r="C168" s="235"/>
      <c r="D168" s="235" t="str">
        <f>IFERROR(INDEX(Recettes!C:C,MATCH(C168,Recettes!B:B,0)),"")</f>
        <v>#ERROR!</v>
      </c>
      <c r="E168" s="235"/>
      <c r="F168" s="235"/>
      <c r="G168" s="235"/>
      <c r="H168" s="236" t="str">
        <f>IFERROR(IF(F168="","",IF(F168="100x4/4 (100 boc. ref.)",SWITCH(E168,"W60-050",320,"W60-080",280,"W60-160",220,"RR100-290",130,"RR100-370",120,"RR100-580",130,"RR100-850",64,"RR100-1050",55,"RR100-1550",40,100),IF(F168="200x4/4 (200 boc. ref.)",SWITCH(E168,"W60-050",640,"W60-080",560,"W60-160",440,"RR100-290",260,"RR100-370",240,"RR100-580",260,"RR100-850",128,"RR100-1050",110,"RR100-1550",80,200),IF(F168="100L eau (~20 boc.)",SWITCH(E168,"W60-050",60,"W60-080",50,"W60-160",40,"RR100-290",28,"RR100-370",24,"RR100-580",20,"RR100-850",12,"RR100-1050",10,"RR100-1550",6,15),"")))),"")</f>
        <v>#ERROR!</v>
      </c>
      <c r="I168" s="243" t="str">
        <f>IFERROR(IF(OR(H168="",G168=""),"",ROUND(H168*SWITCH(G168,"1/4",0.25,"1/2",0.5,"3/4",0.75,"Complet",1,1),0)),"")</f>
        <v>#ERROR!</v>
      </c>
      <c r="J168" s="235"/>
      <c r="K168" s="237" t="str">
        <f>IFERROR(J168/I168,"")</f>
        <v>#ERROR!</v>
      </c>
      <c r="L168" s="235"/>
      <c r="M168" s="235"/>
      <c r="N168" s="235"/>
      <c r="O168" s="235"/>
      <c r="P168" s="235"/>
      <c r="Q168" s="239" t="str">
        <f>IFERROR(IF(A168="","",A168+IFERROR(INDEX(Config!B:B,MATCH("DDM appertisation standard (mois)",Config!A:A,0)),36)*30),"")</f>
        <v>#ERROR!</v>
      </c>
      <c r="R168" s="235"/>
      <c r="S168" s="235"/>
      <c r="T168" s="240"/>
    </row>
    <row r="169" ht="16.5" customHeight="1">
      <c r="A169" s="242"/>
      <c r="B169" s="225" t="str">
        <f>IF(A169="","",IF(C169="","","LOT-"&amp;TEXT(A169,"YYYYMMDD")&amp;"-"&amp;TEXT(ROW()-3,"000")))</f>
        <v>#ERROR!</v>
      </c>
      <c r="C169" s="227"/>
      <c r="D169" s="227" t="str">
        <f>IFERROR(INDEX(Recettes!C:C,MATCH(C169,Recettes!B:B,0)),"")</f>
        <v>#ERROR!</v>
      </c>
      <c r="E169" s="227"/>
      <c r="F169" s="227"/>
      <c r="G169" s="227"/>
      <c r="H169" s="236" t="str">
        <f>IFERROR(IF(F169="","",IF(F169="100x4/4 (100 boc. ref.)",SWITCH(E169,"W60-050",320,"W60-080",280,"W60-160",220,"RR100-290",130,"RR100-370",120,"RR100-580",130,"RR100-850",64,"RR100-1050",55,"RR100-1550",40,100),IF(F169="200x4/4 (200 boc. ref.)",SWITCH(E169,"W60-050",640,"W60-080",560,"W60-160",440,"RR100-290",260,"RR100-370",240,"RR100-580",260,"RR100-850",128,"RR100-1050",110,"RR100-1550",80,200),IF(F169="100L eau (~20 boc.)",SWITCH(E169,"W60-050",60,"W60-080",50,"W60-160",40,"RR100-290",28,"RR100-370",24,"RR100-580",20,"RR100-850",12,"RR100-1050",10,"RR100-1550",6,15),"")))),"")</f>
        <v>#ERROR!</v>
      </c>
      <c r="I169" s="243" t="str">
        <f>IFERROR(IF(OR(H169="",G169=""),"",ROUND(H169*SWITCH(G169,"1/4",0.25,"1/2",0.5,"3/4",0.75,"Complet",1,1),0)),"")</f>
        <v>#ERROR!</v>
      </c>
      <c r="J169" s="227"/>
      <c r="K169" s="230" t="str">
        <f>IFERROR(J169/I169,"")</f>
        <v>#ERROR!</v>
      </c>
      <c r="L169" s="227"/>
      <c r="M169" s="227"/>
      <c r="N169" s="227"/>
      <c r="O169" s="227"/>
      <c r="P169" s="227"/>
      <c r="Q169" s="232" t="str">
        <f>IFERROR(IF(A169="","",A169+IFERROR(INDEX(Config!B:B,MATCH("DDM appertisation standard (mois)",Config!A:A,0)),36)*30),"")</f>
        <v>#ERROR!</v>
      </c>
      <c r="R169" s="227"/>
      <c r="S169" s="227"/>
      <c r="T169" s="233"/>
    </row>
    <row r="170" ht="16.5" customHeight="1">
      <c r="A170" s="242"/>
      <c r="B170" s="225" t="str">
        <f>IF(A170="","",IF(C170="","","LOT-"&amp;TEXT(A170,"YYYYMMDD")&amp;"-"&amp;TEXT(ROW()-3,"000")))</f>
        <v>#ERROR!</v>
      </c>
      <c r="C170" s="235"/>
      <c r="D170" s="235" t="str">
        <f>IFERROR(INDEX(Recettes!C:C,MATCH(C170,Recettes!B:B,0)),"")</f>
        <v>#ERROR!</v>
      </c>
      <c r="E170" s="235"/>
      <c r="F170" s="235"/>
      <c r="G170" s="235"/>
      <c r="H170" s="236" t="str">
        <f>IFERROR(IF(F170="","",IF(F170="100x4/4 (100 boc. ref.)",SWITCH(E170,"W60-050",320,"W60-080",280,"W60-160",220,"RR100-290",130,"RR100-370",120,"RR100-580",130,"RR100-850",64,"RR100-1050",55,"RR100-1550",40,100),IF(F170="200x4/4 (200 boc. ref.)",SWITCH(E170,"W60-050",640,"W60-080",560,"W60-160",440,"RR100-290",260,"RR100-370",240,"RR100-580",260,"RR100-850",128,"RR100-1050",110,"RR100-1550",80,200),IF(F170="100L eau (~20 boc.)",SWITCH(E170,"W60-050",60,"W60-080",50,"W60-160",40,"RR100-290",28,"RR100-370",24,"RR100-580",20,"RR100-850",12,"RR100-1050",10,"RR100-1550",6,15),"")))),"")</f>
        <v>#ERROR!</v>
      </c>
      <c r="I170" s="243" t="str">
        <f>IFERROR(IF(OR(H170="",G170=""),"",ROUND(H170*SWITCH(G170,"1/4",0.25,"1/2",0.5,"3/4",0.75,"Complet",1,1),0)),"")</f>
        <v>#ERROR!</v>
      </c>
      <c r="J170" s="235"/>
      <c r="K170" s="237" t="str">
        <f>IFERROR(J170/I170,"")</f>
        <v>#ERROR!</v>
      </c>
      <c r="L170" s="235"/>
      <c r="M170" s="235"/>
      <c r="N170" s="235"/>
      <c r="O170" s="235"/>
      <c r="P170" s="235"/>
      <c r="Q170" s="239" t="str">
        <f>IFERROR(IF(A170="","",A170+IFERROR(INDEX(Config!B:B,MATCH("DDM appertisation standard (mois)",Config!A:A,0)),36)*30),"")</f>
        <v>#ERROR!</v>
      </c>
      <c r="R170" s="235"/>
      <c r="S170" s="235"/>
      <c r="T170" s="240"/>
    </row>
    <row r="171" ht="16.5" customHeight="1">
      <c r="A171" s="242"/>
      <c r="B171" s="225" t="str">
        <f>IF(A171="","",IF(C171="","","LOT-"&amp;TEXT(A171,"YYYYMMDD")&amp;"-"&amp;TEXT(ROW()-3,"000")))</f>
        <v>#ERROR!</v>
      </c>
      <c r="C171" s="227"/>
      <c r="D171" s="227" t="str">
        <f>IFERROR(INDEX(Recettes!C:C,MATCH(C171,Recettes!B:B,0)),"")</f>
        <v>#ERROR!</v>
      </c>
      <c r="E171" s="227"/>
      <c r="F171" s="227"/>
      <c r="G171" s="227"/>
      <c r="H171" s="236" t="str">
        <f>IFERROR(IF(F171="","",IF(F171="100x4/4 (100 boc. ref.)",SWITCH(E171,"W60-050",320,"W60-080",280,"W60-160",220,"RR100-290",130,"RR100-370",120,"RR100-580",130,"RR100-850",64,"RR100-1050",55,"RR100-1550",40,100),IF(F171="200x4/4 (200 boc. ref.)",SWITCH(E171,"W60-050",640,"W60-080",560,"W60-160",440,"RR100-290",260,"RR100-370",240,"RR100-580",260,"RR100-850",128,"RR100-1050",110,"RR100-1550",80,200),IF(F171="100L eau (~20 boc.)",SWITCH(E171,"W60-050",60,"W60-080",50,"W60-160",40,"RR100-290",28,"RR100-370",24,"RR100-580",20,"RR100-850",12,"RR100-1050",10,"RR100-1550",6,15),"")))),"")</f>
        <v>#ERROR!</v>
      </c>
      <c r="I171" s="243" t="str">
        <f>IFERROR(IF(OR(H171="",G171=""),"",ROUND(H171*SWITCH(G171,"1/4",0.25,"1/2",0.5,"3/4",0.75,"Complet",1,1),0)),"")</f>
        <v>#ERROR!</v>
      </c>
      <c r="J171" s="227"/>
      <c r="K171" s="230" t="str">
        <f>IFERROR(J171/I171,"")</f>
        <v>#ERROR!</v>
      </c>
      <c r="L171" s="227"/>
      <c r="M171" s="227"/>
      <c r="N171" s="227"/>
      <c r="O171" s="227"/>
      <c r="P171" s="227"/>
      <c r="Q171" s="232" t="str">
        <f>IFERROR(IF(A171="","",A171+IFERROR(INDEX(Config!B:B,MATCH("DDM appertisation standard (mois)",Config!A:A,0)),36)*30),"")</f>
        <v>#ERROR!</v>
      </c>
      <c r="R171" s="227"/>
      <c r="S171" s="227"/>
      <c r="T171" s="233"/>
    </row>
    <row r="172" ht="16.5" customHeight="1">
      <c r="A172" s="242"/>
      <c r="B172" s="225" t="str">
        <f>IF(A172="","",IF(C172="","","LOT-"&amp;TEXT(A172,"YYYYMMDD")&amp;"-"&amp;TEXT(ROW()-3,"000")))</f>
        <v>#ERROR!</v>
      </c>
      <c r="C172" s="235"/>
      <c r="D172" s="235" t="str">
        <f>IFERROR(INDEX(Recettes!C:C,MATCH(C172,Recettes!B:B,0)),"")</f>
        <v>#ERROR!</v>
      </c>
      <c r="E172" s="235"/>
      <c r="F172" s="235"/>
      <c r="G172" s="235"/>
      <c r="H172" s="236" t="str">
        <f>IFERROR(IF(F172="","",IF(F172="100x4/4 (100 boc. ref.)",SWITCH(E172,"W60-050",320,"W60-080",280,"W60-160",220,"RR100-290",130,"RR100-370",120,"RR100-580",130,"RR100-850",64,"RR100-1050",55,"RR100-1550",40,100),IF(F172="200x4/4 (200 boc. ref.)",SWITCH(E172,"W60-050",640,"W60-080",560,"W60-160",440,"RR100-290",260,"RR100-370",240,"RR100-580",260,"RR100-850",128,"RR100-1050",110,"RR100-1550",80,200),IF(F172="100L eau (~20 boc.)",SWITCH(E172,"W60-050",60,"W60-080",50,"W60-160",40,"RR100-290",28,"RR100-370",24,"RR100-580",20,"RR100-850",12,"RR100-1050",10,"RR100-1550",6,15),"")))),"")</f>
        <v>#ERROR!</v>
      </c>
      <c r="I172" s="243" t="str">
        <f>IFERROR(IF(OR(H172="",G172=""),"",ROUND(H172*SWITCH(G172,"1/4",0.25,"1/2",0.5,"3/4",0.75,"Complet",1,1),0)),"")</f>
        <v>#ERROR!</v>
      </c>
      <c r="J172" s="235"/>
      <c r="K172" s="237" t="str">
        <f>IFERROR(J172/I172,"")</f>
        <v>#ERROR!</v>
      </c>
      <c r="L172" s="235"/>
      <c r="M172" s="235"/>
      <c r="N172" s="235"/>
      <c r="O172" s="235"/>
      <c r="P172" s="235"/>
      <c r="Q172" s="239" t="str">
        <f>IFERROR(IF(A172="","",A172+IFERROR(INDEX(Config!B:B,MATCH("DDM appertisation standard (mois)",Config!A:A,0)),36)*30),"")</f>
        <v>#ERROR!</v>
      </c>
      <c r="R172" s="235"/>
      <c r="S172" s="235"/>
      <c r="T172" s="240"/>
    </row>
    <row r="173" ht="16.5" customHeight="1">
      <c r="A173" s="242"/>
      <c r="B173" s="225" t="str">
        <f>IF(A173="","",IF(C173="","","LOT-"&amp;TEXT(A173,"YYYYMMDD")&amp;"-"&amp;TEXT(ROW()-3,"000")))</f>
        <v>#ERROR!</v>
      </c>
      <c r="C173" s="227"/>
      <c r="D173" s="227" t="str">
        <f>IFERROR(INDEX(Recettes!C:C,MATCH(C173,Recettes!B:B,0)),"")</f>
        <v>#ERROR!</v>
      </c>
      <c r="E173" s="227"/>
      <c r="F173" s="227"/>
      <c r="G173" s="227"/>
      <c r="H173" s="236" t="str">
        <f>IFERROR(IF(F173="","",IF(F173="100x4/4 (100 boc. ref.)",SWITCH(E173,"W60-050",320,"W60-080",280,"W60-160",220,"RR100-290",130,"RR100-370",120,"RR100-580",130,"RR100-850",64,"RR100-1050",55,"RR100-1550",40,100),IF(F173="200x4/4 (200 boc. ref.)",SWITCH(E173,"W60-050",640,"W60-080",560,"W60-160",440,"RR100-290",260,"RR100-370",240,"RR100-580",260,"RR100-850",128,"RR100-1050",110,"RR100-1550",80,200),IF(F173="100L eau (~20 boc.)",SWITCH(E173,"W60-050",60,"W60-080",50,"W60-160",40,"RR100-290",28,"RR100-370",24,"RR100-580",20,"RR100-850",12,"RR100-1050",10,"RR100-1550",6,15),"")))),"")</f>
        <v>#ERROR!</v>
      </c>
      <c r="I173" s="243" t="str">
        <f>IFERROR(IF(OR(H173="",G173=""),"",ROUND(H173*SWITCH(G173,"1/4",0.25,"1/2",0.5,"3/4",0.75,"Complet",1,1),0)),"")</f>
        <v>#ERROR!</v>
      </c>
      <c r="J173" s="227"/>
      <c r="K173" s="230" t="str">
        <f>IFERROR(J173/I173,"")</f>
        <v>#ERROR!</v>
      </c>
      <c r="L173" s="227"/>
      <c r="M173" s="227"/>
      <c r="N173" s="227"/>
      <c r="O173" s="227"/>
      <c r="P173" s="227"/>
      <c r="Q173" s="232" t="str">
        <f>IFERROR(IF(A173="","",A173+IFERROR(INDEX(Config!B:B,MATCH("DDM appertisation standard (mois)",Config!A:A,0)),36)*30),"")</f>
        <v>#ERROR!</v>
      </c>
      <c r="R173" s="227"/>
      <c r="S173" s="227"/>
      <c r="T173" s="233"/>
    </row>
    <row r="174" ht="16.5" customHeight="1">
      <c r="A174" s="242"/>
      <c r="B174" s="225" t="str">
        <f>IF(A174="","",IF(C174="","","LOT-"&amp;TEXT(A174,"YYYYMMDD")&amp;"-"&amp;TEXT(ROW()-3,"000")))</f>
        <v>#ERROR!</v>
      </c>
      <c r="C174" s="235"/>
      <c r="D174" s="235" t="str">
        <f>IFERROR(INDEX(Recettes!C:C,MATCH(C174,Recettes!B:B,0)),"")</f>
        <v>#ERROR!</v>
      </c>
      <c r="E174" s="235"/>
      <c r="F174" s="235"/>
      <c r="G174" s="235"/>
      <c r="H174" s="236" t="str">
        <f>IFERROR(IF(F174="","",IF(F174="100x4/4 (100 boc. ref.)",SWITCH(E174,"W60-050",320,"W60-080",280,"W60-160",220,"RR100-290",130,"RR100-370",120,"RR100-580",130,"RR100-850",64,"RR100-1050",55,"RR100-1550",40,100),IF(F174="200x4/4 (200 boc. ref.)",SWITCH(E174,"W60-050",640,"W60-080",560,"W60-160",440,"RR100-290",260,"RR100-370",240,"RR100-580",260,"RR100-850",128,"RR100-1050",110,"RR100-1550",80,200),IF(F174="100L eau (~20 boc.)",SWITCH(E174,"W60-050",60,"W60-080",50,"W60-160",40,"RR100-290",28,"RR100-370",24,"RR100-580",20,"RR100-850",12,"RR100-1050",10,"RR100-1550",6,15),"")))),"")</f>
        <v>#ERROR!</v>
      </c>
      <c r="I174" s="243" t="str">
        <f>IFERROR(IF(OR(H174="",G174=""),"",ROUND(H174*SWITCH(G174,"1/4",0.25,"1/2",0.5,"3/4",0.75,"Complet",1,1),0)),"")</f>
        <v>#ERROR!</v>
      </c>
      <c r="J174" s="235"/>
      <c r="K174" s="237" t="str">
        <f>IFERROR(J174/I174,"")</f>
        <v>#ERROR!</v>
      </c>
      <c r="L174" s="235"/>
      <c r="M174" s="235"/>
      <c r="N174" s="235"/>
      <c r="O174" s="235"/>
      <c r="P174" s="235"/>
      <c r="Q174" s="239" t="str">
        <f>IFERROR(IF(A174="","",A174+IFERROR(INDEX(Config!B:B,MATCH("DDM appertisation standard (mois)",Config!A:A,0)),36)*30),"")</f>
        <v>#ERROR!</v>
      </c>
      <c r="R174" s="235"/>
      <c r="S174" s="235"/>
      <c r="T174" s="240"/>
    </row>
    <row r="175" ht="16.5" customHeight="1">
      <c r="A175" s="242"/>
      <c r="B175" s="225" t="str">
        <f>IF(A175="","",IF(C175="","","LOT-"&amp;TEXT(A175,"YYYYMMDD")&amp;"-"&amp;TEXT(ROW()-3,"000")))</f>
        <v>#ERROR!</v>
      </c>
      <c r="C175" s="227"/>
      <c r="D175" s="227" t="str">
        <f>IFERROR(INDEX(Recettes!C:C,MATCH(C175,Recettes!B:B,0)),"")</f>
        <v>#ERROR!</v>
      </c>
      <c r="E175" s="227"/>
      <c r="F175" s="227"/>
      <c r="G175" s="227"/>
      <c r="H175" s="236" t="str">
        <f>IFERROR(IF(F175="","",IF(F175="100x4/4 (100 boc. ref.)",SWITCH(E175,"W60-050",320,"W60-080",280,"W60-160",220,"RR100-290",130,"RR100-370",120,"RR100-580",130,"RR100-850",64,"RR100-1050",55,"RR100-1550",40,100),IF(F175="200x4/4 (200 boc. ref.)",SWITCH(E175,"W60-050",640,"W60-080",560,"W60-160",440,"RR100-290",260,"RR100-370",240,"RR100-580",260,"RR100-850",128,"RR100-1050",110,"RR100-1550",80,200),IF(F175="100L eau (~20 boc.)",SWITCH(E175,"W60-050",60,"W60-080",50,"W60-160",40,"RR100-290",28,"RR100-370",24,"RR100-580",20,"RR100-850",12,"RR100-1050",10,"RR100-1550",6,15),"")))),"")</f>
        <v>#ERROR!</v>
      </c>
      <c r="I175" s="243" t="str">
        <f>IFERROR(IF(OR(H175="",G175=""),"",ROUND(H175*SWITCH(G175,"1/4",0.25,"1/2",0.5,"3/4",0.75,"Complet",1,1),0)),"")</f>
        <v>#ERROR!</v>
      </c>
      <c r="J175" s="227"/>
      <c r="K175" s="230" t="str">
        <f>IFERROR(J175/I175,"")</f>
        <v>#ERROR!</v>
      </c>
      <c r="L175" s="227"/>
      <c r="M175" s="227"/>
      <c r="N175" s="227"/>
      <c r="O175" s="227"/>
      <c r="P175" s="227"/>
      <c r="Q175" s="232" t="str">
        <f>IFERROR(IF(A175="","",A175+IFERROR(INDEX(Config!B:B,MATCH("DDM appertisation standard (mois)",Config!A:A,0)),36)*30),"")</f>
        <v>#ERROR!</v>
      </c>
      <c r="R175" s="227"/>
      <c r="S175" s="227"/>
      <c r="T175" s="233"/>
    </row>
    <row r="176" ht="16.5" customHeight="1">
      <c r="A176" s="242"/>
      <c r="B176" s="225" t="str">
        <f>IF(A176="","",IF(C176="","","LOT-"&amp;TEXT(A176,"YYYYMMDD")&amp;"-"&amp;TEXT(ROW()-3,"000")))</f>
        <v>#ERROR!</v>
      </c>
      <c r="C176" s="235"/>
      <c r="D176" s="235" t="str">
        <f>IFERROR(INDEX(Recettes!C:C,MATCH(C176,Recettes!B:B,0)),"")</f>
        <v>#ERROR!</v>
      </c>
      <c r="E176" s="235"/>
      <c r="F176" s="235"/>
      <c r="G176" s="235"/>
      <c r="H176" s="236" t="str">
        <f>IFERROR(IF(F176="","",IF(F176="100x4/4 (100 boc. ref.)",SWITCH(E176,"W60-050",320,"W60-080",280,"W60-160",220,"RR100-290",130,"RR100-370",120,"RR100-580",130,"RR100-850",64,"RR100-1050",55,"RR100-1550",40,100),IF(F176="200x4/4 (200 boc. ref.)",SWITCH(E176,"W60-050",640,"W60-080",560,"W60-160",440,"RR100-290",260,"RR100-370",240,"RR100-580",260,"RR100-850",128,"RR100-1050",110,"RR100-1550",80,200),IF(F176="100L eau (~20 boc.)",SWITCH(E176,"W60-050",60,"W60-080",50,"W60-160",40,"RR100-290",28,"RR100-370",24,"RR100-580",20,"RR100-850",12,"RR100-1050",10,"RR100-1550",6,15),"")))),"")</f>
        <v>#ERROR!</v>
      </c>
      <c r="I176" s="243" t="str">
        <f>IFERROR(IF(OR(H176="",G176=""),"",ROUND(H176*SWITCH(G176,"1/4",0.25,"1/2",0.5,"3/4",0.75,"Complet",1,1),0)),"")</f>
        <v>#ERROR!</v>
      </c>
      <c r="J176" s="235"/>
      <c r="K176" s="237" t="str">
        <f>IFERROR(J176/I176,"")</f>
        <v>#ERROR!</v>
      </c>
      <c r="L176" s="235"/>
      <c r="M176" s="235"/>
      <c r="N176" s="235"/>
      <c r="O176" s="235"/>
      <c r="P176" s="235"/>
      <c r="Q176" s="239" t="str">
        <f>IFERROR(IF(A176="","",A176+IFERROR(INDEX(Config!B:B,MATCH("DDM appertisation standard (mois)",Config!A:A,0)),36)*30),"")</f>
        <v>#ERROR!</v>
      </c>
      <c r="R176" s="235"/>
      <c r="S176" s="235"/>
      <c r="T176" s="240"/>
    </row>
    <row r="177" ht="16.5" customHeight="1">
      <c r="A177" s="242"/>
      <c r="B177" s="225" t="str">
        <f>IF(A177="","",IF(C177="","","LOT-"&amp;TEXT(A177,"YYYYMMDD")&amp;"-"&amp;TEXT(ROW()-3,"000")))</f>
        <v>#ERROR!</v>
      </c>
      <c r="C177" s="227"/>
      <c r="D177" s="227" t="str">
        <f>IFERROR(INDEX(Recettes!C:C,MATCH(C177,Recettes!B:B,0)),"")</f>
        <v>#ERROR!</v>
      </c>
      <c r="E177" s="227"/>
      <c r="F177" s="227"/>
      <c r="G177" s="227"/>
      <c r="H177" s="236" t="str">
        <f>IFERROR(IF(F177="","",IF(F177="100x4/4 (100 boc. ref.)",SWITCH(E177,"W60-050",320,"W60-080",280,"W60-160",220,"RR100-290",130,"RR100-370",120,"RR100-580",130,"RR100-850",64,"RR100-1050",55,"RR100-1550",40,100),IF(F177="200x4/4 (200 boc. ref.)",SWITCH(E177,"W60-050",640,"W60-080",560,"W60-160",440,"RR100-290",260,"RR100-370",240,"RR100-580",260,"RR100-850",128,"RR100-1050",110,"RR100-1550",80,200),IF(F177="100L eau (~20 boc.)",SWITCH(E177,"W60-050",60,"W60-080",50,"W60-160",40,"RR100-290",28,"RR100-370",24,"RR100-580",20,"RR100-850",12,"RR100-1050",10,"RR100-1550",6,15),"")))),"")</f>
        <v>#ERROR!</v>
      </c>
      <c r="I177" s="243" t="str">
        <f>IFERROR(IF(OR(H177="",G177=""),"",ROUND(H177*SWITCH(G177,"1/4",0.25,"1/2",0.5,"3/4",0.75,"Complet",1,1),0)),"")</f>
        <v>#ERROR!</v>
      </c>
      <c r="J177" s="227"/>
      <c r="K177" s="230" t="str">
        <f>IFERROR(J177/I177,"")</f>
        <v>#ERROR!</v>
      </c>
      <c r="L177" s="227"/>
      <c r="M177" s="227"/>
      <c r="N177" s="227"/>
      <c r="O177" s="227"/>
      <c r="P177" s="227"/>
      <c r="Q177" s="232" t="str">
        <f>IFERROR(IF(A177="","",A177+IFERROR(INDEX(Config!B:B,MATCH("DDM appertisation standard (mois)",Config!A:A,0)),36)*30),"")</f>
        <v>#ERROR!</v>
      </c>
      <c r="R177" s="227"/>
      <c r="S177" s="227"/>
      <c r="T177" s="233"/>
    </row>
    <row r="178" ht="16.5" customHeight="1">
      <c r="A178" s="242"/>
      <c r="B178" s="225" t="str">
        <f>IF(A178="","",IF(C178="","","LOT-"&amp;TEXT(A178,"YYYYMMDD")&amp;"-"&amp;TEXT(ROW()-3,"000")))</f>
        <v>#ERROR!</v>
      </c>
      <c r="C178" s="235"/>
      <c r="D178" s="235" t="str">
        <f>IFERROR(INDEX(Recettes!C:C,MATCH(C178,Recettes!B:B,0)),"")</f>
        <v>#ERROR!</v>
      </c>
      <c r="E178" s="235"/>
      <c r="F178" s="235"/>
      <c r="G178" s="235"/>
      <c r="H178" s="236" t="str">
        <f>IFERROR(IF(F178="","",IF(F178="100x4/4 (100 boc. ref.)",SWITCH(E178,"W60-050",320,"W60-080",280,"W60-160",220,"RR100-290",130,"RR100-370",120,"RR100-580",130,"RR100-850",64,"RR100-1050",55,"RR100-1550",40,100),IF(F178="200x4/4 (200 boc. ref.)",SWITCH(E178,"W60-050",640,"W60-080",560,"W60-160",440,"RR100-290",260,"RR100-370",240,"RR100-580",260,"RR100-850",128,"RR100-1050",110,"RR100-1550",80,200),IF(F178="100L eau (~20 boc.)",SWITCH(E178,"W60-050",60,"W60-080",50,"W60-160",40,"RR100-290",28,"RR100-370",24,"RR100-580",20,"RR100-850",12,"RR100-1050",10,"RR100-1550",6,15),"")))),"")</f>
        <v>#ERROR!</v>
      </c>
      <c r="I178" s="243" t="str">
        <f>IFERROR(IF(OR(H178="",G178=""),"",ROUND(H178*SWITCH(G178,"1/4",0.25,"1/2",0.5,"3/4",0.75,"Complet",1,1),0)),"")</f>
        <v>#ERROR!</v>
      </c>
      <c r="J178" s="235"/>
      <c r="K178" s="237" t="str">
        <f>IFERROR(J178/I178,"")</f>
        <v>#ERROR!</v>
      </c>
      <c r="L178" s="235"/>
      <c r="M178" s="235"/>
      <c r="N178" s="235"/>
      <c r="O178" s="235"/>
      <c r="P178" s="235"/>
      <c r="Q178" s="239" t="str">
        <f>IFERROR(IF(A178="","",A178+IFERROR(INDEX(Config!B:B,MATCH("DDM appertisation standard (mois)",Config!A:A,0)),36)*30),"")</f>
        <v>#ERROR!</v>
      </c>
      <c r="R178" s="235"/>
      <c r="S178" s="235"/>
      <c r="T178" s="240"/>
    </row>
    <row r="179" ht="16.5" customHeight="1">
      <c r="A179" s="242"/>
      <c r="B179" s="225" t="str">
        <f>IF(A179="","",IF(C179="","","LOT-"&amp;TEXT(A179,"YYYYMMDD")&amp;"-"&amp;TEXT(ROW()-3,"000")))</f>
        <v>#ERROR!</v>
      </c>
      <c r="C179" s="227"/>
      <c r="D179" s="227" t="str">
        <f>IFERROR(INDEX(Recettes!C:C,MATCH(C179,Recettes!B:B,0)),"")</f>
        <v>#ERROR!</v>
      </c>
      <c r="E179" s="227"/>
      <c r="F179" s="227"/>
      <c r="G179" s="227"/>
      <c r="H179" s="236" t="str">
        <f>IFERROR(IF(F179="","",IF(F179="100x4/4 (100 boc. ref.)",SWITCH(E179,"W60-050",320,"W60-080",280,"W60-160",220,"RR100-290",130,"RR100-370",120,"RR100-580",130,"RR100-850",64,"RR100-1050",55,"RR100-1550",40,100),IF(F179="200x4/4 (200 boc. ref.)",SWITCH(E179,"W60-050",640,"W60-080",560,"W60-160",440,"RR100-290",260,"RR100-370",240,"RR100-580",260,"RR100-850",128,"RR100-1050",110,"RR100-1550",80,200),IF(F179="100L eau (~20 boc.)",SWITCH(E179,"W60-050",60,"W60-080",50,"W60-160",40,"RR100-290",28,"RR100-370",24,"RR100-580",20,"RR100-850",12,"RR100-1050",10,"RR100-1550",6,15),"")))),"")</f>
        <v>#ERROR!</v>
      </c>
      <c r="I179" s="243" t="str">
        <f>IFERROR(IF(OR(H179="",G179=""),"",ROUND(H179*SWITCH(G179,"1/4",0.25,"1/2",0.5,"3/4",0.75,"Complet",1,1),0)),"")</f>
        <v>#ERROR!</v>
      </c>
      <c r="J179" s="227"/>
      <c r="K179" s="230" t="str">
        <f>IFERROR(J179/I179,"")</f>
        <v>#ERROR!</v>
      </c>
      <c r="L179" s="227"/>
      <c r="M179" s="227"/>
      <c r="N179" s="227"/>
      <c r="O179" s="227"/>
      <c r="P179" s="227"/>
      <c r="Q179" s="232" t="str">
        <f>IFERROR(IF(A179="","",A179+IFERROR(INDEX(Config!B:B,MATCH("DDM appertisation standard (mois)",Config!A:A,0)),36)*30),"")</f>
        <v>#ERROR!</v>
      </c>
      <c r="R179" s="227"/>
      <c r="S179" s="227"/>
      <c r="T179" s="233"/>
    </row>
    <row r="180" ht="16.5" customHeight="1">
      <c r="A180" s="242"/>
      <c r="B180" s="225" t="str">
        <f>IF(A180="","",IF(C180="","","LOT-"&amp;TEXT(A180,"YYYYMMDD")&amp;"-"&amp;TEXT(ROW()-3,"000")))</f>
        <v>#ERROR!</v>
      </c>
      <c r="C180" s="235"/>
      <c r="D180" s="235" t="str">
        <f>IFERROR(INDEX(Recettes!C:C,MATCH(C180,Recettes!B:B,0)),"")</f>
        <v>#ERROR!</v>
      </c>
      <c r="E180" s="235"/>
      <c r="F180" s="235"/>
      <c r="G180" s="235"/>
      <c r="H180" s="236" t="str">
        <f>IFERROR(IF(F180="","",IF(F180="100x4/4 (100 boc. ref.)",SWITCH(E180,"W60-050",320,"W60-080",280,"W60-160",220,"RR100-290",130,"RR100-370",120,"RR100-580",130,"RR100-850",64,"RR100-1050",55,"RR100-1550",40,100),IF(F180="200x4/4 (200 boc. ref.)",SWITCH(E180,"W60-050",640,"W60-080",560,"W60-160",440,"RR100-290",260,"RR100-370",240,"RR100-580",260,"RR100-850",128,"RR100-1050",110,"RR100-1550",80,200),IF(F180="100L eau (~20 boc.)",SWITCH(E180,"W60-050",60,"W60-080",50,"W60-160",40,"RR100-290",28,"RR100-370",24,"RR100-580",20,"RR100-850",12,"RR100-1050",10,"RR100-1550",6,15),"")))),"")</f>
        <v>#ERROR!</v>
      </c>
      <c r="I180" s="243" t="str">
        <f>IFERROR(IF(OR(H180="",G180=""),"",ROUND(H180*SWITCH(G180,"1/4",0.25,"1/2",0.5,"3/4",0.75,"Complet",1,1),0)),"")</f>
        <v>#ERROR!</v>
      </c>
      <c r="J180" s="235"/>
      <c r="K180" s="237" t="str">
        <f>IFERROR(J180/I180,"")</f>
        <v>#ERROR!</v>
      </c>
      <c r="L180" s="235"/>
      <c r="M180" s="235"/>
      <c r="N180" s="235"/>
      <c r="O180" s="235"/>
      <c r="P180" s="235"/>
      <c r="Q180" s="239" t="str">
        <f>IFERROR(IF(A180="","",A180+IFERROR(INDEX(Config!B:B,MATCH("DDM appertisation standard (mois)",Config!A:A,0)),36)*30),"")</f>
        <v>#ERROR!</v>
      </c>
      <c r="R180" s="235"/>
      <c r="S180" s="235"/>
      <c r="T180" s="240"/>
    </row>
    <row r="181" ht="16.5" customHeight="1">
      <c r="A181" s="242"/>
      <c r="B181" s="225" t="str">
        <f>IF(A181="","",IF(C181="","","LOT-"&amp;TEXT(A181,"YYYYMMDD")&amp;"-"&amp;TEXT(ROW()-3,"000")))</f>
        <v>#ERROR!</v>
      </c>
      <c r="C181" s="227"/>
      <c r="D181" s="227" t="str">
        <f>IFERROR(INDEX(Recettes!C:C,MATCH(C181,Recettes!B:B,0)),"")</f>
        <v>#ERROR!</v>
      </c>
      <c r="E181" s="227"/>
      <c r="F181" s="227"/>
      <c r="G181" s="227"/>
      <c r="H181" s="236" t="str">
        <f>IFERROR(IF(F181="","",IF(F181="100x4/4 (100 boc. ref.)",SWITCH(E181,"W60-050",320,"W60-080",280,"W60-160",220,"RR100-290",130,"RR100-370",120,"RR100-580",130,"RR100-850",64,"RR100-1050",55,"RR100-1550",40,100),IF(F181="200x4/4 (200 boc. ref.)",SWITCH(E181,"W60-050",640,"W60-080",560,"W60-160",440,"RR100-290",260,"RR100-370",240,"RR100-580",260,"RR100-850",128,"RR100-1050",110,"RR100-1550",80,200),IF(F181="100L eau (~20 boc.)",SWITCH(E181,"W60-050",60,"W60-080",50,"W60-160",40,"RR100-290",28,"RR100-370",24,"RR100-580",20,"RR100-850",12,"RR100-1050",10,"RR100-1550",6,15),"")))),"")</f>
        <v>#ERROR!</v>
      </c>
      <c r="I181" s="243" t="str">
        <f>IFERROR(IF(OR(H181="",G181=""),"",ROUND(H181*SWITCH(G181,"1/4",0.25,"1/2",0.5,"3/4",0.75,"Complet",1,1),0)),"")</f>
        <v>#ERROR!</v>
      </c>
      <c r="J181" s="227"/>
      <c r="K181" s="230" t="str">
        <f>IFERROR(J181/I181,"")</f>
        <v>#ERROR!</v>
      </c>
      <c r="L181" s="227"/>
      <c r="M181" s="227"/>
      <c r="N181" s="227"/>
      <c r="O181" s="227"/>
      <c r="P181" s="227"/>
      <c r="Q181" s="232" t="str">
        <f>IFERROR(IF(A181="","",A181+IFERROR(INDEX(Config!B:B,MATCH("DDM appertisation standard (mois)",Config!A:A,0)),36)*30),"")</f>
        <v>#ERROR!</v>
      </c>
      <c r="R181" s="227"/>
      <c r="S181" s="227"/>
      <c r="T181" s="233"/>
    </row>
    <row r="182" ht="16.5" customHeight="1">
      <c r="A182" s="242"/>
      <c r="B182" s="225" t="str">
        <f>IF(A182="","",IF(C182="","","LOT-"&amp;TEXT(A182,"YYYYMMDD")&amp;"-"&amp;TEXT(ROW()-3,"000")))</f>
        <v>#ERROR!</v>
      </c>
      <c r="C182" s="235"/>
      <c r="D182" s="235" t="str">
        <f>IFERROR(INDEX(Recettes!C:C,MATCH(C182,Recettes!B:B,0)),"")</f>
        <v>#ERROR!</v>
      </c>
      <c r="E182" s="235"/>
      <c r="F182" s="235"/>
      <c r="G182" s="235"/>
      <c r="H182" s="236" t="str">
        <f>IFERROR(IF(F182="","",IF(F182="100x4/4 (100 boc. ref.)",SWITCH(E182,"W60-050",320,"W60-080",280,"W60-160",220,"RR100-290",130,"RR100-370",120,"RR100-580",130,"RR100-850",64,"RR100-1050",55,"RR100-1550",40,100),IF(F182="200x4/4 (200 boc. ref.)",SWITCH(E182,"W60-050",640,"W60-080",560,"W60-160",440,"RR100-290",260,"RR100-370",240,"RR100-580",260,"RR100-850",128,"RR100-1050",110,"RR100-1550",80,200),IF(F182="100L eau (~20 boc.)",SWITCH(E182,"W60-050",60,"W60-080",50,"W60-160",40,"RR100-290",28,"RR100-370",24,"RR100-580",20,"RR100-850",12,"RR100-1050",10,"RR100-1550",6,15),"")))),"")</f>
        <v>#ERROR!</v>
      </c>
      <c r="I182" s="243" t="str">
        <f>IFERROR(IF(OR(H182="",G182=""),"",ROUND(H182*SWITCH(G182,"1/4",0.25,"1/2",0.5,"3/4",0.75,"Complet",1,1),0)),"")</f>
        <v>#ERROR!</v>
      </c>
      <c r="J182" s="235"/>
      <c r="K182" s="237" t="str">
        <f>IFERROR(J182/I182,"")</f>
        <v>#ERROR!</v>
      </c>
      <c r="L182" s="235"/>
      <c r="M182" s="235"/>
      <c r="N182" s="235"/>
      <c r="O182" s="235"/>
      <c r="P182" s="235"/>
      <c r="Q182" s="239" t="str">
        <f>IFERROR(IF(A182="","",A182+IFERROR(INDEX(Config!B:B,MATCH("DDM appertisation standard (mois)",Config!A:A,0)),36)*30),"")</f>
        <v>#ERROR!</v>
      </c>
      <c r="R182" s="235"/>
      <c r="S182" s="235"/>
      <c r="T182" s="240"/>
    </row>
    <row r="183" ht="16.5" customHeight="1">
      <c r="A183" s="242"/>
      <c r="B183" s="225" t="str">
        <f>IF(A183="","",IF(C183="","","LOT-"&amp;TEXT(A183,"YYYYMMDD")&amp;"-"&amp;TEXT(ROW()-3,"000")))</f>
        <v>#ERROR!</v>
      </c>
      <c r="C183" s="227"/>
      <c r="D183" s="227" t="str">
        <f>IFERROR(INDEX(Recettes!C:C,MATCH(C183,Recettes!B:B,0)),"")</f>
        <v>#ERROR!</v>
      </c>
      <c r="E183" s="227"/>
      <c r="F183" s="227"/>
      <c r="G183" s="227"/>
      <c r="H183" s="236" t="str">
        <f>IFERROR(IF(F183="","",IF(F183="100x4/4 (100 boc. ref.)",SWITCH(E183,"W60-050",320,"W60-080",280,"W60-160",220,"RR100-290",130,"RR100-370",120,"RR100-580",130,"RR100-850",64,"RR100-1050",55,"RR100-1550",40,100),IF(F183="200x4/4 (200 boc. ref.)",SWITCH(E183,"W60-050",640,"W60-080",560,"W60-160",440,"RR100-290",260,"RR100-370",240,"RR100-580",260,"RR100-850",128,"RR100-1050",110,"RR100-1550",80,200),IF(F183="100L eau (~20 boc.)",SWITCH(E183,"W60-050",60,"W60-080",50,"W60-160",40,"RR100-290",28,"RR100-370",24,"RR100-580",20,"RR100-850",12,"RR100-1050",10,"RR100-1550",6,15),"")))),"")</f>
        <v>#ERROR!</v>
      </c>
      <c r="I183" s="243" t="str">
        <f>IFERROR(IF(OR(H183="",G183=""),"",ROUND(H183*SWITCH(G183,"1/4",0.25,"1/2",0.5,"3/4",0.75,"Complet",1,1),0)),"")</f>
        <v>#ERROR!</v>
      </c>
      <c r="J183" s="227"/>
      <c r="K183" s="230" t="str">
        <f>IFERROR(J183/I183,"")</f>
        <v>#ERROR!</v>
      </c>
      <c r="L183" s="227"/>
      <c r="M183" s="227"/>
      <c r="N183" s="227"/>
      <c r="O183" s="227"/>
      <c r="P183" s="227"/>
      <c r="Q183" s="232" t="str">
        <f>IFERROR(IF(A183="","",A183+IFERROR(INDEX(Config!B:B,MATCH("DDM appertisation standard (mois)",Config!A:A,0)),36)*30),"")</f>
        <v>#ERROR!</v>
      </c>
      <c r="R183" s="227"/>
      <c r="S183" s="227"/>
      <c r="T183" s="233"/>
    </row>
    <row r="184" ht="16.5" customHeight="1">
      <c r="A184" s="242"/>
      <c r="B184" s="225" t="str">
        <f>IF(A184="","",IF(C184="","","LOT-"&amp;TEXT(A184,"YYYYMMDD")&amp;"-"&amp;TEXT(ROW()-3,"000")))</f>
        <v>#ERROR!</v>
      </c>
      <c r="C184" s="235"/>
      <c r="D184" s="235" t="str">
        <f>IFERROR(INDEX(Recettes!C:C,MATCH(C184,Recettes!B:B,0)),"")</f>
        <v>#ERROR!</v>
      </c>
      <c r="E184" s="235"/>
      <c r="F184" s="235"/>
      <c r="G184" s="235"/>
      <c r="H184" s="236" t="str">
        <f>IFERROR(IF(F184="","",IF(F184="100x4/4 (100 boc. ref.)",SWITCH(E184,"W60-050",320,"W60-080",280,"W60-160",220,"RR100-290",130,"RR100-370",120,"RR100-580",130,"RR100-850",64,"RR100-1050",55,"RR100-1550",40,100),IF(F184="200x4/4 (200 boc. ref.)",SWITCH(E184,"W60-050",640,"W60-080",560,"W60-160",440,"RR100-290",260,"RR100-370",240,"RR100-580",260,"RR100-850",128,"RR100-1050",110,"RR100-1550",80,200),IF(F184="100L eau (~20 boc.)",SWITCH(E184,"W60-050",60,"W60-080",50,"W60-160",40,"RR100-290",28,"RR100-370",24,"RR100-580",20,"RR100-850",12,"RR100-1050",10,"RR100-1550",6,15),"")))),"")</f>
        <v>#ERROR!</v>
      </c>
      <c r="I184" s="243" t="str">
        <f>IFERROR(IF(OR(H184="",G184=""),"",ROUND(H184*SWITCH(G184,"1/4",0.25,"1/2",0.5,"3/4",0.75,"Complet",1,1),0)),"")</f>
        <v>#ERROR!</v>
      </c>
      <c r="J184" s="235"/>
      <c r="K184" s="237" t="str">
        <f>IFERROR(J184/I184,"")</f>
        <v>#ERROR!</v>
      </c>
      <c r="L184" s="235"/>
      <c r="M184" s="235"/>
      <c r="N184" s="235"/>
      <c r="O184" s="235"/>
      <c r="P184" s="235"/>
      <c r="Q184" s="239" t="str">
        <f>IFERROR(IF(A184="","",A184+IFERROR(INDEX(Config!B:B,MATCH("DDM appertisation standard (mois)",Config!A:A,0)),36)*30),"")</f>
        <v>#ERROR!</v>
      </c>
      <c r="R184" s="235"/>
      <c r="S184" s="235"/>
      <c r="T184" s="240"/>
    </row>
    <row r="185" ht="16.5" customHeight="1">
      <c r="A185" s="242"/>
      <c r="B185" s="225" t="str">
        <f>IF(A185="","",IF(C185="","","LOT-"&amp;TEXT(A185,"YYYYMMDD")&amp;"-"&amp;TEXT(ROW()-3,"000")))</f>
        <v>#ERROR!</v>
      </c>
      <c r="C185" s="227"/>
      <c r="D185" s="227" t="str">
        <f>IFERROR(INDEX(Recettes!C:C,MATCH(C185,Recettes!B:B,0)),"")</f>
        <v>#ERROR!</v>
      </c>
      <c r="E185" s="227"/>
      <c r="F185" s="227"/>
      <c r="G185" s="227"/>
      <c r="H185" s="236" t="str">
        <f>IFERROR(IF(F185="","",IF(F185="100x4/4 (100 boc. ref.)",SWITCH(E185,"W60-050",320,"W60-080",280,"W60-160",220,"RR100-290",130,"RR100-370",120,"RR100-580",130,"RR100-850",64,"RR100-1050",55,"RR100-1550",40,100),IF(F185="200x4/4 (200 boc. ref.)",SWITCH(E185,"W60-050",640,"W60-080",560,"W60-160",440,"RR100-290",260,"RR100-370",240,"RR100-580",260,"RR100-850",128,"RR100-1050",110,"RR100-1550",80,200),IF(F185="100L eau (~20 boc.)",SWITCH(E185,"W60-050",60,"W60-080",50,"W60-160",40,"RR100-290",28,"RR100-370",24,"RR100-580",20,"RR100-850",12,"RR100-1050",10,"RR100-1550",6,15),"")))),"")</f>
        <v>#ERROR!</v>
      </c>
      <c r="I185" s="243" t="str">
        <f>IFERROR(IF(OR(H185="",G185=""),"",ROUND(H185*SWITCH(G185,"1/4",0.25,"1/2",0.5,"3/4",0.75,"Complet",1,1),0)),"")</f>
        <v>#ERROR!</v>
      </c>
      <c r="J185" s="227"/>
      <c r="K185" s="230" t="str">
        <f>IFERROR(J185/I185,"")</f>
        <v>#ERROR!</v>
      </c>
      <c r="L185" s="227"/>
      <c r="M185" s="227"/>
      <c r="N185" s="227"/>
      <c r="O185" s="227"/>
      <c r="P185" s="227"/>
      <c r="Q185" s="232" t="str">
        <f>IFERROR(IF(A185="","",A185+IFERROR(INDEX(Config!B:B,MATCH("DDM appertisation standard (mois)",Config!A:A,0)),36)*30),"")</f>
        <v>#ERROR!</v>
      </c>
      <c r="R185" s="227"/>
      <c r="S185" s="227"/>
      <c r="T185" s="233"/>
    </row>
    <row r="186" ht="16.5" customHeight="1">
      <c r="A186" s="242"/>
      <c r="B186" s="225" t="str">
        <f>IF(A186="","",IF(C186="","","LOT-"&amp;TEXT(A186,"YYYYMMDD")&amp;"-"&amp;TEXT(ROW()-3,"000")))</f>
        <v>#ERROR!</v>
      </c>
      <c r="C186" s="235"/>
      <c r="D186" s="235" t="str">
        <f>IFERROR(INDEX(Recettes!C:C,MATCH(C186,Recettes!B:B,0)),"")</f>
        <v>#ERROR!</v>
      </c>
      <c r="E186" s="235"/>
      <c r="F186" s="235"/>
      <c r="G186" s="235"/>
      <c r="H186" s="236" t="str">
        <f>IFERROR(IF(F186="","",IF(F186="100x4/4 (100 boc. ref.)",SWITCH(E186,"W60-050",320,"W60-080",280,"W60-160",220,"RR100-290",130,"RR100-370",120,"RR100-580",130,"RR100-850",64,"RR100-1050",55,"RR100-1550",40,100),IF(F186="200x4/4 (200 boc. ref.)",SWITCH(E186,"W60-050",640,"W60-080",560,"W60-160",440,"RR100-290",260,"RR100-370",240,"RR100-580",260,"RR100-850",128,"RR100-1050",110,"RR100-1550",80,200),IF(F186="100L eau (~20 boc.)",SWITCH(E186,"W60-050",60,"W60-080",50,"W60-160",40,"RR100-290",28,"RR100-370",24,"RR100-580",20,"RR100-850",12,"RR100-1050",10,"RR100-1550",6,15),"")))),"")</f>
        <v>#ERROR!</v>
      </c>
      <c r="I186" s="243" t="str">
        <f>IFERROR(IF(OR(H186="",G186=""),"",ROUND(H186*SWITCH(G186,"1/4",0.25,"1/2",0.5,"3/4",0.75,"Complet",1,1),0)),"")</f>
        <v>#ERROR!</v>
      </c>
      <c r="J186" s="235"/>
      <c r="K186" s="237" t="str">
        <f>IFERROR(J186/I186,"")</f>
        <v>#ERROR!</v>
      </c>
      <c r="L186" s="235"/>
      <c r="M186" s="235"/>
      <c r="N186" s="235"/>
      <c r="O186" s="235"/>
      <c r="P186" s="235"/>
      <c r="Q186" s="239" t="str">
        <f>IFERROR(IF(A186="","",A186+IFERROR(INDEX(Config!B:B,MATCH("DDM appertisation standard (mois)",Config!A:A,0)),36)*30),"")</f>
        <v>#ERROR!</v>
      </c>
      <c r="R186" s="235"/>
      <c r="S186" s="235"/>
      <c r="T186" s="240"/>
    </row>
    <row r="187" ht="16.5" customHeight="1">
      <c r="A187" s="242"/>
      <c r="B187" s="225" t="str">
        <f>IF(A187="","",IF(C187="","","LOT-"&amp;TEXT(A187,"YYYYMMDD")&amp;"-"&amp;TEXT(ROW()-3,"000")))</f>
        <v>#ERROR!</v>
      </c>
      <c r="C187" s="227"/>
      <c r="D187" s="227" t="str">
        <f>IFERROR(INDEX(Recettes!C:C,MATCH(C187,Recettes!B:B,0)),"")</f>
        <v>#ERROR!</v>
      </c>
      <c r="E187" s="227"/>
      <c r="F187" s="227"/>
      <c r="G187" s="227"/>
      <c r="H187" s="236" t="str">
        <f>IFERROR(IF(F187="","",IF(F187="100x4/4 (100 boc. ref.)",SWITCH(E187,"W60-050",320,"W60-080",280,"W60-160",220,"RR100-290",130,"RR100-370",120,"RR100-580",130,"RR100-850",64,"RR100-1050",55,"RR100-1550",40,100),IF(F187="200x4/4 (200 boc. ref.)",SWITCH(E187,"W60-050",640,"W60-080",560,"W60-160",440,"RR100-290",260,"RR100-370",240,"RR100-580",260,"RR100-850",128,"RR100-1050",110,"RR100-1550",80,200),IF(F187="100L eau (~20 boc.)",SWITCH(E187,"W60-050",60,"W60-080",50,"W60-160",40,"RR100-290",28,"RR100-370",24,"RR100-580",20,"RR100-850",12,"RR100-1050",10,"RR100-1550",6,15),"")))),"")</f>
        <v>#ERROR!</v>
      </c>
      <c r="I187" s="243" t="str">
        <f>IFERROR(IF(OR(H187="",G187=""),"",ROUND(H187*SWITCH(G187,"1/4",0.25,"1/2",0.5,"3/4",0.75,"Complet",1,1),0)),"")</f>
        <v>#ERROR!</v>
      </c>
      <c r="J187" s="227"/>
      <c r="K187" s="230" t="str">
        <f>IFERROR(J187/I187,"")</f>
        <v>#ERROR!</v>
      </c>
      <c r="L187" s="227"/>
      <c r="M187" s="227"/>
      <c r="N187" s="227"/>
      <c r="O187" s="227"/>
      <c r="P187" s="227"/>
      <c r="Q187" s="232" t="str">
        <f>IFERROR(IF(A187="","",A187+IFERROR(INDEX(Config!B:B,MATCH("DDM appertisation standard (mois)",Config!A:A,0)),36)*30),"")</f>
        <v>#ERROR!</v>
      </c>
      <c r="R187" s="227"/>
      <c r="S187" s="227"/>
      <c r="T187" s="233"/>
    </row>
    <row r="188" ht="16.5" customHeight="1">
      <c r="A188" s="242"/>
      <c r="B188" s="225" t="str">
        <f>IF(A188="","",IF(C188="","","LOT-"&amp;TEXT(A188,"YYYYMMDD")&amp;"-"&amp;TEXT(ROW()-3,"000")))</f>
        <v>#ERROR!</v>
      </c>
      <c r="C188" s="235"/>
      <c r="D188" s="235" t="str">
        <f>IFERROR(INDEX(Recettes!C:C,MATCH(C188,Recettes!B:B,0)),"")</f>
        <v>#ERROR!</v>
      </c>
      <c r="E188" s="235"/>
      <c r="F188" s="235"/>
      <c r="G188" s="235"/>
      <c r="H188" s="236" t="str">
        <f>IFERROR(IF(F188="","",IF(F188="100x4/4 (100 boc. ref.)",SWITCH(E188,"W60-050",320,"W60-080",280,"W60-160",220,"RR100-290",130,"RR100-370",120,"RR100-580",130,"RR100-850",64,"RR100-1050",55,"RR100-1550",40,100),IF(F188="200x4/4 (200 boc. ref.)",SWITCH(E188,"W60-050",640,"W60-080",560,"W60-160",440,"RR100-290",260,"RR100-370",240,"RR100-580",260,"RR100-850",128,"RR100-1050",110,"RR100-1550",80,200),IF(F188="100L eau (~20 boc.)",SWITCH(E188,"W60-050",60,"W60-080",50,"W60-160",40,"RR100-290",28,"RR100-370",24,"RR100-580",20,"RR100-850",12,"RR100-1050",10,"RR100-1550",6,15),"")))),"")</f>
        <v>#ERROR!</v>
      </c>
      <c r="I188" s="243" t="str">
        <f>IFERROR(IF(OR(H188="",G188=""),"",ROUND(H188*SWITCH(G188,"1/4",0.25,"1/2",0.5,"3/4",0.75,"Complet",1,1),0)),"")</f>
        <v>#ERROR!</v>
      </c>
      <c r="J188" s="235"/>
      <c r="K188" s="237" t="str">
        <f>IFERROR(J188/I188,"")</f>
        <v>#ERROR!</v>
      </c>
      <c r="L188" s="235"/>
      <c r="M188" s="235"/>
      <c r="N188" s="235"/>
      <c r="O188" s="235"/>
      <c r="P188" s="235"/>
      <c r="Q188" s="239" t="str">
        <f>IFERROR(IF(A188="","",A188+IFERROR(INDEX(Config!B:B,MATCH("DDM appertisation standard (mois)",Config!A:A,0)),36)*30),"")</f>
        <v>#ERROR!</v>
      </c>
      <c r="R188" s="235"/>
      <c r="S188" s="235"/>
      <c r="T188" s="240"/>
    </row>
    <row r="189" ht="16.5" customHeight="1">
      <c r="A189" s="242"/>
      <c r="B189" s="225" t="str">
        <f>IF(A189="","",IF(C189="","","LOT-"&amp;TEXT(A189,"YYYYMMDD")&amp;"-"&amp;TEXT(ROW()-3,"000")))</f>
        <v>#ERROR!</v>
      </c>
      <c r="C189" s="227"/>
      <c r="D189" s="227" t="str">
        <f>IFERROR(INDEX(Recettes!C:C,MATCH(C189,Recettes!B:B,0)),"")</f>
        <v>#ERROR!</v>
      </c>
      <c r="E189" s="227"/>
      <c r="F189" s="227"/>
      <c r="G189" s="227"/>
      <c r="H189" s="236" t="str">
        <f>IFERROR(IF(F189="","",IF(F189="100x4/4 (100 boc. ref.)",SWITCH(E189,"W60-050",320,"W60-080",280,"W60-160",220,"RR100-290",130,"RR100-370",120,"RR100-580",130,"RR100-850",64,"RR100-1050",55,"RR100-1550",40,100),IF(F189="200x4/4 (200 boc. ref.)",SWITCH(E189,"W60-050",640,"W60-080",560,"W60-160",440,"RR100-290",260,"RR100-370",240,"RR100-580",260,"RR100-850",128,"RR100-1050",110,"RR100-1550",80,200),IF(F189="100L eau (~20 boc.)",SWITCH(E189,"W60-050",60,"W60-080",50,"W60-160",40,"RR100-290",28,"RR100-370",24,"RR100-580",20,"RR100-850",12,"RR100-1050",10,"RR100-1550",6,15),"")))),"")</f>
        <v>#ERROR!</v>
      </c>
      <c r="I189" s="243" t="str">
        <f>IFERROR(IF(OR(H189="",G189=""),"",ROUND(H189*SWITCH(G189,"1/4",0.25,"1/2",0.5,"3/4",0.75,"Complet",1,1),0)),"")</f>
        <v>#ERROR!</v>
      </c>
      <c r="J189" s="227"/>
      <c r="K189" s="230" t="str">
        <f>IFERROR(J189/I189,"")</f>
        <v>#ERROR!</v>
      </c>
      <c r="L189" s="227"/>
      <c r="M189" s="227"/>
      <c r="N189" s="227"/>
      <c r="O189" s="227"/>
      <c r="P189" s="227"/>
      <c r="Q189" s="232" t="str">
        <f>IFERROR(IF(A189="","",A189+IFERROR(INDEX(Config!B:B,MATCH("DDM appertisation standard (mois)",Config!A:A,0)),36)*30),"")</f>
        <v>#ERROR!</v>
      </c>
      <c r="R189" s="227"/>
      <c r="S189" s="227"/>
      <c r="T189" s="233"/>
    </row>
    <row r="190" ht="16.5" customHeight="1">
      <c r="A190" s="242"/>
      <c r="B190" s="225" t="str">
        <f>IF(A190="","",IF(C190="","","LOT-"&amp;TEXT(A190,"YYYYMMDD")&amp;"-"&amp;TEXT(ROW()-3,"000")))</f>
        <v>#ERROR!</v>
      </c>
      <c r="C190" s="235"/>
      <c r="D190" s="235" t="str">
        <f>IFERROR(INDEX(Recettes!C:C,MATCH(C190,Recettes!B:B,0)),"")</f>
        <v>#ERROR!</v>
      </c>
      <c r="E190" s="235"/>
      <c r="F190" s="235"/>
      <c r="G190" s="235"/>
      <c r="H190" s="236" t="str">
        <f>IFERROR(IF(F190="","",IF(F190="100x4/4 (100 boc. ref.)",SWITCH(E190,"W60-050",320,"W60-080",280,"W60-160",220,"RR100-290",130,"RR100-370",120,"RR100-580",130,"RR100-850",64,"RR100-1050",55,"RR100-1550",40,100),IF(F190="200x4/4 (200 boc. ref.)",SWITCH(E190,"W60-050",640,"W60-080",560,"W60-160",440,"RR100-290",260,"RR100-370",240,"RR100-580",260,"RR100-850",128,"RR100-1050",110,"RR100-1550",80,200),IF(F190="100L eau (~20 boc.)",SWITCH(E190,"W60-050",60,"W60-080",50,"W60-160",40,"RR100-290",28,"RR100-370",24,"RR100-580",20,"RR100-850",12,"RR100-1050",10,"RR100-1550",6,15),"")))),"")</f>
        <v>#ERROR!</v>
      </c>
      <c r="I190" s="243" t="str">
        <f>IFERROR(IF(OR(H190="",G190=""),"",ROUND(H190*SWITCH(G190,"1/4",0.25,"1/2",0.5,"3/4",0.75,"Complet",1,1),0)),"")</f>
        <v>#ERROR!</v>
      </c>
      <c r="J190" s="235"/>
      <c r="K190" s="237" t="str">
        <f>IFERROR(J190/I190,"")</f>
        <v>#ERROR!</v>
      </c>
      <c r="L190" s="235"/>
      <c r="M190" s="235"/>
      <c r="N190" s="235"/>
      <c r="O190" s="235"/>
      <c r="P190" s="235"/>
      <c r="Q190" s="239" t="str">
        <f>IFERROR(IF(A190="","",A190+IFERROR(INDEX(Config!B:B,MATCH("DDM appertisation standard (mois)",Config!A:A,0)),36)*30),"")</f>
        <v>#ERROR!</v>
      </c>
      <c r="R190" s="235"/>
      <c r="S190" s="235"/>
      <c r="T190" s="240"/>
    </row>
    <row r="191" ht="16.5" customHeight="1">
      <c r="A191" s="242"/>
      <c r="B191" s="225" t="str">
        <f>IF(A191="","",IF(C191="","","LOT-"&amp;TEXT(A191,"YYYYMMDD")&amp;"-"&amp;TEXT(ROW()-3,"000")))</f>
        <v>#ERROR!</v>
      </c>
      <c r="C191" s="227"/>
      <c r="D191" s="227" t="str">
        <f>IFERROR(INDEX(Recettes!C:C,MATCH(C191,Recettes!B:B,0)),"")</f>
        <v>#ERROR!</v>
      </c>
      <c r="E191" s="227"/>
      <c r="F191" s="227"/>
      <c r="G191" s="227"/>
      <c r="H191" s="236" t="str">
        <f>IFERROR(IF(F191="","",IF(F191="100x4/4 (100 boc. ref.)",SWITCH(E191,"W60-050",320,"W60-080",280,"W60-160",220,"RR100-290",130,"RR100-370",120,"RR100-580",130,"RR100-850",64,"RR100-1050",55,"RR100-1550",40,100),IF(F191="200x4/4 (200 boc. ref.)",SWITCH(E191,"W60-050",640,"W60-080",560,"W60-160",440,"RR100-290",260,"RR100-370",240,"RR100-580",260,"RR100-850",128,"RR100-1050",110,"RR100-1550",80,200),IF(F191="100L eau (~20 boc.)",SWITCH(E191,"W60-050",60,"W60-080",50,"W60-160",40,"RR100-290",28,"RR100-370",24,"RR100-580",20,"RR100-850",12,"RR100-1050",10,"RR100-1550",6,15),"")))),"")</f>
        <v>#ERROR!</v>
      </c>
      <c r="I191" s="243" t="str">
        <f>IFERROR(IF(OR(H191="",G191=""),"",ROUND(H191*SWITCH(G191,"1/4",0.25,"1/2",0.5,"3/4",0.75,"Complet",1,1),0)),"")</f>
        <v>#ERROR!</v>
      </c>
      <c r="J191" s="227"/>
      <c r="K191" s="230" t="str">
        <f>IFERROR(J191/I191,"")</f>
        <v>#ERROR!</v>
      </c>
      <c r="L191" s="227"/>
      <c r="M191" s="227"/>
      <c r="N191" s="227"/>
      <c r="O191" s="227"/>
      <c r="P191" s="227"/>
      <c r="Q191" s="232" t="str">
        <f>IFERROR(IF(A191="","",A191+IFERROR(INDEX(Config!B:B,MATCH("DDM appertisation standard (mois)",Config!A:A,0)),36)*30),"")</f>
        <v>#ERROR!</v>
      </c>
      <c r="R191" s="227"/>
      <c r="S191" s="227"/>
      <c r="T191" s="233"/>
    </row>
    <row r="192" ht="16.5" customHeight="1">
      <c r="A192" s="242"/>
      <c r="B192" s="225" t="str">
        <f>IF(A192="","",IF(C192="","","LOT-"&amp;TEXT(A192,"YYYYMMDD")&amp;"-"&amp;TEXT(ROW()-3,"000")))</f>
        <v>#ERROR!</v>
      </c>
      <c r="C192" s="235"/>
      <c r="D192" s="235" t="str">
        <f>IFERROR(INDEX(Recettes!C:C,MATCH(C192,Recettes!B:B,0)),"")</f>
        <v>#ERROR!</v>
      </c>
      <c r="E192" s="235"/>
      <c r="F192" s="235"/>
      <c r="G192" s="235"/>
      <c r="H192" s="236" t="str">
        <f>IFERROR(IF(F192="","",IF(F192="100x4/4 (100 boc. ref.)",SWITCH(E192,"W60-050",320,"W60-080",280,"W60-160",220,"RR100-290",130,"RR100-370",120,"RR100-580",130,"RR100-850",64,"RR100-1050",55,"RR100-1550",40,100),IF(F192="200x4/4 (200 boc. ref.)",SWITCH(E192,"W60-050",640,"W60-080",560,"W60-160",440,"RR100-290",260,"RR100-370",240,"RR100-580",260,"RR100-850",128,"RR100-1050",110,"RR100-1550",80,200),IF(F192="100L eau (~20 boc.)",SWITCH(E192,"W60-050",60,"W60-080",50,"W60-160",40,"RR100-290",28,"RR100-370",24,"RR100-580",20,"RR100-850",12,"RR100-1050",10,"RR100-1550",6,15),"")))),"")</f>
        <v>#ERROR!</v>
      </c>
      <c r="I192" s="243" t="str">
        <f>IFERROR(IF(OR(H192="",G192=""),"",ROUND(H192*SWITCH(G192,"1/4",0.25,"1/2",0.5,"3/4",0.75,"Complet",1,1),0)),"")</f>
        <v>#ERROR!</v>
      </c>
      <c r="J192" s="235"/>
      <c r="K192" s="237" t="str">
        <f>IFERROR(J192/I192,"")</f>
        <v>#ERROR!</v>
      </c>
      <c r="L192" s="235"/>
      <c r="M192" s="235"/>
      <c r="N192" s="235"/>
      <c r="O192" s="235"/>
      <c r="P192" s="235"/>
      <c r="Q192" s="239" t="str">
        <f>IFERROR(IF(A192="","",A192+IFERROR(INDEX(Config!B:B,MATCH("DDM appertisation standard (mois)",Config!A:A,0)),36)*30),"")</f>
        <v>#ERROR!</v>
      </c>
      <c r="R192" s="235"/>
      <c r="S192" s="235"/>
      <c r="T192" s="240"/>
    </row>
    <row r="193" ht="16.5" customHeight="1">
      <c r="A193" s="242"/>
      <c r="B193" s="225" t="str">
        <f>IF(A193="","",IF(C193="","","LOT-"&amp;TEXT(A193,"YYYYMMDD")&amp;"-"&amp;TEXT(ROW()-3,"000")))</f>
        <v>#ERROR!</v>
      </c>
      <c r="C193" s="227"/>
      <c r="D193" s="227" t="str">
        <f>IFERROR(INDEX(Recettes!C:C,MATCH(C193,Recettes!B:B,0)),"")</f>
        <v>#ERROR!</v>
      </c>
      <c r="E193" s="227"/>
      <c r="F193" s="227"/>
      <c r="G193" s="227"/>
      <c r="H193" s="236" t="str">
        <f>IFERROR(IF(F193="","",IF(F193="100x4/4 (100 boc. ref.)",SWITCH(E193,"W60-050",320,"W60-080",280,"W60-160",220,"RR100-290",130,"RR100-370",120,"RR100-580",130,"RR100-850",64,"RR100-1050",55,"RR100-1550",40,100),IF(F193="200x4/4 (200 boc. ref.)",SWITCH(E193,"W60-050",640,"W60-080",560,"W60-160",440,"RR100-290",260,"RR100-370",240,"RR100-580",260,"RR100-850",128,"RR100-1050",110,"RR100-1550",80,200),IF(F193="100L eau (~20 boc.)",SWITCH(E193,"W60-050",60,"W60-080",50,"W60-160",40,"RR100-290",28,"RR100-370",24,"RR100-580",20,"RR100-850",12,"RR100-1050",10,"RR100-1550",6,15),"")))),"")</f>
        <v>#ERROR!</v>
      </c>
      <c r="I193" s="243" t="str">
        <f>IFERROR(IF(OR(H193="",G193=""),"",ROUND(H193*SWITCH(G193,"1/4",0.25,"1/2",0.5,"3/4",0.75,"Complet",1,1),0)),"")</f>
        <v>#ERROR!</v>
      </c>
      <c r="J193" s="227"/>
      <c r="K193" s="230" t="str">
        <f>IFERROR(J193/I193,"")</f>
        <v>#ERROR!</v>
      </c>
      <c r="L193" s="227"/>
      <c r="M193" s="227"/>
      <c r="N193" s="227"/>
      <c r="O193" s="227"/>
      <c r="P193" s="227"/>
      <c r="Q193" s="232" t="str">
        <f>IFERROR(IF(A193="","",A193+IFERROR(INDEX(Config!B:B,MATCH("DDM appertisation standard (mois)",Config!A:A,0)),36)*30),"")</f>
        <v>#ERROR!</v>
      </c>
      <c r="R193" s="227"/>
      <c r="S193" s="227"/>
      <c r="T193" s="233"/>
    </row>
    <row r="194" ht="16.5" customHeight="1">
      <c r="A194" s="242"/>
      <c r="B194" s="225" t="str">
        <f>IF(A194="","",IF(C194="","","LOT-"&amp;TEXT(A194,"YYYYMMDD")&amp;"-"&amp;TEXT(ROW()-3,"000")))</f>
        <v>#ERROR!</v>
      </c>
      <c r="C194" s="235"/>
      <c r="D194" s="235" t="str">
        <f>IFERROR(INDEX(Recettes!C:C,MATCH(C194,Recettes!B:B,0)),"")</f>
        <v>#ERROR!</v>
      </c>
      <c r="E194" s="235"/>
      <c r="F194" s="235"/>
      <c r="G194" s="235"/>
      <c r="H194" s="236" t="str">
        <f>IFERROR(IF(F194="","",IF(F194="100x4/4 (100 boc. ref.)",SWITCH(E194,"W60-050",320,"W60-080",280,"W60-160",220,"RR100-290",130,"RR100-370",120,"RR100-580",130,"RR100-850",64,"RR100-1050",55,"RR100-1550",40,100),IF(F194="200x4/4 (200 boc. ref.)",SWITCH(E194,"W60-050",640,"W60-080",560,"W60-160",440,"RR100-290",260,"RR100-370",240,"RR100-580",260,"RR100-850",128,"RR100-1050",110,"RR100-1550",80,200),IF(F194="100L eau (~20 boc.)",SWITCH(E194,"W60-050",60,"W60-080",50,"W60-160",40,"RR100-290",28,"RR100-370",24,"RR100-580",20,"RR100-850",12,"RR100-1050",10,"RR100-1550",6,15),"")))),"")</f>
        <v>#ERROR!</v>
      </c>
      <c r="I194" s="243" t="str">
        <f>IFERROR(IF(OR(H194="",G194=""),"",ROUND(H194*SWITCH(G194,"1/4",0.25,"1/2",0.5,"3/4",0.75,"Complet",1,1),0)),"")</f>
        <v>#ERROR!</v>
      </c>
      <c r="J194" s="235"/>
      <c r="K194" s="237" t="str">
        <f>IFERROR(J194/I194,"")</f>
        <v>#ERROR!</v>
      </c>
      <c r="L194" s="235"/>
      <c r="M194" s="235"/>
      <c r="N194" s="235"/>
      <c r="O194" s="235"/>
      <c r="P194" s="235"/>
      <c r="Q194" s="239" t="str">
        <f>IFERROR(IF(A194="","",A194+IFERROR(INDEX(Config!B:B,MATCH("DDM appertisation standard (mois)",Config!A:A,0)),36)*30),"")</f>
        <v>#ERROR!</v>
      </c>
      <c r="R194" s="235"/>
      <c r="S194" s="235"/>
      <c r="T194" s="240"/>
    </row>
    <row r="195" ht="16.5" customHeight="1">
      <c r="A195" s="242"/>
      <c r="B195" s="225" t="str">
        <f>IF(A195="","",IF(C195="","","LOT-"&amp;TEXT(A195,"YYYYMMDD")&amp;"-"&amp;TEXT(ROW()-3,"000")))</f>
        <v>#ERROR!</v>
      </c>
      <c r="C195" s="227"/>
      <c r="D195" s="227" t="str">
        <f>IFERROR(INDEX(Recettes!C:C,MATCH(C195,Recettes!B:B,0)),"")</f>
        <v>#ERROR!</v>
      </c>
      <c r="E195" s="227"/>
      <c r="F195" s="227"/>
      <c r="G195" s="227"/>
      <c r="H195" s="236" t="str">
        <f>IFERROR(IF(F195="","",IF(F195="100x4/4 (100 boc. ref.)",SWITCH(E195,"W60-050",320,"W60-080",280,"W60-160",220,"RR100-290",130,"RR100-370",120,"RR100-580",130,"RR100-850",64,"RR100-1050",55,"RR100-1550",40,100),IF(F195="200x4/4 (200 boc. ref.)",SWITCH(E195,"W60-050",640,"W60-080",560,"W60-160",440,"RR100-290",260,"RR100-370",240,"RR100-580",260,"RR100-850",128,"RR100-1050",110,"RR100-1550",80,200),IF(F195="100L eau (~20 boc.)",SWITCH(E195,"W60-050",60,"W60-080",50,"W60-160",40,"RR100-290",28,"RR100-370",24,"RR100-580",20,"RR100-850",12,"RR100-1050",10,"RR100-1550",6,15),"")))),"")</f>
        <v>#ERROR!</v>
      </c>
      <c r="I195" s="243" t="str">
        <f>IFERROR(IF(OR(H195="",G195=""),"",ROUND(H195*SWITCH(G195,"1/4",0.25,"1/2",0.5,"3/4",0.75,"Complet",1,1),0)),"")</f>
        <v>#ERROR!</v>
      </c>
      <c r="J195" s="227"/>
      <c r="K195" s="230" t="str">
        <f>IFERROR(J195/I195,"")</f>
        <v>#ERROR!</v>
      </c>
      <c r="L195" s="227"/>
      <c r="M195" s="227"/>
      <c r="N195" s="227"/>
      <c r="O195" s="227"/>
      <c r="P195" s="227"/>
      <c r="Q195" s="232" t="str">
        <f>IFERROR(IF(A195="","",A195+IFERROR(INDEX(Config!B:B,MATCH("DDM appertisation standard (mois)",Config!A:A,0)),36)*30),"")</f>
        <v>#ERROR!</v>
      </c>
      <c r="R195" s="227"/>
      <c r="S195" s="227"/>
      <c r="T195" s="233"/>
    </row>
    <row r="196" ht="16.5" customHeight="1">
      <c r="A196" s="242"/>
      <c r="B196" s="225" t="str">
        <f>IF(A196="","",IF(C196="","","LOT-"&amp;TEXT(A196,"YYYYMMDD")&amp;"-"&amp;TEXT(ROW()-3,"000")))</f>
        <v>#ERROR!</v>
      </c>
      <c r="C196" s="235"/>
      <c r="D196" s="235" t="str">
        <f>IFERROR(INDEX(Recettes!C:C,MATCH(C196,Recettes!B:B,0)),"")</f>
        <v>#ERROR!</v>
      </c>
      <c r="E196" s="235"/>
      <c r="F196" s="235"/>
      <c r="G196" s="235"/>
      <c r="H196" s="236" t="str">
        <f>IFERROR(IF(F196="","",IF(F196="100x4/4 (100 boc. ref.)",SWITCH(E196,"W60-050",320,"W60-080",280,"W60-160",220,"RR100-290",130,"RR100-370",120,"RR100-580",130,"RR100-850",64,"RR100-1050",55,"RR100-1550",40,100),IF(F196="200x4/4 (200 boc. ref.)",SWITCH(E196,"W60-050",640,"W60-080",560,"W60-160",440,"RR100-290",260,"RR100-370",240,"RR100-580",260,"RR100-850",128,"RR100-1050",110,"RR100-1550",80,200),IF(F196="100L eau (~20 boc.)",SWITCH(E196,"W60-050",60,"W60-080",50,"W60-160",40,"RR100-290",28,"RR100-370",24,"RR100-580",20,"RR100-850",12,"RR100-1050",10,"RR100-1550",6,15),"")))),"")</f>
        <v>#ERROR!</v>
      </c>
      <c r="I196" s="243" t="str">
        <f>IFERROR(IF(OR(H196="",G196=""),"",ROUND(H196*SWITCH(G196,"1/4",0.25,"1/2",0.5,"3/4",0.75,"Complet",1,1),0)),"")</f>
        <v>#ERROR!</v>
      </c>
      <c r="J196" s="235"/>
      <c r="K196" s="237" t="str">
        <f>IFERROR(J196/I196,"")</f>
        <v>#ERROR!</v>
      </c>
      <c r="L196" s="235"/>
      <c r="M196" s="235"/>
      <c r="N196" s="235"/>
      <c r="O196" s="235"/>
      <c r="P196" s="235"/>
      <c r="Q196" s="239" t="str">
        <f>IFERROR(IF(A196="","",A196+IFERROR(INDEX(Config!B:B,MATCH("DDM appertisation standard (mois)",Config!A:A,0)),36)*30),"")</f>
        <v>#ERROR!</v>
      </c>
      <c r="R196" s="235"/>
      <c r="S196" s="235"/>
      <c r="T196" s="240"/>
    </row>
    <row r="197" ht="16.5" customHeight="1">
      <c r="A197" s="242"/>
      <c r="B197" s="225" t="str">
        <f>IF(A197="","",IF(C197="","","LOT-"&amp;TEXT(A197,"YYYYMMDD")&amp;"-"&amp;TEXT(ROW()-3,"000")))</f>
        <v>#ERROR!</v>
      </c>
      <c r="C197" s="227"/>
      <c r="D197" s="227" t="str">
        <f>IFERROR(INDEX(Recettes!C:C,MATCH(C197,Recettes!B:B,0)),"")</f>
        <v>#ERROR!</v>
      </c>
      <c r="E197" s="227"/>
      <c r="F197" s="227"/>
      <c r="G197" s="227"/>
      <c r="H197" s="236" t="str">
        <f>IFERROR(IF(F197="","",IF(F197="100x4/4 (100 boc. ref.)",SWITCH(E197,"W60-050",320,"W60-080",280,"W60-160",220,"RR100-290",130,"RR100-370",120,"RR100-580",130,"RR100-850",64,"RR100-1050",55,"RR100-1550",40,100),IF(F197="200x4/4 (200 boc. ref.)",SWITCH(E197,"W60-050",640,"W60-080",560,"W60-160",440,"RR100-290",260,"RR100-370",240,"RR100-580",260,"RR100-850",128,"RR100-1050",110,"RR100-1550",80,200),IF(F197="100L eau (~20 boc.)",SWITCH(E197,"W60-050",60,"W60-080",50,"W60-160",40,"RR100-290",28,"RR100-370",24,"RR100-580",20,"RR100-850",12,"RR100-1050",10,"RR100-1550",6,15),"")))),"")</f>
        <v>#ERROR!</v>
      </c>
      <c r="I197" s="243" t="str">
        <f>IFERROR(IF(OR(H197="",G197=""),"",ROUND(H197*SWITCH(G197,"1/4",0.25,"1/2",0.5,"3/4",0.75,"Complet",1,1),0)),"")</f>
        <v>#ERROR!</v>
      </c>
      <c r="J197" s="227"/>
      <c r="K197" s="230" t="str">
        <f>IFERROR(J197/I197,"")</f>
        <v>#ERROR!</v>
      </c>
      <c r="L197" s="227"/>
      <c r="M197" s="227"/>
      <c r="N197" s="227"/>
      <c r="O197" s="227"/>
      <c r="P197" s="227"/>
      <c r="Q197" s="232" t="str">
        <f>IFERROR(IF(A197="","",A197+IFERROR(INDEX(Config!B:B,MATCH("DDM appertisation standard (mois)",Config!A:A,0)),36)*30),"")</f>
        <v>#ERROR!</v>
      </c>
      <c r="R197" s="227"/>
      <c r="S197" s="227"/>
      <c r="T197" s="233"/>
    </row>
    <row r="198" ht="16.5" customHeight="1">
      <c r="A198" s="242"/>
      <c r="B198" s="225" t="str">
        <f>IF(A198="","",IF(C198="","","LOT-"&amp;TEXT(A198,"YYYYMMDD")&amp;"-"&amp;TEXT(ROW()-3,"000")))</f>
        <v>#ERROR!</v>
      </c>
      <c r="C198" s="235"/>
      <c r="D198" s="235" t="str">
        <f>IFERROR(INDEX(Recettes!C:C,MATCH(C198,Recettes!B:B,0)),"")</f>
        <v>#ERROR!</v>
      </c>
      <c r="E198" s="235"/>
      <c r="F198" s="235"/>
      <c r="G198" s="235"/>
      <c r="H198" s="236" t="str">
        <f>IFERROR(IF(F198="","",IF(F198="100x4/4 (100 boc. ref.)",SWITCH(E198,"W60-050",320,"W60-080",280,"W60-160",220,"RR100-290",130,"RR100-370",120,"RR100-580",130,"RR100-850",64,"RR100-1050",55,"RR100-1550",40,100),IF(F198="200x4/4 (200 boc. ref.)",SWITCH(E198,"W60-050",640,"W60-080",560,"W60-160",440,"RR100-290",260,"RR100-370",240,"RR100-580",260,"RR100-850",128,"RR100-1050",110,"RR100-1550",80,200),IF(F198="100L eau (~20 boc.)",SWITCH(E198,"W60-050",60,"W60-080",50,"W60-160",40,"RR100-290",28,"RR100-370",24,"RR100-580",20,"RR100-850",12,"RR100-1050",10,"RR100-1550",6,15),"")))),"")</f>
        <v>#ERROR!</v>
      </c>
      <c r="I198" s="243" t="str">
        <f>IFERROR(IF(OR(H198="",G198=""),"",ROUND(H198*SWITCH(G198,"1/4",0.25,"1/2",0.5,"3/4",0.75,"Complet",1,1),0)),"")</f>
        <v>#ERROR!</v>
      </c>
      <c r="J198" s="235"/>
      <c r="K198" s="237" t="str">
        <f>IFERROR(J198/I198,"")</f>
        <v>#ERROR!</v>
      </c>
      <c r="L198" s="235"/>
      <c r="M198" s="235"/>
      <c r="N198" s="235"/>
      <c r="O198" s="235"/>
      <c r="P198" s="235"/>
      <c r="Q198" s="239" t="str">
        <f>IFERROR(IF(A198="","",A198+IFERROR(INDEX(Config!B:B,MATCH("DDM appertisation standard (mois)",Config!A:A,0)),36)*30),"")</f>
        <v>#ERROR!</v>
      </c>
      <c r="R198" s="235"/>
      <c r="S198" s="235"/>
      <c r="T198" s="240"/>
    </row>
    <row r="199" ht="16.5" customHeight="1">
      <c r="A199" s="242"/>
      <c r="B199" s="225" t="str">
        <f>IF(A199="","",IF(C199="","","LOT-"&amp;TEXT(A199,"YYYYMMDD")&amp;"-"&amp;TEXT(ROW()-3,"000")))</f>
        <v>#ERROR!</v>
      </c>
      <c r="C199" s="227"/>
      <c r="D199" s="227" t="str">
        <f>IFERROR(INDEX(Recettes!C:C,MATCH(C199,Recettes!B:B,0)),"")</f>
        <v>#ERROR!</v>
      </c>
      <c r="E199" s="227"/>
      <c r="F199" s="227"/>
      <c r="G199" s="227"/>
      <c r="H199" s="236" t="str">
        <f>IFERROR(IF(F199="","",IF(F199="100x4/4 (100 boc. ref.)",SWITCH(E199,"W60-050",320,"W60-080",280,"W60-160",220,"RR100-290",130,"RR100-370",120,"RR100-580",130,"RR100-850",64,"RR100-1050",55,"RR100-1550",40,100),IF(F199="200x4/4 (200 boc. ref.)",SWITCH(E199,"W60-050",640,"W60-080",560,"W60-160",440,"RR100-290",260,"RR100-370",240,"RR100-580",260,"RR100-850",128,"RR100-1050",110,"RR100-1550",80,200),IF(F199="100L eau (~20 boc.)",SWITCH(E199,"W60-050",60,"W60-080",50,"W60-160",40,"RR100-290",28,"RR100-370",24,"RR100-580",20,"RR100-850",12,"RR100-1050",10,"RR100-1550",6,15),"")))),"")</f>
        <v>#ERROR!</v>
      </c>
      <c r="I199" s="243" t="str">
        <f>IFERROR(IF(OR(H199="",G199=""),"",ROUND(H199*SWITCH(G199,"1/4",0.25,"1/2",0.5,"3/4",0.75,"Complet",1,1),0)),"")</f>
        <v>#ERROR!</v>
      </c>
      <c r="J199" s="227"/>
      <c r="K199" s="230" t="str">
        <f>IFERROR(J199/I199,"")</f>
        <v>#ERROR!</v>
      </c>
      <c r="L199" s="227"/>
      <c r="M199" s="227"/>
      <c r="N199" s="227"/>
      <c r="O199" s="227"/>
      <c r="P199" s="227"/>
      <c r="Q199" s="232" t="str">
        <f>IFERROR(IF(A199="","",A199+IFERROR(INDEX(Config!B:B,MATCH("DDM appertisation standard (mois)",Config!A:A,0)),36)*30),"")</f>
        <v>#ERROR!</v>
      </c>
      <c r="R199" s="227"/>
      <c r="S199" s="227"/>
      <c r="T199" s="233"/>
    </row>
    <row r="200" ht="16.5" customHeight="1">
      <c r="A200" s="242"/>
      <c r="B200" s="225" t="str">
        <f>IF(A200="","",IF(C200="","","LOT-"&amp;TEXT(A200,"YYYYMMDD")&amp;"-"&amp;TEXT(ROW()-3,"000")))</f>
        <v>#ERROR!</v>
      </c>
      <c r="C200" s="235"/>
      <c r="D200" s="235" t="str">
        <f>IFERROR(INDEX(Recettes!C:C,MATCH(C200,Recettes!B:B,0)),"")</f>
        <v>#ERROR!</v>
      </c>
      <c r="E200" s="235"/>
      <c r="F200" s="235"/>
      <c r="G200" s="235"/>
      <c r="H200" s="236" t="str">
        <f>IFERROR(IF(F200="","",IF(F200="100x4/4 (100 boc. ref.)",SWITCH(E200,"W60-050",320,"W60-080",280,"W60-160",220,"RR100-290",130,"RR100-370",120,"RR100-580",130,"RR100-850",64,"RR100-1050",55,"RR100-1550",40,100),IF(F200="200x4/4 (200 boc. ref.)",SWITCH(E200,"W60-050",640,"W60-080",560,"W60-160",440,"RR100-290",260,"RR100-370",240,"RR100-580",260,"RR100-850",128,"RR100-1050",110,"RR100-1550",80,200),IF(F200="100L eau (~20 boc.)",SWITCH(E200,"W60-050",60,"W60-080",50,"W60-160",40,"RR100-290",28,"RR100-370",24,"RR100-580",20,"RR100-850",12,"RR100-1050",10,"RR100-1550",6,15),"")))),"")</f>
        <v>#ERROR!</v>
      </c>
      <c r="I200" s="243" t="str">
        <f>IFERROR(IF(OR(H200="",G200=""),"",ROUND(H200*SWITCH(G200,"1/4",0.25,"1/2",0.5,"3/4",0.75,"Complet",1,1),0)),"")</f>
        <v>#ERROR!</v>
      </c>
      <c r="J200" s="235"/>
      <c r="K200" s="237" t="str">
        <f>IFERROR(J200/I200,"")</f>
        <v>#ERROR!</v>
      </c>
      <c r="L200" s="235"/>
      <c r="M200" s="235"/>
      <c r="N200" s="235"/>
      <c r="O200" s="235"/>
      <c r="P200" s="235"/>
      <c r="Q200" s="239" t="str">
        <f>IFERROR(IF(A200="","",A200+IFERROR(INDEX(Config!B:B,MATCH("DDM appertisation standard (mois)",Config!A:A,0)),36)*30),"")</f>
        <v>#ERROR!</v>
      </c>
      <c r="R200" s="235"/>
      <c r="S200" s="235"/>
      <c r="T200" s="240"/>
    </row>
    <row r="201" ht="16.5" customHeight="1">
      <c r="A201" s="242"/>
      <c r="B201" s="225" t="str">
        <f>IF(A201="","",IF(C201="","","LOT-"&amp;TEXT(A201,"YYYYMMDD")&amp;"-"&amp;TEXT(ROW()-3,"000")))</f>
        <v>#ERROR!</v>
      </c>
      <c r="C201" s="227"/>
      <c r="D201" s="227" t="str">
        <f>IFERROR(INDEX(Recettes!C:C,MATCH(C201,Recettes!B:B,0)),"")</f>
        <v>#ERROR!</v>
      </c>
      <c r="E201" s="227"/>
      <c r="F201" s="227"/>
      <c r="G201" s="227"/>
      <c r="H201" s="236" t="str">
        <f>IFERROR(IF(F201="","",IF(F201="100x4/4 (100 boc. ref.)",SWITCH(E201,"W60-050",320,"W60-080",280,"W60-160",220,"RR100-290",130,"RR100-370",120,"RR100-580",130,"RR100-850",64,"RR100-1050",55,"RR100-1550",40,100),IF(F201="200x4/4 (200 boc. ref.)",SWITCH(E201,"W60-050",640,"W60-080",560,"W60-160",440,"RR100-290",260,"RR100-370",240,"RR100-580",260,"RR100-850",128,"RR100-1050",110,"RR100-1550",80,200),IF(F201="100L eau (~20 boc.)",SWITCH(E201,"W60-050",60,"W60-080",50,"W60-160",40,"RR100-290",28,"RR100-370",24,"RR100-580",20,"RR100-850",12,"RR100-1050",10,"RR100-1550",6,15),"")))),"")</f>
        <v>#ERROR!</v>
      </c>
      <c r="I201" s="243" t="str">
        <f>IFERROR(IF(OR(H201="",G201=""),"",ROUND(H201*SWITCH(G201,"1/4",0.25,"1/2",0.5,"3/4",0.75,"Complet",1,1),0)),"")</f>
        <v>#ERROR!</v>
      </c>
      <c r="J201" s="227"/>
      <c r="K201" s="230" t="str">
        <f>IFERROR(J201/I201,"")</f>
        <v>#ERROR!</v>
      </c>
      <c r="L201" s="227"/>
      <c r="M201" s="227"/>
      <c r="N201" s="227"/>
      <c r="O201" s="227"/>
      <c r="P201" s="227"/>
      <c r="Q201" s="232" t="str">
        <f>IFERROR(IF(A201="","",A201+IFERROR(INDEX(Config!B:B,MATCH("DDM appertisation standard (mois)",Config!A:A,0)),36)*30),"")</f>
        <v>#ERROR!</v>
      </c>
      <c r="R201" s="227"/>
      <c r="S201" s="227"/>
      <c r="T201" s="233"/>
    </row>
    <row r="202" ht="16.5" customHeight="1">
      <c r="A202" s="242"/>
      <c r="B202" s="225" t="str">
        <f>IF(A202="","",IF(C202="","","LOT-"&amp;TEXT(A202,"YYYYMMDD")&amp;"-"&amp;TEXT(ROW()-3,"000")))</f>
        <v>#ERROR!</v>
      </c>
      <c r="C202" s="235"/>
      <c r="D202" s="235" t="str">
        <f>IFERROR(INDEX(Recettes!C:C,MATCH(C202,Recettes!B:B,0)),"")</f>
        <v>#ERROR!</v>
      </c>
      <c r="E202" s="235"/>
      <c r="F202" s="235"/>
      <c r="G202" s="235"/>
      <c r="H202" s="236" t="str">
        <f>IFERROR(IF(F202="","",IF(F202="100x4/4 (100 boc. ref.)",SWITCH(E202,"W60-050",320,"W60-080",280,"W60-160",220,"RR100-290",130,"RR100-370",120,"RR100-580",130,"RR100-850",64,"RR100-1050",55,"RR100-1550",40,100),IF(F202="200x4/4 (200 boc. ref.)",SWITCH(E202,"W60-050",640,"W60-080",560,"W60-160",440,"RR100-290",260,"RR100-370",240,"RR100-580",260,"RR100-850",128,"RR100-1050",110,"RR100-1550",80,200),IF(F202="100L eau (~20 boc.)",SWITCH(E202,"W60-050",60,"W60-080",50,"W60-160",40,"RR100-290",28,"RR100-370",24,"RR100-580",20,"RR100-850",12,"RR100-1050",10,"RR100-1550",6,15),"")))),"")</f>
        <v>#ERROR!</v>
      </c>
      <c r="I202" s="243" t="str">
        <f>IFERROR(IF(OR(H202="",G202=""),"",ROUND(H202*SWITCH(G202,"1/4",0.25,"1/2",0.5,"3/4",0.75,"Complet",1,1),0)),"")</f>
        <v>#ERROR!</v>
      </c>
      <c r="J202" s="235"/>
      <c r="K202" s="237" t="str">
        <f>IFERROR(J202/I202,"")</f>
        <v>#ERROR!</v>
      </c>
      <c r="L202" s="235"/>
      <c r="M202" s="235"/>
      <c r="N202" s="235"/>
      <c r="O202" s="235"/>
      <c r="P202" s="235"/>
      <c r="Q202" s="239" t="str">
        <f>IFERROR(IF(A202="","",A202+IFERROR(INDEX(Config!B:B,MATCH("DDM appertisation standard (mois)",Config!A:A,0)),36)*30),"")</f>
        <v>#ERROR!</v>
      </c>
      <c r="R202" s="235"/>
      <c r="S202" s="235"/>
      <c r="T202" s="240"/>
    </row>
    <row r="203" ht="16.5" customHeight="1">
      <c r="A203" s="242"/>
      <c r="B203" s="225" t="str">
        <f>IF(A203="","",IF(C203="","","LOT-"&amp;TEXT(A203,"YYYYMMDD")&amp;"-"&amp;TEXT(ROW()-3,"000")))</f>
        <v>#ERROR!</v>
      </c>
      <c r="C203" s="227"/>
      <c r="D203" s="227" t="str">
        <f>IFERROR(INDEX(Recettes!C:C,MATCH(C203,Recettes!B:B,0)),"")</f>
        <v>#ERROR!</v>
      </c>
      <c r="E203" s="227"/>
      <c r="F203" s="227"/>
      <c r="G203" s="227"/>
      <c r="H203" s="236" t="str">
        <f>IFERROR(IF(F203="","",IF(F203="100x4/4 (100 boc. ref.)",SWITCH(E203,"W60-050",320,"W60-080",280,"W60-160",220,"RR100-290",130,"RR100-370",120,"RR100-580",130,"RR100-850",64,"RR100-1050",55,"RR100-1550",40,100),IF(F203="200x4/4 (200 boc. ref.)",SWITCH(E203,"W60-050",640,"W60-080",560,"W60-160",440,"RR100-290",260,"RR100-370",240,"RR100-580",260,"RR100-850",128,"RR100-1050",110,"RR100-1550",80,200),IF(F203="100L eau (~20 boc.)",SWITCH(E203,"W60-050",60,"W60-080",50,"W60-160",40,"RR100-290",28,"RR100-370",24,"RR100-580",20,"RR100-850",12,"RR100-1050",10,"RR100-1550",6,15),"")))),"")</f>
        <v>#ERROR!</v>
      </c>
      <c r="I203" s="243" t="str">
        <f>IFERROR(IF(OR(H203="",G203=""),"",ROUND(H203*SWITCH(G203,"1/4",0.25,"1/2",0.5,"3/4",0.75,"Complet",1,1),0)),"")</f>
        <v>#ERROR!</v>
      </c>
      <c r="J203" s="227"/>
      <c r="K203" s="230" t="str">
        <f>IFERROR(J203/I203,"")</f>
        <v>#ERROR!</v>
      </c>
      <c r="L203" s="227"/>
      <c r="M203" s="227"/>
      <c r="N203" s="227"/>
      <c r="O203" s="227"/>
      <c r="P203" s="227"/>
      <c r="Q203" s="232" t="str">
        <f>IFERROR(IF(A203="","",A203+IFERROR(INDEX(Config!B:B,MATCH("DDM appertisation standard (mois)",Config!A:A,0)),36)*30),"")</f>
        <v>#ERROR!</v>
      </c>
      <c r="R203" s="227"/>
      <c r="S203" s="227"/>
      <c r="T203" s="233"/>
    </row>
    <row r="204" ht="16.5" customHeight="1">
      <c r="A204" s="242"/>
      <c r="B204" s="225" t="str">
        <f>IF(A204="","",IF(C204="","","LOT-"&amp;TEXT(A204,"YYYYMMDD")&amp;"-"&amp;TEXT(ROW()-3,"000")))</f>
        <v>#ERROR!</v>
      </c>
      <c r="C204" s="235"/>
      <c r="D204" s="235" t="str">
        <f>IFERROR(INDEX(Recettes!C:C,MATCH(C204,Recettes!B:B,0)),"")</f>
        <v>#ERROR!</v>
      </c>
      <c r="E204" s="235"/>
      <c r="F204" s="235"/>
      <c r="G204" s="235"/>
      <c r="H204" s="236" t="str">
        <f>IFERROR(IF(F204="","",IF(F204="100x4/4 (100 boc. ref.)",SWITCH(E204,"W60-050",320,"W60-080",280,"W60-160",220,"RR100-290",130,"RR100-370",120,"RR100-580",130,"RR100-850",64,"RR100-1050",55,"RR100-1550",40,100),IF(F204="200x4/4 (200 boc. ref.)",SWITCH(E204,"W60-050",640,"W60-080",560,"W60-160",440,"RR100-290",260,"RR100-370",240,"RR100-580",260,"RR100-850",128,"RR100-1050",110,"RR100-1550",80,200),IF(F204="100L eau (~20 boc.)",SWITCH(E204,"W60-050",60,"W60-080",50,"W60-160",40,"RR100-290",28,"RR100-370",24,"RR100-580",20,"RR100-850",12,"RR100-1050",10,"RR100-1550",6,15),"")))),"")</f>
        <v>#ERROR!</v>
      </c>
      <c r="I204" s="243" t="str">
        <f>IFERROR(IF(OR(H204="",G204=""),"",ROUND(H204*SWITCH(G204,"1/4",0.25,"1/2",0.5,"3/4",0.75,"Complet",1,1),0)),"")</f>
        <v>#ERROR!</v>
      </c>
      <c r="J204" s="235"/>
      <c r="K204" s="237" t="str">
        <f>IFERROR(J204/I204,"")</f>
        <v>#ERROR!</v>
      </c>
      <c r="L204" s="235"/>
      <c r="M204" s="235"/>
      <c r="N204" s="235"/>
      <c r="O204" s="235"/>
      <c r="P204" s="235"/>
      <c r="Q204" s="239" t="str">
        <f>IFERROR(IF(A204="","",A204+IFERROR(INDEX(Config!B:B,MATCH("DDM appertisation standard (mois)",Config!A:A,0)),36)*30),"")</f>
        <v>#ERROR!</v>
      </c>
      <c r="R204" s="235"/>
      <c r="S204" s="235"/>
      <c r="T204" s="240"/>
    </row>
    <row r="205" ht="16.5" customHeight="1">
      <c r="A205" s="242"/>
      <c r="B205" s="225" t="str">
        <f>IF(A205="","",IF(C205="","","LOT-"&amp;TEXT(A205,"YYYYMMDD")&amp;"-"&amp;TEXT(ROW()-3,"000")))</f>
        <v>#ERROR!</v>
      </c>
      <c r="C205" s="227"/>
      <c r="D205" s="227" t="str">
        <f>IFERROR(INDEX(Recettes!C:C,MATCH(C205,Recettes!B:B,0)),"")</f>
        <v>#ERROR!</v>
      </c>
      <c r="E205" s="227"/>
      <c r="F205" s="227"/>
      <c r="G205" s="227"/>
      <c r="H205" s="236" t="str">
        <f>IFERROR(IF(F205="","",IF(F205="100x4/4 (100 boc. ref.)",SWITCH(E205,"W60-050",320,"W60-080",280,"W60-160",220,"RR100-290",130,"RR100-370",120,"RR100-580",130,"RR100-850",64,"RR100-1050",55,"RR100-1550",40,100),IF(F205="200x4/4 (200 boc. ref.)",SWITCH(E205,"W60-050",640,"W60-080",560,"W60-160",440,"RR100-290",260,"RR100-370",240,"RR100-580",260,"RR100-850",128,"RR100-1050",110,"RR100-1550",80,200),IF(F205="100L eau (~20 boc.)",SWITCH(E205,"W60-050",60,"W60-080",50,"W60-160",40,"RR100-290",28,"RR100-370",24,"RR100-580",20,"RR100-850",12,"RR100-1050",10,"RR100-1550",6,15),"")))),"")</f>
        <v>#ERROR!</v>
      </c>
      <c r="I205" s="243" t="str">
        <f>IFERROR(IF(OR(H205="",G205=""),"",ROUND(H205*SWITCH(G205,"1/4",0.25,"1/2",0.5,"3/4",0.75,"Complet",1,1),0)),"")</f>
        <v>#ERROR!</v>
      </c>
      <c r="J205" s="227"/>
      <c r="K205" s="230" t="str">
        <f>IFERROR(J205/I205,"")</f>
        <v>#ERROR!</v>
      </c>
      <c r="L205" s="227"/>
      <c r="M205" s="227"/>
      <c r="N205" s="227"/>
      <c r="O205" s="227"/>
      <c r="P205" s="227"/>
      <c r="Q205" s="232" t="str">
        <f>IFERROR(IF(A205="","",A205+IFERROR(INDEX(Config!B:B,MATCH("DDM appertisation standard (mois)",Config!A:A,0)),36)*30),"")</f>
        <v>#ERROR!</v>
      </c>
      <c r="R205" s="227"/>
      <c r="S205" s="227"/>
      <c r="T205" s="233"/>
    </row>
    <row r="206" ht="16.5" customHeight="1">
      <c r="A206" s="242"/>
      <c r="B206" s="225" t="str">
        <f>IF(A206="","",IF(C206="","","LOT-"&amp;TEXT(A206,"YYYYMMDD")&amp;"-"&amp;TEXT(ROW()-3,"000")))</f>
        <v>#ERROR!</v>
      </c>
      <c r="C206" s="235"/>
      <c r="D206" s="235" t="str">
        <f>IFERROR(INDEX(Recettes!C:C,MATCH(C206,Recettes!B:B,0)),"")</f>
        <v>#ERROR!</v>
      </c>
      <c r="E206" s="235"/>
      <c r="F206" s="235"/>
      <c r="G206" s="235"/>
      <c r="H206" s="236" t="str">
        <f>IFERROR(IF(F206="","",IF(F206="100x4/4 (100 boc. ref.)",SWITCH(E206,"W60-050",320,"W60-080",280,"W60-160",220,"RR100-290",130,"RR100-370",120,"RR100-580",130,"RR100-850",64,"RR100-1050",55,"RR100-1550",40,100),IF(F206="200x4/4 (200 boc. ref.)",SWITCH(E206,"W60-050",640,"W60-080",560,"W60-160",440,"RR100-290",260,"RR100-370",240,"RR100-580",260,"RR100-850",128,"RR100-1050",110,"RR100-1550",80,200),IF(F206="100L eau (~20 boc.)",SWITCH(E206,"W60-050",60,"W60-080",50,"W60-160",40,"RR100-290",28,"RR100-370",24,"RR100-580",20,"RR100-850",12,"RR100-1050",10,"RR100-1550",6,15),"")))),"")</f>
        <v>#ERROR!</v>
      </c>
      <c r="I206" s="243" t="str">
        <f>IFERROR(IF(OR(H206="",G206=""),"",ROUND(H206*SWITCH(G206,"1/4",0.25,"1/2",0.5,"3/4",0.75,"Complet",1,1),0)),"")</f>
        <v>#ERROR!</v>
      </c>
      <c r="J206" s="235"/>
      <c r="K206" s="237" t="str">
        <f>IFERROR(J206/I206,"")</f>
        <v>#ERROR!</v>
      </c>
      <c r="L206" s="235"/>
      <c r="M206" s="235"/>
      <c r="N206" s="235"/>
      <c r="O206" s="235"/>
      <c r="P206" s="235"/>
      <c r="Q206" s="239" t="str">
        <f>IFERROR(IF(A206="","",A206+IFERROR(INDEX(Config!B:B,MATCH("DDM appertisation standard (mois)",Config!A:A,0)),36)*30),"")</f>
        <v>#ERROR!</v>
      </c>
      <c r="R206" s="235"/>
      <c r="S206" s="235"/>
      <c r="T206" s="240"/>
    </row>
    <row r="207" ht="16.5" customHeight="1">
      <c r="A207" s="242"/>
      <c r="B207" s="225" t="str">
        <f>IF(A207="","",IF(C207="","","LOT-"&amp;TEXT(A207,"YYYYMMDD")&amp;"-"&amp;TEXT(ROW()-3,"000")))</f>
        <v>#ERROR!</v>
      </c>
      <c r="C207" s="227"/>
      <c r="D207" s="227" t="str">
        <f>IFERROR(INDEX(Recettes!C:C,MATCH(C207,Recettes!B:B,0)),"")</f>
        <v>#ERROR!</v>
      </c>
      <c r="E207" s="227"/>
      <c r="F207" s="227"/>
      <c r="G207" s="227"/>
      <c r="H207" s="236" t="str">
        <f>IFERROR(IF(F207="","",IF(F207="100x4/4 (100 boc. ref.)",SWITCH(E207,"W60-050",320,"W60-080",280,"W60-160",220,"RR100-290",130,"RR100-370",120,"RR100-580",130,"RR100-850",64,"RR100-1050",55,"RR100-1550",40,100),IF(F207="200x4/4 (200 boc. ref.)",SWITCH(E207,"W60-050",640,"W60-080",560,"W60-160",440,"RR100-290",260,"RR100-370",240,"RR100-580",260,"RR100-850",128,"RR100-1050",110,"RR100-1550",80,200),IF(F207="100L eau (~20 boc.)",SWITCH(E207,"W60-050",60,"W60-080",50,"W60-160",40,"RR100-290",28,"RR100-370",24,"RR100-580",20,"RR100-850",12,"RR100-1050",10,"RR100-1550",6,15),"")))),"")</f>
        <v>#ERROR!</v>
      </c>
      <c r="I207" s="243" t="str">
        <f>IFERROR(IF(OR(H207="",G207=""),"",ROUND(H207*SWITCH(G207,"1/4",0.25,"1/2",0.5,"3/4",0.75,"Complet",1,1),0)),"")</f>
        <v>#ERROR!</v>
      </c>
      <c r="J207" s="227"/>
      <c r="K207" s="230" t="str">
        <f>IFERROR(J207/I207,"")</f>
        <v>#ERROR!</v>
      </c>
      <c r="L207" s="227"/>
      <c r="M207" s="227"/>
      <c r="N207" s="227"/>
      <c r="O207" s="227"/>
      <c r="P207" s="227"/>
      <c r="Q207" s="232" t="str">
        <f>IFERROR(IF(A207="","",A207+IFERROR(INDEX(Config!B:B,MATCH("DDM appertisation standard (mois)",Config!A:A,0)),36)*30),"")</f>
        <v>#ERROR!</v>
      </c>
      <c r="R207" s="227"/>
      <c r="S207" s="227"/>
      <c r="T207" s="233"/>
    </row>
    <row r="208" ht="16.5" customHeight="1">
      <c r="A208" s="242"/>
      <c r="B208" s="225" t="str">
        <f>IF(A208="","",IF(C208="","","LOT-"&amp;TEXT(A208,"YYYYMMDD")&amp;"-"&amp;TEXT(ROW()-3,"000")))</f>
        <v>#ERROR!</v>
      </c>
      <c r="C208" s="235"/>
      <c r="D208" s="235" t="str">
        <f>IFERROR(INDEX(Recettes!C:C,MATCH(C208,Recettes!B:B,0)),"")</f>
        <v>#ERROR!</v>
      </c>
      <c r="E208" s="235"/>
      <c r="F208" s="235"/>
      <c r="G208" s="235"/>
      <c r="H208" s="236" t="str">
        <f>IFERROR(IF(F208="","",IF(F208="100x4/4 (100 boc. ref.)",SWITCH(E208,"W60-050",320,"W60-080",280,"W60-160",220,"RR100-290",130,"RR100-370",120,"RR100-580",130,"RR100-850",64,"RR100-1050",55,"RR100-1550",40,100),IF(F208="200x4/4 (200 boc. ref.)",SWITCH(E208,"W60-050",640,"W60-080",560,"W60-160",440,"RR100-290",260,"RR100-370",240,"RR100-580",260,"RR100-850",128,"RR100-1050",110,"RR100-1550",80,200),IF(F208="100L eau (~20 boc.)",SWITCH(E208,"W60-050",60,"W60-080",50,"W60-160",40,"RR100-290",28,"RR100-370",24,"RR100-580",20,"RR100-850",12,"RR100-1050",10,"RR100-1550",6,15),"")))),"")</f>
        <v>#ERROR!</v>
      </c>
      <c r="I208" s="243" t="str">
        <f>IFERROR(IF(OR(H208="",G208=""),"",ROUND(H208*SWITCH(G208,"1/4",0.25,"1/2",0.5,"3/4",0.75,"Complet",1,1),0)),"")</f>
        <v>#ERROR!</v>
      </c>
      <c r="J208" s="235"/>
      <c r="K208" s="237" t="str">
        <f>IFERROR(J208/I208,"")</f>
        <v>#ERROR!</v>
      </c>
      <c r="L208" s="235"/>
      <c r="M208" s="235"/>
      <c r="N208" s="235"/>
      <c r="O208" s="235"/>
      <c r="P208" s="235"/>
      <c r="Q208" s="239" t="str">
        <f>IFERROR(IF(A208="","",A208+IFERROR(INDEX(Config!B:B,MATCH("DDM appertisation standard (mois)",Config!A:A,0)),36)*30),"")</f>
        <v>#ERROR!</v>
      </c>
      <c r="R208" s="235"/>
      <c r="S208" s="235"/>
      <c r="T208" s="240"/>
    </row>
    <row r="209" ht="16.5" customHeight="1">
      <c r="A209" s="242"/>
      <c r="B209" s="225" t="str">
        <f>IF(A209="","",IF(C209="","","LOT-"&amp;TEXT(A209,"YYYYMMDD")&amp;"-"&amp;TEXT(ROW()-3,"000")))</f>
        <v>#ERROR!</v>
      </c>
      <c r="C209" s="227"/>
      <c r="D209" s="227" t="str">
        <f>IFERROR(INDEX(Recettes!C:C,MATCH(C209,Recettes!B:B,0)),"")</f>
        <v>#ERROR!</v>
      </c>
      <c r="E209" s="227"/>
      <c r="F209" s="227"/>
      <c r="G209" s="227"/>
      <c r="H209" s="236" t="str">
        <f>IFERROR(IF(F209="","",IF(F209="100x4/4 (100 boc. ref.)",SWITCH(E209,"W60-050",320,"W60-080",280,"W60-160",220,"RR100-290",130,"RR100-370",120,"RR100-580",130,"RR100-850",64,"RR100-1050",55,"RR100-1550",40,100),IF(F209="200x4/4 (200 boc. ref.)",SWITCH(E209,"W60-050",640,"W60-080",560,"W60-160",440,"RR100-290",260,"RR100-370",240,"RR100-580",260,"RR100-850",128,"RR100-1050",110,"RR100-1550",80,200),IF(F209="100L eau (~20 boc.)",SWITCH(E209,"W60-050",60,"W60-080",50,"W60-160",40,"RR100-290",28,"RR100-370",24,"RR100-580",20,"RR100-850",12,"RR100-1050",10,"RR100-1550",6,15),"")))),"")</f>
        <v>#ERROR!</v>
      </c>
      <c r="I209" s="243" t="str">
        <f>IFERROR(IF(OR(H209="",G209=""),"",ROUND(H209*SWITCH(G209,"1/4",0.25,"1/2",0.5,"3/4",0.75,"Complet",1,1),0)),"")</f>
        <v>#ERROR!</v>
      </c>
      <c r="J209" s="227"/>
      <c r="K209" s="230" t="str">
        <f>IFERROR(J209/I209,"")</f>
        <v>#ERROR!</v>
      </c>
      <c r="L209" s="227"/>
      <c r="M209" s="227"/>
      <c r="N209" s="227"/>
      <c r="O209" s="227"/>
      <c r="P209" s="227"/>
      <c r="Q209" s="232" t="str">
        <f>IFERROR(IF(A209="","",A209+IFERROR(INDEX(Config!B:B,MATCH("DDM appertisation standard (mois)",Config!A:A,0)),36)*30),"")</f>
        <v>#ERROR!</v>
      </c>
      <c r="R209" s="227"/>
      <c r="S209" s="227"/>
      <c r="T209" s="233"/>
    </row>
    <row r="210" ht="16.5" customHeight="1">
      <c r="A210" s="242"/>
      <c r="B210" s="225" t="str">
        <f>IF(A210="","",IF(C210="","","LOT-"&amp;TEXT(A210,"YYYYMMDD")&amp;"-"&amp;TEXT(ROW()-3,"000")))</f>
        <v>#ERROR!</v>
      </c>
      <c r="C210" s="235"/>
      <c r="D210" s="235" t="str">
        <f>IFERROR(INDEX(Recettes!C:C,MATCH(C210,Recettes!B:B,0)),"")</f>
        <v>#ERROR!</v>
      </c>
      <c r="E210" s="235"/>
      <c r="F210" s="235"/>
      <c r="G210" s="235"/>
      <c r="H210" s="236" t="str">
        <f>IFERROR(IF(F210="","",IF(F210="100x4/4 (100 boc. ref.)",SWITCH(E210,"W60-050",320,"W60-080",280,"W60-160",220,"RR100-290",130,"RR100-370",120,"RR100-580",130,"RR100-850",64,"RR100-1050",55,"RR100-1550",40,100),IF(F210="200x4/4 (200 boc. ref.)",SWITCH(E210,"W60-050",640,"W60-080",560,"W60-160",440,"RR100-290",260,"RR100-370",240,"RR100-580",260,"RR100-850",128,"RR100-1050",110,"RR100-1550",80,200),IF(F210="100L eau (~20 boc.)",SWITCH(E210,"W60-050",60,"W60-080",50,"W60-160",40,"RR100-290",28,"RR100-370",24,"RR100-580",20,"RR100-850",12,"RR100-1050",10,"RR100-1550",6,15),"")))),"")</f>
        <v>#ERROR!</v>
      </c>
      <c r="I210" s="243" t="str">
        <f>IFERROR(IF(OR(H210="",G210=""),"",ROUND(H210*SWITCH(G210,"1/4",0.25,"1/2",0.5,"3/4",0.75,"Complet",1,1),0)),"")</f>
        <v>#ERROR!</v>
      </c>
      <c r="J210" s="235"/>
      <c r="K210" s="237" t="str">
        <f>IFERROR(J210/I210,"")</f>
        <v>#ERROR!</v>
      </c>
      <c r="L210" s="235"/>
      <c r="M210" s="235"/>
      <c r="N210" s="235"/>
      <c r="O210" s="235"/>
      <c r="P210" s="235"/>
      <c r="Q210" s="239" t="str">
        <f>IFERROR(IF(A210="","",A210+IFERROR(INDEX(Config!B:B,MATCH("DDM appertisation standard (mois)",Config!A:A,0)),36)*30),"")</f>
        <v>#ERROR!</v>
      </c>
      <c r="R210" s="235"/>
      <c r="S210" s="235"/>
      <c r="T210" s="240"/>
    </row>
    <row r="211" ht="16.5" customHeight="1">
      <c r="A211" s="242"/>
      <c r="B211" s="225" t="str">
        <f>IF(A211="","",IF(C211="","","LOT-"&amp;TEXT(A211,"YYYYMMDD")&amp;"-"&amp;TEXT(ROW()-3,"000")))</f>
        <v>#ERROR!</v>
      </c>
      <c r="C211" s="227"/>
      <c r="D211" s="227" t="str">
        <f>IFERROR(INDEX(Recettes!C:C,MATCH(C211,Recettes!B:B,0)),"")</f>
        <v>#ERROR!</v>
      </c>
      <c r="E211" s="227"/>
      <c r="F211" s="227"/>
      <c r="G211" s="227"/>
      <c r="H211" s="236" t="str">
        <f>IFERROR(IF(F211="","",IF(F211="100x4/4 (100 boc. ref.)",SWITCH(E211,"W60-050",320,"W60-080",280,"W60-160",220,"RR100-290",130,"RR100-370",120,"RR100-580",130,"RR100-850",64,"RR100-1050",55,"RR100-1550",40,100),IF(F211="200x4/4 (200 boc. ref.)",SWITCH(E211,"W60-050",640,"W60-080",560,"W60-160",440,"RR100-290",260,"RR100-370",240,"RR100-580",260,"RR100-850",128,"RR100-1050",110,"RR100-1550",80,200),IF(F211="100L eau (~20 boc.)",SWITCH(E211,"W60-050",60,"W60-080",50,"W60-160",40,"RR100-290",28,"RR100-370",24,"RR100-580",20,"RR100-850",12,"RR100-1050",10,"RR100-1550",6,15),"")))),"")</f>
        <v>#ERROR!</v>
      </c>
      <c r="I211" s="243" t="str">
        <f>IFERROR(IF(OR(H211="",G211=""),"",ROUND(H211*SWITCH(G211,"1/4",0.25,"1/2",0.5,"3/4",0.75,"Complet",1,1),0)),"")</f>
        <v>#ERROR!</v>
      </c>
      <c r="J211" s="227"/>
      <c r="K211" s="230" t="str">
        <f>IFERROR(J211/I211,"")</f>
        <v>#ERROR!</v>
      </c>
      <c r="L211" s="227"/>
      <c r="M211" s="227"/>
      <c r="N211" s="227"/>
      <c r="O211" s="227"/>
      <c r="P211" s="227"/>
      <c r="Q211" s="232" t="str">
        <f>IFERROR(IF(A211="","",A211+IFERROR(INDEX(Config!B:B,MATCH("DDM appertisation standard (mois)",Config!A:A,0)),36)*30),"")</f>
        <v>#ERROR!</v>
      </c>
      <c r="R211" s="227"/>
      <c r="S211" s="227"/>
      <c r="T211" s="233"/>
    </row>
    <row r="212" ht="16.5" customHeight="1">
      <c r="A212" s="242"/>
      <c r="B212" s="225" t="str">
        <f>IF(A212="","",IF(C212="","","LOT-"&amp;TEXT(A212,"YYYYMMDD")&amp;"-"&amp;TEXT(ROW()-3,"000")))</f>
        <v>#ERROR!</v>
      </c>
      <c r="C212" s="235"/>
      <c r="D212" s="235" t="str">
        <f>IFERROR(INDEX(Recettes!C:C,MATCH(C212,Recettes!B:B,0)),"")</f>
        <v>#ERROR!</v>
      </c>
      <c r="E212" s="235"/>
      <c r="F212" s="235"/>
      <c r="G212" s="235"/>
      <c r="H212" s="236" t="str">
        <f>IFERROR(IF(F212="","",IF(F212="100x4/4 (100 boc. ref.)",SWITCH(E212,"W60-050",320,"W60-080",280,"W60-160",220,"RR100-290",130,"RR100-370",120,"RR100-580",130,"RR100-850",64,"RR100-1050",55,"RR100-1550",40,100),IF(F212="200x4/4 (200 boc. ref.)",SWITCH(E212,"W60-050",640,"W60-080",560,"W60-160",440,"RR100-290",260,"RR100-370",240,"RR100-580",260,"RR100-850",128,"RR100-1050",110,"RR100-1550",80,200),IF(F212="100L eau (~20 boc.)",SWITCH(E212,"W60-050",60,"W60-080",50,"W60-160",40,"RR100-290",28,"RR100-370",24,"RR100-580",20,"RR100-850",12,"RR100-1050",10,"RR100-1550",6,15),"")))),"")</f>
        <v>#ERROR!</v>
      </c>
      <c r="I212" s="243" t="str">
        <f>IFERROR(IF(OR(H212="",G212=""),"",ROUND(H212*SWITCH(G212,"1/4",0.25,"1/2",0.5,"3/4",0.75,"Complet",1,1),0)),"")</f>
        <v>#ERROR!</v>
      </c>
      <c r="J212" s="235"/>
      <c r="K212" s="237" t="str">
        <f>IFERROR(J212/I212,"")</f>
        <v>#ERROR!</v>
      </c>
      <c r="L212" s="235"/>
      <c r="M212" s="235"/>
      <c r="N212" s="235"/>
      <c r="O212" s="235"/>
      <c r="P212" s="235"/>
      <c r="Q212" s="239" t="str">
        <f>IFERROR(IF(A212="","",A212+IFERROR(INDEX(Config!B:B,MATCH("DDM appertisation standard (mois)",Config!A:A,0)),36)*30),"")</f>
        <v>#ERROR!</v>
      </c>
      <c r="R212" s="235"/>
      <c r="S212" s="235"/>
      <c r="T212" s="240"/>
    </row>
    <row r="213" ht="16.5" customHeight="1">
      <c r="A213" s="242"/>
      <c r="B213" s="225" t="str">
        <f>IF(A213="","",IF(C213="","","LOT-"&amp;TEXT(A213,"YYYYMMDD")&amp;"-"&amp;TEXT(ROW()-3,"000")))</f>
        <v>#ERROR!</v>
      </c>
      <c r="C213" s="227"/>
      <c r="D213" s="227" t="str">
        <f>IFERROR(INDEX(Recettes!C:C,MATCH(C213,Recettes!B:B,0)),"")</f>
        <v>#ERROR!</v>
      </c>
      <c r="E213" s="227"/>
      <c r="F213" s="227"/>
      <c r="G213" s="227"/>
      <c r="H213" s="236" t="str">
        <f>IFERROR(IF(F213="","",IF(F213="100x4/4 (100 boc. ref.)",SWITCH(E213,"W60-050",320,"W60-080",280,"W60-160",220,"RR100-290",130,"RR100-370",120,"RR100-580",130,"RR100-850",64,"RR100-1050",55,"RR100-1550",40,100),IF(F213="200x4/4 (200 boc. ref.)",SWITCH(E213,"W60-050",640,"W60-080",560,"W60-160",440,"RR100-290",260,"RR100-370",240,"RR100-580",260,"RR100-850",128,"RR100-1050",110,"RR100-1550",80,200),IF(F213="100L eau (~20 boc.)",SWITCH(E213,"W60-050",60,"W60-080",50,"W60-160",40,"RR100-290",28,"RR100-370",24,"RR100-580",20,"RR100-850",12,"RR100-1050",10,"RR100-1550",6,15),"")))),"")</f>
        <v>#ERROR!</v>
      </c>
      <c r="I213" s="243" t="str">
        <f>IFERROR(IF(OR(H213="",G213=""),"",ROUND(H213*SWITCH(G213,"1/4",0.25,"1/2",0.5,"3/4",0.75,"Complet",1,1),0)),"")</f>
        <v>#ERROR!</v>
      </c>
      <c r="J213" s="227"/>
      <c r="K213" s="230" t="str">
        <f>IFERROR(J213/I213,"")</f>
        <v>#ERROR!</v>
      </c>
      <c r="L213" s="227"/>
      <c r="M213" s="227"/>
      <c r="N213" s="227"/>
      <c r="O213" s="227"/>
      <c r="P213" s="227"/>
      <c r="Q213" s="232" t="str">
        <f>IFERROR(IF(A213="","",A213+IFERROR(INDEX(Config!B:B,MATCH("DDM appertisation standard (mois)",Config!A:A,0)),36)*30),"")</f>
        <v>#ERROR!</v>
      </c>
      <c r="R213" s="227"/>
      <c r="S213" s="227"/>
      <c r="T213" s="233"/>
    </row>
    <row r="214" ht="16.5" customHeight="1">
      <c r="A214" s="242"/>
      <c r="B214" s="225" t="str">
        <f>IF(A214="","",IF(C214="","","LOT-"&amp;TEXT(A214,"YYYYMMDD")&amp;"-"&amp;TEXT(ROW()-3,"000")))</f>
        <v>#ERROR!</v>
      </c>
      <c r="C214" s="235"/>
      <c r="D214" s="235" t="str">
        <f>IFERROR(INDEX(Recettes!C:C,MATCH(C214,Recettes!B:B,0)),"")</f>
        <v>#ERROR!</v>
      </c>
      <c r="E214" s="235"/>
      <c r="F214" s="235"/>
      <c r="G214" s="235"/>
      <c r="H214" s="236" t="str">
        <f>IFERROR(IF(F214="","",IF(F214="100x4/4 (100 boc. ref.)",SWITCH(E214,"W60-050",320,"W60-080",280,"W60-160",220,"RR100-290",130,"RR100-370",120,"RR100-580",130,"RR100-850",64,"RR100-1050",55,"RR100-1550",40,100),IF(F214="200x4/4 (200 boc. ref.)",SWITCH(E214,"W60-050",640,"W60-080",560,"W60-160",440,"RR100-290",260,"RR100-370",240,"RR100-580",260,"RR100-850",128,"RR100-1050",110,"RR100-1550",80,200),IF(F214="100L eau (~20 boc.)",SWITCH(E214,"W60-050",60,"W60-080",50,"W60-160",40,"RR100-290",28,"RR100-370",24,"RR100-580",20,"RR100-850",12,"RR100-1050",10,"RR100-1550",6,15),"")))),"")</f>
        <v>#ERROR!</v>
      </c>
      <c r="I214" s="243" t="str">
        <f>IFERROR(IF(OR(H214="",G214=""),"",ROUND(H214*SWITCH(G214,"1/4",0.25,"1/2",0.5,"3/4",0.75,"Complet",1,1),0)),"")</f>
        <v>#ERROR!</v>
      </c>
      <c r="J214" s="235"/>
      <c r="K214" s="237" t="str">
        <f>IFERROR(J214/I214,"")</f>
        <v>#ERROR!</v>
      </c>
      <c r="L214" s="235"/>
      <c r="M214" s="235"/>
      <c r="N214" s="235"/>
      <c r="O214" s="235"/>
      <c r="P214" s="235"/>
      <c r="Q214" s="239" t="str">
        <f>IFERROR(IF(A214="","",A214+IFERROR(INDEX(Config!B:B,MATCH("DDM appertisation standard (mois)",Config!A:A,0)),36)*30),"")</f>
        <v>#ERROR!</v>
      </c>
      <c r="R214" s="235"/>
      <c r="S214" s="235"/>
      <c r="T214" s="240"/>
    </row>
    <row r="215" ht="16.5" customHeight="1">
      <c r="A215" s="242"/>
      <c r="B215" s="225" t="str">
        <f>IF(A215="","",IF(C215="","","LOT-"&amp;TEXT(A215,"YYYYMMDD")&amp;"-"&amp;TEXT(ROW()-3,"000")))</f>
        <v>#ERROR!</v>
      </c>
      <c r="C215" s="227"/>
      <c r="D215" s="227" t="str">
        <f>IFERROR(INDEX(Recettes!C:C,MATCH(C215,Recettes!B:B,0)),"")</f>
        <v>#ERROR!</v>
      </c>
      <c r="E215" s="227"/>
      <c r="F215" s="227"/>
      <c r="G215" s="227"/>
      <c r="H215" s="236" t="str">
        <f>IFERROR(IF(F215="","",IF(F215="100x4/4 (100 boc. ref.)",SWITCH(E215,"W60-050",320,"W60-080",280,"W60-160",220,"RR100-290",130,"RR100-370",120,"RR100-580",130,"RR100-850",64,"RR100-1050",55,"RR100-1550",40,100),IF(F215="200x4/4 (200 boc. ref.)",SWITCH(E215,"W60-050",640,"W60-080",560,"W60-160",440,"RR100-290",260,"RR100-370",240,"RR100-580",260,"RR100-850",128,"RR100-1050",110,"RR100-1550",80,200),IF(F215="100L eau (~20 boc.)",SWITCH(E215,"W60-050",60,"W60-080",50,"W60-160",40,"RR100-290",28,"RR100-370",24,"RR100-580",20,"RR100-850",12,"RR100-1050",10,"RR100-1550",6,15),"")))),"")</f>
        <v>#ERROR!</v>
      </c>
      <c r="I215" s="243" t="str">
        <f>IFERROR(IF(OR(H215="",G215=""),"",ROUND(H215*SWITCH(G215,"1/4",0.25,"1/2",0.5,"3/4",0.75,"Complet",1,1),0)),"")</f>
        <v>#ERROR!</v>
      </c>
      <c r="J215" s="227"/>
      <c r="K215" s="230" t="str">
        <f>IFERROR(J215/I215,"")</f>
        <v>#ERROR!</v>
      </c>
      <c r="L215" s="227"/>
      <c r="M215" s="227"/>
      <c r="N215" s="227"/>
      <c r="O215" s="227"/>
      <c r="P215" s="227"/>
      <c r="Q215" s="232" t="str">
        <f>IFERROR(IF(A215="","",A215+IFERROR(INDEX(Config!B:B,MATCH("DDM appertisation standard (mois)",Config!A:A,0)),36)*30),"")</f>
        <v>#ERROR!</v>
      </c>
      <c r="R215" s="227"/>
      <c r="S215" s="227"/>
      <c r="T215" s="233"/>
    </row>
    <row r="216" ht="16.5" customHeight="1">
      <c r="A216" s="242"/>
      <c r="B216" s="225" t="str">
        <f>IF(A216="","",IF(C216="","","LOT-"&amp;TEXT(A216,"YYYYMMDD")&amp;"-"&amp;TEXT(ROW()-3,"000")))</f>
        <v>#ERROR!</v>
      </c>
      <c r="C216" s="235"/>
      <c r="D216" s="235" t="str">
        <f>IFERROR(INDEX(Recettes!C:C,MATCH(C216,Recettes!B:B,0)),"")</f>
        <v>#ERROR!</v>
      </c>
      <c r="E216" s="235"/>
      <c r="F216" s="235"/>
      <c r="G216" s="235"/>
      <c r="H216" s="236" t="str">
        <f>IFERROR(IF(F216="","",IF(F216="100x4/4 (100 boc. ref.)",SWITCH(E216,"W60-050",320,"W60-080",280,"W60-160",220,"RR100-290",130,"RR100-370",120,"RR100-580",130,"RR100-850",64,"RR100-1050",55,"RR100-1550",40,100),IF(F216="200x4/4 (200 boc. ref.)",SWITCH(E216,"W60-050",640,"W60-080",560,"W60-160",440,"RR100-290",260,"RR100-370",240,"RR100-580",260,"RR100-850",128,"RR100-1050",110,"RR100-1550",80,200),IF(F216="100L eau (~20 boc.)",SWITCH(E216,"W60-050",60,"W60-080",50,"W60-160",40,"RR100-290",28,"RR100-370",24,"RR100-580",20,"RR100-850",12,"RR100-1050",10,"RR100-1550",6,15),"")))),"")</f>
        <v>#ERROR!</v>
      </c>
      <c r="I216" s="243" t="str">
        <f>IFERROR(IF(OR(H216="",G216=""),"",ROUND(H216*SWITCH(G216,"1/4",0.25,"1/2",0.5,"3/4",0.75,"Complet",1,1),0)),"")</f>
        <v>#ERROR!</v>
      </c>
      <c r="J216" s="235"/>
      <c r="K216" s="237" t="str">
        <f>IFERROR(J216/I216,"")</f>
        <v>#ERROR!</v>
      </c>
      <c r="L216" s="235"/>
      <c r="M216" s="235"/>
      <c r="N216" s="235"/>
      <c r="O216" s="235"/>
      <c r="P216" s="235"/>
      <c r="Q216" s="239" t="str">
        <f>IFERROR(IF(A216="","",A216+IFERROR(INDEX(Config!B:B,MATCH("DDM appertisation standard (mois)",Config!A:A,0)),36)*30),"")</f>
        <v>#ERROR!</v>
      </c>
      <c r="R216" s="235"/>
      <c r="S216" s="235"/>
      <c r="T216" s="240"/>
    </row>
    <row r="217" ht="16.5" customHeight="1">
      <c r="A217" s="242"/>
      <c r="B217" s="225" t="str">
        <f>IF(A217="","",IF(C217="","","LOT-"&amp;TEXT(A217,"YYYYMMDD")&amp;"-"&amp;TEXT(ROW()-3,"000")))</f>
        <v>#ERROR!</v>
      </c>
      <c r="C217" s="227"/>
      <c r="D217" s="227" t="str">
        <f>IFERROR(INDEX(Recettes!C:C,MATCH(C217,Recettes!B:B,0)),"")</f>
        <v>#ERROR!</v>
      </c>
      <c r="E217" s="227"/>
      <c r="F217" s="227"/>
      <c r="G217" s="227"/>
      <c r="H217" s="236" t="str">
        <f>IFERROR(IF(F217="","",IF(F217="100x4/4 (100 boc. ref.)",SWITCH(E217,"W60-050",320,"W60-080",280,"W60-160",220,"RR100-290",130,"RR100-370",120,"RR100-580",130,"RR100-850",64,"RR100-1050",55,"RR100-1550",40,100),IF(F217="200x4/4 (200 boc. ref.)",SWITCH(E217,"W60-050",640,"W60-080",560,"W60-160",440,"RR100-290",260,"RR100-370",240,"RR100-580",260,"RR100-850",128,"RR100-1050",110,"RR100-1550",80,200),IF(F217="100L eau (~20 boc.)",SWITCH(E217,"W60-050",60,"W60-080",50,"W60-160",40,"RR100-290",28,"RR100-370",24,"RR100-580",20,"RR100-850",12,"RR100-1050",10,"RR100-1550",6,15),"")))),"")</f>
        <v>#ERROR!</v>
      </c>
      <c r="I217" s="243" t="str">
        <f>IFERROR(IF(OR(H217="",G217=""),"",ROUND(H217*SWITCH(G217,"1/4",0.25,"1/2",0.5,"3/4",0.75,"Complet",1,1),0)),"")</f>
        <v>#ERROR!</v>
      </c>
      <c r="J217" s="227"/>
      <c r="K217" s="230" t="str">
        <f>IFERROR(J217/I217,"")</f>
        <v>#ERROR!</v>
      </c>
      <c r="L217" s="227"/>
      <c r="M217" s="227"/>
      <c r="N217" s="227"/>
      <c r="O217" s="227"/>
      <c r="P217" s="227"/>
      <c r="Q217" s="232" t="str">
        <f>IFERROR(IF(A217="","",A217+IFERROR(INDEX(Config!B:B,MATCH("DDM appertisation standard (mois)",Config!A:A,0)),36)*30),"")</f>
        <v>#ERROR!</v>
      </c>
      <c r="R217" s="227"/>
      <c r="S217" s="227"/>
      <c r="T217" s="233"/>
    </row>
    <row r="218" ht="16.5" customHeight="1">
      <c r="A218" s="242"/>
      <c r="B218" s="225" t="str">
        <f>IF(A218="","",IF(C218="","","LOT-"&amp;TEXT(A218,"YYYYMMDD")&amp;"-"&amp;TEXT(ROW()-3,"000")))</f>
        <v>#ERROR!</v>
      </c>
      <c r="C218" s="235"/>
      <c r="D218" s="235" t="str">
        <f>IFERROR(INDEX(Recettes!C:C,MATCH(C218,Recettes!B:B,0)),"")</f>
        <v>#ERROR!</v>
      </c>
      <c r="E218" s="235"/>
      <c r="F218" s="235"/>
      <c r="G218" s="235"/>
      <c r="H218" s="236" t="str">
        <f>IFERROR(IF(F218="","",IF(F218="100x4/4 (100 boc. ref.)",SWITCH(E218,"W60-050",320,"W60-080",280,"W60-160",220,"RR100-290",130,"RR100-370",120,"RR100-580",130,"RR100-850",64,"RR100-1050",55,"RR100-1550",40,100),IF(F218="200x4/4 (200 boc. ref.)",SWITCH(E218,"W60-050",640,"W60-080",560,"W60-160",440,"RR100-290",260,"RR100-370",240,"RR100-580",260,"RR100-850",128,"RR100-1050",110,"RR100-1550",80,200),IF(F218="100L eau (~20 boc.)",SWITCH(E218,"W60-050",60,"W60-080",50,"W60-160",40,"RR100-290",28,"RR100-370",24,"RR100-580",20,"RR100-850",12,"RR100-1050",10,"RR100-1550",6,15),"")))),"")</f>
        <v>#ERROR!</v>
      </c>
      <c r="I218" s="243" t="str">
        <f>IFERROR(IF(OR(H218="",G218=""),"",ROUND(H218*SWITCH(G218,"1/4",0.25,"1/2",0.5,"3/4",0.75,"Complet",1,1),0)),"")</f>
        <v>#ERROR!</v>
      </c>
      <c r="J218" s="235"/>
      <c r="K218" s="237" t="str">
        <f>IFERROR(J218/I218,"")</f>
        <v>#ERROR!</v>
      </c>
      <c r="L218" s="235"/>
      <c r="M218" s="235"/>
      <c r="N218" s="235"/>
      <c r="O218" s="235"/>
      <c r="P218" s="235"/>
      <c r="Q218" s="239" t="str">
        <f>IFERROR(IF(A218="","",A218+IFERROR(INDEX(Config!B:B,MATCH("DDM appertisation standard (mois)",Config!A:A,0)),36)*30),"")</f>
        <v>#ERROR!</v>
      </c>
      <c r="R218" s="235"/>
      <c r="S218" s="235"/>
      <c r="T218" s="240"/>
    </row>
    <row r="219" ht="16.5" customHeight="1">
      <c r="A219" s="242"/>
      <c r="B219" s="225" t="str">
        <f>IF(A219="","",IF(C219="","","LOT-"&amp;TEXT(A219,"YYYYMMDD")&amp;"-"&amp;TEXT(ROW()-3,"000")))</f>
        <v>#ERROR!</v>
      </c>
      <c r="C219" s="227"/>
      <c r="D219" s="227" t="str">
        <f>IFERROR(INDEX(Recettes!C:C,MATCH(C219,Recettes!B:B,0)),"")</f>
        <v>#ERROR!</v>
      </c>
      <c r="E219" s="227"/>
      <c r="F219" s="227"/>
      <c r="G219" s="227"/>
      <c r="H219" s="236" t="str">
        <f>IFERROR(IF(F219="","",IF(F219="100x4/4 (100 boc. ref.)",SWITCH(E219,"W60-050",320,"W60-080",280,"W60-160",220,"RR100-290",130,"RR100-370",120,"RR100-580",130,"RR100-850",64,"RR100-1050",55,"RR100-1550",40,100),IF(F219="200x4/4 (200 boc. ref.)",SWITCH(E219,"W60-050",640,"W60-080",560,"W60-160",440,"RR100-290",260,"RR100-370",240,"RR100-580",260,"RR100-850",128,"RR100-1050",110,"RR100-1550",80,200),IF(F219="100L eau (~20 boc.)",SWITCH(E219,"W60-050",60,"W60-080",50,"W60-160",40,"RR100-290",28,"RR100-370",24,"RR100-580",20,"RR100-850",12,"RR100-1050",10,"RR100-1550",6,15),"")))),"")</f>
        <v>#ERROR!</v>
      </c>
      <c r="I219" s="243" t="str">
        <f>IFERROR(IF(OR(H219="",G219=""),"",ROUND(H219*SWITCH(G219,"1/4",0.25,"1/2",0.5,"3/4",0.75,"Complet",1,1),0)),"")</f>
        <v>#ERROR!</v>
      </c>
      <c r="J219" s="227"/>
      <c r="K219" s="230" t="str">
        <f>IFERROR(J219/I219,"")</f>
        <v>#ERROR!</v>
      </c>
      <c r="L219" s="227"/>
      <c r="M219" s="227"/>
      <c r="N219" s="227"/>
      <c r="O219" s="227"/>
      <c r="P219" s="227"/>
      <c r="Q219" s="232" t="str">
        <f>IFERROR(IF(A219="","",A219+IFERROR(INDEX(Config!B:B,MATCH("DDM appertisation standard (mois)",Config!A:A,0)),36)*30),"")</f>
        <v>#ERROR!</v>
      </c>
      <c r="R219" s="227"/>
      <c r="S219" s="227"/>
      <c r="T219" s="233"/>
    </row>
    <row r="220" ht="16.5" customHeight="1">
      <c r="A220" s="242"/>
      <c r="B220" s="225" t="str">
        <f>IF(A220="","",IF(C220="","","LOT-"&amp;TEXT(A220,"YYYYMMDD")&amp;"-"&amp;TEXT(ROW()-3,"000")))</f>
        <v>#ERROR!</v>
      </c>
      <c r="C220" s="235"/>
      <c r="D220" s="235" t="str">
        <f>IFERROR(INDEX(Recettes!C:C,MATCH(C220,Recettes!B:B,0)),"")</f>
        <v>#ERROR!</v>
      </c>
      <c r="E220" s="235"/>
      <c r="F220" s="235"/>
      <c r="G220" s="235"/>
      <c r="H220" s="236" t="str">
        <f>IFERROR(IF(F220="","",IF(F220="100x4/4 (100 boc. ref.)",SWITCH(E220,"W60-050",320,"W60-080",280,"W60-160",220,"RR100-290",130,"RR100-370",120,"RR100-580",130,"RR100-850",64,"RR100-1050",55,"RR100-1550",40,100),IF(F220="200x4/4 (200 boc. ref.)",SWITCH(E220,"W60-050",640,"W60-080",560,"W60-160",440,"RR100-290",260,"RR100-370",240,"RR100-580",260,"RR100-850",128,"RR100-1050",110,"RR100-1550",80,200),IF(F220="100L eau (~20 boc.)",SWITCH(E220,"W60-050",60,"W60-080",50,"W60-160",40,"RR100-290",28,"RR100-370",24,"RR100-580",20,"RR100-850",12,"RR100-1050",10,"RR100-1550",6,15),"")))),"")</f>
        <v>#ERROR!</v>
      </c>
      <c r="I220" s="243" t="str">
        <f>IFERROR(IF(OR(H220="",G220=""),"",ROUND(H220*SWITCH(G220,"1/4",0.25,"1/2",0.5,"3/4",0.75,"Complet",1,1),0)),"")</f>
        <v>#ERROR!</v>
      </c>
      <c r="J220" s="235"/>
      <c r="K220" s="237" t="str">
        <f>IFERROR(J220/I220,"")</f>
        <v>#ERROR!</v>
      </c>
      <c r="L220" s="235"/>
      <c r="M220" s="235"/>
      <c r="N220" s="235"/>
      <c r="O220" s="235"/>
      <c r="P220" s="235"/>
      <c r="Q220" s="239" t="str">
        <f>IFERROR(IF(A220="","",A220+IFERROR(INDEX(Config!B:B,MATCH("DDM appertisation standard (mois)",Config!A:A,0)),36)*30),"")</f>
        <v>#ERROR!</v>
      </c>
      <c r="R220" s="235"/>
      <c r="S220" s="235"/>
      <c r="T220" s="240"/>
    </row>
    <row r="221" ht="16.5" customHeight="1">
      <c r="A221" s="242"/>
      <c r="B221" s="225" t="str">
        <f>IF(A221="","",IF(C221="","","LOT-"&amp;TEXT(A221,"YYYYMMDD")&amp;"-"&amp;TEXT(ROW()-3,"000")))</f>
        <v>#ERROR!</v>
      </c>
      <c r="C221" s="227"/>
      <c r="D221" s="227" t="str">
        <f>IFERROR(INDEX(Recettes!C:C,MATCH(C221,Recettes!B:B,0)),"")</f>
        <v>#ERROR!</v>
      </c>
      <c r="E221" s="227"/>
      <c r="F221" s="227"/>
      <c r="G221" s="227"/>
      <c r="H221" s="236" t="str">
        <f>IFERROR(IF(F221="","",IF(F221="100x4/4 (100 boc. ref.)",SWITCH(E221,"W60-050",320,"W60-080",280,"W60-160",220,"RR100-290",130,"RR100-370",120,"RR100-580",130,"RR100-850",64,"RR100-1050",55,"RR100-1550",40,100),IF(F221="200x4/4 (200 boc. ref.)",SWITCH(E221,"W60-050",640,"W60-080",560,"W60-160",440,"RR100-290",260,"RR100-370",240,"RR100-580",260,"RR100-850",128,"RR100-1050",110,"RR100-1550",80,200),IF(F221="100L eau (~20 boc.)",SWITCH(E221,"W60-050",60,"W60-080",50,"W60-160",40,"RR100-290",28,"RR100-370",24,"RR100-580",20,"RR100-850",12,"RR100-1050",10,"RR100-1550",6,15),"")))),"")</f>
        <v>#ERROR!</v>
      </c>
      <c r="I221" s="243" t="str">
        <f>IFERROR(IF(OR(H221="",G221=""),"",ROUND(H221*SWITCH(G221,"1/4",0.25,"1/2",0.5,"3/4",0.75,"Complet",1,1),0)),"")</f>
        <v>#ERROR!</v>
      </c>
      <c r="J221" s="227"/>
      <c r="K221" s="230" t="str">
        <f>IFERROR(J221/I221,"")</f>
        <v>#ERROR!</v>
      </c>
      <c r="L221" s="227"/>
      <c r="M221" s="227"/>
      <c r="N221" s="227"/>
      <c r="O221" s="227"/>
      <c r="P221" s="227"/>
      <c r="Q221" s="232" t="str">
        <f>IFERROR(IF(A221="","",A221+IFERROR(INDEX(Config!B:B,MATCH("DDM appertisation standard (mois)",Config!A:A,0)),36)*30),"")</f>
        <v>#ERROR!</v>
      </c>
      <c r="R221" s="227"/>
      <c r="S221" s="227"/>
      <c r="T221" s="233"/>
    </row>
    <row r="222" ht="16.5" customHeight="1">
      <c r="A222" s="242"/>
      <c r="B222" s="225" t="str">
        <f>IF(A222="","",IF(C222="","","LOT-"&amp;TEXT(A222,"YYYYMMDD")&amp;"-"&amp;TEXT(ROW()-3,"000")))</f>
        <v>#ERROR!</v>
      </c>
      <c r="C222" s="235"/>
      <c r="D222" s="235" t="str">
        <f>IFERROR(INDEX(Recettes!C:C,MATCH(C222,Recettes!B:B,0)),"")</f>
        <v>#ERROR!</v>
      </c>
      <c r="E222" s="235"/>
      <c r="F222" s="235"/>
      <c r="G222" s="235"/>
      <c r="H222" s="236" t="str">
        <f>IFERROR(IF(F222="","",IF(F222="100x4/4 (100 boc. ref.)",SWITCH(E222,"W60-050",320,"W60-080",280,"W60-160",220,"RR100-290",130,"RR100-370",120,"RR100-580",130,"RR100-850",64,"RR100-1050",55,"RR100-1550",40,100),IF(F222="200x4/4 (200 boc. ref.)",SWITCH(E222,"W60-050",640,"W60-080",560,"W60-160",440,"RR100-290",260,"RR100-370",240,"RR100-580",260,"RR100-850",128,"RR100-1050",110,"RR100-1550",80,200),IF(F222="100L eau (~20 boc.)",SWITCH(E222,"W60-050",60,"W60-080",50,"W60-160",40,"RR100-290",28,"RR100-370",24,"RR100-580",20,"RR100-850",12,"RR100-1050",10,"RR100-1550",6,15),"")))),"")</f>
        <v>#ERROR!</v>
      </c>
      <c r="I222" s="243" t="str">
        <f>IFERROR(IF(OR(H222="",G222=""),"",ROUND(H222*SWITCH(G222,"1/4",0.25,"1/2",0.5,"3/4",0.75,"Complet",1,1),0)),"")</f>
        <v>#ERROR!</v>
      </c>
      <c r="J222" s="235"/>
      <c r="K222" s="237" t="str">
        <f>IFERROR(J222/I222,"")</f>
        <v>#ERROR!</v>
      </c>
      <c r="L222" s="235"/>
      <c r="M222" s="235"/>
      <c r="N222" s="235"/>
      <c r="O222" s="235"/>
      <c r="P222" s="235"/>
      <c r="Q222" s="239" t="str">
        <f>IFERROR(IF(A222="","",A222+IFERROR(INDEX(Config!B:B,MATCH("DDM appertisation standard (mois)",Config!A:A,0)),36)*30),"")</f>
        <v>#ERROR!</v>
      </c>
      <c r="R222" s="235"/>
      <c r="S222" s="235"/>
      <c r="T222" s="240"/>
    </row>
    <row r="223" ht="16.5" customHeight="1">
      <c r="A223" s="242"/>
      <c r="B223" s="225" t="str">
        <f>IF(A223="","",IF(C223="","","LOT-"&amp;TEXT(A223,"YYYYMMDD")&amp;"-"&amp;TEXT(ROW()-3,"000")))</f>
        <v>#ERROR!</v>
      </c>
      <c r="C223" s="227"/>
      <c r="D223" s="227" t="str">
        <f>IFERROR(INDEX(Recettes!C:C,MATCH(C223,Recettes!B:B,0)),"")</f>
        <v>#ERROR!</v>
      </c>
      <c r="E223" s="227"/>
      <c r="F223" s="227"/>
      <c r="G223" s="227"/>
      <c r="H223" s="236" t="str">
        <f>IFERROR(IF(F223="","",IF(F223="100x4/4 (100 boc. ref.)",SWITCH(E223,"W60-050",320,"W60-080",280,"W60-160",220,"RR100-290",130,"RR100-370",120,"RR100-580",130,"RR100-850",64,"RR100-1050",55,"RR100-1550",40,100),IF(F223="200x4/4 (200 boc. ref.)",SWITCH(E223,"W60-050",640,"W60-080",560,"W60-160",440,"RR100-290",260,"RR100-370",240,"RR100-580",260,"RR100-850",128,"RR100-1050",110,"RR100-1550",80,200),IF(F223="100L eau (~20 boc.)",SWITCH(E223,"W60-050",60,"W60-080",50,"W60-160",40,"RR100-290",28,"RR100-370",24,"RR100-580",20,"RR100-850",12,"RR100-1050",10,"RR100-1550",6,15),"")))),"")</f>
        <v>#ERROR!</v>
      </c>
      <c r="I223" s="243" t="str">
        <f>IFERROR(IF(OR(H223="",G223=""),"",ROUND(H223*SWITCH(G223,"1/4",0.25,"1/2",0.5,"3/4",0.75,"Complet",1,1),0)),"")</f>
        <v>#ERROR!</v>
      </c>
      <c r="J223" s="227"/>
      <c r="K223" s="230" t="str">
        <f>IFERROR(J223/I223,"")</f>
        <v>#ERROR!</v>
      </c>
      <c r="L223" s="227"/>
      <c r="M223" s="227"/>
      <c r="N223" s="227"/>
      <c r="O223" s="227"/>
      <c r="P223" s="227"/>
      <c r="Q223" s="232" t="str">
        <f>IFERROR(IF(A223="","",A223+IFERROR(INDEX(Config!B:B,MATCH("DDM appertisation standard (mois)",Config!A:A,0)),36)*30),"")</f>
        <v>#ERROR!</v>
      </c>
      <c r="R223" s="227"/>
      <c r="S223" s="227"/>
      <c r="T223" s="233"/>
    </row>
    <row r="224" ht="16.5" customHeight="1">
      <c r="A224" s="242"/>
      <c r="B224" s="225" t="str">
        <f>IF(A224="","",IF(C224="","","LOT-"&amp;TEXT(A224,"YYYYMMDD")&amp;"-"&amp;TEXT(ROW()-3,"000")))</f>
        <v>#ERROR!</v>
      </c>
      <c r="C224" s="235"/>
      <c r="D224" s="235" t="str">
        <f>IFERROR(INDEX(Recettes!C:C,MATCH(C224,Recettes!B:B,0)),"")</f>
        <v>#ERROR!</v>
      </c>
      <c r="E224" s="235"/>
      <c r="F224" s="235"/>
      <c r="G224" s="235"/>
      <c r="H224" s="236" t="str">
        <f>IFERROR(IF(F224="","",IF(F224="100x4/4 (100 boc. ref.)",SWITCH(E224,"W60-050",320,"W60-080",280,"W60-160",220,"RR100-290",130,"RR100-370",120,"RR100-580",130,"RR100-850",64,"RR100-1050",55,"RR100-1550",40,100),IF(F224="200x4/4 (200 boc. ref.)",SWITCH(E224,"W60-050",640,"W60-080",560,"W60-160",440,"RR100-290",260,"RR100-370",240,"RR100-580",260,"RR100-850",128,"RR100-1050",110,"RR100-1550",80,200),IF(F224="100L eau (~20 boc.)",SWITCH(E224,"W60-050",60,"W60-080",50,"W60-160",40,"RR100-290",28,"RR100-370",24,"RR100-580",20,"RR100-850",12,"RR100-1050",10,"RR100-1550",6,15),"")))),"")</f>
        <v>#ERROR!</v>
      </c>
      <c r="I224" s="243" t="str">
        <f>IFERROR(IF(OR(H224="",G224=""),"",ROUND(H224*SWITCH(G224,"1/4",0.25,"1/2",0.5,"3/4",0.75,"Complet",1,1),0)),"")</f>
        <v>#ERROR!</v>
      </c>
      <c r="J224" s="235"/>
      <c r="K224" s="237" t="str">
        <f>IFERROR(J224/I224,"")</f>
        <v>#ERROR!</v>
      </c>
      <c r="L224" s="235"/>
      <c r="M224" s="235"/>
      <c r="N224" s="235"/>
      <c r="O224" s="235"/>
      <c r="P224" s="235"/>
      <c r="Q224" s="239" t="str">
        <f>IFERROR(IF(A224="","",A224+IFERROR(INDEX(Config!B:B,MATCH("DDM appertisation standard (mois)",Config!A:A,0)),36)*30),"")</f>
        <v>#ERROR!</v>
      </c>
      <c r="R224" s="235"/>
      <c r="S224" s="235"/>
      <c r="T224" s="240"/>
    </row>
    <row r="225" ht="16.5" customHeight="1">
      <c r="A225" s="242"/>
      <c r="B225" s="225" t="str">
        <f>IF(A225="","",IF(C225="","","LOT-"&amp;TEXT(A225,"YYYYMMDD")&amp;"-"&amp;TEXT(ROW()-3,"000")))</f>
        <v>#ERROR!</v>
      </c>
      <c r="C225" s="227"/>
      <c r="D225" s="227" t="str">
        <f>IFERROR(INDEX(Recettes!C:C,MATCH(C225,Recettes!B:B,0)),"")</f>
        <v>#ERROR!</v>
      </c>
      <c r="E225" s="227"/>
      <c r="F225" s="227"/>
      <c r="G225" s="227"/>
      <c r="H225" s="236" t="str">
        <f>IFERROR(IF(F225="","",IF(F225="100x4/4 (100 boc. ref.)",SWITCH(E225,"W60-050",320,"W60-080",280,"W60-160",220,"RR100-290",130,"RR100-370",120,"RR100-580",130,"RR100-850",64,"RR100-1050",55,"RR100-1550",40,100),IF(F225="200x4/4 (200 boc. ref.)",SWITCH(E225,"W60-050",640,"W60-080",560,"W60-160",440,"RR100-290",260,"RR100-370",240,"RR100-580",260,"RR100-850",128,"RR100-1050",110,"RR100-1550",80,200),IF(F225="100L eau (~20 boc.)",SWITCH(E225,"W60-050",60,"W60-080",50,"W60-160",40,"RR100-290",28,"RR100-370",24,"RR100-580",20,"RR100-850",12,"RR100-1050",10,"RR100-1550",6,15),"")))),"")</f>
        <v>#ERROR!</v>
      </c>
      <c r="I225" s="243" t="str">
        <f>IFERROR(IF(OR(H225="",G225=""),"",ROUND(H225*SWITCH(G225,"1/4",0.25,"1/2",0.5,"3/4",0.75,"Complet",1,1),0)),"")</f>
        <v>#ERROR!</v>
      </c>
      <c r="J225" s="227"/>
      <c r="K225" s="230" t="str">
        <f>IFERROR(J225/I225,"")</f>
        <v>#ERROR!</v>
      </c>
      <c r="L225" s="227"/>
      <c r="M225" s="227"/>
      <c r="N225" s="227"/>
      <c r="O225" s="227"/>
      <c r="P225" s="227"/>
      <c r="Q225" s="232" t="str">
        <f>IFERROR(IF(A225="","",A225+IFERROR(INDEX(Config!B:B,MATCH("DDM appertisation standard (mois)",Config!A:A,0)),36)*30),"")</f>
        <v>#ERROR!</v>
      </c>
      <c r="R225" s="227"/>
      <c r="S225" s="227"/>
      <c r="T225" s="233"/>
    </row>
    <row r="226" ht="16.5" customHeight="1">
      <c r="A226" s="242"/>
      <c r="B226" s="225" t="str">
        <f>IF(A226="","",IF(C226="","","LOT-"&amp;TEXT(A226,"YYYYMMDD")&amp;"-"&amp;TEXT(ROW()-3,"000")))</f>
        <v>#ERROR!</v>
      </c>
      <c r="C226" s="235"/>
      <c r="D226" s="235" t="str">
        <f>IFERROR(INDEX(Recettes!C:C,MATCH(C226,Recettes!B:B,0)),"")</f>
        <v>#ERROR!</v>
      </c>
      <c r="E226" s="235"/>
      <c r="F226" s="235"/>
      <c r="G226" s="235"/>
      <c r="H226" s="236" t="str">
        <f>IFERROR(IF(F226="","",IF(F226="100x4/4 (100 boc. ref.)",SWITCH(E226,"W60-050",320,"W60-080",280,"W60-160",220,"RR100-290",130,"RR100-370",120,"RR100-580",130,"RR100-850",64,"RR100-1050",55,"RR100-1550",40,100),IF(F226="200x4/4 (200 boc. ref.)",SWITCH(E226,"W60-050",640,"W60-080",560,"W60-160",440,"RR100-290",260,"RR100-370",240,"RR100-580",260,"RR100-850",128,"RR100-1050",110,"RR100-1550",80,200),IF(F226="100L eau (~20 boc.)",SWITCH(E226,"W60-050",60,"W60-080",50,"W60-160",40,"RR100-290",28,"RR100-370",24,"RR100-580",20,"RR100-850",12,"RR100-1050",10,"RR100-1550",6,15),"")))),"")</f>
        <v>#ERROR!</v>
      </c>
      <c r="I226" s="243" t="str">
        <f>IFERROR(IF(OR(H226="",G226=""),"",ROUND(H226*SWITCH(G226,"1/4",0.25,"1/2",0.5,"3/4",0.75,"Complet",1,1),0)),"")</f>
        <v>#ERROR!</v>
      </c>
      <c r="J226" s="235"/>
      <c r="K226" s="237" t="str">
        <f>IFERROR(J226/I226,"")</f>
        <v>#ERROR!</v>
      </c>
      <c r="L226" s="235"/>
      <c r="M226" s="235"/>
      <c r="N226" s="235"/>
      <c r="O226" s="235"/>
      <c r="P226" s="235"/>
      <c r="Q226" s="239" t="str">
        <f>IFERROR(IF(A226="","",A226+IFERROR(INDEX(Config!B:B,MATCH("DDM appertisation standard (mois)",Config!A:A,0)),36)*30),"")</f>
        <v>#ERROR!</v>
      </c>
      <c r="R226" s="235"/>
      <c r="S226" s="235"/>
      <c r="T226" s="240"/>
    </row>
    <row r="227" ht="16.5" customHeight="1">
      <c r="A227" s="242"/>
      <c r="B227" s="225" t="str">
        <f>IF(A227="","",IF(C227="","","LOT-"&amp;TEXT(A227,"YYYYMMDD")&amp;"-"&amp;TEXT(ROW()-3,"000")))</f>
        <v>#ERROR!</v>
      </c>
      <c r="C227" s="227"/>
      <c r="D227" s="227" t="str">
        <f>IFERROR(INDEX(Recettes!C:C,MATCH(C227,Recettes!B:B,0)),"")</f>
        <v>#ERROR!</v>
      </c>
      <c r="E227" s="227"/>
      <c r="F227" s="227"/>
      <c r="G227" s="227"/>
      <c r="H227" s="236" t="str">
        <f>IFERROR(IF(F227="","",IF(F227="100x4/4 (100 boc. ref.)",SWITCH(E227,"W60-050",320,"W60-080",280,"W60-160",220,"RR100-290",130,"RR100-370",120,"RR100-580",130,"RR100-850",64,"RR100-1050",55,"RR100-1550",40,100),IF(F227="200x4/4 (200 boc. ref.)",SWITCH(E227,"W60-050",640,"W60-080",560,"W60-160",440,"RR100-290",260,"RR100-370",240,"RR100-580",260,"RR100-850",128,"RR100-1050",110,"RR100-1550",80,200),IF(F227="100L eau (~20 boc.)",SWITCH(E227,"W60-050",60,"W60-080",50,"W60-160",40,"RR100-290",28,"RR100-370",24,"RR100-580",20,"RR100-850",12,"RR100-1050",10,"RR100-1550",6,15),"")))),"")</f>
        <v>#ERROR!</v>
      </c>
      <c r="I227" s="243" t="str">
        <f>IFERROR(IF(OR(H227="",G227=""),"",ROUND(H227*SWITCH(G227,"1/4",0.25,"1/2",0.5,"3/4",0.75,"Complet",1,1),0)),"")</f>
        <v>#ERROR!</v>
      </c>
      <c r="J227" s="227"/>
      <c r="K227" s="230" t="str">
        <f>IFERROR(J227/I227,"")</f>
        <v>#ERROR!</v>
      </c>
      <c r="L227" s="227"/>
      <c r="M227" s="227"/>
      <c r="N227" s="227"/>
      <c r="O227" s="227"/>
      <c r="P227" s="227"/>
      <c r="Q227" s="232" t="str">
        <f>IFERROR(IF(A227="","",A227+IFERROR(INDEX(Config!B:B,MATCH("DDM appertisation standard (mois)",Config!A:A,0)),36)*30),"")</f>
        <v>#ERROR!</v>
      </c>
      <c r="R227" s="227"/>
      <c r="S227" s="227"/>
      <c r="T227" s="233"/>
    </row>
    <row r="228" ht="16.5" customHeight="1">
      <c r="A228" s="242"/>
      <c r="B228" s="225" t="str">
        <f>IF(A228="","",IF(C228="","","LOT-"&amp;TEXT(A228,"YYYYMMDD")&amp;"-"&amp;TEXT(ROW()-3,"000")))</f>
        <v>#ERROR!</v>
      </c>
      <c r="C228" s="235"/>
      <c r="D228" s="235" t="str">
        <f>IFERROR(INDEX(Recettes!C:C,MATCH(C228,Recettes!B:B,0)),"")</f>
        <v>#ERROR!</v>
      </c>
      <c r="E228" s="235"/>
      <c r="F228" s="235"/>
      <c r="G228" s="235"/>
      <c r="H228" s="236" t="str">
        <f>IFERROR(IF(F228="","",IF(F228="100x4/4 (100 boc. ref.)",SWITCH(E228,"W60-050",320,"W60-080",280,"W60-160",220,"RR100-290",130,"RR100-370",120,"RR100-580",130,"RR100-850",64,"RR100-1050",55,"RR100-1550",40,100),IF(F228="200x4/4 (200 boc. ref.)",SWITCH(E228,"W60-050",640,"W60-080",560,"W60-160",440,"RR100-290",260,"RR100-370",240,"RR100-580",260,"RR100-850",128,"RR100-1050",110,"RR100-1550",80,200),IF(F228="100L eau (~20 boc.)",SWITCH(E228,"W60-050",60,"W60-080",50,"W60-160",40,"RR100-290",28,"RR100-370",24,"RR100-580",20,"RR100-850",12,"RR100-1050",10,"RR100-1550",6,15),"")))),"")</f>
        <v>#ERROR!</v>
      </c>
      <c r="I228" s="243" t="str">
        <f>IFERROR(IF(OR(H228="",G228=""),"",ROUND(H228*SWITCH(G228,"1/4",0.25,"1/2",0.5,"3/4",0.75,"Complet",1,1),0)),"")</f>
        <v>#ERROR!</v>
      </c>
      <c r="J228" s="235"/>
      <c r="K228" s="237" t="str">
        <f>IFERROR(J228/I228,"")</f>
        <v>#ERROR!</v>
      </c>
      <c r="L228" s="235"/>
      <c r="M228" s="235"/>
      <c r="N228" s="235"/>
      <c r="O228" s="235"/>
      <c r="P228" s="235"/>
      <c r="Q228" s="239" t="str">
        <f>IFERROR(IF(A228="","",A228+IFERROR(INDEX(Config!B:B,MATCH("DDM appertisation standard (mois)",Config!A:A,0)),36)*30),"")</f>
        <v>#ERROR!</v>
      </c>
      <c r="R228" s="235"/>
      <c r="S228" s="235"/>
      <c r="T228" s="240"/>
    </row>
    <row r="229" ht="16.5" customHeight="1">
      <c r="A229" s="242"/>
      <c r="B229" s="225" t="str">
        <f>IF(A229="","",IF(C229="","","LOT-"&amp;TEXT(A229,"YYYYMMDD")&amp;"-"&amp;TEXT(ROW()-3,"000")))</f>
        <v>#ERROR!</v>
      </c>
      <c r="C229" s="227"/>
      <c r="D229" s="227" t="str">
        <f>IFERROR(INDEX(Recettes!C:C,MATCH(C229,Recettes!B:B,0)),"")</f>
        <v>#ERROR!</v>
      </c>
      <c r="E229" s="227"/>
      <c r="F229" s="227"/>
      <c r="G229" s="227"/>
      <c r="H229" s="236" t="str">
        <f>IFERROR(IF(F229="","",IF(F229="100x4/4 (100 boc. ref.)",SWITCH(E229,"W60-050",320,"W60-080",280,"W60-160",220,"RR100-290",130,"RR100-370",120,"RR100-580",130,"RR100-850",64,"RR100-1050",55,"RR100-1550",40,100),IF(F229="200x4/4 (200 boc. ref.)",SWITCH(E229,"W60-050",640,"W60-080",560,"W60-160",440,"RR100-290",260,"RR100-370",240,"RR100-580",260,"RR100-850",128,"RR100-1050",110,"RR100-1550",80,200),IF(F229="100L eau (~20 boc.)",SWITCH(E229,"W60-050",60,"W60-080",50,"W60-160",40,"RR100-290",28,"RR100-370",24,"RR100-580",20,"RR100-850",12,"RR100-1050",10,"RR100-1550",6,15),"")))),"")</f>
        <v>#ERROR!</v>
      </c>
      <c r="I229" s="243" t="str">
        <f>IFERROR(IF(OR(H229="",G229=""),"",ROUND(H229*SWITCH(G229,"1/4",0.25,"1/2",0.5,"3/4",0.75,"Complet",1,1),0)),"")</f>
        <v>#ERROR!</v>
      </c>
      <c r="J229" s="227"/>
      <c r="K229" s="230" t="str">
        <f>IFERROR(J229/I229,"")</f>
        <v>#ERROR!</v>
      </c>
      <c r="L229" s="227"/>
      <c r="M229" s="227"/>
      <c r="N229" s="227"/>
      <c r="O229" s="227"/>
      <c r="P229" s="227"/>
      <c r="Q229" s="232" t="str">
        <f>IFERROR(IF(A229="","",A229+IFERROR(INDEX(Config!B:B,MATCH("DDM appertisation standard (mois)",Config!A:A,0)),36)*30),"")</f>
        <v>#ERROR!</v>
      </c>
      <c r="R229" s="227"/>
      <c r="S229" s="227"/>
      <c r="T229" s="233"/>
    </row>
    <row r="230" ht="16.5" customHeight="1">
      <c r="A230" s="242"/>
      <c r="B230" s="225" t="str">
        <f>IF(A230="","",IF(C230="","","LOT-"&amp;TEXT(A230,"YYYYMMDD")&amp;"-"&amp;TEXT(ROW()-3,"000")))</f>
        <v>#ERROR!</v>
      </c>
      <c r="C230" s="235"/>
      <c r="D230" s="235" t="str">
        <f>IFERROR(INDEX(Recettes!C:C,MATCH(C230,Recettes!B:B,0)),"")</f>
        <v>#ERROR!</v>
      </c>
      <c r="E230" s="235"/>
      <c r="F230" s="235"/>
      <c r="G230" s="235"/>
      <c r="H230" s="236" t="str">
        <f>IFERROR(IF(F230="","",IF(F230="100x4/4 (100 boc. ref.)",SWITCH(E230,"W60-050",320,"W60-080",280,"W60-160",220,"RR100-290",130,"RR100-370",120,"RR100-580",130,"RR100-850",64,"RR100-1050",55,"RR100-1550",40,100),IF(F230="200x4/4 (200 boc. ref.)",SWITCH(E230,"W60-050",640,"W60-080",560,"W60-160",440,"RR100-290",260,"RR100-370",240,"RR100-580",260,"RR100-850",128,"RR100-1050",110,"RR100-1550",80,200),IF(F230="100L eau (~20 boc.)",SWITCH(E230,"W60-050",60,"W60-080",50,"W60-160",40,"RR100-290",28,"RR100-370",24,"RR100-580",20,"RR100-850",12,"RR100-1050",10,"RR100-1550",6,15),"")))),"")</f>
        <v>#ERROR!</v>
      </c>
      <c r="I230" s="243" t="str">
        <f>IFERROR(IF(OR(H230="",G230=""),"",ROUND(H230*SWITCH(G230,"1/4",0.25,"1/2",0.5,"3/4",0.75,"Complet",1,1),0)),"")</f>
        <v>#ERROR!</v>
      </c>
      <c r="J230" s="235"/>
      <c r="K230" s="237" t="str">
        <f>IFERROR(J230/I230,"")</f>
        <v>#ERROR!</v>
      </c>
      <c r="L230" s="235"/>
      <c r="M230" s="235"/>
      <c r="N230" s="235"/>
      <c r="O230" s="235"/>
      <c r="P230" s="235"/>
      <c r="Q230" s="239" t="str">
        <f>IFERROR(IF(A230="","",A230+IFERROR(INDEX(Config!B:B,MATCH("DDM appertisation standard (mois)",Config!A:A,0)),36)*30),"")</f>
        <v>#ERROR!</v>
      </c>
      <c r="R230" s="235"/>
      <c r="S230" s="235"/>
      <c r="T230" s="240"/>
    </row>
    <row r="231" ht="16.5" customHeight="1">
      <c r="A231" s="242"/>
      <c r="B231" s="225" t="str">
        <f>IF(A231="","",IF(C231="","","LOT-"&amp;TEXT(A231,"YYYYMMDD")&amp;"-"&amp;TEXT(ROW()-3,"000")))</f>
        <v>#ERROR!</v>
      </c>
      <c r="C231" s="227"/>
      <c r="D231" s="227" t="str">
        <f>IFERROR(INDEX(Recettes!C:C,MATCH(C231,Recettes!B:B,0)),"")</f>
        <v>#ERROR!</v>
      </c>
      <c r="E231" s="227"/>
      <c r="F231" s="227"/>
      <c r="G231" s="227"/>
      <c r="H231" s="236" t="str">
        <f>IFERROR(IF(F231="","",IF(F231="100x4/4 (100 boc. ref.)",SWITCH(E231,"W60-050",320,"W60-080",280,"W60-160",220,"RR100-290",130,"RR100-370",120,"RR100-580",130,"RR100-850",64,"RR100-1050",55,"RR100-1550",40,100),IF(F231="200x4/4 (200 boc. ref.)",SWITCH(E231,"W60-050",640,"W60-080",560,"W60-160",440,"RR100-290",260,"RR100-370",240,"RR100-580",260,"RR100-850",128,"RR100-1050",110,"RR100-1550",80,200),IF(F231="100L eau (~20 boc.)",SWITCH(E231,"W60-050",60,"W60-080",50,"W60-160",40,"RR100-290",28,"RR100-370",24,"RR100-580",20,"RR100-850",12,"RR100-1050",10,"RR100-1550",6,15),"")))),"")</f>
        <v>#ERROR!</v>
      </c>
      <c r="I231" s="243" t="str">
        <f>IFERROR(IF(OR(H231="",G231=""),"",ROUND(H231*SWITCH(G231,"1/4",0.25,"1/2",0.5,"3/4",0.75,"Complet",1,1),0)),"")</f>
        <v>#ERROR!</v>
      </c>
      <c r="J231" s="227"/>
      <c r="K231" s="230" t="str">
        <f>IFERROR(J231/I231,"")</f>
        <v>#ERROR!</v>
      </c>
      <c r="L231" s="227"/>
      <c r="M231" s="227"/>
      <c r="N231" s="227"/>
      <c r="O231" s="227"/>
      <c r="P231" s="227"/>
      <c r="Q231" s="232" t="str">
        <f>IFERROR(IF(A231="","",A231+IFERROR(INDEX(Config!B:B,MATCH("DDM appertisation standard (mois)",Config!A:A,0)),36)*30),"")</f>
        <v>#ERROR!</v>
      </c>
      <c r="R231" s="227"/>
      <c r="S231" s="227"/>
      <c r="T231" s="233"/>
    </row>
    <row r="232" ht="16.5" customHeight="1">
      <c r="A232" s="242"/>
      <c r="B232" s="225" t="str">
        <f>IF(A232="","",IF(C232="","","LOT-"&amp;TEXT(A232,"YYYYMMDD")&amp;"-"&amp;TEXT(ROW()-3,"000")))</f>
        <v>#ERROR!</v>
      </c>
      <c r="C232" s="235"/>
      <c r="D232" s="235" t="str">
        <f>IFERROR(INDEX(Recettes!C:C,MATCH(C232,Recettes!B:B,0)),"")</f>
        <v>#ERROR!</v>
      </c>
      <c r="E232" s="235"/>
      <c r="F232" s="235"/>
      <c r="G232" s="235"/>
      <c r="H232" s="236" t="str">
        <f>IFERROR(IF(F232="","",IF(F232="100x4/4 (100 boc. ref.)",SWITCH(E232,"W60-050",320,"W60-080",280,"W60-160",220,"RR100-290",130,"RR100-370",120,"RR100-580",130,"RR100-850",64,"RR100-1050",55,"RR100-1550",40,100),IF(F232="200x4/4 (200 boc. ref.)",SWITCH(E232,"W60-050",640,"W60-080",560,"W60-160",440,"RR100-290",260,"RR100-370",240,"RR100-580",260,"RR100-850",128,"RR100-1050",110,"RR100-1550",80,200),IF(F232="100L eau (~20 boc.)",SWITCH(E232,"W60-050",60,"W60-080",50,"W60-160",40,"RR100-290",28,"RR100-370",24,"RR100-580",20,"RR100-850",12,"RR100-1050",10,"RR100-1550",6,15),"")))),"")</f>
        <v>#ERROR!</v>
      </c>
      <c r="I232" s="243" t="str">
        <f>IFERROR(IF(OR(H232="",G232=""),"",ROUND(H232*SWITCH(G232,"1/4",0.25,"1/2",0.5,"3/4",0.75,"Complet",1,1),0)),"")</f>
        <v>#ERROR!</v>
      </c>
      <c r="J232" s="235"/>
      <c r="K232" s="237" t="str">
        <f>IFERROR(J232/I232,"")</f>
        <v>#ERROR!</v>
      </c>
      <c r="L232" s="235"/>
      <c r="M232" s="235"/>
      <c r="N232" s="235"/>
      <c r="O232" s="235"/>
      <c r="P232" s="235"/>
      <c r="Q232" s="239" t="str">
        <f>IFERROR(IF(A232="","",A232+IFERROR(INDEX(Config!B:B,MATCH("DDM appertisation standard (mois)",Config!A:A,0)),36)*30),"")</f>
        <v>#ERROR!</v>
      </c>
      <c r="R232" s="235"/>
      <c r="S232" s="235"/>
      <c r="T232" s="240"/>
    </row>
    <row r="233" ht="16.5" customHeight="1">
      <c r="A233" s="242"/>
      <c r="B233" s="225" t="str">
        <f>IF(A233="","",IF(C233="","","LOT-"&amp;TEXT(A233,"YYYYMMDD")&amp;"-"&amp;TEXT(ROW()-3,"000")))</f>
        <v>#ERROR!</v>
      </c>
      <c r="C233" s="227"/>
      <c r="D233" s="227" t="str">
        <f>IFERROR(INDEX(Recettes!C:C,MATCH(C233,Recettes!B:B,0)),"")</f>
        <v>#ERROR!</v>
      </c>
      <c r="E233" s="227"/>
      <c r="F233" s="227"/>
      <c r="G233" s="227"/>
      <c r="H233" s="236" t="str">
        <f>IFERROR(IF(F233="","",IF(F233="100x4/4 (100 boc. ref.)",SWITCH(E233,"W60-050",320,"W60-080",280,"W60-160",220,"RR100-290",130,"RR100-370",120,"RR100-580",130,"RR100-850",64,"RR100-1050",55,"RR100-1550",40,100),IF(F233="200x4/4 (200 boc. ref.)",SWITCH(E233,"W60-050",640,"W60-080",560,"W60-160",440,"RR100-290",260,"RR100-370",240,"RR100-580",260,"RR100-850",128,"RR100-1050",110,"RR100-1550",80,200),IF(F233="100L eau (~20 boc.)",SWITCH(E233,"W60-050",60,"W60-080",50,"W60-160",40,"RR100-290",28,"RR100-370",24,"RR100-580",20,"RR100-850",12,"RR100-1050",10,"RR100-1550",6,15),"")))),"")</f>
        <v>#ERROR!</v>
      </c>
      <c r="I233" s="243" t="str">
        <f>IFERROR(IF(OR(H233="",G233=""),"",ROUND(H233*SWITCH(G233,"1/4",0.25,"1/2",0.5,"3/4",0.75,"Complet",1,1),0)),"")</f>
        <v>#ERROR!</v>
      </c>
      <c r="J233" s="227"/>
      <c r="K233" s="230" t="str">
        <f>IFERROR(J233/I233,"")</f>
        <v>#ERROR!</v>
      </c>
      <c r="L233" s="227"/>
      <c r="M233" s="227"/>
      <c r="N233" s="227"/>
      <c r="O233" s="227"/>
      <c r="P233" s="227"/>
      <c r="Q233" s="232" t="str">
        <f>IFERROR(IF(A233="","",A233+IFERROR(INDEX(Config!B:B,MATCH("DDM appertisation standard (mois)",Config!A:A,0)),36)*30),"")</f>
        <v>#ERROR!</v>
      </c>
      <c r="R233" s="227"/>
      <c r="S233" s="227"/>
      <c r="T233" s="233"/>
    </row>
    <row r="234" ht="16.5" customHeight="1">
      <c r="A234" s="242"/>
      <c r="B234" s="225" t="str">
        <f>IF(A234="","",IF(C234="","","LOT-"&amp;TEXT(A234,"YYYYMMDD")&amp;"-"&amp;TEXT(ROW()-3,"000")))</f>
        <v>#ERROR!</v>
      </c>
      <c r="C234" s="235"/>
      <c r="D234" s="235" t="str">
        <f>IFERROR(INDEX(Recettes!C:C,MATCH(C234,Recettes!B:B,0)),"")</f>
        <v>#ERROR!</v>
      </c>
      <c r="E234" s="235"/>
      <c r="F234" s="235"/>
      <c r="G234" s="235"/>
      <c r="H234" s="236" t="str">
        <f>IFERROR(IF(F234="","",IF(F234="100x4/4 (100 boc. ref.)",SWITCH(E234,"W60-050",320,"W60-080",280,"W60-160",220,"RR100-290",130,"RR100-370",120,"RR100-580",130,"RR100-850",64,"RR100-1050",55,"RR100-1550",40,100),IF(F234="200x4/4 (200 boc. ref.)",SWITCH(E234,"W60-050",640,"W60-080",560,"W60-160",440,"RR100-290",260,"RR100-370",240,"RR100-580",260,"RR100-850",128,"RR100-1050",110,"RR100-1550",80,200),IF(F234="100L eau (~20 boc.)",SWITCH(E234,"W60-050",60,"W60-080",50,"W60-160",40,"RR100-290",28,"RR100-370",24,"RR100-580",20,"RR100-850",12,"RR100-1050",10,"RR100-1550",6,15),"")))),"")</f>
        <v>#ERROR!</v>
      </c>
      <c r="I234" s="243" t="str">
        <f>IFERROR(IF(OR(H234="",G234=""),"",ROUND(H234*SWITCH(G234,"1/4",0.25,"1/2",0.5,"3/4",0.75,"Complet",1,1),0)),"")</f>
        <v>#ERROR!</v>
      </c>
      <c r="J234" s="235"/>
      <c r="K234" s="237" t="str">
        <f>IFERROR(J234/I234,"")</f>
        <v>#ERROR!</v>
      </c>
      <c r="L234" s="235"/>
      <c r="M234" s="235"/>
      <c r="N234" s="235"/>
      <c r="O234" s="235"/>
      <c r="P234" s="235"/>
      <c r="Q234" s="239" t="str">
        <f>IFERROR(IF(A234="","",A234+IFERROR(INDEX(Config!B:B,MATCH("DDM appertisation standard (mois)",Config!A:A,0)),36)*30),"")</f>
        <v>#ERROR!</v>
      </c>
      <c r="R234" s="235"/>
      <c r="S234" s="235"/>
      <c r="T234" s="240"/>
    </row>
    <row r="235" ht="16.5" customHeight="1">
      <c r="A235" s="242"/>
      <c r="B235" s="225" t="str">
        <f>IF(A235="","",IF(C235="","","LOT-"&amp;TEXT(A235,"YYYYMMDD")&amp;"-"&amp;TEXT(ROW()-3,"000")))</f>
        <v>#ERROR!</v>
      </c>
      <c r="C235" s="227"/>
      <c r="D235" s="227" t="str">
        <f>IFERROR(INDEX(Recettes!C:C,MATCH(C235,Recettes!B:B,0)),"")</f>
        <v>#ERROR!</v>
      </c>
      <c r="E235" s="227"/>
      <c r="F235" s="227"/>
      <c r="G235" s="227"/>
      <c r="H235" s="236" t="str">
        <f>IFERROR(IF(F235="","",IF(F235="100x4/4 (100 boc. ref.)",SWITCH(E235,"W60-050",320,"W60-080",280,"W60-160",220,"RR100-290",130,"RR100-370",120,"RR100-580",130,"RR100-850",64,"RR100-1050",55,"RR100-1550",40,100),IF(F235="200x4/4 (200 boc. ref.)",SWITCH(E235,"W60-050",640,"W60-080",560,"W60-160",440,"RR100-290",260,"RR100-370",240,"RR100-580",260,"RR100-850",128,"RR100-1050",110,"RR100-1550",80,200),IF(F235="100L eau (~20 boc.)",SWITCH(E235,"W60-050",60,"W60-080",50,"W60-160",40,"RR100-290",28,"RR100-370",24,"RR100-580",20,"RR100-850",12,"RR100-1050",10,"RR100-1550",6,15),"")))),"")</f>
        <v>#ERROR!</v>
      </c>
      <c r="I235" s="243" t="str">
        <f>IFERROR(IF(OR(H235="",G235=""),"",ROUND(H235*SWITCH(G235,"1/4",0.25,"1/2",0.5,"3/4",0.75,"Complet",1,1),0)),"")</f>
        <v>#ERROR!</v>
      </c>
      <c r="J235" s="227"/>
      <c r="K235" s="230" t="str">
        <f>IFERROR(J235/I235,"")</f>
        <v>#ERROR!</v>
      </c>
      <c r="L235" s="227"/>
      <c r="M235" s="227"/>
      <c r="N235" s="227"/>
      <c r="O235" s="227"/>
      <c r="P235" s="227"/>
      <c r="Q235" s="232" t="str">
        <f>IFERROR(IF(A235="","",A235+IFERROR(INDEX(Config!B:B,MATCH("DDM appertisation standard (mois)",Config!A:A,0)),36)*30),"")</f>
        <v>#ERROR!</v>
      </c>
      <c r="R235" s="227"/>
      <c r="S235" s="227"/>
      <c r="T235" s="233"/>
    </row>
    <row r="236" ht="16.5" customHeight="1">
      <c r="A236" s="242"/>
      <c r="B236" s="225" t="str">
        <f>IF(A236="","",IF(C236="","","LOT-"&amp;TEXT(A236,"YYYYMMDD")&amp;"-"&amp;TEXT(ROW()-3,"000")))</f>
        <v>#ERROR!</v>
      </c>
      <c r="C236" s="235"/>
      <c r="D236" s="235" t="str">
        <f>IFERROR(INDEX(Recettes!C:C,MATCH(C236,Recettes!B:B,0)),"")</f>
        <v>#ERROR!</v>
      </c>
      <c r="E236" s="235"/>
      <c r="F236" s="235"/>
      <c r="G236" s="235"/>
      <c r="H236" s="236" t="str">
        <f>IFERROR(IF(F236="","",IF(F236="100x4/4 (100 boc. ref.)",SWITCH(E236,"W60-050",320,"W60-080",280,"W60-160",220,"RR100-290",130,"RR100-370",120,"RR100-580",130,"RR100-850",64,"RR100-1050",55,"RR100-1550",40,100),IF(F236="200x4/4 (200 boc. ref.)",SWITCH(E236,"W60-050",640,"W60-080",560,"W60-160",440,"RR100-290",260,"RR100-370",240,"RR100-580",260,"RR100-850",128,"RR100-1050",110,"RR100-1550",80,200),IF(F236="100L eau (~20 boc.)",SWITCH(E236,"W60-050",60,"W60-080",50,"W60-160",40,"RR100-290",28,"RR100-370",24,"RR100-580",20,"RR100-850",12,"RR100-1050",10,"RR100-1550",6,15),"")))),"")</f>
        <v>#ERROR!</v>
      </c>
      <c r="I236" s="243" t="str">
        <f>IFERROR(IF(OR(H236="",G236=""),"",ROUND(H236*SWITCH(G236,"1/4",0.25,"1/2",0.5,"3/4",0.75,"Complet",1,1),0)),"")</f>
        <v>#ERROR!</v>
      </c>
      <c r="J236" s="235"/>
      <c r="K236" s="237" t="str">
        <f>IFERROR(J236/I236,"")</f>
        <v>#ERROR!</v>
      </c>
      <c r="L236" s="235"/>
      <c r="M236" s="235"/>
      <c r="N236" s="235"/>
      <c r="O236" s="235"/>
      <c r="P236" s="235"/>
      <c r="Q236" s="239" t="str">
        <f>IFERROR(IF(A236="","",A236+IFERROR(INDEX(Config!B:B,MATCH("DDM appertisation standard (mois)",Config!A:A,0)),36)*30),"")</f>
        <v>#ERROR!</v>
      </c>
      <c r="R236" s="235"/>
      <c r="S236" s="235"/>
      <c r="T236" s="240"/>
    </row>
    <row r="237" ht="16.5" customHeight="1">
      <c r="A237" s="242"/>
      <c r="B237" s="225" t="str">
        <f>IF(A237="","",IF(C237="","","LOT-"&amp;TEXT(A237,"YYYYMMDD")&amp;"-"&amp;TEXT(ROW()-3,"000")))</f>
        <v>#ERROR!</v>
      </c>
      <c r="C237" s="227"/>
      <c r="D237" s="227" t="str">
        <f>IFERROR(INDEX(Recettes!C:C,MATCH(C237,Recettes!B:B,0)),"")</f>
        <v>#ERROR!</v>
      </c>
      <c r="E237" s="227"/>
      <c r="F237" s="227"/>
      <c r="G237" s="227"/>
      <c r="H237" s="236" t="str">
        <f>IFERROR(IF(F237="","",IF(F237="100x4/4 (100 boc. ref.)",SWITCH(E237,"W60-050",320,"W60-080",280,"W60-160",220,"RR100-290",130,"RR100-370",120,"RR100-580",130,"RR100-850",64,"RR100-1050",55,"RR100-1550",40,100),IF(F237="200x4/4 (200 boc. ref.)",SWITCH(E237,"W60-050",640,"W60-080",560,"W60-160",440,"RR100-290",260,"RR100-370",240,"RR100-580",260,"RR100-850",128,"RR100-1050",110,"RR100-1550",80,200),IF(F237="100L eau (~20 boc.)",SWITCH(E237,"W60-050",60,"W60-080",50,"W60-160",40,"RR100-290",28,"RR100-370",24,"RR100-580",20,"RR100-850",12,"RR100-1050",10,"RR100-1550",6,15),"")))),"")</f>
        <v>#ERROR!</v>
      </c>
      <c r="I237" s="243" t="str">
        <f>IFERROR(IF(OR(H237="",G237=""),"",ROUND(H237*SWITCH(G237,"1/4",0.25,"1/2",0.5,"3/4",0.75,"Complet",1,1),0)),"")</f>
        <v>#ERROR!</v>
      </c>
      <c r="J237" s="227"/>
      <c r="K237" s="230" t="str">
        <f>IFERROR(J237/I237,"")</f>
        <v>#ERROR!</v>
      </c>
      <c r="L237" s="227"/>
      <c r="M237" s="227"/>
      <c r="N237" s="227"/>
      <c r="O237" s="227"/>
      <c r="P237" s="227"/>
      <c r="Q237" s="232" t="str">
        <f>IFERROR(IF(A237="","",A237+IFERROR(INDEX(Config!B:B,MATCH("DDM appertisation standard (mois)",Config!A:A,0)),36)*30),"")</f>
        <v>#ERROR!</v>
      </c>
      <c r="R237" s="227"/>
      <c r="S237" s="227"/>
      <c r="T237" s="233"/>
    </row>
    <row r="238" ht="16.5" customHeight="1">
      <c r="A238" s="242"/>
      <c r="B238" s="225" t="str">
        <f>IF(A238="","",IF(C238="","","LOT-"&amp;TEXT(A238,"YYYYMMDD")&amp;"-"&amp;TEXT(ROW()-3,"000")))</f>
        <v>#ERROR!</v>
      </c>
      <c r="C238" s="235"/>
      <c r="D238" s="235" t="str">
        <f>IFERROR(INDEX(Recettes!C:C,MATCH(C238,Recettes!B:B,0)),"")</f>
        <v>#ERROR!</v>
      </c>
      <c r="E238" s="235"/>
      <c r="F238" s="235"/>
      <c r="G238" s="235"/>
      <c r="H238" s="236" t="str">
        <f>IFERROR(IF(F238="","",IF(F238="100x4/4 (100 boc. ref.)",SWITCH(E238,"W60-050",320,"W60-080",280,"W60-160",220,"RR100-290",130,"RR100-370",120,"RR100-580",130,"RR100-850",64,"RR100-1050",55,"RR100-1550",40,100),IF(F238="200x4/4 (200 boc. ref.)",SWITCH(E238,"W60-050",640,"W60-080",560,"W60-160",440,"RR100-290",260,"RR100-370",240,"RR100-580",260,"RR100-850",128,"RR100-1050",110,"RR100-1550",80,200),IF(F238="100L eau (~20 boc.)",SWITCH(E238,"W60-050",60,"W60-080",50,"W60-160",40,"RR100-290",28,"RR100-370",24,"RR100-580",20,"RR100-850",12,"RR100-1050",10,"RR100-1550",6,15),"")))),"")</f>
        <v>#ERROR!</v>
      </c>
      <c r="I238" s="243" t="str">
        <f>IFERROR(IF(OR(H238="",G238=""),"",ROUND(H238*SWITCH(G238,"1/4",0.25,"1/2",0.5,"3/4",0.75,"Complet",1,1),0)),"")</f>
        <v>#ERROR!</v>
      </c>
      <c r="J238" s="235"/>
      <c r="K238" s="237" t="str">
        <f>IFERROR(J238/I238,"")</f>
        <v>#ERROR!</v>
      </c>
      <c r="L238" s="235"/>
      <c r="M238" s="235"/>
      <c r="N238" s="235"/>
      <c r="O238" s="235"/>
      <c r="P238" s="235"/>
      <c r="Q238" s="239" t="str">
        <f>IFERROR(IF(A238="","",A238+IFERROR(INDEX(Config!B:B,MATCH("DDM appertisation standard (mois)",Config!A:A,0)),36)*30),"")</f>
        <v>#ERROR!</v>
      </c>
      <c r="R238" s="235"/>
      <c r="S238" s="235"/>
      <c r="T238" s="240"/>
    </row>
    <row r="239" ht="16.5" customHeight="1">
      <c r="A239" s="242"/>
      <c r="B239" s="225" t="str">
        <f>IF(A239="","",IF(C239="","","LOT-"&amp;TEXT(A239,"YYYYMMDD")&amp;"-"&amp;TEXT(ROW()-3,"000")))</f>
        <v>#ERROR!</v>
      </c>
      <c r="C239" s="227"/>
      <c r="D239" s="227" t="str">
        <f>IFERROR(INDEX(Recettes!C:C,MATCH(C239,Recettes!B:B,0)),"")</f>
        <v>#ERROR!</v>
      </c>
      <c r="E239" s="227"/>
      <c r="F239" s="227"/>
      <c r="G239" s="227"/>
      <c r="H239" s="236" t="str">
        <f>IFERROR(IF(F239="","",IF(F239="100x4/4 (100 boc. ref.)",SWITCH(E239,"W60-050",320,"W60-080",280,"W60-160",220,"RR100-290",130,"RR100-370",120,"RR100-580",130,"RR100-850",64,"RR100-1050",55,"RR100-1550",40,100),IF(F239="200x4/4 (200 boc. ref.)",SWITCH(E239,"W60-050",640,"W60-080",560,"W60-160",440,"RR100-290",260,"RR100-370",240,"RR100-580",260,"RR100-850",128,"RR100-1050",110,"RR100-1550",80,200),IF(F239="100L eau (~20 boc.)",SWITCH(E239,"W60-050",60,"W60-080",50,"W60-160",40,"RR100-290",28,"RR100-370",24,"RR100-580",20,"RR100-850",12,"RR100-1050",10,"RR100-1550",6,15),"")))),"")</f>
        <v>#ERROR!</v>
      </c>
      <c r="I239" s="243" t="str">
        <f>IFERROR(IF(OR(H239="",G239=""),"",ROUND(H239*SWITCH(G239,"1/4",0.25,"1/2",0.5,"3/4",0.75,"Complet",1,1),0)),"")</f>
        <v>#ERROR!</v>
      </c>
      <c r="J239" s="227"/>
      <c r="K239" s="230" t="str">
        <f>IFERROR(J239/I239,"")</f>
        <v>#ERROR!</v>
      </c>
      <c r="L239" s="227"/>
      <c r="M239" s="227"/>
      <c r="N239" s="227"/>
      <c r="O239" s="227"/>
      <c r="P239" s="227"/>
      <c r="Q239" s="232" t="str">
        <f>IFERROR(IF(A239="","",A239+IFERROR(INDEX(Config!B:B,MATCH("DDM appertisation standard (mois)",Config!A:A,0)),36)*30),"")</f>
        <v>#ERROR!</v>
      </c>
      <c r="R239" s="227"/>
      <c r="S239" s="227"/>
      <c r="T239" s="233"/>
    </row>
    <row r="240" ht="16.5" customHeight="1">
      <c r="A240" s="242"/>
      <c r="B240" s="225" t="str">
        <f>IF(A240="","",IF(C240="","","LOT-"&amp;TEXT(A240,"YYYYMMDD")&amp;"-"&amp;TEXT(ROW()-3,"000")))</f>
        <v>#ERROR!</v>
      </c>
      <c r="C240" s="235"/>
      <c r="D240" s="235" t="str">
        <f>IFERROR(INDEX(Recettes!C:C,MATCH(C240,Recettes!B:B,0)),"")</f>
        <v>#ERROR!</v>
      </c>
      <c r="E240" s="235"/>
      <c r="F240" s="235"/>
      <c r="G240" s="235"/>
      <c r="H240" s="236" t="str">
        <f>IFERROR(IF(F240="","",IF(F240="100x4/4 (100 boc. ref.)",SWITCH(E240,"W60-050",320,"W60-080",280,"W60-160",220,"RR100-290",130,"RR100-370",120,"RR100-580",130,"RR100-850",64,"RR100-1050",55,"RR100-1550",40,100),IF(F240="200x4/4 (200 boc. ref.)",SWITCH(E240,"W60-050",640,"W60-080",560,"W60-160",440,"RR100-290",260,"RR100-370",240,"RR100-580",260,"RR100-850",128,"RR100-1050",110,"RR100-1550",80,200),IF(F240="100L eau (~20 boc.)",SWITCH(E240,"W60-050",60,"W60-080",50,"W60-160",40,"RR100-290",28,"RR100-370",24,"RR100-580",20,"RR100-850",12,"RR100-1050",10,"RR100-1550",6,15),"")))),"")</f>
        <v>#ERROR!</v>
      </c>
      <c r="I240" s="243" t="str">
        <f>IFERROR(IF(OR(H240="",G240=""),"",ROUND(H240*SWITCH(G240,"1/4",0.25,"1/2",0.5,"3/4",0.75,"Complet",1,1),0)),"")</f>
        <v>#ERROR!</v>
      </c>
      <c r="J240" s="235"/>
      <c r="K240" s="237" t="str">
        <f>IFERROR(J240/I240,"")</f>
        <v>#ERROR!</v>
      </c>
      <c r="L240" s="235"/>
      <c r="M240" s="235"/>
      <c r="N240" s="235"/>
      <c r="O240" s="235"/>
      <c r="P240" s="235"/>
      <c r="Q240" s="239" t="str">
        <f>IFERROR(IF(A240="","",A240+IFERROR(INDEX(Config!B:B,MATCH("DDM appertisation standard (mois)",Config!A:A,0)),36)*30),"")</f>
        <v>#ERROR!</v>
      </c>
      <c r="R240" s="235"/>
      <c r="S240" s="235"/>
      <c r="T240" s="240"/>
    </row>
    <row r="241" ht="16.5" customHeight="1">
      <c r="A241" s="242"/>
      <c r="B241" s="225" t="str">
        <f>IF(A241="","",IF(C241="","","LOT-"&amp;TEXT(A241,"YYYYMMDD")&amp;"-"&amp;TEXT(ROW()-3,"000")))</f>
        <v>#ERROR!</v>
      </c>
      <c r="C241" s="227"/>
      <c r="D241" s="227" t="str">
        <f>IFERROR(INDEX(Recettes!C:C,MATCH(C241,Recettes!B:B,0)),"")</f>
        <v>#ERROR!</v>
      </c>
      <c r="E241" s="227"/>
      <c r="F241" s="227"/>
      <c r="G241" s="227"/>
      <c r="H241" s="236" t="str">
        <f>IFERROR(IF(F241="","",IF(F241="100x4/4 (100 boc. ref.)",SWITCH(E241,"W60-050",320,"W60-080",280,"W60-160",220,"RR100-290",130,"RR100-370",120,"RR100-580",130,"RR100-850",64,"RR100-1050",55,"RR100-1550",40,100),IF(F241="200x4/4 (200 boc. ref.)",SWITCH(E241,"W60-050",640,"W60-080",560,"W60-160",440,"RR100-290",260,"RR100-370",240,"RR100-580",260,"RR100-850",128,"RR100-1050",110,"RR100-1550",80,200),IF(F241="100L eau (~20 boc.)",SWITCH(E241,"W60-050",60,"W60-080",50,"W60-160",40,"RR100-290",28,"RR100-370",24,"RR100-580",20,"RR100-850",12,"RR100-1050",10,"RR100-1550",6,15),"")))),"")</f>
        <v>#ERROR!</v>
      </c>
      <c r="I241" s="243" t="str">
        <f>IFERROR(IF(OR(H241="",G241=""),"",ROUND(H241*SWITCH(G241,"1/4",0.25,"1/2",0.5,"3/4",0.75,"Complet",1,1),0)),"")</f>
        <v>#ERROR!</v>
      </c>
      <c r="J241" s="227"/>
      <c r="K241" s="230" t="str">
        <f>IFERROR(J241/I241,"")</f>
        <v>#ERROR!</v>
      </c>
      <c r="L241" s="227"/>
      <c r="M241" s="227"/>
      <c r="N241" s="227"/>
      <c r="O241" s="227"/>
      <c r="P241" s="227"/>
      <c r="Q241" s="232" t="str">
        <f>IFERROR(IF(A241="","",A241+IFERROR(INDEX(Config!B:B,MATCH("DDM appertisation standard (mois)",Config!A:A,0)),36)*30),"")</f>
        <v>#ERROR!</v>
      </c>
      <c r="R241" s="227"/>
      <c r="S241" s="227"/>
      <c r="T241" s="233"/>
    </row>
    <row r="242" ht="16.5" customHeight="1">
      <c r="A242" s="242"/>
      <c r="B242" s="225" t="str">
        <f>IF(A242="","",IF(C242="","","LOT-"&amp;TEXT(A242,"YYYYMMDD")&amp;"-"&amp;TEXT(ROW()-3,"000")))</f>
        <v>#ERROR!</v>
      </c>
      <c r="C242" s="235"/>
      <c r="D242" s="235" t="str">
        <f>IFERROR(INDEX(Recettes!C:C,MATCH(C242,Recettes!B:B,0)),"")</f>
        <v>#ERROR!</v>
      </c>
      <c r="E242" s="235"/>
      <c r="F242" s="235"/>
      <c r="G242" s="235"/>
      <c r="H242" s="236" t="str">
        <f>IFERROR(IF(F242="","",IF(F242="100x4/4 (100 boc. ref.)",SWITCH(E242,"W60-050",320,"W60-080",280,"W60-160",220,"RR100-290",130,"RR100-370",120,"RR100-580",130,"RR100-850",64,"RR100-1050",55,"RR100-1550",40,100),IF(F242="200x4/4 (200 boc. ref.)",SWITCH(E242,"W60-050",640,"W60-080",560,"W60-160",440,"RR100-290",260,"RR100-370",240,"RR100-580",260,"RR100-850",128,"RR100-1050",110,"RR100-1550",80,200),IF(F242="100L eau (~20 boc.)",SWITCH(E242,"W60-050",60,"W60-080",50,"W60-160",40,"RR100-290",28,"RR100-370",24,"RR100-580",20,"RR100-850",12,"RR100-1050",10,"RR100-1550",6,15),"")))),"")</f>
        <v>#ERROR!</v>
      </c>
      <c r="I242" s="243" t="str">
        <f>IFERROR(IF(OR(H242="",G242=""),"",ROUND(H242*SWITCH(G242,"1/4",0.25,"1/2",0.5,"3/4",0.75,"Complet",1,1),0)),"")</f>
        <v>#ERROR!</v>
      </c>
      <c r="J242" s="235"/>
      <c r="K242" s="237" t="str">
        <f>IFERROR(J242/I242,"")</f>
        <v>#ERROR!</v>
      </c>
      <c r="L242" s="235"/>
      <c r="M242" s="235"/>
      <c r="N242" s="235"/>
      <c r="O242" s="235"/>
      <c r="P242" s="235"/>
      <c r="Q242" s="239" t="str">
        <f>IFERROR(IF(A242="","",A242+IFERROR(INDEX(Config!B:B,MATCH("DDM appertisation standard (mois)",Config!A:A,0)),36)*30),"")</f>
        <v>#ERROR!</v>
      </c>
      <c r="R242" s="235"/>
      <c r="S242" s="235"/>
      <c r="T242" s="240"/>
    </row>
    <row r="243" ht="16.5" customHeight="1">
      <c r="A243" s="242"/>
      <c r="B243" s="225" t="str">
        <f>IF(A243="","",IF(C243="","","LOT-"&amp;TEXT(A243,"YYYYMMDD")&amp;"-"&amp;TEXT(ROW()-3,"000")))</f>
        <v>#ERROR!</v>
      </c>
      <c r="C243" s="227"/>
      <c r="D243" s="227" t="str">
        <f>IFERROR(INDEX(Recettes!C:C,MATCH(C243,Recettes!B:B,0)),"")</f>
        <v>#ERROR!</v>
      </c>
      <c r="E243" s="227"/>
      <c r="F243" s="227"/>
      <c r="G243" s="227"/>
      <c r="H243" s="236" t="str">
        <f>IFERROR(IF(F243="","",IF(F243="100x4/4 (100 boc. ref.)",SWITCH(E243,"W60-050",320,"W60-080",280,"W60-160",220,"RR100-290",130,"RR100-370",120,"RR100-580",130,"RR100-850",64,"RR100-1050",55,"RR100-1550",40,100),IF(F243="200x4/4 (200 boc. ref.)",SWITCH(E243,"W60-050",640,"W60-080",560,"W60-160",440,"RR100-290",260,"RR100-370",240,"RR100-580",260,"RR100-850",128,"RR100-1050",110,"RR100-1550",80,200),IF(F243="100L eau (~20 boc.)",SWITCH(E243,"W60-050",60,"W60-080",50,"W60-160",40,"RR100-290",28,"RR100-370",24,"RR100-580",20,"RR100-850",12,"RR100-1050",10,"RR100-1550",6,15),"")))),"")</f>
        <v>#ERROR!</v>
      </c>
      <c r="I243" s="243" t="str">
        <f>IFERROR(IF(OR(H243="",G243=""),"",ROUND(H243*SWITCH(G243,"1/4",0.25,"1/2",0.5,"3/4",0.75,"Complet",1,1),0)),"")</f>
        <v>#ERROR!</v>
      </c>
      <c r="J243" s="227"/>
      <c r="K243" s="230" t="str">
        <f>IFERROR(J243/I243,"")</f>
        <v>#ERROR!</v>
      </c>
      <c r="L243" s="227"/>
      <c r="M243" s="227"/>
      <c r="N243" s="227"/>
      <c r="O243" s="227"/>
      <c r="P243" s="227"/>
      <c r="Q243" s="232" t="str">
        <f>IFERROR(IF(A243="","",A243+IFERROR(INDEX(Config!B:B,MATCH("DDM appertisation standard (mois)",Config!A:A,0)),36)*30),"")</f>
        <v>#ERROR!</v>
      </c>
      <c r="R243" s="227"/>
      <c r="S243" s="227"/>
      <c r="T243" s="233"/>
    </row>
    <row r="244" ht="16.5" customHeight="1">
      <c r="A244" s="242"/>
      <c r="B244" s="225" t="str">
        <f>IF(A244="","",IF(C244="","","LOT-"&amp;TEXT(A244,"YYYYMMDD")&amp;"-"&amp;TEXT(ROW()-3,"000")))</f>
        <v>#ERROR!</v>
      </c>
      <c r="C244" s="235"/>
      <c r="D244" s="235" t="str">
        <f>IFERROR(INDEX(Recettes!C:C,MATCH(C244,Recettes!B:B,0)),"")</f>
        <v>#ERROR!</v>
      </c>
      <c r="E244" s="235"/>
      <c r="F244" s="235"/>
      <c r="G244" s="235"/>
      <c r="H244" s="236" t="str">
        <f>IFERROR(IF(F244="","",IF(F244="100x4/4 (100 boc. ref.)",SWITCH(E244,"W60-050",320,"W60-080",280,"W60-160",220,"RR100-290",130,"RR100-370",120,"RR100-580",130,"RR100-850",64,"RR100-1050",55,"RR100-1550",40,100),IF(F244="200x4/4 (200 boc. ref.)",SWITCH(E244,"W60-050",640,"W60-080",560,"W60-160",440,"RR100-290",260,"RR100-370",240,"RR100-580",260,"RR100-850",128,"RR100-1050",110,"RR100-1550",80,200),IF(F244="100L eau (~20 boc.)",SWITCH(E244,"W60-050",60,"W60-080",50,"W60-160",40,"RR100-290",28,"RR100-370",24,"RR100-580",20,"RR100-850",12,"RR100-1050",10,"RR100-1550",6,15),"")))),"")</f>
        <v>#ERROR!</v>
      </c>
      <c r="I244" s="243" t="str">
        <f>IFERROR(IF(OR(H244="",G244=""),"",ROUND(H244*SWITCH(G244,"1/4",0.25,"1/2",0.5,"3/4",0.75,"Complet",1,1),0)),"")</f>
        <v>#ERROR!</v>
      </c>
      <c r="J244" s="235"/>
      <c r="K244" s="237" t="str">
        <f>IFERROR(J244/I244,"")</f>
        <v>#ERROR!</v>
      </c>
      <c r="L244" s="235"/>
      <c r="M244" s="235"/>
      <c r="N244" s="235"/>
      <c r="O244" s="235"/>
      <c r="P244" s="235"/>
      <c r="Q244" s="239" t="str">
        <f>IFERROR(IF(A244="","",A244+IFERROR(INDEX(Config!B:B,MATCH("DDM appertisation standard (mois)",Config!A:A,0)),36)*30),"")</f>
        <v>#ERROR!</v>
      </c>
      <c r="R244" s="235"/>
      <c r="S244" s="235"/>
      <c r="T244" s="240"/>
    </row>
    <row r="245" ht="16.5" customHeight="1">
      <c r="A245" s="242"/>
      <c r="B245" s="225" t="str">
        <f>IF(A245="","",IF(C245="","","LOT-"&amp;TEXT(A245,"YYYYMMDD")&amp;"-"&amp;TEXT(ROW()-3,"000")))</f>
        <v>#ERROR!</v>
      </c>
      <c r="C245" s="227"/>
      <c r="D245" s="227" t="str">
        <f>IFERROR(INDEX(Recettes!C:C,MATCH(C245,Recettes!B:B,0)),"")</f>
        <v>#ERROR!</v>
      </c>
      <c r="E245" s="227"/>
      <c r="F245" s="227"/>
      <c r="G245" s="227"/>
      <c r="H245" s="236" t="str">
        <f>IFERROR(IF(F245="","",IF(F245="100x4/4 (100 boc. ref.)",SWITCH(E245,"W60-050",320,"W60-080",280,"W60-160",220,"RR100-290",130,"RR100-370",120,"RR100-580",130,"RR100-850",64,"RR100-1050",55,"RR100-1550",40,100),IF(F245="200x4/4 (200 boc. ref.)",SWITCH(E245,"W60-050",640,"W60-080",560,"W60-160",440,"RR100-290",260,"RR100-370",240,"RR100-580",260,"RR100-850",128,"RR100-1050",110,"RR100-1550",80,200),IF(F245="100L eau (~20 boc.)",SWITCH(E245,"W60-050",60,"W60-080",50,"W60-160",40,"RR100-290",28,"RR100-370",24,"RR100-580",20,"RR100-850",12,"RR100-1050",10,"RR100-1550",6,15),"")))),"")</f>
        <v>#ERROR!</v>
      </c>
      <c r="I245" s="243" t="str">
        <f>IFERROR(IF(OR(H245="",G245=""),"",ROUND(H245*SWITCH(G245,"1/4",0.25,"1/2",0.5,"3/4",0.75,"Complet",1,1),0)),"")</f>
        <v>#ERROR!</v>
      </c>
      <c r="J245" s="227"/>
      <c r="K245" s="230" t="str">
        <f>IFERROR(J245/I245,"")</f>
        <v>#ERROR!</v>
      </c>
      <c r="L245" s="227"/>
      <c r="M245" s="227"/>
      <c r="N245" s="227"/>
      <c r="O245" s="227"/>
      <c r="P245" s="227"/>
      <c r="Q245" s="232" t="str">
        <f>IFERROR(IF(A245="","",A245+IFERROR(INDEX(Config!B:B,MATCH("DDM appertisation standard (mois)",Config!A:A,0)),36)*30),"")</f>
        <v>#ERROR!</v>
      </c>
      <c r="R245" s="227"/>
      <c r="S245" s="227"/>
      <c r="T245" s="233"/>
    </row>
    <row r="246" ht="16.5" customHeight="1">
      <c r="A246" s="242"/>
      <c r="B246" s="225" t="str">
        <f>IF(A246="","",IF(C246="","","LOT-"&amp;TEXT(A246,"YYYYMMDD")&amp;"-"&amp;TEXT(ROW()-3,"000")))</f>
        <v>#ERROR!</v>
      </c>
      <c r="C246" s="235"/>
      <c r="D246" s="235" t="str">
        <f>IFERROR(INDEX(Recettes!C:C,MATCH(C246,Recettes!B:B,0)),"")</f>
        <v>#ERROR!</v>
      </c>
      <c r="E246" s="235"/>
      <c r="F246" s="235"/>
      <c r="G246" s="235"/>
      <c r="H246" s="236" t="str">
        <f>IFERROR(IF(F246="","",IF(F246="100x4/4 (100 boc. ref.)",SWITCH(E246,"W60-050",320,"W60-080",280,"W60-160",220,"RR100-290",130,"RR100-370",120,"RR100-580",130,"RR100-850",64,"RR100-1050",55,"RR100-1550",40,100),IF(F246="200x4/4 (200 boc. ref.)",SWITCH(E246,"W60-050",640,"W60-080",560,"W60-160",440,"RR100-290",260,"RR100-370",240,"RR100-580",260,"RR100-850",128,"RR100-1050",110,"RR100-1550",80,200),IF(F246="100L eau (~20 boc.)",SWITCH(E246,"W60-050",60,"W60-080",50,"W60-160",40,"RR100-290",28,"RR100-370",24,"RR100-580",20,"RR100-850",12,"RR100-1050",10,"RR100-1550",6,15),"")))),"")</f>
        <v>#ERROR!</v>
      </c>
      <c r="I246" s="243" t="str">
        <f>IFERROR(IF(OR(H246="",G246=""),"",ROUND(H246*SWITCH(G246,"1/4",0.25,"1/2",0.5,"3/4",0.75,"Complet",1,1),0)),"")</f>
        <v>#ERROR!</v>
      </c>
      <c r="J246" s="235"/>
      <c r="K246" s="237" t="str">
        <f>IFERROR(J246/I246,"")</f>
        <v>#ERROR!</v>
      </c>
      <c r="L246" s="235"/>
      <c r="M246" s="235"/>
      <c r="N246" s="235"/>
      <c r="O246" s="235"/>
      <c r="P246" s="235"/>
      <c r="Q246" s="239" t="str">
        <f>IFERROR(IF(A246="","",A246+IFERROR(INDEX(Config!B:B,MATCH("DDM appertisation standard (mois)",Config!A:A,0)),36)*30),"")</f>
        <v>#ERROR!</v>
      </c>
      <c r="R246" s="235"/>
      <c r="S246" s="235"/>
      <c r="T246" s="240"/>
    </row>
    <row r="247" ht="16.5" customHeight="1">
      <c r="A247" s="242"/>
      <c r="B247" s="225" t="str">
        <f>IF(A247="","",IF(C247="","","LOT-"&amp;TEXT(A247,"YYYYMMDD")&amp;"-"&amp;TEXT(ROW()-3,"000")))</f>
        <v>#ERROR!</v>
      </c>
      <c r="C247" s="227"/>
      <c r="D247" s="227" t="str">
        <f>IFERROR(INDEX(Recettes!C:C,MATCH(C247,Recettes!B:B,0)),"")</f>
        <v>#ERROR!</v>
      </c>
      <c r="E247" s="227"/>
      <c r="F247" s="227"/>
      <c r="G247" s="227"/>
      <c r="H247" s="236" t="str">
        <f>IFERROR(IF(F247="","",IF(F247="100x4/4 (100 boc. ref.)",SWITCH(E247,"W60-050",320,"W60-080",280,"W60-160",220,"RR100-290",130,"RR100-370",120,"RR100-580",130,"RR100-850",64,"RR100-1050",55,"RR100-1550",40,100),IF(F247="200x4/4 (200 boc. ref.)",SWITCH(E247,"W60-050",640,"W60-080",560,"W60-160",440,"RR100-290",260,"RR100-370",240,"RR100-580",260,"RR100-850",128,"RR100-1050",110,"RR100-1550",80,200),IF(F247="100L eau (~20 boc.)",SWITCH(E247,"W60-050",60,"W60-080",50,"W60-160",40,"RR100-290",28,"RR100-370",24,"RR100-580",20,"RR100-850",12,"RR100-1050",10,"RR100-1550",6,15),"")))),"")</f>
        <v>#ERROR!</v>
      </c>
      <c r="I247" s="243" t="str">
        <f>IFERROR(IF(OR(H247="",G247=""),"",ROUND(H247*SWITCH(G247,"1/4",0.25,"1/2",0.5,"3/4",0.75,"Complet",1,1),0)),"")</f>
        <v>#ERROR!</v>
      </c>
      <c r="J247" s="227"/>
      <c r="K247" s="230" t="str">
        <f>IFERROR(J247/I247,"")</f>
        <v>#ERROR!</v>
      </c>
      <c r="L247" s="227"/>
      <c r="M247" s="227"/>
      <c r="N247" s="227"/>
      <c r="O247" s="227"/>
      <c r="P247" s="227"/>
      <c r="Q247" s="232" t="str">
        <f>IFERROR(IF(A247="","",A247+IFERROR(INDEX(Config!B:B,MATCH("DDM appertisation standard (mois)",Config!A:A,0)),36)*30),"")</f>
        <v>#ERROR!</v>
      </c>
      <c r="R247" s="227"/>
      <c r="S247" s="227"/>
      <c r="T247" s="233"/>
    </row>
    <row r="248" ht="16.5" customHeight="1">
      <c r="A248" s="242"/>
      <c r="B248" s="225" t="str">
        <f>IF(A248="","",IF(C248="","","LOT-"&amp;TEXT(A248,"YYYYMMDD")&amp;"-"&amp;TEXT(ROW()-3,"000")))</f>
        <v>#ERROR!</v>
      </c>
      <c r="C248" s="235"/>
      <c r="D248" s="235" t="str">
        <f>IFERROR(INDEX(Recettes!C:C,MATCH(C248,Recettes!B:B,0)),"")</f>
        <v>#ERROR!</v>
      </c>
      <c r="E248" s="235"/>
      <c r="F248" s="235"/>
      <c r="G248" s="235"/>
      <c r="H248" s="236" t="str">
        <f>IFERROR(IF(F248="","",IF(F248="100x4/4 (100 boc. ref.)",SWITCH(E248,"W60-050",320,"W60-080",280,"W60-160",220,"RR100-290",130,"RR100-370",120,"RR100-580",130,"RR100-850",64,"RR100-1050",55,"RR100-1550",40,100),IF(F248="200x4/4 (200 boc. ref.)",SWITCH(E248,"W60-050",640,"W60-080",560,"W60-160",440,"RR100-290",260,"RR100-370",240,"RR100-580",260,"RR100-850",128,"RR100-1050",110,"RR100-1550",80,200),IF(F248="100L eau (~20 boc.)",SWITCH(E248,"W60-050",60,"W60-080",50,"W60-160",40,"RR100-290",28,"RR100-370",24,"RR100-580",20,"RR100-850",12,"RR100-1050",10,"RR100-1550",6,15),"")))),"")</f>
        <v>#ERROR!</v>
      </c>
      <c r="I248" s="243" t="str">
        <f>IFERROR(IF(OR(H248="",G248=""),"",ROUND(H248*SWITCH(G248,"1/4",0.25,"1/2",0.5,"3/4",0.75,"Complet",1,1),0)),"")</f>
        <v>#ERROR!</v>
      </c>
      <c r="J248" s="235"/>
      <c r="K248" s="237" t="str">
        <f>IFERROR(J248/I248,"")</f>
        <v>#ERROR!</v>
      </c>
      <c r="L248" s="235"/>
      <c r="M248" s="235"/>
      <c r="N248" s="235"/>
      <c r="O248" s="235"/>
      <c r="P248" s="235"/>
      <c r="Q248" s="239" t="str">
        <f>IFERROR(IF(A248="","",A248+IFERROR(INDEX(Config!B:B,MATCH("DDM appertisation standard (mois)",Config!A:A,0)),36)*30),"")</f>
        <v>#ERROR!</v>
      </c>
      <c r="R248" s="235"/>
      <c r="S248" s="235"/>
      <c r="T248" s="240"/>
    </row>
    <row r="249" ht="16.5" customHeight="1">
      <c r="A249" s="242"/>
      <c r="B249" s="225" t="str">
        <f>IF(A249="","",IF(C249="","","LOT-"&amp;TEXT(A249,"YYYYMMDD")&amp;"-"&amp;TEXT(ROW()-3,"000")))</f>
        <v>#ERROR!</v>
      </c>
      <c r="C249" s="227"/>
      <c r="D249" s="227" t="str">
        <f>IFERROR(INDEX(Recettes!C:C,MATCH(C249,Recettes!B:B,0)),"")</f>
        <v>#ERROR!</v>
      </c>
      <c r="E249" s="227"/>
      <c r="F249" s="227"/>
      <c r="G249" s="227"/>
      <c r="H249" s="236" t="str">
        <f>IFERROR(IF(F249="","",IF(F249="100x4/4 (100 boc. ref.)",SWITCH(E249,"W60-050",320,"W60-080",280,"W60-160",220,"RR100-290",130,"RR100-370",120,"RR100-580",130,"RR100-850",64,"RR100-1050",55,"RR100-1550",40,100),IF(F249="200x4/4 (200 boc. ref.)",SWITCH(E249,"W60-050",640,"W60-080",560,"W60-160",440,"RR100-290",260,"RR100-370",240,"RR100-580",260,"RR100-850",128,"RR100-1050",110,"RR100-1550",80,200),IF(F249="100L eau (~20 boc.)",SWITCH(E249,"W60-050",60,"W60-080",50,"W60-160",40,"RR100-290",28,"RR100-370",24,"RR100-580",20,"RR100-850",12,"RR100-1050",10,"RR100-1550",6,15),"")))),"")</f>
        <v>#ERROR!</v>
      </c>
      <c r="I249" s="243" t="str">
        <f>IFERROR(IF(OR(H249="",G249=""),"",ROUND(H249*SWITCH(G249,"1/4",0.25,"1/2",0.5,"3/4",0.75,"Complet",1,1),0)),"")</f>
        <v>#ERROR!</v>
      </c>
      <c r="J249" s="227"/>
      <c r="K249" s="230" t="str">
        <f>IFERROR(J249/I249,"")</f>
        <v>#ERROR!</v>
      </c>
      <c r="L249" s="227"/>
      <c r="M249" s="227"/>
      <c r="N249" s="227"/>
      <c r="O249" s="227"/>
      <c r="P249" s="227"/>
      <c r="Q249" s="232" t="str">
        <f>IFERROR(IF(A249="","",A249+IFERROR(INDEX(Config!B:B,MATCH("DDM appertisation standard (mois)",Config!A:A,0)),36)*30),"")</f>
        <v>#ERROR!</v>
      </c>
      <c r="R249" s="227"/>
      <c r="S249" s="227"/>
      <c r="T249" s="233"/>
    </row>
    <row r="250" ht="16.5" customHeight="1">
      <c r="A250" s="242"/>
      <c r="B250" s="225" t="str">
        <f>IF(A250="","",IF(C250="","","LOT-"&amp;TEXT(A250,"YYYYMMDD")&amp;"-"&amp;TEXT(ROW()-3,"000")))</f>
        <v>#ERROR!</v>
      </c>
      <c r="C250" s="235"/>
      <c r="D250" s="235" t="str">
        <f>IFERROR(INDEX(Recettes!C:C,MATCH(C250,Recettes!B:B,0)),"")</f>
        <v>#ERROR!</v>
      </c>
      <c r="E250" s="235"/>
      <c r="F250" s="235"/>
      <c r="G250" s="235"/>
      <c r="H250" s="236" t="str">
        <f>IFERROR(IF(F250="","",IF(F250="100x4/4 (100 boc. ref.)",SWITCH(E250,"W60-050",320,"W60-080",280,"W60-160",220,"RR100-290",130,"RR100-370",120,"RR100-580",130,"RR100-850",64,"RR100-1050",55,"RR100-1550",40,100),IF(F250="200x4/4 (200 boc. ref.)",SWITCH(E250,"W60-050",640,"W60-080",560,"W60-160",440,"RR100-290",260,"RR100-370",240,"RR100-580",260,"RR100-850",128,"RR100-1050",110,"RR100-1550",80,200),IF(F250="100L eau (~20 boc.)",SWITCH(E250,"W60-050",60,"W60-080",50,"W60-160",40,"RR100-290",28,"RR100-370",24,"RR100-580",20,"RR100-850",12,"RR100-1050",10,"RR100-1550",6,15),"")))),"")</f>
        <v>#ERROR!</v>
      </c>
      <c r="I250" s="243" t="str">
        <f>IFERROR(IF(OR(H250="",G250=""),"",ROUND(H250*SWITCH(G250,"1/4",0.25,"1/2",0.5,"3/4",0.75,"Complet",1,1),0)),"")</f>
        <v>#ERROR!</v>
      </c>
      <c r="J250" s="235"/>
      <c r="K250" s="237" t="str">
        <f>IFERROR(J250/I250,"")</f>
        <v>#ERROR!</v>
      </c>
      <c r="L250" s="235"/>
      <c r="M250" s="235"/>
      <c r="N250" s="235"/>
      <c r="O250" s="235"/>
      <c r="P250" s="235"/>
      <c r="Q250" s="239" t="str">
        <f>IFERROR(IF(A250="","",A250+IFERROR(INDEX(Config!B:B,MATCH("DDM appertisation standard (mois)",Config!A:A,0)),36)*30),"")</f>
        <v>#ERROR!</v>
      </c>
      <c r="R250" s="235"/>
      <c r="S250" s="235"/>
      <c r="T250" s="240"/>
    </row>
    <row r="251" ht="16.5" customHeight="1">
      <c r="A251" s="242"/>
      <c r="B251" s="225" t="str">
        <f>IF(A251="","",IF(C251="","","LOT-"&amp;TEXT(A251,"YYYYMMDD")&amp;"-"&amp;TEXT(ROW()-3,"000")))</f>
        <v>#ERROR!</v>
      </c>
      <c r="C251" s="227"/>
      <c r="D251" s="227" t="str">
        <f>IFERROR(INDEX(Recettes!C:C,MATCH(C251,Recettes!B:B,0)),"")</f>
        <v>#ERROR!</v>
      </c>
      <c r="E251" s="227"/>
      <c r="F251" s="227"/>
      <c r="G251" s="227"/>
      <c r="H251" s="236" t="str">
        <f>IFERROR(IF(F251="","",IF(F251="100x4/4 (100 boc. ref.)",SWITCH(E251,"W60-050",320,"W60-080",280,"W60-160",220,"RR100-290",130,"RR100-370",120,"RR100-580",130,"RR100-850",64,"RR100-1050",55,"RR100-1550",40,100),IF(F251="200x4/4 (200 boc. ref.)",SWITCH(E251,"W60-050",640,"W60-080",560,"W60-160",440,"RR100-290",260,"RR100-370",240,"RR100-580",260,"RR100-850",128,"RR100-1050",110,"RR100-1550",80,200),IF(F251="100L eau (~20 boc.)",SWITCH(E251,"W60-050",60,"W60-080",50,"W60-160",40,"RR100-290",28,"RR100-370",24,"RR100-580",20,"RR100-850",12,"RR100-1050",10,"RR100-1550",6,15),"")))),"")</f>
        <v>#ERROR!</v>
      </c>
      <c r="I251" s="243" t="str">
        <f>IFERROR(IF(OR(H251="",G251=""),"",ROUND(H251*SWITCH(G251,"1/4",0.25,"1/2",0.5,"3/4",0.75,"Complet",1,1),0)),"")</f>
        <v>#ERROR!</v>
      </c>
      <c r="J251" s="227"/>
      <c r="K251" s="230" t="str">
        <f>IFERROR(J251/I251,"")</f>
        <v>#ERROR!</v>
      </c>
      <c r="L251" s="227"/>
      <c r="M251" s="227"/>
      <c r="N251" s="227"/>
      <c r="O251" s="227"/>
      <c r="P251" s="227"/>
      <c r="Q251" s="232" t="str">
        <f>IFERROR(IF(A251="","",A251+IFERROR(INDEX(Config!B:B,MATCH("DDM appertisation standard (mois)",Config!A:A,0)),36)*30),"")</f>
        <v>#ERROR!</v>
      </c>
      <c r="R251" s="227"/>
      <c r="S251" s="227"/>
      <c r="T251" s="233"/>
    </row>
    <row r="252" ht="16.5" customHeight="1">
      <c r="A252" s="242"/>
      <c r="B252" s="225" t="str">
        <f>IF(A252="","",IF(C252="","","LOT-"&amp;TEXT(A252,"YYYYMMDD")&amp;"-"&amp;TEXT(ROW()-3,"000")))</f>
        <v>#ERROR!</v>
      </c>
      <c r="C252" s="235"/>
      <c r="D252" s="235" t="str">
        <f>IFERROR(INDEX(Recettes!C:C,MATCH(C252,Recettes!B:B,0)),"")</f>
        <v>#ERROR!</v>
      </c>
      <c r="E252" s="235"/>
      <c r="F252" s="235"/>
      <c r="G252" s="235"/>
      <c r="H252" s="236" t="str">
        <f>IFERROR(IF(F252="","",IF(F252="100x4/4 (100 boc. ref.)",SWITCH(E252,"W60-050",320,"W60-080",280,"W60-160",220,"RR100-290",130,"RR100-370",120,"RR100-580",130,"RR100-850",64,"RR100-1050",55,"RR100-1550",40,100),IF(F252="200x4/4 (200 boc. ref.)",SWITCH(E252,"W60-050",640,"W60-080",560,"W60-160",440,"RR100-290",260,"RR100-370",240,"RR100-580",260,"RR100-850",128,"RR100-1050",110,"RR100-1550",80,200),IF(F252="100L eau (~20 boc.)",SWITCH(E252,"W60-050",60,"W60-080",50,"W60-160",40,"RR100-290",28,"RR100-370",24,"RR100-580",20,"RR100-850",12,"RR100-1050",10,"RR100-1550",6,15),"")))),"")</f>
        <v>#ERROR!</v>
      </c>
      <c r="I252" s="243" t="str">
        <f>IFERROR(IF(OR(H252="",G252=""),"",ROUND(H252*SWITCH(G252,"1/4",0.25,"1/2",0.5,"3/4",0.75,"Complet",1,1),0)),"")</f>
        <v>#ERROR!</v>
      </c>
      <c r="J252" s="235"/>
      <c r="K252" s="237" t="str">
        <f>IFERROR(J252/I252,"")</f>
        <v>#ERROR!</v>
      </c>
      <c r="L252" s="235"/>
      <c r="M252" s="235"/>
      <c r="N252" s="235"/>
      <c r="O252" s="235"/>
      <c r="P252" s="235"/>
      <c r="Q252" s="239" t="str">
        <f>IFERROR(IF(A252="","",A252+IFERROR(INDEX(Config!B:B,MATCH("DDM appertisation standard (mois)",Config!A:A,0)),36)*30),"")</f>
        <v>#ERROR!</v>
      </c>
      <c r="R252" s="235"/>
      <c r="S252" s="235"/>
      <c r="T252" s="240"/>
    </row>
    <row r="253" ht="16.5" customHeight="1">
      <c r="A253" s="242"/>
      <c r="B253" s="225" t="str">
        <f>IF(A253="","",IF(C253="","","LOT-"&amp;TEXT(A253,"YYYYMMDD")&amp;"-"&amp;TEXT(ROW()-3,"000")))</f>
        <v>#ERROR!</v>
      </c>
      <c r="C253" s="227"/>
      <c r="D253" s="227" t="str">
        <f>IFERROR(INDEX(Recettes!C:C,MATCH(C253,Recettes!B:B,0)),"")</f>
        <v>#ERROR!</v>
      </c>
      <c r="E253" s="227"/>
      <c r="F253" s="227"/>
      <c r="G253" s="227"/>
      <c r="H253" s="236" t="str">
        <f>IFERROR(IF(F253="","",IF(F253="100x4/4 (100 boc. ref.)",SWITCH(E253,"W60-050",320,"W60-080",280,"W60-160",220,"RR100-290",130,"RR100-370",120,"RR100-580",130,"RR100-850",64,"RR100-1050",55,"RR100-1550",40,100),IF(F253="200x4/4 (200 boc. ref.)",SWITCH(E253,"W60-050",640,"W60-080",560,"W60-160",440,"RR100-290",260,"RR100-370",240,"RR100-580",260,"RR100-850",128,"RR100-1050",110,"RR100-1550",80,200),IF(F253="100L eau (~20 boc.)",SWITCH(E253,"W60-050",60,"W60-080",50,"W60-160",40,"RR100-290",28,"RR100-370",24,"RR100-580",20,"RR100-850",12,"RR100-1050",10,"RR100-1550",6,15),"")))),"")</f>
        <v>#ERROR!</v>
      </c>
      <c r="I253" s="243" t="str">
        <f>IFERROR(IF(OR(H253="",G253=""),"",ROUND(H253*SWITCH(G253,"1/4",0.25,"1/2",0.5,"3/4",0.75,"Complet",1,1),0)),"")</f>
        <v>#ERROR!</v>
      </c>
      <c r="J253" s="227"/>
      <c r="K253" s="230" t="str">
        <f>IFERROR(J253/I253,"")</f>
        <v>#ERROR!</v>
      </c>
      <c r="L253" s="227"/>
      <c r="M253" s="227"/>
      <c r="N253" s="227"/>
      <c r="O253" s="227"/>
      <c r="P253" s="227"/>
      <c r="Q253" s="232" t="str">
        <f>IFERROR(IF(A253="","",A253+IFERROR(INDEX(Config!B:B,MATCH("DDM appertisation standard (mois)",Config!A:A,0)),36)*30),"")</f>
        <v>#ERROR!</v>
      </c>
      <c r="R253" s="227"/>
      <c r="S253" s="227"/>
      <c r="T253" s="233"/>
    </row>
    <row r="254" ht="16.5" customHeight="1">
      <c r="A254" s="242"/>
      <c r="B254" s="225" t="str">
        <f>IF(A254="","",IF(C254="","","LOT-"&amp;TEXT(A254,"YYYYMMDD")&amp;"-"&amp;TEXT(ROW()-3,"000")))</f>
        <v>#ERROR!</v>
      </c>
      <c r="C254" s="235"/>
      <c r="D254" s="235" t="str">
        <f>IFERROR(INDEX(Recettes!C:C,MATCH(C254,Recettes!B:B,0)),"")</f>
        <v>#ERROR!</v>
      </c>
      <c r="E254" s="235"/>
      <c r="F254" s="235"/>
      <c r="G254" s="235"/>
      <c r="H254" s="236" t="str">
        <f>IFERROR(IF(F254="","",IF(F254="100x4/4 (100 boc. ref.)",SWITCH(E254,"W60-050",320,"W60-080",280,"W60-160",220,"RR100-290",130,"RR100-370",120,"RR100-580",130,"RR100-850",64,"RR100-1050",55,"RR100-1550",40,100),IF(F254="200x4/4 (200 boc. ref.)",SWITCH(E254,"W60-050",640,"W60-080",560,"W60-160",440,"RR100-290",260,"RR100-370",240,"RR100-580",260,"RR100-850",128,"RR100-1050",110,"RR100-1550",80,200),IF(F254="100L eau (~20 boc.)",SWITCH(E254,"W60-050",60,"W60-080",50,"W60-160",40,"RR100-290",28,"RR100-370",24,"RR100-580",20,"RR100-850",12,"RR100-1050",10,"RR100-1550",6,15),"")))),"")</f>
        <v>#ERROR!</v>
      </c>
      <c r="I254" s="243" t="str">
        <f>IFERROR(IF(OR(H254="",G254=""),"",ROUND(H254*SWITCH(G254,"1/4",0.25,"1/2",0.5,"3/4",0.75,"Complet",1,1),0)),"")</f>
        <v>#ERROR!</v>
      </c>
      <c r="J254" s="235"/>
      <c r="K254" s="237" t="str">
        <f>IFERROR(J254/I254,"")</f>
        <v>#ERROR!</v>
      </c>
      <c r="L254" s="235"/>
      <c r="M254" s="235"/>
      <c r="N254" s="235"/>
      <c r="O254" s="235"/>
      <c r="P254" s="235"/>
      <c r="Q254" s="239" t="str">
        <f>IFERROR(IF(A254="","",A254+IFERROR(INDEX(Config!B:B,MATCH("DDM appertisation standard (mois)",Config!A:A,0)),36)*30),"")</f>
        <v>#ERROR!</v>
      </c>
      <c r="R254" s="235"/>
      <c r="S254" s="235"/>
      <c r="T254" s="240"/>
    </row>
    <row r="255" ht="16.5" customHeight="1">
      <c r="A255" s="242"/>
      <c r="B255" s="225" t="str">
        <f>IF(A255="","",IF(C255="","","LOT-"&amp;TEXT(A255,"YYYYMMDD")&amp;"-"&amp;TEXT(ROW()-3,"000")))</f>
        <v>#ERROR!</v>
      </c>
      <c r="C255" s="227"/>
      <c r="D255" s="227" t="str">
        <f>IFERROR(INDEX(Recettes!C:C,MATCH(C255,Recettes!B:B,0)),"")</f>
        <v>#ERROR!</v>
      </c>
      <c r="E255" s="227"/>
      <c r="F255" s="227"/>
      <c r="G255" s="227"/>
      <c r="H255" s="236" t="str">
        <f>IFERROR(IF(F255="","",IF(F255="100x4/4 (100 boc. ref.)",SWITCH(E255,"W60-050",320,"W60-080",280,"W60-160",220,"RR100-290",130,"RR100-370",120,"RR100-580",130,"RR100-850",64,"RR100-1050",55,"RR100-1550",40,100),IF(F255="200x4/4 (200 boc. ref.)",SWITCH(E255,"W60-050",640,"W60-080",560,"W60-160",440,"RR100-290",260,"RR100-370",240,"RR100-580",260,"RR100-850",128,"RR100-1050",110,"RR100-1550",80,200),IF(F255="100L eau (~20 boc.)",SWITCH(E255,"W60-050",60,"W60-080",50,"W60-160",40,"RR100-290",28,"RR100-370",24,"RR100-580",20,"RR100-850",12,"RR100-1050",10,"RR100-1550",6,15),"")))),"")</f>
        <v>#ERROR!</v>
      </c>
      <c r="I255" s="243" t="str">
        <f>IFERROR(IF(OR(H255="",G255=""),"",ROUND(H255*SWITCH(G255,"1/4",0.25,"1/2",0.5,"3/4",0.75,"Complet",1,1),0)),"")</f>
        <v>#ERROR!</v>
      </c>
      <c r="J255" s="227"/>
      <c r="K255" s="230" t="str">
        <f>IFERROR(J255/I255,"")</f>
        <v>#ERROR!</v>
      </c>
      <c r="L255" s="227"/>
      <c r="M255" s="227"/>
      <c r="N255" s="227"/>
      <c r="O255" s="227"/>
      <c r="P255" s="227"/>
      <c r="Q255" s="232" t="str">
        <f>IFERROR(IF(A255="","",A255+IFERROR(INDEX(Config!B:B,MATCH("DDM appertisation standard (mois)",Config!A:A,0)),36)*30),"")</f>
        <v>#ERROR!</v>
      </c>
      <c r="R255" s="227"/>
      <c r="S255" s="227"/>
      <c r="T255" s="233"/>
    </row>
    <row r="256" ht="16.5" customHeight="1">
      <c r="A256" s="242"/>
      <c r="B256" s="225" t="str">
        <f>IF(A256="","",IF(C256="","","LOT-"&amp;TEXT(A256,"YYYYMMDD")&amp;"-"&amp;TEXT(ROW()-3,"000")))</f>
        <v>#ERROR!</v>
      </c>
      <c r="C256" s="235"/>
      <c r="D256" s="235" t="str">
        <f>IFERROR(INDEX(Recettes!C:C,MATCH(C256,Recettes!B:B,0)),"")</f>
        <v>#ERROR!</v>
      </c>
      <c r="E256" s="235"/>
      <c r="F256" s="235"/>
      <c r="G256" s="235"/>
      <c r="H256" s="236" t="str">
        <f>IFERROR(IF(F256="","",IF(F256="100x4/4 (100 boc. ref.)",SWITCH(E256,"W60-050",320,"W60-080",280,"W60-160",220,"RR100-290",130,"RR100-370",120,"RR100-580",130,"RR100-850",64,"RR100-1050",55,"RR100-1550",40,100),IF(F256="200x4/4 (200 boc. ref.)",SWITCH(E256,"W60-050",640,"W60-080",560,"W60-160",440,"RR100-290",260,"RR100-370",240,"RR100-580",260,"RR100-850",128,"RR100-1050",110,"RR100-1550",80,200),IF(F256="100L eau (~20 boc.)",SWITCH(E256,"W60-050",60,"W60-080",50,"W60-160",40,"RR100-290",28,"RR100-370",24,"RR100-580",20,"RR100-850",12,"RR100-1050",10,"RR100-1550",6,15),"")))),"")</f>
        <v>#ERROR!</v>
      </c>
      <c r="I256" s="243" t="str">
        <f>IFERROR(IF(OR(H256="",G256=""),"",ROUND(H256*SWITCH(G256,"1/4",0.25,"1/2",0.5,"3/4",0.75,"Complet",1,1),0)),"")</f>
        <v>#ERROR!</v>
      </c>
      <c r="J256" s="235"/>
      <c r="K256" s="237" t="str">
        <f>IFERROR(J256/I256,"")</f>
        <v>#ERROR!</v>
      </c>
      <c r="L256" s="235"/>
      <c r="M256" s="235"/>
      <c r="N256" s="235"/>
      <c r="O256" s="235"/>
      <c r="P256" s="235"/>
      <c r="Q256" s="239" t="str">
        <f>IFERROR(IF(A256="","",A256+IFERROR(INDEX(Config!B:B,MATCH("DDM appertisation standard (mois)",Config!A:A,0)),36)*30),"")</f>
        <v>#ERROR!</v>
      </c>
      <c r="R256" s="235"/>
      <c r="S256" s="235"/>
      <c r="T256" s="240"/>
    </row>
    <row r="257" ht="16.5" customHeight="1">
      <c r="A257" s="242"/>
      <c r="B257" s="225" t="str">
        <f>IF(A257="","",IF(C257="","","LOT-"&amp;TEXT(A257,"YYYYMMDD")&amp;"-"&amp;TEXT(ROW()-3,"000")))</f>
        <v>#ERROR!</v>
      </c>
      <c r="C257" s="227"/>
      <c r="D257" s="227" t="str">
        <f>IFERROR(INDEX(Recettes!C:C,MATCH(C257,Recettes!B:B,0)),"")</f>
        <v>#ERROR!</v>
      </c>
      <c r="E257" s="227"/>
      <c r="F257" s="227"/>
      <c r="G257" s="227"/>
      <c r="H257" s="236" t="str">
        <f>IFERROR(IF(F257="","",IF(F257="100x4/4 (100 boc. ref.)",SWITCH(E257,"W60-050",320,"W60-080",280,"W60-160",220,"RR100-290",130,"RR100-370",120,"RR100-580",130,"RR100-850",64,"RR100-1050",55,"RR100-1550",40,100),IF(F257="200x4/4 (200 boc. ref.)",SWITCH(E257,"W60-050",640,"W60-080",560,"W60-160",440,"RR100-290",260,"RR100-370",240,"RR100-580",260,"RR100-850",128,"RR100-1050",110,"RR100-1550",80,200),IF(F257="100L eau (~20 boc.)",SWITCH(E257,"W60-050",60,"W60-080",50,"W60-160",40,"RR100-290",28,"RR100-370",24,"RR100-580",20,"RR100-850",12,"RR100-1050",10,"RR100-1550",6,15),"")))),"")</f>
        <v>#ERROR!</v>
      </c>
      <c r="I257" s="243" t="str">
        <f>IFERROR(IF(OR(H257="",G257=""),"",ROUND(H257*SWITCH(G257,"1/4",0.25,"1/2",0.5,"3/4",0.75,"Complet",1,1),0)),"")</f>
        <v>#ERROR!</v>
      </c>
      <c r="J257" s="227"/>
      <c r="K257" s="230" t="str">
        <f>IFERROR(J257/I257,"")</f>
        <v>#ERROR!</v>
      </c>
      <c r="L257" s="227"/>
      <c r="M257" s="227"/>
      <c r="N257" s="227"/>
      <c r="O257" s="227"/>
      <c r="P257" s="227"/>
      <c r="Q257" s="232" t="str">
        <f>IFERROR(IF(A257="","",A257+IFERROR(INDEX(Config!B:B,MATCH("DDM appertisation standard (mois)",Config!A:A,0)),36)*30),"")</f>
        <v>#ERROR!</v>
      </c>
      <c r="R257" s="227"/>
      <c r="S257" s="227"/>
      <c r="T257" s="233"/>
    </row>
    <row r="258" ht="16.5" customHeight="1">
      <c r="A258" s="242"/>
      <c r="B258" s="225" t="str">
        <f>IF(A258="","",IF(C258="","","LOT-"&amp;TEXT(A258,"YYYYMMDD")&amp;"-"&amp;TEXT(ROW()-3,"000")))</f>
        <v>#ERROR!</v>
      </c>
      <c r="C258" s="235"/>
      <c r="D258" s="235" t="str">
        <f>IFERROR(INDEX(Recettes!C:C,MATCH(C258,Recettes!B:B,0)),"")</f>
        <v>#ERROR!</v>
      </c>
      <c r="E258" s="235"/>
      <c r="F258" s="235"/>
      <c r="G258" s="235"/>
      <c r="H258" s="236" t="str">
        <f>IFERROR(IF(F258="","",IF(F258="100x4/4 (100 boc. ref.)",SWITCH(E258,"W60-050",320,"W60-080",280,"W60-160",220,"RR100-290",130,"RR100-370",120,"RR100-580",130,"RR100-850",64,"RR100-1050",55,"RR100-1550",40,100),IF(F258="200x4/4 (200 boc. ref.)",SWITCH(E258,"W60-050",640,"W60-080",560,"W60-160",440,"RR100-290",260,"RR100-370",240,"RR100-580",260,"RR100-850",128,"RR100-1050",110,"RR100-1550",80,200),IF(F258="100L eau (~20 boc.)",SWITCH(E258,"W60-050",60,"W60-080",50,"W60-160",40,"RR100-290",28,"RR100-370",24,"RR100-580",20,"RR100-850",12,"RR100-1050",10,"RR100-1550",6,15),"")))),"")</f>
        <v>#ERROR!</v>
      </c>
      <c r="I258" s="243" t="str">
        <f>IFERROR(IF(OR(H258="",G258=""),"",ROUND(H258*SWITCH(G258,"1/4",0.25,"1/2",0.5,"3/4",0.75,"Complet",1,1),0)),"")</f>
        <v>#ERROR!</v>
      </c>
      <c r="J258" s="235"/>
      <c r="K258" s="237" t="str">
        <f>IFERROR(J258/I258,"")</f>
        <v>#ERROR!</v>
      </c>
      <c r="L258" s="235"/>
      <c r="M258" s="235"/>
      <c r="N258" s="235"/>
      <c r="O258" s="235"/>
      <c r="P258" s="235"/>
      <c r="Q258" s="239" t="str">
        <f>IFERROR(IF(A258="","",A258+IFERROR(INDEX(Config!B:B,MATCH("DDM appertisation standard (mois)",Config!A:A,0)),36)*30),"")</f>
        <v>#ERROR!</v>
      </c>
      <c r="R258" s="235"/>
      <c r="S258" s="235"/>
      <c r="T258" s="240"/>
    </row>
    <row r="259" ht="16.5" customHeight="1">
      <c r="A259" s="242"/>
      <c r="B259" s="225" t="str">
        <f>IF(A259="","",IF(C259="","","LOT-"&amp;TEXT(A259,"YYYYMMDD")&amp;"-"&amp;TEXT(ROW()-3,"000")))</f>
        <v>#ERROR!</v>
      </c>
      <c r="C259" s="227"/>
      <c r="D259" s="227" t="str">
        <f>IFERROR(INDEX(Recettes!C:C,MATCH(C259,Recettes!B:B,0)),"")</f>
        <v>#ERROR!</v>
      </c>
      <c r="E259" s="227"/>
      <c r="F259" s="227"/>
      <c r="G259" s="227"/>
      <c r="H259" s="236" t="str">
        <f>IFERROR(IF(F259="","",IF(F259="100x4/4 (100 boc. ref.)",SWITCH(E259,"W60-050",320,"W60-080",280,"W60-160",220,"RR100-290",130,"RR100-370",120,"RR100-580",130,"RR100-850",64,"RR100-1050",55,"RR100-1550",40,100),IF(F259="200x4/4 (200 boc. ref.)",SWITCH(E259,"W60-050",640,"W60-080",560,"W60-160",440,"RR100-290",260,"RR100-370",240,"RR100-580",260,"RR100-850",128,"RR100-1050",110,"RR100-1550",80,200),IF(F259="100L eau (~20 boc.)",SWITCH(E259,"W60-050",60,"W60-080",50,"W60-160",40,"RR100-290",28,"RR100-370",24,"RR100-580",20,"RR100-850",12,"RR100-1050",10,"RR100-1550",6,15),"")))),"")</f>
        <v>#ERROR!</v>
      </c>
      <c r="I259" s="243" t="str">
        <f>IFERROR(IF(OR(H259="",G259=""),"",ROUND(H259*SWITCH(G259,"1/4",0.25,"1/2",0.5,"3/4",0.75,"Complet",1,1),0)),"")</f>
        <v>#ERROR!</v>
      </c>
      <c r="J259" s="227"/>
      <c r="K259" s="230" t="str">
        <f>IFERROR(J259/I259,"")</f>
        <v>#ERROR!</v>
      </c>
      <c r="L259" s="227"/>
      <c r="M259" s="227"/>
      <c r="N259" s="227"/>
      <c r="O259" s="227"/>
      <c r="P259" s="227"/>
      <c r="Q259" s="232" t="str">
        <f>IFERROR(IF(A259="","",A259+IFERROR(INDEX(Config!B:B,MATCH("DDM appertisation standard (mois)",Config!A:A,0)),36)*30),"")</f>
        <v>#ERROR!</v>
      </c>
      <c r="R259" s="227"/>
      <c r="S259" s="227"/>
      <c r="T259" s="233"/>
    </row>
    <row r="260" ht="16.5" customHeight="1">
      <c r="A260" s="242"/>
      <c r="B260" s="225" t="str">
        <f>IF(A260="","",IF(C260="","","LOT-"&amp;TEXT(A260,"YYYYMMDD")&amp;"-"&amp;TEXT(ROW()-3,"000")))</f>
        <v>#ERROR!</v>
      </c>
      <c r="C260" s="235"/>
      <c r="D260" s="235" t="str">
        <f>IFERROR(INDEX(Recettes!C:C,MATCH(C260,Recettes!B:B,0)),"")</f>
        <v>#ERROR!</v>
      </c>
      <c r="E260" s="235"/>
      <c r="F260" s="235"/>
      <c r="G260" s="235"/>
      <c r="H260" s="236" t="str">
        <f>IFERROR(IF(F260="","",IF(F260="100x4/4 (100 boc. ref.)",SWITCH(E260,"W60-050",320,"W60-080",280,"W60-160",220,"RR100-290",130,"RR100-370",120,"RR100-580",130,"RR100-850",64,"RR100-1050",55,"RR100-1550",40,100),IF(F260="200x4/4 (200 boc. ref.)",SWITCH(E260,"W60-050",640,"W60-080",560,"W60-160",440,"RR100-290",260,"RR100-370",240,"RR100-580",260,"RR100-850",128,"RR100-1050",110,"RR100-1550",80,200),IF(F260="100L eau (~20 boc.)",SWITCH(E260,"W60-050",60,"W60-080",50,"W60-160",40,"RR100-290",28,"RR100-370",24,"RR100-580",20,"RR100-850",12,"RR100-1050",10,"RR100-1550",6,15),"")))),"")</f>
        <v>#ERROR!</v>
      </c>
      <c r="I260" s="243" t="str">
        <f>IFERROR(IF(OR(H260="",G260=""),"",ROUND(H260*SWITCH(G260,"1/4",0.25,"1/2",0.5,"3/4",0.75,"Complet",1,1),0)),"")</f>
        <v>#ERROR!</v>
      </c>
      <c r="J260" s="235"/>
      <c r="K260" s="237" t="str">
        <f>IFERROR(J260/I260,"")</f>
        <v>#ERROR!</v>
      </c>
      <c r="L260" s="235"/>
      <c r="M260" s="235"/>
      <c r="N260" s="235"/>
      <c r="O260" s="235"/>
      <c r="P260" s="235"/>
      <c r="Q260" s="239" t="str">
        <f>IFERROR(IF(A260="","",A260+IFERROR(INDEX(Config!B:B,MATCH("DDM appertisation standard (mois)",Config!A:A,0)),36)*30),"")</f>
        <v>#ERROR!</v>
      </c>
      <c r="R260" s="235"/>
      <c r="S260" s="235"/>
      <c r="T260" s="240"/>
    </row>
    <row r="261" ht="16.5" customHeight="1">
      <c r="A261" s="242"/>
      <c r="B261" s="225" t="str">
        <f>IF(A261="","",IF(C261="","","LOT-"&amp;TEXT(A261,"YYYYMMDD")&amp;"-"&amp;TEXT(ROW()-3,"000")))</f>
        <v>#ERROR!</v>
      </c>
      <c r="C261" s="227"/>
      <c r="D261" s="227" t="str">
        <f>IFERROR(INDEX(Recettes!C:C,MATCH(C261,Recettes!B:B,0)),"")</f>
        <v>#ERROR!</v>
      </c>
      <c r="E261" s="227"/>
      <c r="F261" s="227"/>
      <c r="G261" s="227"/>
      <c r="H261" s="236" t="str">
        <f>IFERROR(IF(F261="","",IF(F261="100x4/4 (100 boc. ref.)",SWITCH(E261,"W60-050",320,"W60-080",280,"W60-160",220,"RR100-290",130,"RR100-370",120,"RR100-580",130,"RR100-850",64,"RR100-1050",55,"RR100-1550",40,100),IF(F261="200x4/4 (200 boc. ref.)",SWITCH(E261,"W60-050",640,"W60-080",560,"W60-160",440,"RR100-290",260,"RR100-370",240,"RR100-580",260,"RR100-850",128,"RR100-1050",110,"RR100-1550",80,200),IF(F261="100L eau (~20 boc.)",SWITCH(E261,"W60-050",60,"W60-080",50,"W60-160",40,"RR100-290",28,"RR100-370",24,"RR100-580",20,"RR100-850",12,"RR100-1050",10,"RR100-1550",6,15),"")))),"")</f>
        <v>#ERROR!</v>
      </c>
      <c r="I261" s="243" t="str">
        <f>IFERROR(IF(OR(H261="",G261=""),"",ROUND(H261*SWITCH(G261,"1/4",0.25,"1/2",0.5,"3/4",0.75,"Complet",1,1),0)),"")</f>
        <v>#ERROR!</v>
      </c>
      <c r="J261" s="227"/>
      <c r="K261" s="230" t="str">
        <f>IFERROR(J261/I261,"")</f>
        <v>#ERROR!</v>
      </c>
      <c r="L261" s="227"/>
      <c r="M261" s="227"/>
      <c r="N261" s="227"/>
      <c r="O261" s="227"/>
      <c r="P261" s="227"/>
      <c r="Q261" s="232" t="str">
        <f>IFERROR(IF(A261="","",A261+IFERROR(INDEX(Config!B:B,MATCH("DDM appertisation standard (mois)",Config!A:A,0)),36)*30),"")</f>
        <v>#ERROR!</v>
      </c>
      <c r="R261" s="227"/>
      <c r="S261" s="227"/>
      <c r="T261" s="233"/>
    </row>
    <row r="262" ht="16.5" customHeight="1">
      <c r="A262" s="242"/>
      <c r="B262" s="225" t="str">
        <f>IF(A262="","",IF(C262="","","LOT-"&amp;TEXT(A262,"YYYYMMDD")&amp;"-"&amp;TEXT(ROW()-3,"000")))</f>
        <v>#ERROR!</v>
      </c>
      <c r="C262" s="235"/>
      <c r="D262" s="235" t="str">
        <f>IFERROR(INDEX(Recettes!C:C,MATCH(C262,Recettes!B:B,0)),"")</f>
        <v>#ERROR!</v>
      </c>
      <c r="E262" s="235"/>
      <c r="F262" s="235"/>
      <c r="G262" s="235"/>
      <c r="H262" s="236" t="str">
        <f>IFERROR(IF(F262="","",IF(F262="100x4/4 (100 boc. ref.)",SWITCH(E262,"W60-050",320,"W60-080",280,"W60-160",220,"RR100-290",130,"RR100-370",120,"RR100-580",130,"RR100-850",64,"RR100-1050",55,"RR100-1550",40,100),IF(F262="200x4/4 (200 boc. ref.)",SWITCH(E262,"W60-050",640,"W60-080",560,"W60-160",440,"RR100-290",260,"RR100-370",240,"RR100-580",260,"RR100-850",128,"RR100-1050",110,"RR100-1550",80,200),IF(F262="100L eau (~20 boc.)",SWITCH(E262,"W60-050",60,"W60-080",50,"W60-160",40,"RR100-290",28,"RR100-370",24,"RR100-580",20,"RR100-850",12,"RR100-1050",10,"RR100-1550",6,15),"")))),"")</f>
        <v>#ERROR!</v>
      </c>
      <c r="I262" s="243" t="str">
        <f>IFERROR(IF(OR(H262="",G262=""),"",ROUND(H262*SWITCH(G262,"1/4",0.25,"1/2",0.5,"3/4",0.75,"Complet",1,1),0)),"")</f>
        <v>#ERROR!</v>
      </c>
      <c r="J262" s="235"/>
      <c r="K262" s="237" t="str">
        <f>IFERROR(J262/I262,"")</f>
        <v>#ERROR!</v>
      </c>
      <c r="L262" s="235"/>
      <c r="M262" s="235"/>
      <c r="N262" s="235"/>
      <c r="O262" s="235"/>
      <c r="P262" s="235"/>
      <c r="Q262" s="239" t="str">
        <f>IFERROR(IF(A262="","",A262+IFERROR(INDEX(Config!B:B,MATCH("DDM appertisation standard (mois)",Config!A:A,0)),36)*30),"")</f>
        <v>#ERROR!</v>
      </c>
      <c r="R262" s="235"/>
      <c r="S262" s="235"/>
      <c r="T262" s="240"/>
    </row>
    <row r="263" ht="16.5" customHeight="1">
      <c r="A263" s="242"/>
      <c r="B263" s="225" t="str">
        <f>IF(A263="","",IF(C263="","","LOT-"&amp;TEXT(A263,"YYYYMMDD")&amp;"-"&amp;TEXT(ROW()-3,"000")))</f>
        <v>#ERROR!</v>
      </c>
      <c r="C263" s="227"/>
      <c r="D263" s="227" t="str">
        <f>IFERROR(INDEX(Recettes!C:C,MATCH(C263,Recettes!B:B,0)),"")</f>
        <v>#ERROR!</v>
      </c>
      <c r="E263" s="227"/>
      <c r="F263" s="227"/>
      <c r="G263" s="227"/>
      <c r="H263" s="236" t="str">
        <f>IFERROR(IF(F263="","",IF(F263="100x4/4 (100 boc. ref.)",SWITCH(E263,"W60-050",320,"W60-080",280,"W60-160",220,"RR100-290",130,"RR100-370",120,"RR100-580",130,"RR100-850",64,"RR100-1050",55,"RR100-1550",40,100),IF(F263="200x4/4 (200 boc. ref.)",SWITCH(E263,"W60-050",640,"W60-080",560,"W60-160",440,"RR100-290",260,"RR100-370",240,"RR100-580",260,"RR100-850",128,"RR100-1050",110,"RR100-1550",80,200),IF(F263="100L eau (~20 boc.)",SWITCH(E263,"W60-050",60,"W60-080",50,"W60-160",40,"RR100-290",28,"RR100-370",24,"RR100-580",20,"RR100-850",12,"RR100-1050",10,"RR100-1550",6,15),"")))),"")</f>
        <v>#ERROR!</v>
      </c>
      <c r="I263" s="243" t="str">
        <f>IFERROR(IF(OR(H263="",G263=""),"",ROUND(H263*SWITCH(G263,"1/4",0.25,"1/2",0.5,"3/4",0.75,"Complet",1,1),0)),"")</f>
        <v>#ERROR!</v>
      </c>
      <c r="J263" s="227"/>
      <c r="K263" s="230" t="str">
        <f>IFERROR(J263/I263,"")</f>
        <v>#ERROR!</v>
      </c>
      <c r="L263" s="227"/>
      <c r="M263" s="227"/>
      <c r="N263" s="227"/>
      <c r="O263" s="227"/>
      <c r="P263" s="227"/>
      <c r="Q263" s="232" t="str">
        <f>IFERROR(IF(A263="","",A263+IFERROR(INDEX(Config!B:B,MATCH("DDM appertisation standard (mois)",Config!A:A,0)),36)*30),"")</f>
        <v>#ERROR!</v>
      </c>
      <c r="R263" s="227"/>
      <c r="S263" s="227"/>
      <c r="T263" s="233"/>
    </row>
    <row r="264" ht="16.5" customHeight="1">
      <c r="A264" s="242"/>
      <c r="B264" s="225" t="str">
        <f>IF(A264="","",IF(C264="","","LOT-"&amp;TEXT(A264,"YYYYMMDD")&amp;"-"&amp;TEXT(ROW()-3,"000")))</f>
        <v>#ERROR!</v>
      </c>
      <c r="C264" s="235"/>
      <c r="D264" s="235" t="str">
        <f>IFERROR(INDEX(Recettes!C:C,MATCH(C264,Recettes!B:B,0)),"")</f>
        <v>#ERROR!</v>
      </c>
      <c r="E264" s="235"/>
      <c r="F264" s="235"/>
      <c r="G264" s="235"/>
      <c r="H264" s="236" t="str">
        <f>IFERROR(IF(F264="","",IF(F264="100x4/4 (100 boc. ref.)",SWITCH(E264,"W60-050",320,"W60-080",280,"W60-160",220,"RR100-290",130,"RR100-370",120,"RR100-580",130,"RR100-850",64,"RR100-1050",55,"RR100-1550",40,100),IF(F264="200x4/4 (200 boc. ref.)",SWITCH(E264,"W60-050",640,"W60-080",560,"W60-160",440,"RR100-290",260,"RR100-370",240,"RR100-580",260,"RR100-850",128,"RR100-1050",110,"RR100-1550",80,200),IF(F264="100L eau (~20 boc.)",SWITCH(E264,"W60-050",60,"W60-080",50,"W60-160",40,"RR100-290",28,"RR100-370",24,"RR100-580",20,"RR100-850",12,"RR100-1050",10,"RR100-1550",6,15),"")))),"")</f>
        <v>#ERROR!</v>
      </c>
      <c r="I264" s="243" t="str">
        <f>IFERROR(IF(OR(H264="",G264=""),"",ROUND(H264*SWITCH(G264,"1/4",0.25,"1/2",0.5,"3/4",0.75,"Complet",1,1),0)),"")</f>
        <v>#ERROR!</v>
      </c>
      <c r="J264" s="235"/>
      <c r="K264" s="237" t="str">
        <f>IFERROR(J264/I264,"")</f>
        <v>#ERROR!</v>
      </c>
      <c r="L264" s="235"/>
      <c r="M264" s="235"/>
      <c r="N264" s="235"/>
      <c r="O264" s="235"/>
      <c r="P264" s="235"/>
      <c r="Q264" s="239" t="str">
        <f>IFERROR(IF(A264="","",A264+IFERROR(INDEX(Config!B:B,MATCH("DDM appertisation standard (mois)",Config!A:A,0)),36)*30),"")</f>
        <v>#ERROR!</v>
      </c>
      <c r="R264" s="235"/>
      <c r="S264" s="235"/>
      <c r="T264" s="240"/>
    </row>
    <row r="265" ht="16.5" customHeight="1">
      <c r="A265" s="242"/>
      <c r="B265" s="225" t="str">
        <f>IF(A265="","",IF(C265="","","LOT-"&amp;TEXT(A265,"YYYYMMDD")&amp;"-"&amp;TEXT(ROW()-3,"000")))</f>
        <v>#ERROR!</v>
      </c>
      <c r="C265" s="227"/>
      <c r="D265" s="227" t="str">
        <f>IFERROR(INDEX(Recettes!C:C,MATCH(C265,Recettes!B:B,0)),"")</f>
        <v>#ERROR!</v>
      </c>
      <c r="E265" s="227"/>
      <c r="F265" s="227"/>
      <c r="G265" s="227"/>
      <c r="H265" s="236" t="str">
        <f>IFERROR(IF(F265="","",IF(F265="100x4/4 (100 boc. ref.)",SWITCH(E265,"W60-050",320,"W60-080",280,"W60-160",220,"RR100-290",130,"RR100-370",120,"RR100-580",130,"RR100-850",64,"RR100-1050",55,"RR100-1550",40,100),IF(F265="200x4/4 (200 boc. ref.)",SWITCH(E265,"W60-050",640,"W60-080",560,"W60-160",440,"RR100-290",260,"RR100-370",240,"RR100-580",260,"RR100-850",128,"RR100-1050",110,"RR100-1550",80,200),IF(F265="100L eau (~20 boc.)",SWITCH(E265,"W60-050",60,"W60-080",50,"W60-160",40,"RR100-290",28,"RR100-370",24,"RR100-580",20,"RR100-850",12,"RR100-1050",10,"RR100-1550",6,15),"")))),"")</f>
        <v>#ERROR!</v>
      </c>
      <c r="I265" s="243" t="str">
        <f>IFERROR(IF(OR(H265="",G265=""),"",ROUND(H265*SWITCH(G265,"1/4",0.25,"1/2",0.5,"3/4",0.75,"Complet",1,1),0)),"")</f>
        <v>#ERROR!</v>
      </c>
      <c r="J265" s="227"/>
      <c r="K265" s="230" t="str">
        <f>IFERROR(J265/I265,"")</f>
        <v>#ERROR!</v>
      </c>
      <c r="L265" s="227"/>
      <c r="M265" s="227"/>
      <c r="N265" s="227"/>
      <c r="O265" s="227"/>
      <c r="P265" s="227"/>
      <c r="Q265" s="232" t="str">
        <f>IFERROR(IF(A265="","",A265+IFERROR(INDEX(Config!B:B,MATCH("DDM appertisation standard (mois)",Config!A:A,0)),36)*30),"")</f>
        <v>#ERROR!</v>
      </c>
      <c r="R265" s="227"/>
      <c r="S265" s="227"/>
      <c r="T265" s="233"/>
    </row>
    <row r="266" ht="16.5" customHeight="1">
      <c r="A266" s="242"/>
      <c r="B266" s="225" t="str">
        <f>IF(A266="","",IF(C266="","","LOT-"&amp;TEXT(A266,"YYYYMMDD")&amp;"-"&amp;TEXT(ROW()-3,"000")))</f>
        <v>#ERROR!</v>
      </c>
      <c r="C266" s="235"/>
      <c r="D266" s="235" t="str">
        <f>IFERROR(INDEX(Recettes!C:C,MATCH(C266,Recettes!B:B,0)),"")</f>
        <v>#ERROR!</v>
      </c>
      <c r="E266" s="235"/>
      <c r="F266" s="235"/>
      <c r="G266" s="235"/>
      <c r="H266" s="236" t="str">
        <f>IFERROR(IF(F266="","",IF(F266="100x4/4 (100 boc. ref.)",SWITCH(E266,"W60-050",320,"W60-080",280,"W60-160",220,"RR100-290",130,"RR100-370",120,"RR100-580",130,"RR100-850",64,"RR100-1050",55,"RR100-1550",40,100),IF(F266="200x4/4 (200 boc. ref.)",SWITCH(E266,"W60-050",640,"W60-080",560,"W60-160",440,"RR100-290",260,"RR100-370",240,"RR100-580",260,"RR100-850",128,"RR100-1050",110,"RR100-1550",80,200),IF(F266="100L eau (~20 boc.)",SWITCH(E266,"W60-050",60,"W60-080",50,"W60-160",40,"RR100-290",28,"RR100-370",24,"RR100-580",20,"RR100-850",12,"RR100-1050",10,"RR100-1550",6,15),"")))),"")</f>
        <v>#ERROR!</v>
      </c>
      <c r="I266" s="243" t="str">
        <f>IFERROR(IF(OR(H266="",G266=""),"",ROUND(H266*SWITCH(G266,"1/4",0.25,"1/2",0.5,"3/4",0.75,"Complet",1,1),0)),"")</f>
        <v>#ERROR!</v>
      </c>
      <c r="J266" s="235"/>
      <c r="K266" s="237" t="str">
        <f>IFERROR(J266/I266,"")</f>
        <v>#ERROR!</v>
      </c>
      <c r="L266" s="235"/>
      <c r="M266" s="235"/>
      <c r="N266" s="235"/>
      <c r="O266" s="235"/>
      <c r="P266" s="235"/>
      <c r="Q266" s="239" t="str">
        <f>IFERROR(IF(A266="","",A266+IFERROR(INDEX(Config!B:B,MATCH("DDM appertisation standard (mois)",Config!A:A,0)),36)*30),"")</f>
        <v>#ERROR!</v>
      </c>
      <c r="R266" s="235"/>
      <c r="S266" s="235"/>
      <c r="T266" s="240"/>
    </row>
    <row r="267" ht="16.5" customHeight="1">
      <c r="A267" s="242"/>
      <c r="B267" s="225" t="str">
        <f>IF(A267="","",IF(C267="","","LOT-"&amp;TEXT(A267,"YYYYMMDD")&amp;"-"&amp;TEXT(ROW()-3,"000")))</f>
        <v>#ERROR!</v>
      </c>
      <c r="C267" s="227"/>
      <c r="D267" s="227" t="str">
        <f>IFERROR(INDEX(Recettes!C:C,MATCH(C267,Recettes!B:B,0)),"")</f>
        <v>#ERROR!</v>
      </c>
      <c r="E267" s="227"/>
      <c r="F267" s="227"/>
      <c r="G267" s="227"/>
      <c r="H267" s="236" t="str">
        <f>IFERROR(IF(F267="","",IF(F267="100x4/4 (100 boc. ref.)",SWITCH(E267,"W60-050",320,"W60-080",280,"W60-160",220,"RR100-290",130,"RR100-370",120,"RR100-580",130,"RR100-850",64,"RR100-1050",55,"RR100-1550",40,100),IF(F267="200x4/4 (200 boc. ref.)",SWITCH(E267,"W60-050",640,"W60-080",560,"W60-160",440,"RR100-290",260,"RR100-370",240,"RR100-580",260,"RR100-850",128,"RR100-1050",110,"RR100-1550",80,200),IF(F267="100L eau (~20 boc.)",SWITCH(E267,"W60-050",60,"W60-080",50,"W60-160",40,"RR100-290",28,"RR100-370",24,"RR100-580",20,"RR100-850",12,"RR100-1050",10,"RR100-1550",6,15),"")))),"")</f>
        <v>#ERROR!</v>
      </c>
      <c r="I267" s="243" t="str">
        <f>IFERROR(IF(OR(H267="",G267=""),"",ROUND(H267*SWITCH(G267,"1/4",0.25,"1/2",0.5,"3/4",0.75,"Complet",1,1),0)),"")</f>
        <v>#ERROR!</v>
      </c>
      <c r="J267" s="227"/>
      <c r="K267" s="230" t="str">
        <f>IFERROR(J267/I267,"")</f>
        <v>#ERROR!</v>
      </c>
      <c r="L267" s="227"/>
      <c r="M267" s="227"/>
      <c r="N267" s="227"/>
      <c r="O267" s="227"/>
      <c r="P267" s="227"/>
      <c r="Q267" s="232" t="str">
        <f>IFERROR(IF(A267="","",A267+IFERROR(INDEX(Config!B:B,MATCH("DDM appertisation standard (mois)",Config!A:A,0)),36)*30),"")</f>
        <v>#ERROR!</v>
      </c>
      <c r="R267" s="227"/>
      <c r="S267" s="227"/>
      <c r="T267" s="233"/>
    </row>
    <row r="268" ht="16.5" customHeight="1">
      <c r="A268" s="242"/>
      <c r="B268" s="225" t="str">
        <f>IF(A268="","",IF(C268="","","LOT-"&amp;TEXT(A268,"YYYYMMDD")&amp;"-"&amp;TEXT(ROW()-3,"000")))</f>
        <v>#ERROR!</v>
      </c>
      <c r="C268" s="235"/>
      <c r="D268" s="235" t="str">
        <f>IFERROR(INDEX(Recettes!C:C,MATCH(C268,Recettes!B:B,0)),"")</f>
        <v>#ERROR!</v>
      </c>
      <c r="E268" s="235"/>
      <c r="F268" s="235"/>
      <c r="G268" s="235"/>
      <c r="H268" s="236" t="str">
        <f>IFERROR(IF(F268="","",IF(F268="100x4/4 (100 boc. ref.)",SWITCH(E268,"W60-050",320,"W60-080",280,"W60-160",220,"RR100-290",130,"RR100-370",120,"RR100-580",130,"RR100-850",64,"RR100-1050",55,"RR100-1550",40,100),IF(F268="200x4/4 (200 boc. ref.)",SWITCH(E268,"W60-050",640,"W60-080",560,"W60-160",440,"RR100-290",260,"RR100-370",240,"RR100-580",260,"RR100-850",128,"RR100-1050",110,"RR100-1550",80,200),IF(F268="100L eau (~20 boc.)",SWITCH(E268,"W60-050",60,"W60-080",50,"W60-160",40,"RR100-290",28,"RR100-370",24,"RR100-580",20,"RR100-850",12,"RR100-1050",10,"RR100-1550",6,15),"")))),"")</f>
        <v>#ERROR!</v>
      </c>
      <c r="I268" s="243" t="str">
        <f>IFERROR(IF(OR(H268="",G268=""),"",ROUND(H268*SWITCH(G268,"1/4",0.25,"1/2",0.5,"3/4",0.75,"Complet",1,1),0)),"")</f>
        <v>#ERROR!</v>
      </c>
      <c r="J268" s="235"/>
      <c r="K268" s="237" t="str">
        <f>IFERROR(J268/I268,"")</f>
        <v>#ERROR!</v>
      </c>
      <c r="L268" s="235"/>
      <c r="M268" s="235"/>
      <c r="N268" s="235"/>
      <c r="O268" s="235"/>
      <c r="P268" s="235"/>
      <c r="Q268" s="239" t="str">
        <f>IFERROR(IF(A268="","",A268+IFERROR(INDEX(Config!B:B,MATCH("DDM appertisation standard (mois)",Config!A:A,0)),36)*30),"")</f>
        <v>#ERROR!</v>
      </c>
      <c r="R268" s="235"/>
      <c r="S268" s="235"/>
      <c r="T268" s="240"/>
    </row>
    <row r="269" ht="16.5" customHeight="1">
      <c r="A269" s="242"/>
      <c r="B269" s="225" t="str">
        <f>IF(A269="","",IF(C269="","","LOT-"&amp;TEXT(A269,"YYYYMMDD")&amp;"-"&amp;TEXT(ROW()-3,"000")))</f>
        <v>#ERROR!</v>
      </c>
      <c r="C269" s="227"/>
      <c r="D269" s="227" t="str">
        <f>IFERROR(INDEX(Recettes!C:C,MATCH(C269,Recettes!B:B,0)),"")</f>
        <v>#ERROR!</v>
      </c>
      <c r="E269" s="227"/>
      <c r="F269" s="227"/>
      <c r="G269" s="227"/>
      <c r="H269" s="236" t="str">
        <f>IFERROR(IF(F269="","",IF(F269="100x4/4 (100 boc. ref.)",SWITCH(E269,"W60-050",320,"W60-080",280,"W60-160",220,"RR100-290",130,"RR100-370",120,"RR100-580",130,"RR100-850",64,"RR100-1050",55,"RR100-1550",40,100),IF(F269="200x4/4 (200 boc. ref.)",SWITCH(E269,"W60-050",640,"W60-080",560,"W60-160",440,"RR100-290",260,"RR100-370",240,"RR100-580",260,"RR100-850",128,"RR100-1050",110,"RR100-1550",80,200),IF(F269="100L eau (~20 boc.)",SWITCH(E269,"W60-050",60,"W60-080",50,"W60-160",40,"RR100-290",28,"RR100-370",24,"RR100-580",20,"RR100-850",12,"RR100-1050",10,"RR100-1550",6,15),"")))),"")</f>
        <v>#ERROR!</v>
      </c>
      <c r="I269" s="243" t="str">
        <f>IFERROR(IF(OR(H269="",G269=""),"",ROUND(H269*SWITCH(G269,"1/4",0.25,"1/2",0.5,"3/4",0.75,"Complet",1,1),0)),"")</f>
        <v>#ERROR!</v>
      </c>
      <c r="J269" s="227"/>
      <c r="K269" s="230" t="str">
        <f>IFERROR(J269/I269,"")</f>
        <v>#ERROR!</v>
      </c>
      <c r="L269" s="227"/>
      <c r="M269" s="227"/>
      <c r="N269" s="227"/>
      <c r="O269" s="227"/>
      <c r="P269" s="227"/>
      <c r="Q269" s="232" t="str">
        <f>IFERROR(IF(A269="","",A269+IFERROR(INDEX(Config!B:B,MATCH("DDM appertisation standard (mois)",Config!A:A,0)),36)*30),"")</f>
        <v>#ERROR!</v>
      </c>
      <c r="R269" s="227"/>
      <c r="S269" s="227"/>
      <c r="T269" s="233"/>
    </row>
    <row r="270" ht="16.5" customHeight="1">
      <c r="A270" s="242"/>
      <c r="B270" s="225" t="str">
        <f>IF(A270="","",IF(C270="","","LOT-"&amp;TEXT(A270,"YYYYMMDD")&amp;"-"&amp;TEXT(ROW()-3,"000")))</f>
        <v>#ERROR!</v>
      </c>
      <c r="C270" s="235"/>
      <c r="D270" s="235" t="str">
        <f>IFERROR(INDEX(Recettes!C:C,MATCH(C270,Recettes!B:B,0)),"")</f>
        <v>#ERROR!</v>
      </c>
      <c r="E270" s="235"/>
      <c r="F270" s="235"/>
      <c r="G270" s="235"/>
      <c r="H270" s="236" t="str">
        <f>IFERROR(IF(F270="","",IF(F270="100x4/4 (100 boc. ref.)",SWITCH(E270,"W60-050",320,"W60-080",280,"W60-160",220,"RR100-290",130,"RR100-370",120,"RR100-580",130,"RR100-850",64,"RR100-1050",55,"RR100-1550",40,100),IF(F270="200x4/4 (200 boc. ref.)",SWITCH(E270,"W60-050",640,"W60-080",560,"W60-160",440,"RR100-290",260,"RR100-370",240,"RR100-580",260,"RR100-850",128,"RR100-1050",110,"RR100-1550",80,200),IF(F270="100L eau (~20 boc.)",SWITCH(E270,"W60-050",60,"W60-080",50,"W60-160",40,"RR100-290",28,"RR100-370",24,"RR100-580",20,"RR100-850",12,"RR100-1050",10,"RR100-1550",6,15),"")))),"")</f>
        <v>#ERROR!</v>
      </c>
      <c r="I270" s="243" t="str">
        <f>IFERROR(IF(OR(H270="",G270=""),"",ROUND(H270*SWITCH(G270,"1/4",0.25,"1/2",0.5,"3/4",0.75,"Complet",1,1),0)),"")</f>
        <v>#ERROR!</v>
      </c>
      <c r="J270" s="235"/>
      <c r="K270" s="237" t="str">
        <f>IFERROR(J270/I270,"")</f>
        <v>#ERROR!</v>
      </c>
      <c r="L270" s="235"/>
      <c r="M270" s="235"/>
      <c r="N270" s="235"/>
      <c r="O270" s="235"/>
      <c r="P270" s="235"/>
      <c r="Q270" s="239" t="str">
        <f>IFERROR(IF(A270="","",A270+IFERROR(INDEX(Config!B:B,MATCH("DDM appertisation standard (mois)",Config!A:A,0)),36)*30),"")</f>
        <v>#ERROR!</v>
      </c>
      <c r="R270" s="235"/>
      <c r="S270" s="235"/>
      <c r="T270" s="240"/>
    </row>
    <row r="271" ht="16.5" customHeight="1">
      <c r="A271" s="242"/>
      <c r="B271" s="225" t="str">
        <f>IF(A271="","",IF(C271="","","LOT-"&amp;TEXT(A271,"YYYYMMDD")&amp;"-"&amp;TEXT(ROW()-3,"000")))</f>
        <v>#ERROR!</v>
      </c>
      <c r="C271" s="227"/>
      <c r="D271" s="227" t="str">
        <f>IFERROR(INDEX(Recettes!C:C,MATCH(C271,Recettes!B:B,0)),"")</f>
        <v>#ERROR!</v>
      </c>
      <c r="E271" s="227"/>
      <c r="F271" s="227"/>
      <c r="G271" s="227"/>
      <c r="H271" s="236" t="str">
        <f>IFERROR(IF(F271="","",IF(F271="100x4/4 (100 boc. ref.)",SWITCH(E271,"W60-050",320,"W60-080",280,"W60-160",220,"RR100-290",130,"RR100-370",120,"RR100-580",130,"RR100-850",64,"RR100-1050",55,"RR100-1550",40,100),IF(F271="200x4/4 (200 boc. ref.)",SWITCH(E271,"W60-050",640,"W60-080",560,"W60-160",440,"RR100-290",260,"RR100-370",240,"RR100-580",260,"RR100-850",128,"RR100-1050",110,"RR100-1550",80,200),IF(F271="100L eau (~20 boc.)",SWITCH(E271,"W60-050",60,"W60-080",50,"W60-160",40,"RR100-290",28,"RR100-370",24,"RR100-580",20,"RR100-850",12,"RR100-1050",10,"RR100-1550",6,15),"")))),"")</f>
        <v>#ERROR!</v>
      </c>
      <c r="I271" s="243" t="str">
        <f>IFERROR(IF(OR(H271="",G271=""),"",ROUND(H271*SWITCH(G271,"1/4",0.25,"1/2",0.5,"3/4",0.75,"Complet",1,1),0)),"")</f>
        <v>#ERROR!</v>
      </c>
      <c r="J271" s="227"/>
      <c r="K271" s="230" t="str">
        <f>IFERROR(J271/I271,"")</f>
        <v>#ERROR!</v>
      </c>
      <c r="L271" s="227"/>
      <c r="M271" s="227"/>
      <c r="N271" s="227"/>
      <c r="O271" s="227"/>
      <c r="P271" s="227"/>
      <c r="Q271" s="232" t="str">
        <f>IFERROR(IF(A271="","",A271+IFERROR(INDEX(Config!B:B,MATCH("DDM appertisation standard (mois)",Config!A:A,0)),36)*30),"")</f>
        <v>#ERROR!</v>
      </c>
      <c r="R271" s="227"/>
      <c r="S271" s="227"/>
      <c r="T271" s="233"/>
    </row>
    <row r="272" ht="16.5" customHeight="1">
      <c r="A272" s="242"/>
      <c r="B272" s="225" t="str">
        <f>IF(A272="","",IF(C272="","","LOT-"&amp;TEXT(A272,"YYYYMMDD")&amp;"-"&amp;TEXT(ROW()-3,"000")))</f>
        <v>#ERROR!</v>
      </c>
      <c r="C272" s="235"/>
      <c r="D272" s="235" t="str">
        <f>IFERROR(INDEX(Recettes!C:C,MATCH(C272,Recettes!B:B,0)),"")</f>
        <v>#ERROR!</v>
      </c>
      <c r="E272" s="235"/>
      <c r="F272" s="235"/>
      <c r="G272" s="235"/>
      <c r="H272" s="236" t="str">
        <f>IFERROR(IF(F272="","",IF(F272="100x4/4 (100 boc. ref.)",SWITCH(E272,"W60-050",320,"W60-080",280,"W60-160",220,"RR100-290",130,"RR100-370",120,"RR100-580",130,"RR100-850",64,"RR100-1050",55,"RR100-1550",40,100),IF(F272="200x4/4 (200 boc. ref.)",SWITCH(E272,"W60-050",640,"W60-080",560,"W60-160",440,"RR100-290",260,"RR100-370",240,"RR100-580",260,"RR100-850",128,"RR100-1050",110,"RR100-1550",80,200),IF(F272="100L eau (~20 boc.)",SWITCH(E272,"W60-050",60,"W60-080",50,"W60-160",40,"RR100-290",28,"RR100-370",24,"RR100-580",20,"RR100-850",12,"RR100-1050",10,"RR100-1550",6,15),"")))),"")</f>
        <v>#ERROR!</v>
      </c>
      <c r="I272" s="243" t="str">
        <f>IFERROR(IF(OR(H272="",G272=""),"",ROUND(H272*SWITCH(G272,"1/4",0.25,"1/2",0.5,"3/4",0.75,"Complet",1,1),0)),"")</f>
        <v>#ERROR!</v>
      </c>
      <c r="J272" s="235"/>
      <c r="K272" s="237" t="str">
        <f>IFERROR(J272/I272,"")</f>
        <v>#ERROR!</v>
      </c>
      <c r="L272" s="235"/>
      <c r="M272" s="235"/>
      <c r="N272" s="235"/>
      <c r="O272" s="235"/>
      <c r="P272" s="235"/>
      <c r="Q272" s="239" t="str">
        <f>IFERROR(IF(A272="","",A272+IFERROR(INDEX(Config!B:B,MATCH("DDM appertisation standard (mois)",Config!A:A,0)),36)*30),"")</f>
        <v>#ERROR!</v>
      </c>
      <c r="R272" s="235"/>
      <c r="S272" s="235"/>
      <c r="T272" s="240"/>
    </row>
    <row r="273" ht="16.5" customHeight="1">
      <c r="A273" s="242"/>
      <c r="B273" s="225" t="str">
        <f>IF(A273="","",IF(C273="","","LOT-"&amp;TEXT(A273,"YYYYMMDD")&amp;"-"&amp;TEXT(ROW()-3,"000")))</f>
        <v>#ERROR!</v>
      </c>
      <c r="C273" s="227"/>
      <c r="D273" s="227" t="str">
        <f>IFERROR(INDEX(Recettes!C:C,MATCH(C273,Recettes!B:B,0)),"")</f>
        <v>#ERROR!</v>
      </c>
      <c r="E273" s="227"/>
      <c r="F273" s="227"/>
      <c r="G273" s="227"/>
      <c r="H273" s="236" t="str">
        <f>IFERROR(IF(F273="","",IF(F273="100x4/4 (100 boc. ref.)",SWITCH(E273,"W60-050",320,"W60-080",280,"W60-160",220,"RR100-290",130,"RR100-370",120,"RR100-580",130,"RR100-850",64,"RR100-1050",55,"RR100-1550",40,100),IF(F273="200x4/4 (200 boc. ref.)",SWITCH(E273,"W60-050",640,"W60-080",560,"W60-160",440,"RR100-290",260,"RR100-370",240,"RR100-580",260,"RR100-850",128,"RR100-1050",110,"RR100-1550",80,200),IF(F273="100L eau (~20 boc.)",SWITCH(E273,"W60-050",60,"W60-080",50,"W60-160",40,"RR100-290",28,"RR100-370",24,"RR100-580",20,"RR100-850",12,"RR100-1050",10,"RR100-1550",6,15),"")))),"")</f>
        <v>#ERROR!</v>
      </c>
      <c r="I273" s="243" t="str">
        <f>IFERROR(IF(OR(H273="",G273=""),"",ROUND(H273*SWITCH(G273,"1/4",0.25,"1/2",0.5,"3/4",0.75,"Complet",1,1),0)),"")</f>
        <v>#ERROR!</v>
      </c>
      <c r="J273" s="227"/>
      <c r="K273" s="230" t="str">
        <f>IFERROR(J273/I273,"")</f>
        <v>#ERROR!</v>
      </c>
      <c r="L273" s="227"/>
      <c r="M273" s="227"/>
      <c r="N273" s="227"/>
      <c r="O273" s="227"/>
      <c r="P273" s="227"/>
      <c r="Q273" s="232" t="str">
        <f>IFERROR(IF(A273="","",A273+IFERROR(INDEX(Config!B:B,MATCH("DDM appertisation standard (mois)",Config!A:A,0)),36)*30),"")</f>
        <v>#ERROR!</v>
      </c>
      <c r="R273" s="227"/>
      <c r="S273" s="227"/>
      <c r="T273" s="233"/>
    </row>
    <row r="274" ht="16.5" customHeight="1">
      <c r="A274" s="242"/>
      <c r="B274" s="225" t="str">
        <f>IF(A274="","",IF(C274="","","LOT-"&amp;TEXT(A274,"YYYYMMDD")&amp;"-"&amp;TEXT(ROW()-3,"000")))</f>
        <v>#ERROR!</v>
      </c>
      <c r="C274" s="235"/>
      <c r="D274" s="235" t="str">
        <f>IFERROR(INDEX(Recettes!C:C,MATCH(C274,Recettes!B:B,0)),"")</f>
        <v>#ERROR!</v>
      </c>
      <c r="E274" s="235"/>
      <c r="F274" s="235"/>
      <c r="G274" s="235"/>
      <c r="H274" s="236" t="str">
        <f>IFERROR(IF(F274="","",IF(F274="100x4/4 (100 boc. ref.)",SWITCH(E274,"W60-050",320,"W60-080",280,"W60-160",220,"RR100-290",130,"RR100-370",120,"RR100-580",130,"RR100-850",64,"RR100-1050",55,"RR100-1550",40,100),IF(F274="200x4/4 (200 boc. ref.)",SWITCH(E274,"W60-050",640,"W60-080",560,"W60-160",440,"RR100-290",260,"RR100-370",240,"RR100-580",260,"RR100-850",128,"RR100-1050",110,"RR100-1550",80,200),IF(F274="100L eau (~20 boc.)",SWITCH(E274,"W60-050",60,"W60-080",50,"W60-160",40,"RR100-290",28,"RR100-370",24,"RR100-580",20,"RR100-850",12,"RR100-1050",10,"RR100-1550",6,15),"")))),"")</f>
        <v>#ERROR!</v>
      </c>
      <c r="I274" s="243" t="str">
        <f>IFERROR(IF(OR(H274="",G274=""),"",ROUND(H274*SWITCH(G274,"1/4",0.25,"1/2",0.5,"3/4",0.75,"Complet",1,1),0)),"")</f>
        <v>#ERROR!</v>
      </c>
      <c r="J274" s="235"/>
      <c r="K274" s="237" t="str">
        <f>IFERROR(J274/I274,"")</f>
        <v>#ERROR!</v>
      </c>
      <c r="L274" s="235"/>
      <c r="M274" s="235"/>
      <c r="N274" s="235"/>
      <c r="O274" s="235"/>
      <c r="P274" s="235"/>
      <c r="Q274" s="239" t="str">
        <f>IFERROR(IF(A274="","",A274+IFERROR(INDEX(Config!B:B,MATCH("DDM appertisation standard (mois)",Config!A:A,0)),36)*30),"")</f>
        <v>#ERROR!</v>
      </c>
      <c r="R274" s="235"/>
      <c r="S274" s="235"/>
      <c r="T274" s="240"/>
    </row>
    <row r="275" ht="16.5" customHeight="1">
      <c r="A275" s="242"/>
      <c r="B275" s="225" t="str">
        <f>IF(A275="","",IF(C275="","","LOT-"&amp;TEXT(A275,"YYYYMMDD")&amp;"-"&amp;TEXT(ROW()-3,"000")))</f>
        <v>#ERROR!</v>
      </c>
      <c r="C275" s="227"/>
      <c r="D275" s="227" t="str">
        <f>IFERROR(INDEX(Recettes!C:C,MATCH(C275,Recettes!B:B,0)),"")</f>
        <v>#ERROR!</v>
      </c>
      <c r="E275" s="227"/>
      <c r="F275" s="227"/>
      <c r="G275" s="227"/>
      <c r="H275" s="236" t="str">
        <f>IFERROR(IF(F275="","",IF(F275="100x4/4 (100 boc. ref.)",SWITCH(E275,"W60-050",320,"W60-080",280,"W60-160",220,"RR100-290",130,"RR100-370",120,"RR100-580",130,"RR100-850",64,"RR100-1050",55,"RR100-1550",40,100),IF(F275="200x4/4 (200 boc. ref.)",SWITCH(E275,"W60-050",640,"W60-080",560,"W60-160",440,"RR100-290",260,"RR100-370",240,"RR100-580",260,"RR100-850",128,"RR100-1050",110,"RR100-1550",80,200),IF(F275="100L eau (~20 boc.)",SWITCH(E275,"W60-050",60,"W60-080",50,"W60-160",40,"RR100-290",28,"RR100-370",24,"RR100-580",20,"RR100-850",12,"RR100-1050",10,"RR100-1550",6,15),"")))),"")</f>
        <v>#ERROR!</v>
      </c>
      <c r="I275" s="243" t="str">
        <f>IFERROR(IF(OR(H275="",G275=""),"",ROUND(H275*SWITCH(G275,"1/4",0.25,"1/2",0.5,"3/4",0.75,"Complet",1,1),0)),"")</f>
        <v>#ERROR!</v>
      </c>
      <c r="J275" s="227"/>
      <c r="K275" s="230" t="str">
        <f>IFERROR(J275/I275,"")</f>
        <v>#ERROR!</v>
      </c>
      <c r="L275" s="227"/>
      <c r="M275" s="227"/>
      <c r="N275" s="227"/>
      <c r="O275" s="227"/>
      <c r="P275" s="227"/>
      <c r="Q275" s="232" t="str">
        <f>IFERROR(IF(A275="","",A275+IFERROR(INDEX(Config!B:B,MATCH("DDM appertisation standard (mois)",Config!A:A,0)),36)*30),"")</f>
        <v>#ERROR!</v>
      </c>
      <c r="R275" s="227"/>
      <c r="S275" s="227"/>
      <c r="T275" s="233"/>
    </row>
    <row r="276" ht="16.5" customHeight="1">
      <c r="A276" s="242"/>
      <c r="B276" s="225" t="str">
        <f>IF(A276="","",IF(C276="","","LOT-"&amp;TEXT(A276,"YYYYMMDD")&amp;"-"&amp;TEXT(ROW()-3,"000")))</f>
        <v>#ERROR!</v>
      </c>
      <c r="C276" s="235"/>
      <c r="D276" s="235" t="str">
        <f>IFERROR(INDEX(Recettes!C:C,MATCH(C276,Recettes!B:B,0)),"")</f>
        <v>#ERROR!</v>
      </c>
      <c r="E276" s="235"/>
      <c r="F276" s="235"/>
      <c r="G276" s="235"/>
      <c r="H276" s="236" t="str">
        <f>IFERROR(IF(F276="","",IF(F276="100x4/4 (100 boc. ref.)",SWITCH(E276,"W60-050",320,"W60-080",280,"W60-160",220,"RR100-290",130,"RR100-370",120,"RR100-580",130,"RR100-850",64,"RR100-1050",55,"RR100-1550",40,100),IF(F276="200x4/4 (200 boc. ref.)",SWITCH(E276,"W60-050",640,"W60-080",560,"W60-160",440,"RR100-290",260,"RR100-370",240,"RR100-580",260,"RR100-850",128,"RR100-1050",110,"RR100-1550",80,200),IF(F276="100L eau (~20 boc.)",SWITCH(E276,"W60-050",60,"W60-080",50,"W60-160",40,"RR100-290",28,"RR100-370",24,"RR100-580",20,"RR100-850",12,"RR100-1050",10,"RR100-1550",6,15),"")))),"")</f>
        <v>#ERROR!</v>
      </c>
      <c r="I276" s="243" t="str">
        <f>IFERROR(IF(OR(H276="",G276=""),"",ROUND(H276*SWITCH(G276,"1/4",0.25,"1/2",0.5,"3/4",0.75,"Complet",1,1),0)),"")</f>
        <v>#ERROR!</v>
      </c>
      <c r="J276" s="235"/>
      <c r="K276" s="237" t="str">
        <f>IFERROR(J276/I276,"")</f>
        <v>#ERROR!</v>
      </c>
      <c r="L276" s="235"/>
      <c r="M276" s="235"/>
      <c r="N276" s="235"/>
      <c r="O276" s="235"/>
      <c r="P276" s="235"/>
      <c r="Q276" s="239" t="str">
        <f>IFERROR(IF(A276="","",A276+IFERROR(INDEX(Config!B:B,MATCH("DDM appertisation standard (mois)",Config!A:A,0)),36)*30),"")</f>
        <v>#ERROR!</v>
      </c>
      <c r="R276" s="235"/>
      <c r="S276" s="235"/>
      <c r="T276" s="240"/>
    </row>
    <row r="277" ht="16.5" customHeight="1">
      <c r="A277" s="242"/>
      <c r="B277" s="225" t="str">
        <f>IF(A277="","",IF(C277="","","LOT-"&amp;TEXT(A277,"YYYYMMDD")&amp;"-"&amp;TEXT(ROW()-3,"000")))</f>
        <v>#ERROR!</v>
      </c>
      <c r="C277" s="227"/>
      <c r="D277" s="227" t="str">
        <f>IFERROR(INDEX(Recettes!C:C,MATCH(C277,Recettes!B:B,0)),"")</f>
        <v>#ERROR!</v>
      </c>
      <c r="E277" s="227"/>
      <c r="F277" s="227"/>
      <c r="G277" s="227"/>
      <c r="H277" s="236" t="str">
        <f>IFERROR(IF(F277="","",IF(F277="100x4/4 (100 boc. ref.)",SWITCH(E277,"W60-050",320,"W60-080",280,"W60-160",220,"RR100-290",130,"RR100-370",120,"RR100-580",130,"RR100-850",64,"RR100-1050",55,"RR100-1550",40,100),IF(F277="200x4/4 (200 boc. ref.)",SWITCH(E277,"W60-050",640,"W60-080",560,"W60-160",440,"RR100-290",260,"RR100-370",240,"RR100-580",260,"RR100-850",128,"RR100-1050",110,"RR100-1550",80,200),IF(F277="100L eau (~20 boc.)",SWITCH(E277,"W60-050",60,"W60-080",50,"W60-160",40,"RR100-290",28,"RR100-370",24,"RR100-580",20,"RR100-850",12,"RR100-1050",10,"RR100-1550",6,15),"")))),"")</f>
        <v>#ERROR!</v>
      </c>
      <c r="I277" s="243" t="str">
        <f>IFERROR(IF(OR(H277="",G277=""),"",ROUND(H277*SWITCH(G277,"1/4",0.25,"1/2",0.5,"3/4",0.75,"Complet",1,1),0)),"")</f>
        <v>#ERROR!</v>
      </c>
      <c r="J277" s="227"/>
      <c r="K277" s="230" t="str">
        <f>IFERROR(J277/I277,"")</f>
        <v>#ERROR!</v>
      </c>
      <c r="L277" s="227"/>
      <c r="M277" s="227"/>
      <c r="N277" s="227"/>
      <c r="O277" s="227"/>
      <c r="P277" s="227"/>
      <c r="Q277" s="232" t="str">
        <f>IFERROR(IF(A277="","",A277+IFERROR(INDEX(Config!B:B,MATCH("DDM appertisation standard (mois)",Config!A:A,0)),36)*30),"")</f>
        <v>#ERROR!</v>
      </c>
      <c r="R277" s="227"/>
      <c r="S277" s="227"/>
      <c r="T277" s="233"/>
    </row>
    <row r="278" ht="16.5" customHeight="1">
      <c r="A278" s="242"/>
      <c r="B278" s="225" t="str">
        <f>IF(A278="","",IF(C278="","","LOT-"&amp;TEXT(A278,"YYYYMMDD")&amp;"-"&amp;TEXT(ROW()-3,"000")))</f>
        <v>#ERROR!</v>
      </c>
      <c r="C278" s="235"/>
      <c r="D278" s="235" t="str">
        <f>IFERROR(INDEX(Recettes!C:C,MATCH(C278,Recettes!B:B,0)),"")</f>
        <v>#ERROR!</v>
      </c>
      <c r="E278" s="235"/>
      <c r="F278" s="235"/>
      <c r="G278" s="235"/>
      <c r="H278" s="236" t="str">
        <f>IFERROR(IF(F278="","",IF(F278="100x4/4 (100 boc. ref.)",SWITCH(E278,"W60-050",320,"W60-080",280,"W60-160",220,"RR100-290",130,"RR100-370",120,"RR100-580",130,"RR100-850",64,"RR100-1050",55,"RR100-1550",40,100),IF(F278="200x4/4 (200 boc. ref.)",SWITCH(E278,"W60-050",640,"W60-080",560,"W60-160",440,"RR100-290",260,"RR100-370",240,"RR100-580",260,"RR100-850",128,"RR100-1050",110,"RR100-1550",80,200),IF(F278="100L eau (~20 boc.)",SWITCH(E278,"W60-050",60,"W60-080",50,"W60-160",40,"RR100-290",28,"RR100-370",24,"RR100-580",20,"RR100-850",12,"RR100-1050",10,"RR100-1550",6,15),"")))),"")</f>
        <v>#ERROR!</v>
      </c>
      <c r="I278" s="243" t="str">
        <f>IFERROR(IF(OR(H278="",G278=""),"",ROUND(H278*SWITCH(G278,"1/4",0.25,"1/2",0.5,"3/4",0.75,"Complet",1,1),0)),"")</f>
        <v>#ERROR!</v>
      </c>
      <c r="J278" s="235"/>
      <c r="K278" s="237" t="str">
        <f>IFERROR(J278/I278,"")</f>
        <v>#ERROR!</v>
      </c>
      <c r="L278" s="235"/>
      <c r="M278" s="235"/>
      <c r="N278" s="235"/>
      <c r="O278" s="235"/>
      <c r="P278" s="235"/>
      <c r="Q278" s="239" t="str">
        <f>IFERROR(IF(A278="","",A278+IFERROR(INDEX(Config!B:B,MATCH("DDM appertisation standard (mois)",Config!A:A,0)),36)*30),"")</f>
        <v>#ERROR!</v>
      </c>
      <c r="R278" s="235"/>
      <c r="S278" s="235"/>
      <c r="T278" s="240"/>
    </row>
    <row r="279" ht="16.5" customHeight="1">
      <c r="A279" s="242"/>
      <c r="B279" s="225" t="str">
        <f>IF(A279="","",IF(C279="","","LOT-"&amp;TEXT(A279,"YYYYMMDD")&amp;"-"&amp;TEXT(ROW()-3,"000")))</f>
        <v>#ERROR!</v>
      </c>
      <c r="C279" s="227"/>
      <c r="D279" s="227" t="str">
        <f>IFERROR(INDEX(Recettes!C:C,MATCH(C279,Recettes!B:B,0)),"")</f>
        <v>#ERROR!</v>
      </c>
      <c r="E279" s="227"/>
      <c r="F279" s="227"/>
      <c r="G279" s="227"/>
      <c r="H279" s="236" t="str">
        <f>IFERROR(IF(F279="","",IF(F279="100x4/4 (100 boc. ref.)",SWITCH(E279,"W60-050",320,"W60-080",280,"W60-160",220,"RR100-290",130,"RR100-370",120,"RR100-580",130,"RR100-850",64,"RR100-1050",55,"RR100-1550",40,100),IF(F279="200x4/4 (200 boc. ref.)",SWITCH(E279,"W60-050",640,"W60-080",560,"W60-160",440,"RR100-290",260,"RR100-370",240,"RR100-580",260,"RR100-850",128,"RR100-1050",110,"RR100-1550",80,200),IF(F279="100L eau (~20 boc.)",SWITCH(E279,"W60-050",60,"W60-080",50,"W60-160",40,"RR100-290",28,"RR100-370",24,"RR100-580",20,"RR100-850",12,"RR100-1050",10,"RR100-1550",6,15),"")))),"")</f>
        <v>#ERROR!</v>
      </c>
      <c r="I279" s="243" t="str">
        <f>IFERROR(IF(OR(H279="",G279=""),"",ROUND(H279*SWITCH(G279,"1/4",0.25,"1/2",0.5,"3/4",0.75,"Complet",1,1),0)),"")</f>
        <v>#ERROR!</v>
      </c>
      <c r="J279" s="227"/>
      <c r="K279" s="230" t="str">
        <f>IFERROR(J279/I279,"")</f>
        <v>#ERROR!</v>
      </c>
      <c r="L279" s="227"/>
      <c r="M279" s="227"/>
      <c r="N279" s="227"/>
      <c r="O279" s="227"/>
      <c r="P279" s="227"/>
      <c r="Q279" s="232" t="str">
        <f>IFERROR(IF(A279="","",A279+IFERROR(INDEX(Config!B:B,MATCH("DDM appertisation standard (mois)",Config!A:A,0)),36)*30),"")</f>
        <v>#ERROR!</v>
      </c>
      <c r="R279" s="227"/>
      <c r="S279" s="227"/>
      <c r="T279" s="233"/>
    </row>
    <row r="280" ht="16.5" customHeight="1">
      <c r="A280" s="242"/>
      <c r="B280" s="225" t="str">
        <f>IF(A280="","",IF(C280="","","LOT-"&amp;TEXT(A280,"YYYYMMDD")&amp;"-"&amp;TEXT(ROW()-3,"000")))</f>
        <v>#ERROR!</v>
      </c>
      <c r="C280" s="235"/>
      <c r="D280" s="235" t="str">
        <f>IFERROR(INDEX(Recettes!C:C,MATCH(C280,Recettes!B:B,0)),"")</f>
        <v>#ERROR!</v>
      </c>
      <c r="E280" s="235"/>
      <c r="F280" s="235"/>
      <c r="G280" s="235"/>
      <c r="H280" s="236" t="str">
        <f>IFERROR(IF(F280="","",IF(F280="100x4/4 (100 boc. ref.)",SWITCH(E280,"W60-050",320,"W60-080",280,"W60-160",220,"RR100-290",130,"RR100-370",120,"RR100-580",130,"RR100-850",64,"RR100-1050",55,"RR100-1550",40,100),IF(F280="200x4/4 (200 boc. ref.)",SWITCH(E280,"W60-050",640,"W60-080",560,"W60-160",440,"RR100-290",260,"RR100-370",240,"RR100-580",260,"RR100-850",128,"RR100-1050",110,"RR100-1550",80,200),IF(F280="100L eau (~20 boc.)",SWITCH(E280,"W60-050",60,"W60-080",50,"W60-160",40,"RR100-290",28,"RR100-370",24,"RR100-580",20,"RR100-850",12,"RR100-1050",10,"RR100-1550",6,15),"")))),"")</f>
        <v>#ERROR!</v>
      </c>
      <c r="I280" s="243" t="str">
        <f>IFERROR(IF(OR(H280="",G280=""),"",ROUND(H280*SWITCH(G280,"1/4",0.25,"1/2",0.5,"3/4",0.75,"Complet",1,1),0)),"")</f>
        <v>#ERROR!</v>
      </c>
      <c r="J280" s="235"/>
      <c r="K280" s="237" t="str">
        <f>IFERROR(J280/I280,"")</f>
        <v>#ERROR!</v>
      </c>
      <c r="L280" s="235"/>
      <c r="M280" s="235"/>
      <c r="N280" s="235"/>
      <c r="O280" s="235"/>
      <c r="P280" s="235"/>
      <c r="Q280" s="239" t="str">
        <f>IFERROR(IF(A280="","",A280+IFERROR(INDEX(Config!B:B,MATCH("DDM appertisation standard (mois)",Config!A:A,0)),36)*30),"")</f>
        <v>#ERROR!</v>
      </c>
      <c r="R280" s="235"/>
      <c r="S280" s="235"/>
      <c r="T280" s="240"/>
    </row>
    <row r="281" ht="16.5" customHeight="1">
      <c r="A281" s="242"/>
      <c r="B281" s="225" t="str">
        <f>IF(A281="","",IF(C281="","","LOT-"&amp;TEXT(A281,"YYYYMMDD")&amp;"-"&amp;TEXT(ROW()-3,"000")))</f>
        <v>#ERROR!</v>
      </c>
      <c r="C281" s="227"/>
      <c r="D281" s="227" t="str">
        <f>IFERROR(INDEX(Recettes!C:C,MATCH(C281,Recettes!B:B,0)),"")</f>
        <v>#ERROR!</v>
      </c>
      <c r="E281" s="227"/>
      <c r="F281" s="227"/>
      <c r="G281" s="227"/>
      <c r="H281" s="236" t="str">
        <f>IFERROR(IF(F281="","",IF(F281="100x4/4 (100 boc. ref.)",SWITCH(E281,"W60-050",320,"W60-080",280,"W60-160",220,"RR100-290",130,"RR100-370",120,"RR100-580",130,"RR100-850",64,"RR100-1050",55,"RR100-1550",40,100),IF(F281="200x4/4 (200 boc. ref.)",SWITCH(E281,"W60-050",640,"W60-080",560,"W60-160",440,"RR100-290",260,"RR100-370",240,"RR100-580",260,"RR100-850",128,"RR100-1050",110,"RR100-1550",80,200),IF(F281="100L eau (~20 boc.)",SWITCH(E281,"W60-050",60,"W60-080",50,"W60-160",40,"RR100-290",28,"RR100-370",24,"RR100-580",20,"RR100-850",12,"RR100-1050",10,"RR100-1550",6,15),"")))),"")</f>
        <v>#ERROR!</v>
      </c>
      <c r="I281" s="243" t="str">
        <f>IFERROR(IF(OR(H281="",G281=""),"",ROUND(H281*SWITCH(G281,"1/4",0.25,"1/2",0.5,"3/4",0.75,"Complet",1,1),0)),"")</f>
        <v>#ERROR!</v>
      </c>
      <c r="J281" s="227"/>
      <c r="K281" s="230" t="str">
        <f>IFERROR(J281/I281,"")</f>
        <v>#ERROR!</v>
      </c>
      <c r="L281" s="227"/>
      <c r="M281" s="227"/>
      <c r="N281" s="227"/>
      <c r="O281" s="227"/>
      <c r="P281" s="227"/>
      <c r="Q281" s="232" t="str">
        <f>IFERROR(IF(A281="","",A281+IFERROR(INDEX(Config!B:B,MATCH("DDM appertisation standard (mois)",Config!A:A,0)),36)*30),"")</f>
        <v>#ERROR!</v>
      </c>
      <c r="R281" s="227"/>
      <c r="S281" s="227"/>
      <c r="T281" s="233"/>
    </row>
    <row r="282" ht="16.5" customHeight="1">
      <c r="A282" s="242"/>
      <c r="B282" s="225" t="str">
        <f>IF(A282="","",IF(C282="","","LOT-"&amp;TEXT(A282,"YYYYMMDD")&amp;"-"&amp;TEXT(ROW()-3,"000")))</f>
        <v>#ERROR!</v>
      </c>
      <c r="C282" s="235"/>
      <c r="D282" s="235" t="str">
        <f>IFERROR(INDEX(Recettes!C:C,MATCH(C282,Recettes!B:B,0)),"")</f>
        <v>#ERROR!</v>
      </c>
      <c r="E282" s="235"/>
      <c r="F282" s="235"/>
      <c r="G282" s="235"/>
      <c r="H282" s="236" t="str">
        <f>IFERROR(IF(F282="","",IF(F282="100x4/4 (100 boc. ref.)",SWITCH(E282,"W60-050",320,"W60-080",280,"W60-160",220,"RR100-290",130,"RR100-370",120,"RR100-580",130,"RR100-850",64,"RR100-1050",55,"RR100-1550",40,100),IF(F282="200x4/4 (200 boc. ref.)",SWITCH(E282,"W60-050",640,"W60-080",560,"W60-160",440,"RR100-290",260,"RR100-370",240,"RR100-580",260,"RR100-850",128,"RR100-1050",110,"RR100-1550",80,200),IF(F282="100L eau (~20 boc.)",SWITCH(E282,"W60-050",60,"W60-080",50,"W60-160",40,"RR100-290",28,"RR100-370",24,"RR100-580",20,"RR100-850",12,"RR100-1050",10,"RR100-1550",6,15),"")))),"")</f>
        <v>#ERROR!</v>
      </c>
      <c r="I282" s="243" t="str">
        <f>IFERROR(IF(OR(H282="",G282=""),"",ROUND(H282*SWITCH(G282,"1/4",0.25,"1/2",0.5,"3/4",0.75,"Complet",1,1),0)),"")</f>
        <v>#ERROR!</v>
      </c>
      <c r="J282" s="235"/>
      <c r="K282" s="237" t="str">
        <f>IFERROR(J282/I282,"")</f>
        <v>#ERROR!</v>
      </c>
      <c r="L282" s="235"/>
      <c r="M282" s="235"/>
      <c r="N282" s="235"/>
      <c r="O282" s="235"/>
      <c r="P282" s="235"/>
      <c r="Q282" s="239" t="str">
        <f>IFERROR(IF(A282="","",A282+IFERROR(INDEX(Config!B:B,MATCH("DDM appertisation standard (mois)",Config!A:A,0)),36)*30),"")</f>
        <v>#ERROR!</v>
      </c>
      <c r="R282" s="235"/>
      <c r="S282" s="235"/>
      <c r="T282" s="240"/>
    </row>
    <row r="283" ht="16.5" customHeight="1">
      <c r="A283" s="242"/>
      <c r="B283" s="225" t="str">
        <f>IF(A283="","",IF(C283="","","LOT-"&amp;TEXT(A283,"YYYYMMDD")&amp;"-"&amp;TEXT(ROW()-3,"000")))</f>
        <v>#ERROR!</v>
      </c>
      <c r="C283" s="227"/>
      <c r="D283" s="227" t="str">
        <f>IFERROR(INDEX(Recettes!C:C,MATCH(C283,Recettes!B:B,0)),"")</f>
        <v>#ERROR!</v>
      </c>
      <c r="E283" s="227"/>
      <c r="F283" s="227"/>
      <c r="G283" s="227"/>
      <c r="H283" s="236" t="str">
        <f>IFERROR(IF(F283="","",IF(F283="100x4/4 (100 boc. ref.)",SWITCH(E283,"W60-050",320,"W60-080",280,"W60-160",220,"RR100-290",130,"RR100-370",120,"RR100-580",130,"RR100-850",64,"RR100-1050",55,"RR100-1550",40,100),IF(F283="200x4/4 (200 boc. ref.)",SWITCH(E283,"W60-050",640,"W60-080",560,"W60-160",440,"RR100-290",260,"RR100-370",240,"RR100-580",260,"RR100-850",128,"RR100-1050",110,"RR100-1550",80,200),IF(F283="100L eau (~20 boc.)",SWITCH(E283,"W60-050",60,"W60-080",50,"W60-160",40,"RR100-290",28,"RR100-370",24,"RR100-580",20,"RR100-850",12,"RR100-1050",10,"RR100-1550",6,15),"")))),"")</f>
        <v>#ERROR!</v>
      </c>
      <c r="I283" s="243" t="str">
        <f>IFERROR(IF(OR(H283="",G283=""),"",ROUND(H283*SWITCH(G283,"1/4",0.25,"1/2",0.5,"3/4",0.75,"Complet",1,1),0)),"")</f>
        <v>#ERROR!</v>
      </c>
      <c r="J283" s="227"/>
      <c r="K283" s="230" t="str">
        <f>IFERROR(J283/I283,"")</f>
        <v>#ERROR!</v>
      </c>
      <c r="L283" s="227"/>
      <c r="M283" s="227"/>
      <c r="N283" s="227"/>
      <c r="O283" s="227"/>
      <c r="P283" s="227"/>
      <c r="Q283" s="232" t="str">
        <f>IFERROR(IF(A283="","",A283+IFERROR(INDEX(Config!B:B,MATCH("DDM appertisation standard (mois)",Config!A:A,0)),36)*30),"")</f>
        <v>#ERROR!</v>
      </c>
      <c r="R283" s="227"/>
      <c r="S283" s="227"/>
      <c r="T283" s="233"/>
    </row>
    <row r="284" ht="16.5" customHeight="1">
      <c r="A284" s="242"/>
      <c r="B284" s="225" t="str">
        <f>IF(A284="","",IF(C284="","","LOT-"&amp;TEXT(A284,"YYYYMMDD")&amp;"-"&amp;TEXT(ROW()-3,"000")))</f>
        <v>#ERROR!</v>
      </c>
      <c r="C284" s="235"/>
      <c r="D284" s="235" t="str">
        <f>IFERROR(INDEX(Recettes!C:C,MATCH(C284,Recettes!B:B,0)),"")</f>
        <v>#ERROR!</v>
      </c>
      <c r="E284" s="235"/>
      <c r="F284" s="235"/>
      <c r="G284" s="235"/>
      <c r="H284" s="236" t="str">
        <f>IFERROR(IF(F284="","",IF(F284="100x4/4 (100 boc. ref.)",SWITCH(E284,"W60-050",320,"W60-080",280,"W60-160",220,"RR100-290",130,"RR100-370",120,"RR100-580",130,"RR100-850",64,"RR100-1050",55,"RR100-1550",40,100),IF(F284="200x4/4 (200 boc. ref.)",SWITCH(E284,"W60-050",640,"W60-080",560,"W60-160",440,"RR100-290",260,"RR100-370",240,"RR100-580",260,"RR100-850",128,"RR100-1050",110,"RR100-1550",80,200),IF(F284="100L eau (~20 boc.)",SWITCH(E284,"W60-050",60,"W60-080",50,"W60-160",40,"RR100-290",28,"RR100-370",24,"RR100-580",20,"RR100-850",12,"RR100-1050",10,"RR100-1550",6,15),"")))),"")</f>
        <v>#ERROR!</v>
      </c>
      <c r="I284" s="243" t="str">
        <f>IFERROR(IF(OR(H284="",G284=""),"",ROUND(H284*SWITCH(G284,"1/4",0.25,"1/2",0.5,"3/4",0.75,"Complet",1,1),0)),"")</f>
        <v>#ERROR!</v>
      </c>
      <c r="J284" s="235"/>
      <c r="K284" s="237" t="str">
        <f>IFERROR(J284/I284,"")</f>
        <v>#ERROR!</v>
      </c>
      <c r="L284" s="235"/>
      <c r="M284" s="235"/>
      <c r="N284" s="235"/>
      <c r="O284" s="235"/>
      <c r="P284" s="235"/>
      <c r="Q284" s="239" t="str">
        <f>IFERROR(IF(A284="","",A284+IFERROR(INDEX(Config!B:B,MATCH("DDM appertisation standard (mois)",Config!A:A,0)),36)*30),"")</f>
        <v>#ERROR!</v>
      </c>
      <c r="R284" s="235"/>
      <c r="S284" s="235"/>
      <c r="T284" s="240"/>
    </row>
    <row r="285" ht="16.5" customHeight="1">
      <c r="A285" s="242"/>
      <c r="B285" s="225" t="str">
        <f>IF(A285="","",IF(C285="","","LOT-"&amp;TEXT(A285,"YYYYMMDD")&amp;"-"&amp;TEXT(ROW()-3,"000")))</f>
        <v>#ERROR!</v>
      </c>
      <c r="C285" s="227"/>
      <c r="D285" s="227" t="str">
        <f>IFERROR(INDEX(Recettes!C:C,MATCH(C285,Recettes!B:B,0)),"")</f>
        <v>#ERROR!</v>
      </c>
      <c r="E285" s="227"/>
      <c r="F285" s="227"/>
      <c r="G285" s="227"/>
      <c r="H285" s="236" t="str">
        <f>IFERROR(IF(F285="","",IF(F285="100x4/4 (100 boc. ref.)",SWITCH(E285,"W60-050",320,"W60-080",280,"W60-160",220,"RR100-290",130,"RR100-370",120,"RR100-580",130,"RR100-850",64,"RR100-1050",55,"RR100-1550",40,100),IF(F285="200x4/4 (200 boc. ref.)",SWITCH(E285,"W60-050",640,"W60-080",560,"W60-160",440,"RR100-290",260,"RR100-370",240,"RR100-580",260,"RR100-850",128,"RR100-1050",110,"RR100-1550",80,200),IF(F285="100L eau (~20 boc.)",SWITCH(E285,"W60-050",60,"W60-080",50,"W60-160",40,"RR100-290",28,"RR100-370",24,"RR100-580",20,"RR100-850",12,"RR100-1050",10,"RR100-1550",6,15),"")))),"")</f>
        <v>#ERROR!</v>
      </c>
      <c r="I285" s="243" t="str">
        <f>IFERROR(IF(OR(H285="",G285=""),"",ROUND(H285*SWITCH(G285,"1/4",0.25,"1/2",0.5,"3/4",0.75,"Complet",1,1),0)),"")</f>
        <v>#ERROR!</v>
      </c>
      <c r="J285" s="227"/>
      <c r="K285" s="230" t="str">
        <f>IFERROR(J285/I285,"")</f>
        <v>#ERROR!</v>
      </c>
      <c r="L285" s="227"/>
      <c r="M285" s="227"/>
      <c r="N285" s="227"/>
      <c r="O285" s="227"/>
      <c r="P285" s="227"/>
      <c r="Q285" s="232" t="str">
        <f>IFERROR(IF(A285="","",A285+IFERROR(INDEX(Config!B:B,MATCH("DDM appertisation standard (mois)",Config!A:A,0)),36)*30),"")</f>
        <v>#ERROR!</v>
      </c>
      <c r="R285" s="227"/>
      <c r="S285" s="227"/>
      <c r="T285" s="233"/>
    </row>
    <row r="286" ht="16.5" customHeight="1">
      <c r="A286" s="242"/>
      <c r="B286" s="225" t="str">
        <f>IF(A286="","",IF(C286="","","LOT-"&amp;TEXT(A286,"YYYYMMDD")&amp;"-"&amp;TEXT(ROW()-3,"000")))</f>
        <v>#ERROR!</v>
      </c>
      <c r="C286" s="235"/>
      <c r="D286" s="235" t="str">
        <f>IFERROR(INDEX(Recettes!C:C,MATCH(C286,Recettes!B:B,0)),"")</f>
        <v>#ERROR!</v>
      </c>
      <c r="E286" s="235"/>
      <c r="F286" s="235"/>
      <c r="G286" s="235"/>
      <c r="H286" s="236" t="str">
        <f>IFERROR(IF(F286="","",IF(F286="100x4/4 (100 boc. ref.)",SWITCH(E286,"W60-050",320,"W60-080",280,"W60-160",220,"RR100-290",130,"RR100-370",120,"RR100-580",130,"RR100-850",64,"RR100-1050",55,"RR100-1550",40,100),IF(F286="200x4/4 (200 boc. ref.)",SWITCH(E286,"W60-050",640,"W60-080",560,"W60-160",440,"RR100-290",260,"RR100-370",240,"RR100-580",260,"RR100-850",128,"RR100-1050",110,"RR100-1550",80,200),IF(F286="100L eau (~20 boc.)",SWITCH(E286,"W60-050",60,"W60-080",50,"W60-160",40,"RR100-290",28,"RR100-370",24,"RR100-580",20,"RR100-850",12,"RR100-1050",10,"RR100-1550",6,15),"")))),"")</f>
        <v>#ERROR!</v>
      </c>
      <c r="I286" s="243" t="str">
        <f>IFERROR(IF(OR(H286="",G286=""),"",ROUND(H286*SWITCH(G286,"1/4",0.25,"1/2",0.5,"3/4",0.75,"Complet",1,1),0)),"")</f>
        <v>#ERROR!</v>
      </c>
      <c r="J286" s="235"/>
      <c r="K286" s="237" t="str">
        <f>IFERROR(J286/I286,"")</f>
        <v>#ERROR!</v>
      </c>
      <c r="L286" s="235"/>
      <c r="M286" s="235"/>
      <c r="N286" s="235"/>
      <c r="O286" s="235"/>
      <c r="P286" s="235"/>
      <c r="Q286" s="239" t="str">
        <f>IFERROR(IF(A286="","",A286+IFERROR(INDEX(Config!B:B,MATCH("DDM appertisation standard (mois)",Config!A:A,0)),36)*30),"")</f>
        <v>#ERROR!</v>
      </c>
      <c r="R286" s="235"/>
      <c r="S286" s="235"/>
      <c r="T286" s="240"/>
    </row>
    <row r="287" ht="16.5" customHeight="1">
      <c r="A287" s="242"/>
      <c r="B287" s="225" t="str">
        <f>IF(A287="","",IF(C287="","","LOT-"&amp;TEXT(A287,"YYYYMMDD")&amp;"-"&amp;TEXT(ROW()-3,"000")))</f>
        <v>#ERROR!</v>
      </c>
      <c r="C287" s="227"/>
      <c r="D287" s="227" t="str">
        <f>IFERROR(INDEX(Recettes!C:C,MATCH(C287,Recettes!B:B,0)),"")</f>
        <v>#ERROR!</v>
      </c>
      <c r="E287" s="227"/>
      <c r="F287" s="227"/>
      <c r="G287" s="227"/>
      <c r="H287" s="236" t="str">
        <f>IFERROR(IF(F287="","",IF(F287="100x4/4 (100 boc. ref.)",SWITCH(E287,"W60-050",320,"W60-080",280,"W60-160",220,"RR100-290",130,"RR100-370",120,"RR100-580",130,"RR100-850",64,"RR100-1050",55,"RR100-1550",40,100),IF(F287="200x4/4 (200 boc. ref.)",SWITCH(E287,"W60-050",640,"W60-080",560,"W60-160",440,"RR100-290",260,"RR100-370",240,"RR100-580",260,"RR100-850",128,"RR100-1050",110,"RR100-1550",80,200),IF(F287="100L eau (~20 boc.)",SWITCH(E287,"W60-050",60,"W60-080",50,"W60-160",40,"RR100-290",28,"RR100-370",24,"RR100-580",20,"RR100-850",12,"RR100-1050",10,"RR100-1550",6,15),"")))),"")</f>
        <v>#ERROR!</v>
      </c>
      <c r="I287" s="243" t="str">
        <f>IFERROR(IF(OR(H287="",G287=""),"",ROUND(H287*SWITCH(G287,"1/4",0.25,"1/2",0.5,"3/4",0.75,"Complet",1,1),0)),"")</f>
        <v>#ERROR!</v>
      </c>
      <c r="J287" s="227"/>
      <c r="K287" s="230" t="str">
        <f>IFERROR(J287/I287,"")</f>
        <v>#ERROR!</v>
      </c>
      <c r="L287" s="227"/>
      <c r="M287" s="227"/>
      <c r="N287" s="227"/>
      <c r="O287" s="227"/>
      <c r="P287" s="227"/>
      <c r="Q287" s="232" t="str">
        <f>IFERROR(IF(A287="","",A287+IFERROR(INDEX(Config!B:B,MATCH("DDM appertisation standard (mois)",Config!A:A,0)),36)*30),"")</f>
        <v>#ERROR!</v>
      </c>
      <c r="R287" s="227"/>
      <c r="S287" s="227"/>
      <c r="T287" s="233"/>
    </row>
    <row r="288" ht="16.5" customHeight="1">
      <c r="A288" s="242"/>
      <c r="B288" s="225" t="str">
        <f>IF(A288="","",IF(C288="","","LOT-"&amp;TEXT(A288,"YYYYMMDD")&amp;"-"&amp;TEXT(ROW()-3,"000")))</f>
        <v>#ERROR!</v>
      </c>
      <c r="C288" s="235"/>
      <c r="D288" s="235" t="str">
        <f>IFERROR(INDEX(Recettes!C:C,MATCH(C288,Recettes!B:B,0)),"")</f>
        <v>#ERROR!</v>
      </c>
      <c r="E288" s="235"/>
      <c r="F288" s="235"/>
      <c r="G288" s="235"/>
      <c r="H288" s="236" t="str">
        <f>IFERROR(IF(F288="","",IF(F288="100x4/4 (100 boc. ref.)",SWITCH(E288,"W60-050",320,"W60-080",280,"W60-160",220,"RR100-290",130,"RR100-370",120,"RR100-580",130,"RR100-850",64,"RR100-1050",55,"RR100-1550",40,100),IF(F288="200x4/4 (200 boc. ref.)",SWITCH(E288,"W60-050",640,"W60-080",560,"W60-160",440,"RR100-290",260,"RR100-370",240,"RR100-580",260,"RR100-850",128,"RR100-1050",110,"RR100-1550",80,200),IF(F288="100L eau (~20 boc.)",SWITCH(E288,"W60-050",60,"W60-080",50,"W60-160",40,"RR100-290",28,"RR100-370",24,"RR100-580",20,"RR100-850",12,"RR100-1050",10,"RR100-1550",6,15),"")))),"")</f>
        <v>#ERROR!</v>
      </c>
      <c r="I288" s="243" t="str">
        <f>IFERROR(IF(OR(H288="",G288=""),"",ROUND(H288*SWITCH(G288,"1/4",0.25,"1/2",0.5,"3/4",0.75,"Complet",1,1),0)),"")</f>
        <v>#ERROR!</v>
      </c>
      <c r="J288" s="235"/>
      <c r="K288" s="237" t="str">
        <f>IFERROR(J288/I288,"")</f>
        <v>#ERROR!</v>
      </c>
      <c r="L288" s="235"/>
      <c r="M288" s="235"/>
      <c r="N288" s="235"/>
      <c r="O288" s="235"/>
      <c r="P288" s="235"/>
      <c r="Q288" s="239" t="str">
        <f>IFERROR(IF(A288="","",A288+IFERROR(INDEX(Config!B:B,MATCH("DDM appertisation standard (mois)",Config!A:A,0)),36)*30),"")</f>
        <v>#ERROR!</v>
      </c>
      <c r="R288" s="235"/>
      <c r="S288" s="235"/>
      <c r="T288" s="240"/>
    </row>
    <row r="289" ht="16.5" customHeight="1">
      <c r="A289" s="242"/>
      <c r="B289" s="225" t="str">
        <f>IF(A289="","",IF(C289="","","LOT-"&amp;TEXT(A289,"YYYYMMDD")&amp;"-"&amp;TEXT(ROW()-3,"000")))</f>
        <v>#ERROR!</v>
      </c>
      <c r="C289" s="227"/>
      <c r="D289" s="227" t="str">
        <f>IFERROR(INDEX(Recettes!C:C,MATCH(C289,Recettes!B:B,0)),"")</f>
        <v>#ERROR!</v>
      </c>
      <c r="E289" s="227"/>
      <c r="F289" s="227"/>
      <c r="G289" s="227"/>
      <c r="H289" s="236" t="str">
        <f>IFERROR(IF(F289="","",IF(F289="100x4/4 (100 boc. ref.)",SWITCH(E289,"W60-050",320,"W60-080",280,"W60-160",220,"RR100-290",130,"RR100-370",120,"RR100-580",130,"RR100-850",64,"RR100-1050",55,"RR100-1550",40,100),IF(F289="200x4/4 (200 boc. ref.)",SWITCH(E289,"W60-050",640,"W60-080",560,"W60-160",440,"RR100-290",260,"RR100-370",240,"RR100-580",260,"RR100-850",128,"RR100-1050",110,"RR100-1550",80,200),IF(F289="100L eau (~20 boc.)",SWITCH(E289,"W60-050",60,"W60-080",50,"W60-160",40,"RR100-290",28,"RR100-370",24,"RR100-580",20,"RR100-850",12,"RR100-1050",10,"RR100-1550",6,15),"")))),"")</f>
        <v>#ERROR!</v>
      </c>
      <c r="I289" s="243" t="str">
        <f>IFERROR(IF(OR(H289="",G289=""),"",ROUND(H289*SWITCH(G289,"1/4",0.25,"1/2",0.5,"3/4",0.75,"Complet",1,1),0)),"")</f>
        <v>#ERROR!</v>
      </c>
      <c r="J289" s="227"/>
      <c r="K289" s="230" t="str">
        <f>IFERROR(J289/I289,"")</f>
        <v>#ERROR!</v>
      </c>
      <c r="L289" s="227"/>
      <c r="M289" s="227"/>
      <c r="N289" s="227"/>
      <c r="O289" s="227"/>
      <c r="P289" s="227"/>
      <c r="Q289" s="232" t="str">
        <f>IFERROR(IF(A289="","",A289+IFERROR(INDEX(Config!B:B,MATCH("DDM appertisation standard (mois)",Config!A:A,0)),36)*30),"")</f>
        <v>#ERROR!</v>
      </c>
      <c r="R289" s="227"/>
      <c r="S289" s="227"/>
      <c r="T289" s="233"/>
    </row>
    <row r="290" ht="16.5" customHeight="1">
      <c r="A290" s="242"/>
      <c r="B290" s="225" t="str">
        <f>IF(A290="","",IF(C290="","","LOT-"&amp;TEXT(A290,"YYYYMMDD")&amp;"-"&amp;TEXT(ROW()-3,"000")))</f>
        <v>#ERROR!</v>
      </c>
      <c r="C290" s="235"/>
      <c r="D290" s="235" t="str">
        <f>IFERROR(INDEX(Recettes!C:C,MATCH(C290,Recettes!B:B,0)),"")</f>
        <v>#ERROR!</v>
      </c>
      <c r="E290" s="235"/>
      <c r="F290" s="235"/>
      <c r="G290" s="235"/>
      <c r="H290" s="236" t="str">
        <f>IFERROR(IF(F290="","",IF(F290="100x4/4 (100 boc. ref.)",SWITCH(E290,"W60-050",320,"W60-080",280,"W60-160",220,"RR100-290",130,"RR100-370",120,"RR100-580",130,"RR100-850",64,"RR100-1050",55,"RR100-1550",40,100),IF(F290="200x4/4 (200 boc. ref.)",SWITCH(E290,"W60-050",640,"W60-080",560,"W60-160",440,"RR100-290",260,"RR100-370",240,"RR100-580",260,"RR100-850",128,"RR100-1050",110,"RR100-1550",80,200),IF(F290="100L eau (~20 boc.)",SWITCH(E290,"W60-050",60,"W60-080",50,"W60-160",40,"RR100-290",28,"RR100-370",24,"RR100-580",20,"RR100-850",12,"RR100-1050",10,"RR100-1550",6,15),"")))),"")</f>
        <v>#ERROR!</v>
      </c>
      <c r="I290" s="243" t="str">
        <f>IFERROR(IF(OR(H290="",G290=""),"",ROUND(H290*SWITCH(G290,"1/4",0.25,"1/2",0.5,"3/4",0.75,"Complet",1,1),0)),"")</f>
        <v>#ERROR!</v>
      </c>
      <c r="J290" s="235"/>
      <c r="K290" s="237" t="str">
        <f>IFERROR(J290/I290,"")</f>
        <v>#ERROR!</v>
      </c>
      <c r="L290" s="235"/>
      <c r="M290" s="235"/>
      <c r="N290" s="235"/>
      <c r="O290" s="235"/>
      <c r="P290" s="235"/>
      <c r="Q290" s="239" t="str">
        <f>IFERROR(IF(A290="","",A290+IFERROR(INDEX(Config!B:B,MATCH("DDM appertisation standard (mois)",Config!A:A,0)),36)*30),"")</f>
        <v>#ERROR!</v>
      </c>
      <c r="R290" s="235"/>
      <c r="S290" s="235"/>
      <c r="T290" s="240"/>
    </row>
    <row r="291" ht="16.5" customHeight="1">
      <c r="A291" s="242"/>
      <c r="B291" s="225" t="str">
        <f>IF(A291="","",IF(C291="","","LOT-"&amp;TEXT(A291,"YYYYMMDD")&amp;"-"&amp;TEXT(ROW()-3,"000")))</f>
        <v>#ERROR!</v>
      </c>
      <c r="C291" s="227"/>
      <c r="D291" s="227" t="str">
        <f>IFERROR(INDEX(Recettes!C:C,MATCH(C291,Recettes!B:B,0)),"")</f>
        <v>#ERROR!</v>
      </c>
      <c r="E291" s="227"/>
      <c r="F291" s="227"/>
      <c r="G291" s="227"/>
      <c r="H291" s="236" t="str">
        <f>IFERROR(IF(F291="","",IF(F291="100x4/4 (100 boc. ref.)",SWITCH(E291,"W60-050",320,"W60-080",280,"W60-160",220,"RR100-290",130,"RR100-370",120,"RR100-580",130,"RR100-850",64,"RR100-1050",55,"RR100-1550",40,100),IF(F291="200x4/4 (200 boc. ref.)",SWITCH(E291,"W60-050",640,"W60-080",560,"W60-160",440,"RR100-290",260,"RR100-370",240,"RR100-580",260,"RR100-850",128,"RR100-1050",110,"RR100-1550",80,200),IF(F291="100L eau (~20 boc.)",SWITCH(E291,"W60-050",60,"W60-080",50,"W60-160",40,"RR100-290",28,"RR100-370",24,"RR100-580",20,"RR100-850",12,"RR100-1050",10,"RR100-1550",6,15),"")))),"")</f>
        <v>#ERROR!</v>
      </c>
      <c r="I291" s="243" t="str">
        <f>IFERROR(IF(OR(H291="",G291=""),"",ROUND(H291*SWITCH(G291,"1/4",0.25,"1/2",0.5,"3/4",0.75,"Complet",1,1),0)),"")</f>
        <v>#ERROR!</v>
      </c>
      <c r="J291" s="227"/>
      <c r="K291" s="230" t="str">
        <f>IFERROR(J291/I291,"")</f>
        <v>#ERROR!</v>
      </c>
      <c r="L291" s="227"/>
      <c r="M291" s="227"/>
      <c r="N291" s="227"/>
      <c r="O291" s="227"/>
      <c r="P291" s="227"/>
      <c r="Q291" s="232" t="str">
        <f>IFERROR(IF(A291="","",A291+IFERROR(INDEX(Config!B:B,MATCH("DDM appertisation standard (mois)",Config!A:A,0)),36)*30),"")</f>
        <v>#ERROR!</v>
      </c>
      <c r="R291" s="227"/>
      <c r="S291" s="227"/>
      <c r="T291" s="233"/>
    </row>
    <row r="292" ht="16.5" customHeight="1">
      <c r="A292" s="242"/>
      <c r="B292" s="225" t="str">
        <f>IF(A292="","",IF(C292="","","LOT-"&amp;TEXT(A292,"YYYYMMDD")&amp;"-"&amp;TEXT(ROW()-3,"000")))</f>
        <v>#ERROR!</v>
      </c>
      <c r="C292" s="235"/>
      <c r="D292" s="235" t="str">
        <f>IFERROR(INDEX(Recettes!C:C,MATCH(C292,Recettes!B:B,0)),"")</f>
        <v>#ERROR!</v>
      </c>
      <c r="E292" s="235"/>
      <c r="F292" s="235"/>
      <c r="G292" s="235"/>
      <c r="H292" s="236" t="str">
        <f>IFERROR(IF(F292="","",IF(F292="100x4/4 (100 boc. ref.)",SWITCH(E292,"W60-050",320,"W60-080",280,"W60-160",220,"RR100-290",130,"RR100-370",120,"RR100-580",130,"RR100-850",64,"RR100-1050",55,"RR100-1550",40,100),IF(F292="200x4/4 (200 boc. ref.)",SWITCH(E292,"W60-050",640,"W60-080",560,"W60-160",440,"RR100-290",260,"RR100-370",240,"RR100-580",260,"RR100-850",128,"RR100-1050",110,"RR100-1550",80,200),IF(F292="100L eau (~20 boc.)",SWITCH(E292,"W60-050",60,"W60-080",50,"W60-160",40,"RR100-290",28,"RR100-370",24,"RR100-580",20,"RR100-850",12,"RR100-1050",10,"RR100-1550",6,15),"")))),"")</f>
        <v>#ERROR!</v>
      </c>
      <c r="I292" s="243" t="str">
        <f>IFERROR(IF(OR(H292="",G292=""),"",ROUND(H292*SWITCH(G292,"1/4",0.25,"1/2",0.5,"3/4",0.75,"Complet",1,1),0)),"")</f>
        <v>#ERROR!</v>
      </c>
      <c r="J292" s="235"/>
      <c r="K292" s="237" t="str">
        <f>IFERROR(J292/I292,"")</f>
        <v>#ERROR!</v>
      </c>
      <c r="L292" s="235"/>
      <c r="M292" s="235"/>
      <c r="N292" s="235"/>
      <c r="O292" s="235"/>
      <c r="P292" s="235"/>
      <c r="Q292" s="239" t="str">
        <f>IFERROR(IF(A292="","",A292+IFERROR(INDEX(Config!B:B,MATCH("DDM appertisation standard (mois)",Config!A:A,0)),36)*30),"")</f>
        <v>#ERROR!</v>
      </c>
      <c r="R292" s="235"/>
      <c r="S292" s="235"/>
      <c r="T292" s="240"/>
    </row>
    <row r="293" ht="16.5" customHeight="1">
      <c r="A293" s="242"/>
      <c r="B293" s="225" t="str">
        <f>IF(A293="","",IF(C293="","","LOT-"&amp;TEXT(A293,"YYYYMMDD")&amp;"-"&amp;TEXT(ROW()-3,"000")))</f>
        <v>#ERROR!</v>
      </c>
      <c r="C293" s="227"/>
      <c r="D293" s="227" t="str">
        <f>IFERROR(INDEX(Recettes!C:C,MATCH(C293,Recettes!B:B,0)),"")</f>
        <v>#ERROR!</v>
      </c>
      <c r="E293" s="227"/>
      <c r="F293" s="227"/>
      <c r="G293" s="227"/>
      <c r="H293" s="236" t="str">
        <f>IFERROR(IF(F293="","",IF(F293="100x4/4 (100 boc. ref.)",SWITCH(E293,"W60-050",320,"W60-080",280,"W60-160",220,"RR100-290",130,"RR100-370",120,"RR100-580",130,"RR100-850",64,"RR100-1050",55,"RR100-1550",40,100),IF(F293="200x4/4 (200 boc. ref.)",SWITCH(E293,"W60-050",640,"W60-080",560,"W60-160",440,"RR100-290",260,"RR100-370",240,"RR100-580",260,"RR100-850",128,"RR100-1050",110,"RR100-1550",80,200),IF(F293="100L eau (~20 boc.)",SWITCH(E293,"W60-050",60,"W60-080",50,"W60-160",40,"RR100-290",28,"RR100-370",24,"RR100-580",20,"RR100-850",12,"RR100-1050",10,"RR100-1550",6,15),"")))),"")</f>
        <v>#ERROR!</v>
      </c>
      <c r="I293" s="243" t="str">
        <f>IFERROR(IF(OR(H293="",G293=""),"",ROUND(H293*SWITCH(G293,"1/4",0.25,"1/2",0.5,"3/4",0.75,"Complet",1,1),0)),"")</f>
        <v>#ERROR!</v>
      </c>
      <c r="J293" s="227"/>
      <c r="K293" s="230" t="str">
        <f>IFERROR(J293/I293,"")</f>
        <v>#ERROR!</v>
      </c>
      <c r="L293" s="227"/>
      <c r="M293" s="227"/>
      <c r="N293" s="227"/>
      <c r="O293" s="227"/>
      <c r="P293" s="227"/>
      <c r="Q293" s="232" t="str">
        <f>IFERROR(IF(A293="","",A293+IFERROR(INDEX(Config!B:B,MATCH("DDM appertisation standard (mois)",Config!A:A,0)),36)*30),"")</f>
        <v>#ERROR!</v>
      </c>
      <c r="R293" s="227"/>
      <c r="S293" s="227"/>
      <c r="T293" s="233"/>
    </row>
    <row r="294" ht="16.5" customHeight="1">
      <c r="A294" s="242"/>
      <c r="B294" s="225" t="str">
        <f>IF(A294="","",IF(C294="","","LOT-"&amp;TEXT(A294,"YYYYMMDD")&amp;"-"&amp;TEXT(ROW()-3,"000")))</f>
        <v>#ERROR!</v>
      </c>
      <c r="C294" s="235"/>
      <c r="D294" s="235" t="str">
        <f>IFERROR(INDEX(Recettes!C:C,MATCH(C294,Recettes!B:B,0)),"")</f>
        <v>#ERROR!</v>
      </c>
      <c r="E294" s="235"/>
      <c r="F294" s="235"/>
      <c r="G294" s="235"/>
      <c r="H294" s="236" t="str">
        <f>IFERROR(IF(F294="","",IF(F294="100x4/4 (100 boc. ref.)",SWITCH(E294,"W60-050",320,"W60-080",280,"W60-160",220,"RR100-290",130,"RR100-370",120,"RR100-580",130,"RR100-850",64,"RR100-1050",55,"RR100-1550",40,100),IF(F294="200x4/4 (200 boc. ref.)",SWITCH(E294,"W60-050",640,"W60-080",560,"W60-160",440,"RR100-290",260,"RR100-370",240,"RR100-580",260,"RR100-850",128,"RR100-1050",110,"RR100-1550",80,200),IF(F294="100L eau (~20 boc.)",SWITCH(E294,"W60-050",60,"W60-080",50,"W60-160",40,"RR100-290",28,"RR100-370",24,"RR100-580",20,"RR100-850",12,"RR100-1050",10,"RR100-1550",6,15),"")))),"")</f>
        <v>#ERROR!</v>
      </c>
      <c r="I294" s="243" t="str">
        <f>IFERROR(IF(OR(H294="",G294=""),"",ROUND(H294*SWITCH(G294,"1/4",0.25,"1/2",0.5,"3/4",0.75,"Complet",1,1),0)),"")</f>
        <v>#ERROR!</v>
      </c>
      <c r="J294" s="235"/>
      <c r="K294" s="237" t="str">
        <f>IFERROR(J294/I294,"")</f>
        <v>#ERROR!</v>
      </c>
      <c r="L294" s="235"/>
      <c r="M294" s="235"/>
      <c r="N294" s="235"/>
      <c r="O294" s="235"/>
      <c r="P294" s="235"/>
      <c r="Q294" s="239" t="str">
        <f>IFERROR(IF(A294="","",A294+IFERROR(INDEX(Config!B:B,MATCH("DDM appertisation standard (mois)",Config!A:A,0)),36)*30),"")</f>
        <v>#ERROR!</v>
      </c>
      <c r="R294" s="235"/>
      <c r="S294" s="235"/>
      <c r="T294" s="240"/>
    </row>
    <row r="295" ht="16.5" customHeight="1">
      <c r="A295" s="242"/>
      <c r="B295" s="225" t="str">
        <f>IF(A295="","",IF(C295="","","LOT-"&amp;TEXT(A295,"YYYYMMDD")&amp;"-"&amp;TEXT(ROW()-3,"000")))</f>
        <v>#ERROR!</v>
      </c>
      <c r="C295" s="227"/>
      <c r="D295" s="227" t="str">
        <f>IFERROR(INDEX(Recettes!C:C,MATCH(C295,Recettes!B:B,0)),"")</f>
        <v>#ERROR!</v>
      </c>
      <c r="E295" s="227"/>
      <c r="F295" s="227"/>
      <c r="G295" s="227"/>
      <c r="H295" s="236" t="str">
        <f>IFERROR(IF(F295="","",IF(F295="100x4/4 (100 boc. ref.)",SWITCH(E295,"W60-050",320,"W60-080",280,"W60-160",220,"RR100-290",130,"RR100-370",120,"RR100-580",130,"RR100-850",64,"RR100-1050",55,"RR100-1550",40,100),IF(F295="200x4/4 (200 boc. ref.)",SWITCH(E295,"W60-050",640,"W60-080",560,"W60-160",440,"RR100-290",260,"RR100-370",240,"RR100-580",260,"RR100-850",128,"RR100-1050",110,"RR100-1550",80,200),IF(F295="100L eau (~20 boc.)",SWITCH(E295,"W60-050",60,"W60-080",50,"W60-160",40,"RR100-290",28,"RR100-370",24,"RR100-580",20,"RR100-850",12,"RR100-1050",10,"RR100-1550",6,15),"")))),"")</f>
        <v>#ERROR!</v>
      </c>
      <c r="I295" s="243" t="str">
        <f>IFERROR(IF(OR(H295="",G295=""),"",ROUND(H295*SWITCH(G295,"1/4",0.25,"1/2",0.5,"3/4",0.75,"Complet",1,1),0)),"")</f>
        <v>#ERROR!</v>
      </c>
      <c r="J295" s="227"/>
      <c r="K295" s="230" t="str">
        <f>IFERROR(J295/I295,"")</f>
        <v>#ERROR!</v>
      </c>
      <c r="L295" s="227"/>
      <c r="M295" s="227"/>
      <c r="N295" s="227"/>
      <c r="O295" s="227"/>
      <c r="P295" s="227"/>
      <c r="Q295" s="232" t="str">
        <f>IFERROR(IF(A295="","",A295+IFERROR(INDEX(Config!B:B,MATCH("DDM appertisation standard (mois)",Config!A:A,0)),36)*30),"")</f>
        <v>#ERROR!</v>
      </c>
      <c r="R295" s="227"/>
      <c r="S295" s="227"/>
      <c r="T295" s="233"/>
    </row>
    <row r="296" ht="16.5" customHeight="1">
      <c r="A296" s="242"/>
      <c r="B296" s="225" t="str">
        <f>IF(A296="","",IF(C296="","","LOT-"&amp;TEXT(A296,"YYYYMMDD")&amp;"-"&amp;TEXT(ROW()-3,"000")))</f>
        <v>#ERROR!</v>
      </c>
      <c r="C296" s="235"/>
      <c r="D296" s="235" t="str">
        <f>IFERROR(INDEX(Recettes!C:C,MATCH(C296,Recettes!B:B,0)),"")</f>
        <v>#ERROR!</v>
      </c>
      <c r="E296" s="235"/>
      <c r="F296" s="235"/>
      <c r="G296" s="235"/>
      <c r="H296" s="236" t="str">
        <f>IFERROR(IF(F296="","",IF(F296="100x4/4 (100 boc. ref.)",SWITCH(E296,"W60-050",320,"W60-080",280,"W60-160",220,"RR100-290",130,"RR100-370",120,"RR100-580",130,"RR100-850",64,"RR100-1050",55,"RR100-1550",40,100),IF(F296="200x4/4 (200 boc. ref.)",SWITCH(E296,"W60-050",640,"W60-080",560,"W60-160",440,"RR100-290",260,"RR100-370",240,"RR100-580",260,"RR100-850",128,"RR100-1050",110,"RR100-1550",80,200),IF(F296="100L eau (~20 boc.)",SWITCH(E296,"W60-050",60,"W60-080",50,"W60-160",40,"RR100-290",28,"RR100-370",24,"RR100-580",20,"RR100-850",12,"RR100-1050",10,"RR100-1550",6,15),"")))),"")</f>
        <v>#ERROR!</v>
      </c>
      <c r="I296" s="243" t="str">
        <f>IFERROR(IF(OR(H296="",G296=""),"",ROUND(H296*SWITCH(G296,"1/4",0.25,"1/2",0.5,"3/4",0.75,"Complet",1,1),0)),"")</f>
        <v>#ERROR!</v>
      </c>
      <c r="J296" s="235"/>
      <c r="K296" s="237" t="str">
        <f>IFERROR(J296/I296,"")</f>
        <v>#ERROR!</v>
      </c>
      <c r="L296" s="235"/>
      <c r="M296" s="235"/>
      <c r="N296" s="235"/>
      <c r="O296" s="235"/>
      <c r="P296" s="235"/>
      <c r="Q296" s="239" t="str">
        <f>IFERROR(IF(A296="","",A296+IFERROR(INDEX(Config!B:B,MATCH("DDM appertisation standard (mois)",Config!A:A,0)),36)*30),"")</f>
        <v>#ERROR!</v>
      </c>
      <c r="R296" s="235"/>
      <c r="S296" s="235"/>
      <c r="T296" s="240"/>
    </row>
    <row r="297" ht="16.5" customHeight="1">
      <c r="A297" s="242"/>
      <c r="B297" s="225" t="str">
        <f>IF(A297="","",IF(C297="","","LOT-"&amp;TEXT(A297,"YYYYMMDD")&amp;"-"&amp;TEXT(ROW()-3,"000")))</f>
        <v>#ERROR!</v>
      </c>
      <c r="C297" s="227"/>
      <c r="D297" s="227" t="str">
        <f>IFERROR(INDEX(Recettes!C:C,MATCH(C297,Recettes!B:B,0)),"")</f>
        <v>#ERROR!</v>
      </c>
      <c r="E297" s="227"/>
      <c r="F297" s="227"/>
      <c r="G297" s="227"/>
      <c r="H297" s="236" t="str">
        <f>IFERROR(IF(F297="","",IF(F297="100x4/4 (100 boc. ref.)",SWITCH(E297,"W60-050",320,"W60-080",280,"W60-160",220,"RR100-290",130,"RR100-370",120,"RR100-580",130,"RR100-850",64,"RR100-1050",55,"RR100-1550",40,100),IF(F297="200x4/4 (200 boc. ref.)",SWITCH(E297,"W60-050",640,"W60-080",560,"W60-160",440,"RR100-290",260,"RR100-370",240,"RR100-580",260,"RR100-850",128,"RR100-1050",110,"RR100-1550",80,200),IF(F297="100L eau (~20 boc.)",SWITCH(E297,"W60-050",60,"W60-080",50,"W60-160",40,"RR100-290",28,"RR100-370",24,"RR100-580",20,"RR100-850",12,"RR100-1050",10,"RR100-1550",6,15),"")))),"")</f>
        <v>#ERROR!</v>
      </c>
      <c r="I297" s="243" t="str">
        <f>IFERROR(IF(OR(H297="",G297=""),"",ROUND(H297*SWITCH(G297,"1/4",0.25,"1/2",0.5,"3/4",0.75,"Complet",1,1),0)),"")</f>
        <v>#ERROR!</v>
      </c>
      <c r="J297" s="227"/>
      <c r="K297" s="230" t="str">
        <f>IFERROR(J297/I297,"")</f>
        <v>#ERROR!</v>
      </c>
      <c r="L297" s="227"/>
      <c r="M297" s="227"/>
      <c r="N297" s="227"/>
      <c r="O297" s="227"/>
      <c r="P297" s="227"/>
      <c r="Q297" s="232" t="str">
        <f>IFERROR(IF(A297="","",A297+IFERROR(INDEX(Config!B:B,MATCH("DDM appertisation standard (mois)",Config!A:A,0)),36)*30),"")</f>
        <v>#ERROR!</v>
      </c>
      <c r="R297" s="227"/>
      <c r="S297" s="227"/>
      <c r="T297" s="233"/>
    </row>
    <row r="298" ht="16.5" customHeight="1">
      <c r="A298" s="242"/>
      <c r="B298" s="225" t="str">
        <f>IF(A298="","",IF(C298="","","LOT-"&amp;TEXT(A298,"YYYYMMDD")&amp;"-"&amp;TEXT(ROW()-3,"000")))</f>
        <v>#ERROR!</v>
      </c>
      <c r="C298" s="235"/>
      <c r="D298" s="235" t="str">
        <f>IFERROR(INDEX(Recettes!C:C,MATCH(C298,Recettes!B:B,0)),"")</f>
        <v>#ERROR!</v>
      </c>
      <c r="E298" s="235"/>
      <c r="F298" s="235"/>
      <c r="G298" s="235"/>
      <c r="H298" s="236" t="str">
        <f>IFERROR(IF(F298="","",IF(F298="100x4/4 (100 boc. ref.)",SWITCH(E298,"W60-050",320,"W60-080",280,"W60-160",220,"RR100-290",130,"RR100-370",120,"RR100-580",130,"RR100-850",64,"RR100-1050",55,"RR100-1550",40,100),IF(F298="200x4/4 (200 boc. ref.)",SWITCH(E298,"W60-050",640,"W60-080",560,"W60-160",440,"RR100-290",260,"RR100-370",240,"RR100-580",260,"RR100-850",128,"RR100-1050",110,"RR100-1550",80,200),IF(F298="100L eau (~20 boc.)",SWITCH(E298,"W60-050",60,"W60-080",50,"W60-160",40,"RR100-290",28,"RR100-370",24,"RR100-580",20,"RR100-850",12,"RR100-1050",10,"RR100-1550",6,15),"")))),"")</f>
        <v>#ERROR!</v>
      </c>
      <c r="I298" s="243" t="str">
        <f>IFERROR(IF(OR(H298="",G298=""),"",ROUND(H298*SWITCH(G298,"1/4",0.25,"1/2",0.5,"3/4",0.75,"Complet",1,1),0)),"")</f>
        <v>#ERROR!</v>
      </c>
      <c r="J298" s="235"/>
      <c r="K298" s="237" t="str">
        <f>IFERROR(J298/I298,"")</f>
        <v>#ERROR!</v>
      </c>
      <c r="L298" s="235"/>
      <c r="M298" s="235"/>
      <c r="N298" s="235"/>
      <c r="O298" s="235"/>
      <c r="P298" s="235"/>
      <c r="Q298" s="239" t="str">
        <f>IFERROR(IF(A298="","",A298+IFERROR(INDEX(Config!B:B,MATCH("DDM appertisation standard (mois)",Config!A:A,0)),36)*30),"")</f>
        <v>#ERROR!</v>
      </c>
      <c r="R298" s="235"/>
      <c r="S298" s="235"/>
      <c r="T298" s="240"/>
    </row>
    <row r="299" ht="16.5" customHeight="1">
      <c r="A299" s="242"/>
      <c r="B299" s="225" t="str">
        <f>IF(A299="","",IF(C299="","","LOT-"&amp;TEXT(A299,"YYYYMMDD")&amp;"-"&amp;TEXT(ROW()-3,"000")))</f>
        <v>#ERROR!</v>
      </c>
      <c r="C299" s="227"/>
      <c r="D299" s="227" t="str">
        <f>IFERROR(INDEX(Recettes!C:C,MATCH(C299,Recettes!B:B,0)),"")</f>
        <v>#ERROR!</v>
      </c>
      <c r="E299" s="227"/>
      <c r="F299" s="227"/>
      <c r="G299" s="227"/>
      <c r="H299" s="236" t="str">
        <f>IFERROR(IF(F299="","",IF(F299="100x4/4 (100 boc. ref.)",SWITCH(E299,"W60-050",320,"W60-080",280,"W60-160",220,"RR100-290",130,"RR100-370",120,"RR100-580",130,"RR100-850",64,"RR100-1050",55,"RR100-1550",40,100),IF(F299="200x4/4 (200 boc. ref.)",SWITCH(E299,"W60-050",640,"W60-080",560,"W60-160",440,"RR100-290",260,"RR100-370",240,"RR100-580",260,"RR100-850",128,"RR100-1050",110,"RR100-1550",80,200),IF(F299="100L eau (~20 boc.)",SWITCH(E299,"W60-050",60,"W60-080",50,"W60-160",40,"RR100-290",28,"RR100-370",24,"RR100-580",20,"RR100-850",12,"RR100-1050",10,"RR100-1550",6,15),"")))),"")</f>
        <v>#ERROR!</v>
      </c>
      <c r="I299" s="243" t="str">
        <f>IFERROR(IF(OR(H299="",G299=""),"",ROUND(H299*SWITCH(G299,"1/4",0.25,"1/2",0.5,"3/4",0.75,"Complet",1,1),0)),"")</f>
        <v>#ERROR!</v>
      </c>
      <c r="J299" s="227"/>
      <c r="K299" s="230" t="str">
        <f>IFERROR(J299/I299,"")</f>
        <v>#ERROR!</v>
      </c>
      <c r="L299" s="227"/>
      <c r="M299" s="227"/>
      <c r="N299" s="227"/>
      <c r="O299" s="227"/>
      <c r="P299" s="227"/>
      <c r="Q299" s="232" t="str">
        <f>IFERROR(IF(A299="","",A299+IFERROR(INDEX(Config!B:B,MATCH("DDM appertisation standard (mois)",Config!A:A,0)),36)*30),"")</f>
        <v>#ERROR!</v>
      </c>
      <c r="R299" s="227"/>
      <c r="S299" s="227"/>
      <c r="T299" s="233"/>
    </row>
    <row r="300" ht="16.5" customHeight="1">
      <c r="A300" s="242"/>
      <c r="B300" s="225" t="str">
        <f>IF(A300="","",IF(C300="","","LOT-"&amp;TEXT(A300,"YYYYMMDD")&amp;"-"&amp;TEXT(ROW()-3,"000")))</f>
        <v>#ERROR!</v>
      </c>
      <c r="C300" s="235"/>
      <c r="D300" s="235" t="str">
        <f>IFERROR(INDEX(Recettes!C:C,MATCH(C300,Recettes!B:B,0)),"")</f>
        <v>#ERROR!</v>
      </c>
      <c r="E300" s="235"/>
      <c r="F300" s="235"/>
      <c r="G300" s="235"/>
      <c r="H300" s="236" t="str">
        <f>IFERROR(IF(F300="","",IF(F300="100x4/4 (100 boc. ref.)",SWITCH(E300,"W60-050",320,"W60-080",280,"W60-160",220,"RR100-290",130,"RR100-370",120,"RR100-580",130,"RR100-850",64,"RR100-1050",55,"RR100-1550",40,100),IF(F300="200x4/4 (200 boc. ref.)",SWITCH(E300,"W60-050",640,"W60-080",560,"W60-160",440,"RR100-290",260,"RR100-370",240,"RR100-580",260,"RR100-850",128,"RR100-1050",110,"RR100-1550",80,200),IF(F300="100L eau (~20 boc.)",SWITCH(E300,"W60-050",60,"W60-080",50,"W60-160",40,"RR100-290",28,"RR100-370",24,"RR100-580",20,"RR100-850",12,"RR100-1050",10,"RR100-1550",6,15),"")))),"")</f>
        <v>#ERROR!</v>
      </c>
      <c r="I300" s="243" t="str">
        <f>IFERROR(IF(OR(H300="",G300=""),"",ROUND(H300*SWITCH(G300,"1/4",0.25,"1/2",0.5,"3/4",0.75,"Complet",1,1),0)),"")</f>
        <v>#ERROR!</v>
      </c>
      <c r="J300" s="235"/>
      <c r="K300" s="237" t="str">
        <f>IFERROR(J300/I300,"")</f>
        <v>#ERROR!</v>
      </c>
      <c r="L300" s="235"/>
      <c r="M300" s="235"/>
      <c r="N300" s="235"/>
      <c r="O300" s="235"/>
      <c r="P300" s="235"/>
      <c r="Q300" s="239" t="str">
        <f>IFERROR(IF(A300="","",A300+IFERROR(INDEX(Config!B:B,MATCH("DDM appertisation standard (mois)",Config!A:A,0)),36)*30),"")</f>
        <v>#ERROR!</v>
      </c>
      <c r="R300" s="235"/>
      <c r="S300" s="235"/>
      <c r="T300" s="240"/>
    </row>
    <row r="301" ht="16.5" customHeight="1">
      <c r="A301" s="242"/>
      <c r="B301" s="225" t="str">
        <f>IF(A301="","",IF(C301="","","LOT-"&amp;TEXT(A301,"YYYYMMDD")&amp;"-"&amp;TEXT(ROW()-3,"000")))</f>
        <v>#ERROR!</v>
      </c>
      <c r="C301" s="227"/>
      <c r="D301" s="227" t="str">
        <f>IFERROR(INDEX(Recettes!C:C,MATCH(C301,Recettes!B:B,0)),"")</f>
        <v>#ERROR!</v>
      </c>
      <c r="E301" s="227"/>
      <c r="F301" s="227"/>
      <c r="G301" s="227"/>
      <c r="H301" s="236" t="str">
        <f>IFERROR(IF(F301="","",IF(F301="100x4/4 (100 boc. ref.)",SWITCH(E301,"W60-050",320,"W60-080",280,"W60-160",220,"RR100-290",130,"RR100-370",120,"RR100-580",130,"RR100-850",64,"RR100-1050",55,"RR100-1550",40,100),IF(F301="200x4/4 (200 boc. ref.)",SWITCH(E301,"W60-050",640,"W60-080",560,"W60-160",440,"RR100-290",260,"RR100-370",240,"RR100-580",260,"RR100-850",128,"RR100-1050",110,"RR100-1550",80,200),IF(F301="100L eau (~20 boc.)",SWITCH(E301,"W60-050",60,"W60-080",50,"W60-160",40,"RR100-290",28,"RR100-370",24,"RR100-580",20,"RR100-850",12,"RR100-1050",10,"RR100-1550",6,15),"")))),"")</f>
        <v>#ERROR!</v>
      </c>
      <c r="I301" s="243" t="str">
        <f>IFERROR(IF(OR(H301="",G301=""),"",ROUND(H301*SWITCH(G301,"1/4",0.25,"1/2",0.5,"3/4",0.75,"Complet",1,1),0)),"")</f>
        <v>#ERROR!</v>
      </c>
      <c r="J301" s="227"/>
      <c r="K301" s="230" t="str">
        <f>IFERROR(J301/I301,"")</f>
        <v>#ERROR!</v>
      </c>
      <c r="L301" s="227"/>
      <c r="M301" s="227"/>
      <c r="N301" s="227"/>
      <c r="O301" s="227"/>
      <c r="P301" s="227"/>
      <c r="Q301" s="232" t="str">
        <f>IFERROR(IF(A301="","",A301+IFERROR(INDEX(Config!B:B,MATCH("DDM appertisation standard (mois)",Config!A:A,0)),36)*30),"")</f>
        <v>#ERROR!</v>
      </c>
      <c r="R301" s="227"/>
      <c r="S301" s="227"/>
      <c r="T301" s="233"/>
    </row>
    <row r="302" ht="16.5" customHeight="1">
      <c r="A302" s="242"/>
      <c r="B302" s="225" t="str">
        <f>IF(A302="","",IF(C302="","","LOT-"&amp;TEXT(A302,"YYYYMMDD")&amp;"-"&amp;TEXT(ROW()-3,"000")))</f>
        <v>#ERROR!</v>
      </c>
      <c r="C302" s="235"/>
      <c r="D302" s="235" t="str">
        <f>IFERROR(INDEX(Recettes!C:C,MATCH(C302,Recettes!B:B,0)),"")</f>
        <v>#ERROR!</v>
      </c>
      <c r="E302" s="235"/>
      <c r="F302" s="235"/>
      <c r="G302" s="235"/>
      <c r="H302" s="236" t="str">
        <f>IFERROR(IF(F302="","",IF(F302="100x4/4 (100 boc. ref.)",SWITCH(E302,"W60-050",320,"W60-080",280,"W60-160",220,"RR100-290",130,"RR100-370",120,"RR100-580",130,"RR100-850",64,"RR100-1050",55,"RR100-1550",40,100),IF(F302="200x4/4 (200 boc. ref.)",SWITCH(E302,"W60-050",640,"W60-080",560,"W60-160",440,"RR100-290",260,"RR100-370",240,"RR100-580",260,"RR100-850",128,"RR100-1050",110,"RR100-1550",80,200),IF(F302="100L eau (~20 boc.)",SWITCH(E302,"W60-050",60,"W60-080",50,"W60-160",40,"RR100-290",28,"RR100-370",24,"RR100-580",20,"RR100-850",12,"RR100-1050",10,"RR100-1550",6,15),"")))),"")</f>
        <v>#ERROR!</v>
      </c>
      <c r="I302" s="243" t="str">
        <f>IFERROR(IF(OR(H302="",G302=""),"",ROUND(H302*SWITCH(G302,"1/4",0.25,"1/2",0.5,"3/4",0.75,"Complet",1,1),0)),"")</f>
        <v>#ERROR!</v>
      </c>
      <c r="J302" s="235"/>
      <c r="K302" s="237" t="str">
        <f>IFERROR(J302/I302,"")</f>
        <v>#ERROR!</v>
      </c>
      <c r="L302" s="235"/>
      <c r="M302" s="235"/>
      <c r="N302" s="235"/>
      <c r="O302" s="235"/>
      <c r="P302" s="235"/>
      <c r="Q302" s="239" t="str">
        <f>IFERROR(IF(A302="","",A302+IFERROR(INDEX(Config!B:B,MATCH("DDM appertisation standard (mois)",Config!A:A,0)),36)*30),"")</f>
        <v>#ERROR!</v>
      </c>
      <c r="R302" s="235"/>
      <c r="S302" s="235"/>
      <c r="T302" s="240"/>
    </row>
    <row r="303" ht="16.5" customHeight="1">
      <c r="A303" s="244"/>
      <c r="B303" s="245" t="str">
        <f>IF(A303="","",IF(C303="","","LOT-"&amp;TEXT(A303,"YYYYMMDD")&amp;"-"&amp;TEXT(ROW()-3,"000")))</f>
        <v>#ERROR!</v>
      </c>
      <c r="C303" s="246"/>
      <c r="D303" s="246" t="str">
        <f>IFERROR(INDEX(Recettes!C:C,MATCH(C303,Recettes!B:B,0)),"")</f>
        <v>#ERROR!</v>
      </c>
      <c r="E303" s="246"/>
      <c r="F303" s="246"/>
      <c r="G303" s="246"/>
      <c r="H303" s="247" t="str">
        <f>IFERROR(IF(F303="","",IF(F303="100x4/4 (100 boc. ref.)",SWITCH(E303,"W60-050",320,"W60-080",280,"W60-160",220,"RR100-290",130,"RR100-370",120,"RR100-580",130,"RR100-850",64,"RR100-1050",55,"RR100-1550",40,100),IF(F303="200x4/4 (200 boc. ref.)",SWITCH(E303,"W60-050",640,"W60-080",560,"W60-160",440,"RR100-290",260,"RR100-370",240,"RR100-580",260,"RR100-850",128,"RR100-1050",110,"RR100-1550",80,200),IF(F303="100L eau (~20 boc.)",SWITCH(E303,"W60-050",60,"W60-080",50,"W60-160",40,"RR100-290",28,"RR100-370",24,"RR100-580",20,"RR100-850",12,"RR100-1050",10,"RR100-1550",6,15),"")))),"")</f>
        <v>#ERROR!</v>
      </c>
      <c r="I303" s="248" t="str">
        <f>IFERROR(IF(OR(H303="",G303=""),"",ROUND(H303*SWITCH(G303,"1/4",0.25,"1/2",0.5,"3/4",0.75,"Complet",1,1),0)),"")</f>
        <v>#ERROR!</v>
      </c>
      <c r="J303" s="246"/>
      <c r="K303" s="249" t="str">
        <f>IFERROR(J303/I303,"")</f>
        <v>#ERROR!</v>
      </c>
      <c r="L303" s="246"/>
      <c r="M303" s="246"/>
      <c r="N303" s="246"/>
      <c r="O303" s="246"/>
      <c r="P303" s="246"/>
      <c r="Q303" s="250" t="str">
        <f>IFERROR(IF(A303="","",A303+IFERROR(INDEX(Config!B:B,MATCH("DDM appertisation standard (mois)",Config!A:A,0)),36)*30),"")</f>
        <v>#ERROR!</v>
      </c>
      <c r="R303" s="246"/>
      <c r="S303" s="246"/>
      <c r="T303" s="251"/>
    </row>
    <row r="304">
      <c r="A304" s="104">
        <v>46108.0</v>
      </c>
      <c r="C304" s="27" t="s">
        <v>466</v>
      </c>
      <c r="E304" s="27" t="s">
        <v>677</v>
      </c>
      <c r="F304" s="27" t="s">
        <v>678</v>
      </c>
      <c r="P304" s="27" t="s">
        <v>679</v>
      </c>
    </row>
  </sheetData>
  <mergeCells count="2">
    <mergeCell ref="A1:T1"/>
    <mergeCell ref="A2:T2"/>
  </mergeCells>
  <conditionalFormatting sqref="P4:P303">
    <cfRule type="cellIs" dxfId="2" priority="1" stopIfTrue="1" operator="equal">
      <formula>"Rupture"</formula>
    </cfRule>
  </conditionalFormatting>
  <conditionalFormatting sqref="P4:P303">
    <cfRule type="cellIs" dxfId="2" priority="2" stopIfTrue="1" operator="equal">
      <formula>"NC"</formula>
    </cfRule>
  </conditionalFormatting>
  <conditionalFormatting sqref="P4:P303">
    <cfRule type="cellIs" dxfId="2" priority="3" stopIfTrue="1" operator="equal">
      <formula>"Expire"</formula>
    </cfRule>
  </conditionalFormatting>
  <conditionalFormatting sqref="P4:P303">
    <cfRule type="cellIs" dxfId="2" priority="4" stopIfTrue="1" operator="equal">
      <formula>"URGENT"</formula>
    </cfRule>
  </conditionalFormatting>
  <conditionalFormatting sqref="P4:P303">
    <cfRule type="cellIs" dxfId="2" priority="5" stopIfTrue="1" operator="equal">
      <formula>"Bloque"</formula>
    </cfRule>
  </conditionalFormatting>
  <conditionalFormatting sqref="P4:P303">
    <cfRule type="cellIs" dxfId="3" priority="6" stopIfTrue="1" operator="equal">
      <formula>"Proche"</formula>
    </cfRule>
  </conditionalFormatting>
  <conditionalFormatting sqref="P4:P303">
    <cfRule type="cellIs" dxfId="3" priority="7" stopIfTrue="1" operator="equal">
      <formula>"A PRODUIRE"</formula>
    </cfRule>
  </conditionalFormatting>
  <conditionalFormatting sqref="P4:P303">
    <cfRule type="cellIs" dxfId="3" priority="8" stopIfTrue="1" operator="equal">
      <formula>"Sous-temperature"</formula>
    </cfRule>
  </conditionalFormatting>
  <conditionalFormatting sqref="P4:P303">
    <cfRule type="cellIs" dxfId="4" priority="9" stopIfTrue="1" operator="equal">
      <formula>"OK"</formula>
    </cfRule>
  </conditionalFormatting>
  <conditionalFormatting sqref="P4:P303">
    <cfRule type="cellIs" dxfId="4" priority="10" stopIfTrue="1" operator="equal">
      <formula>"Valide"</formula>
    </cfRule>
  </conditionalFormatting>
  <conditionalFormatting sqref="P4:P303">
    <cfRule type="cellIs" dxfId="4" priority="11" stopIfTrue="1" operator="equal">
      <formula>"Termine"</formula>
    </cfRule>
  </conditionalFormatting>
  <conditionalFormatting sqref="P4:P303">
    <cfRule type="cellIs" dxfId="4" priority="12" stopIfTrue="1" operator="equal">
      <formula>"Actif"</formula>
    </cfRule>
  </conditionalFormatting>
  <dataValidations>
    <dataValidation type="list" allowBlank="1" sqref="E4:E303">
      <formula1>"RR100-290,RR100-370,RR100-580,RR100-850,RR100-1050,RR100-1550,W60-050,W60-080,W60-160"</formula1>
    </dataValidation>
    <dataValidation type="list" allowBlank="1" sqref="C4:C303">
      <formula1>"Rillettes du Chef,Pate du Chef,Mousse du Chef,Plat Traiteur du Chef,Dessert du Chef - Creme Vanill,Pate de Campagne Maison 41,Pate Echalote &amp; Thym Citron,Pate Basque Piment d'Espelette,Pate Pleurotes &amp; Persil Plat,Pate Chataigne Ardeche,Pate Echalotes Gri"&amp;"ses d'Anjou,Rillettes Classiques au Thym,Rillettes Poireaux Confits,Rillettes Gingembre &amp; Citron,Rillettes Poivre de Madagascar,Rillettes Poireaux Confits Nord,Rillettes Curry Vert Reunion,Mousse Brandade de Morue,Saucisses Lentilles Puy,Bourguignon de Bo"&amp;"euf,Pot-au-Feu de Boeuf,Saute Porc &amp; Puree,Cassoulet Maison 41,Garbure Bearnaise,Creme Oeufs Vanille Bourbon,Creme Chocolat Noir 70%,Creme Caramel Renversee,Riz au Lait Cannelle &amp; Orange,Far Breton aux Pruneaux"</formula1>
    </dataValidation>
    <dataValidation type="list" allowBlank="1" sqref="P4:P303">
      <formula1>"Planifie,En production,Termine,Annule"</formula1>
    </dataValidation>
    <dataValidation type="list" allowBlank="1" sqref="F4:F303">
      <formula1>"100x4/4 (100 boc. ref.),200x4/4 (200 boc. ref.),100L eau (~20 boc.),Perso"</formula1>
    </dataValidation>
    <dataValidation type="list" allowBlank="1" sqref="G4:G303">
      <formula1>"1/4,1/2,3/4,Complet"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8" width="17.63"/>
    <col customWidth="1" min="9" max="10" width="15.13"/>
  </cols>
  <sheetData>
    <row r="1" ht="25.5" customHeight="1">
      <c r="A1" s="140" t="s">
        <v>680</v>
      </c>
    </row>
    <row r="2">
      <c r="A2" s="8" t="s">
        <v>681</v>
      </c>
      <c r="B2" s="252" t="str">
        <f>IFERROR(SUM(Stock!D208:D261),0)</f>
        <v>#ERROR!</v>
      </c>
      <c r="D2" s="253" t="s">
        <v>682</v>
      </c>
      <c r="E2" s="254" t="str">
        <f>IFERROR(COUNTIF(G6:G205,"Rupture"),0)</f>
        <v>#ERROR!</v>
      </c>
    </row>
    <row r="4" ht="16.5" customHeight="1">
      <c r="A4" s="18" t="s">
        <v>683</v>
      </c>
    </row>
    <row r="5" ht="19.5" customHeight="1">
      <c r="A5" s="31" t="s">
        <v>558</v>
      </c>
      <c r="B5" s="31" t="s">
        <v>53</v>
      </c>
      <c r="C5" s="31" t="s">
        <v>54</v>
      </c>
      <c r="D5" s="31" t="s">
        <v>55</v>
      </c>
      <c r="E5" s="31" t="s">
        <v>684</v>
      </c>
      <c r="F5" s="31" t="s">
        <v>685</v>
      </c>
      <c r="G5" s="31" t="s">
        <v>105</v>
      </c>
      <c r="H5" s="31" t="s">
        <v>686</v>
      </c>
      <c r="I5" s="31" t="s">
        <v>687</v>
      </c>
      <c r="J5" s="31" t="s">
        <v>688</v>
      </c>
    </row>
    <row r="6">
      <c r="A6" s="8" t="s">
        <v>236</v>
      </c>
      <c r="B6" s="43" t="s">
        <v>237</v>
      </c>
      <c r="C6" s="43" t="s">
        <v>238</v>
      </c>
      <c r="D6" s="43" t="s">
        <v>239</v>
      </c>
      <c r="E6" s="255">
        <v>0.0</v>
      </c>
      <c r="F6" s="256">
        <v>1.0</v>
      </c>
      <c r="G6" s="257" t="str">
        <f>IF(E6="","",IF(E6&lt;F6,"Rupture","OK"))</f>
        <v>#ERROR!</v>
      </c>
      <c r="H6" s="258" t="str">
        <f>IFERROR(E6*INDEX('MP Referentiel'!F:F,MATCH(A6,'MP Referentiel'!A:A,0)),"")</f>
        <v>#ERROR!</v>
      </c>
      <c r="I6" s="257"/>
      <c r="J6" s="257"/>
    </row>
    <row r="7">
      <c r="A7" s="8" t="s">
        <v>241</v>
      </c>
      <c r="B7" s="51" t="s">
        <v>242</v>
      </c>
      <c r="C7" s="51" t="s">
        <v>238</v>
      </c>
      <c r="D7" s="51" t="s">
        <v>239</v>
      </c>
      <c r="E7" s="255">
        <v>0.0</v>
      </c>
      <c r="F7" s="75">
        <v>1.0</v>
      </c>
      <c r="G7" s="259" t="str">
        <f>IF(E7="","",IF(E7&lt;F7,"Rupture","OK"))</f>
        <v>#ERROR!</v>
      </c>
      <c r="H7" s="260" t="str">
        <f>IFERROR(E7*INDEX('MP Referentiel'!F:F,MATCH(A7,'MP Referentiel'!A:A,0)),"")</f>
        <v>#ERROR!</v>
      </c>
      <c r="I7" s="259"/>
      <c r="J7" s="259"/>
    </row>
    <row r="8">
      <c r="A8" s="8" t="s">
        <v>243</v>
      </c>
      <c r="B8" s="43" t="s">
        <v>244</v>
      </c>
      <c r="C8" s="43" t="s">
        <v>238</v>
      </c>
      <c r="D8" s="43" t="s">
        <v>239</v>
      </c>
      <c r="E8" s="255">
        <v>0.0</v>
      </c>
      <c r="F8" s="256">
        <v>1.0</v>
      </c>
      <c r="G8" s="257" t="str">
        <f>IF(E8="","",IF(E8&lt;F8,"Rupture","OK"))</f>
        <v>#ERROR!</v>
      </c>
      <c r="H8" s="258" t="str">
        <f>IFERROR(E8*INDEX('MP Referentiel'!F:F,MATCH(A8,'MP Referentiel'!A:A,0)),"")</f>
        <v>#ERROR!</v>
      </c>
      <c r="I8" s="257"/>
      <c r="J8" s="257"/>
    </row>
    <row r="9">
      <c r="A9" s="8" t="s">
        <v>245</v>
      </c>
      <c r="B9" s="51" t="s">
        <v>246</v>
      </c>
      <c r="C9" s="51" t="s">
        <v>238</v>
      </c>
      <c r="D9" s="51" t="s">
        <v>239</v>
      </c>
      <c r="E9" s="255">
        <v>0.0</v>
      </c>
      <c r="F9" s="75">
        <v>1.0</v>
      </c>
      <c r="G9" s="259" t="str">
        <f>IF(E9="","",IF(E9&lt;F9,"Rupture","OK"))</f>
        <v>#ERROR!</v>
      </c>
      <c r="H9" s="260" t="str">
        <f>IFERROR(E9*INDEX('MP Referentiel'!F:F,MATCH(A9,'MP Referentiel'!A:A,0)),"")</f>
        <v>#ERROR!</v>
      </c>
      <c r="I9" s="259"/>
      <c r="J9" s="259"/>
    </row>
    <row r="10">
      <c r="A10" s="8" t="s">
        <v>247</v>
      </c>
      <c r="B10" s="43" t="s">
        <v>248</v>
      </c>
      <c r="C10" s="43" t="s">
        <v>238</v>
      </c>
      <c r="D10" s="43" t="s">
        <v>239</v>
      </c>
      <c r="E10" s="255">
        <v>0.0</v>
      </c>
      <c r="F10" s="256">
        <v>1.0</v>
      </c>
      <c r="G10" s="257" t="str">
        <f>IF(E10="","",IF(E10&lt;F10,"Rupture","OK"))</f>
        <v>#ERROR!</v>
      </c>
      <c r="H10" s="258" t="str">
        <f>IFERROR(E10*INDEX('MP Referentiel'!F:F,MATCH(A10,'MP Referentiel'!A:A,0)),"")</f>
        <v>#ERROR!</v>
      </c>
      <c r="I10" s="257"/>
      <c r="J10" s="257"/>
    </row>
    <row r="11">
      <c r="A11" s="8" t="s">
        <v>249</v>
      </c>
      <c r="B11" s="51" t="s">
        <v>250</v>
      </c>
      <c r="C11" s="51" t="s">
        <v>251</v>
      </c>
      <c r="D11" s="51" t="s">
        <v>239</v>
      </c>
      <c r="E11" s="255">
        <v>0.0</v>
      </c>
      <c r="F11" s="75">
        <v>1.0</v>
      </c>
      <c r="G11" s="259" t="str">
        <f>IF(E11="","",IF(E11&lt;F11,"Rupture","OK"))</f>
        <v>#ERROR!</v>
      </c>
      <c r="H11" s="260" t="str">
        <f>IFERROR(E11*INDEX('MP Referentiel'!F:F,MATCH(A11,'MP Referentiel'!A:A,0)),"")</f>
        <v>#ERROR!</v>
      </c>
      <c r="I11" s="259"/>
      <c r="J11" s="259"/>
    </row>
    <row r="12">
      <c r="A12" s="8" t="s">
        <v>252</v>
      </c>
      <c r="B12" s="43" t="s">
        <v>253</v>
      </c>
      <c r="C12" s="43" t="s">
        <v>254</v>
      </c>
      <c r="D12" s="43" t="s">
        <v>239</v>
      </c>
      <c r="E12" s="255">
        <v>0.0</v>
      </c>
      <c r="F12" s="256">
        <v>1.0</v>
      </c>
      <c r="G12" s="257" t="str">
        <f>IF(E12="","",IF(E12&lt;F12,"Rupture","OK"))</f>
        <v>#ERROR!</v>
      </c>
      <c r="H12" s="258" t="str">
        <f>IFERROR(E12*INDEX('MP Referentiel'!F:F,MATCH(A12,'MP Referentiel'!A:A,0)),"")</f>
        <v>#ERROR!</v>
      </c>
      <c r="I12" s="257"/>
      <c r="J12" s="257"/>
    </row>
    <row r="13">
      <c r="A13" s="8" t="s">
        <v>255</v>
      </c>
      <c r="B13" s="51" t="s">
        <v>256</v>
      </c>
      <c r="C13" s="51" t="s">
        <v>254</v>
      </c>
      <c r="D13" s="51" t="s">
        <v>239</v>
      </c>
      <c r="E13" s="255">
        <v>0.0</v>
      </c>
      <c r="F13" s="75">
        <v>1.0</v>
      </c>
      <c r="G13" s="259" t="str">
        <f>IF(E13="","",IF(E13&lt;F13,"Rupture","OK"))</f>
        <v>#ERROR!</v>
      </c>
      <c r="H13" s="260" t="str">
        <f>IFERROR(E13*INDEX('MP Referentiel'!F:F,MATCH(A13,'MP Referentiel'!A:A,0)),"")</f>
        <v>#ERROR!</v>
      </c>
      <c r="I13" s="259"/>
      <c r="J13" s="259"/>
    </row>
    <row r="14">
      <c r="A14" s="8" t="s">
        <v>257</v>
      </c>
      <c r="B14" s="43" t="s">
        <v>258</v>
      </c>
      <c r="C14" s="43" t="s">
        <v>259</v>
      </c>
      <c r="D14" s="43" t="s">
        <v>239</v>
      </c>
      <c r="E14" s="255">
        <v>0.0</v>
      </c>
      <c r="F14" s="256">
        <v>1.0</v>
      </c>
      <c r="G14" s="257" t="str">
        <f>IF(E14="","",IF(E14&lt;F14,"Rupture","OK"))</f>
        <v>#ERROR!</v>
      </c>
      <c r="H14" s="258" t="str">
        <f>IFERROR(E14*INDEX('MP Referentiel'!F:F,MATCH(A14,'MP Referentiel'!A:A,0)),"")</f>
        <v>#ERROR!</v>
      </c>
      <c r="I14" s="257"/>
      <c r="J14" s="257"/>
    </row>
    <row r="15">
      <c r="A15" s="8" t="s">
        <v>260</v>
      </c>
      <c r="B15" s="51" t="s">
        <v>261</v>
      </c>
      <c r="C15" s="51" t="s">
        <v>259</v>
      </c>
      <c r="D15" s="51" t="s">
        <v>239</v>
      </c>
      <c r="E15" s="255">
        <v>0.0</v>
      </c>
      <c r="F15" s="75">
        <v>1.0</v>
      </c>
      <c r="G15" s="259" t="str">
        <f>IF(E15="","",IF(E15&lt;F15,"Rupture","OK"))</f>
        <v>#ERROR!</v>
      </c>
      <c r="H15" s="260" t="str">
        <f>IFERROR(E15*INDEX('MP Referentiel'!F:F,MATCH(A15,'MP Referentiel'!A:A,0)),"")</f>
        <v>#ERROR!</v>
      </c>
      <c r="I15" s="259"/>
      <c r="J15" s="259"/>
    </row>
    <row r="16">
      <c r="A16" s="8" t="s">
        <v>262</v>
      </c>
      <c r="B16" s="43" t="s">
        <v>263</v>
      </c>
      <c r="C16" s="43" t="s">
        <v>259</v>
      </c>
      <c r="D16" s="43" t="s">
        <v>239</v>
      </c>
      <c r="E16" s="255">
        <v>0.0</v>
      </c>
      <c r="F16" s="256">
        <v>1.0</v>
      </c>
      <c r="G16" s="257" t="str">
        <f>IF(E16="","",IF(E16&lt;F16,"Rupture","OK"))</f>
        <v>#ERROR!</v>
      </c>
      <c r="H16" s="258" t="str">
        <f>IFERROR(E16*INDEX('MP Referentiel'!F:F,MATCH(A16,'MP Referentiel'!A:A,0)),"")</f>
        <v>#ERROR!</v>
      </c>
      <c r="I16" s="257"/>
      <c r="J16" s="257"/>
    </row>
    <row r="17">
      <c r="A17" s="8" t="s">
        <v>264</v>
      </c>
      <c r="B17" s="51" t="s">
        <v>265</v>
      </c>
      <c r="C17" s="51" t="s">
        <v>259</v>
      </c>
      <c r="D17" s="51" t="s">
        <v>239</v>
      </c>
      <c r="E17" s="255">
        <v>0.0</v>
      </c>
      <c r="F17" s="75">
        <v>1.0</v>
      </c>
      <c r="G17" s="259" t="str">
        <f>IF(E17="","",IF(E17&lt;F17,"Rupture","OK"))</f>
        <v>#ERROR!</v>
      </c>
      <c r="H17" s="260" t="str">
        <f>IFERROR(E17*INDEX('MP Referentiel'!F:F,MATCH(A17,'MP Referentiel'!A:A,0)),"")</f>
        <v>#ERROR!</v>
      </c>
      <c r="I17" s="259"/>
      <c r="J17" s="259"/>
    </row>
    <row r="18">
      <c r="A18" s="8" t="s">
        <v>266</v>
      </c>
      <c r="B18" s="43" t="s">
        <v>267</v>
      </c>
      <c r="C18" s="43" t="s">
        <v>259</v>
      </c>
      <c r="D18" s="43" t="s">
        <v>239</v>
      </c>
      <c r="E18" s="255">
        <v>0.0</v>
      </c>
      <c r="F18" s="256">
        <v>1.0</v>
      </c>
      <c r="G18" s="257" t="str">
        <f>IF(E18="","",IF(E18&lt;F18,"Rupture","OK"))</f>
        <v>#ERROR!</v>
      </c>
      <c r="H18" s="258" t="str">
        <f>IFERROR(E18*INDEX('MP Referentiel'!F:F,MATCH(A18,'MP Referentiel'!A:A,0)),"")</f>
        <v>#ERROR!</v>
      </c>
      <c r="I18" s="257"/>
      <c r="J18" s="257"/>
    </row>
    <row r="19">
      <c r="A19" s="8" t="s">
        <v>268</v>
      </c>
      <c r="B19" s="51" t="s">
        <v>269</v>
      </c>
      <c r="C19" s="51" t="s">
        <v>259</v>
      </c>
      <c r="D19" s="51" t="s">
        <v>239</v>
      </c>
      <c r="E19" s="255">
        <v>0.0</v>
      </c>
      <c r="F19" s="75">
        <v>1.0</v>
      </c>
      <c r="G19" s="259" t="str">
        <f>IF(E19="","",IF(E19&lt;F19,"Rupture","OK"))</f>
        <v>#ERROR!</v>
      </c>
      <c r="H19" s="260" t="str">
        <f>IFERROR(E19*INDEX('MP Referentiel'!F:F,MATCH(A19,'MP Referentiel'!A:A,0)),"")</f>
        <v>#ERROR!</v>
      </c>
      <c r="I19" s="259"/>
      <c r="J19" s="259"/>
    </row>
    <row r="20">
      <c r="A20" s="8" t="s">
        <v>270</v>
      </c>
      <c r="B20" s="43" t="s">
        <v>271</v>
      </c>
      <c r="C20" s="43" t="s">
        <v>259</v>
      </c>
      <c r="D20" s="43" t="s">
        <v>239</v>
      </c>
      <c r="E20" s="255">
        <v>0.0</v>
      </c>
      <c r="F20" s="256">
        <v>1.0</v>
      </c>
      <c r="G20" s="257" t="str">
        <f>IF(E20="","",IF(E20&lt;F20,"Rupture","OK"))</f>
        <v>#ERROR!</v>
      </c>
      <c r="H20" s="258" t="str">
        <f>IFERROR(E20*INDEX('MP Referentiel'!F:F,MATCH(A20,'MP Referentiel'!A:A,0)),"")</f>
        <v>#ERROR!</v>
      </c>
      <c r="I20" s="257"/>
      <c r="J20" s="257"/>
    </row>
    <row r="21">
      <c r="A21" s="8" t="s">
        <v>272</v>
      </c>
      <c r="B21" s="51" t="s">
        <v>273</v>
      </c>
      <c r="C21" s="51" t="s">
        <v>259</v>
      </c>
      <c r="D21" s="51" t="s">
        <v>239</v>
      </c>
      <c r="E21" s="255">
        <v>0.0</v>
      </c>
      <c r="F21" s="75">
        <v>1.0</v>
      </c>
      <c r="G21" s="259" t="str">
        <f>IF(E21="","",IF(E21&lt;F21,"Rupture","OK"))</f>
        <v>#ERROR!</v>
      </c>
      <c r="H21" s="260" t="str">
        <f>IFERROR(E21*INDEX('MP Referentiel'!F:F,MATCH(A21,'MP Referentiel'!A:A,0)),"")</f>
        <v>#ERROR!</v>
      </c>
      <c r="I21" s="259"/>
      <c r="J21" s="259"/>
    </row>
    <row r="22">
      <c r="A22" s="8" t="s">
        <v>274</v>
      </c>
      <c r="B22" s="43" t="s">
        <v>275</v>
      </c>
      <c r="C22" s="43" t="s">
        <v>259</v>
      </c>
      <c r="D22" s="43" t="s">
        <v>239</v>
      </c>
      <c r="E22" s="255">
        <v>0.0</v>
      </c>
      <c r="F22" s="256">
        <v>1.0</v>
      </c>
      <c r="G22" s="257" t="str">
        <f>IF(E22="","",IF(E22&lt;F22,"Rupture","OK"))</f>
        <v>#ERROR!</v>
      </c>
      <c r="H22" s="258" t="str">
        <f>IFERROR(E22*INDEX('MP Referentiel'!F:F,MATCH(A22,'MP Referentiel'!A:A,0)),"")</f>
        <v>#ERROR!</v>
      </c>
      <c r="I22" s="257"/>
      <c r="J22" s="257"/>
    </row>
    <row r="23">
      <c r="A23" s="8" t="s">
        <v>276</v>
      </c>
      <c r="B23" s="51" t="s">
        <v>277</v>
      </c>
      <c r="C23" s="51" t="s">
        <v>259</v>
      </c>
      <c r="D23" s="51" t="s">
        <v>239</v>
      </c>
      <c r="E23" s="255">
        <v>0.0</v>
      </c>
      <c r="F23" s="75">
        <v>1.0</v>
      </c>
      <c r="G23" s="259" t="str">
        <f>IF(E23="","",IF(E23&lt;F23,"Rupture","OK"))</f>
        <v>#ERROR!</v>
      </c>
      <c r="H23" s="260" t="str">
        <f>IFERROR(E23*INDEX('MP Referentiel'!F:F,MATCH(A23,'MP Referentiel'!A:A,0)),"")</f>
        <v>#ERROR!</v>
      </c>
      <c r="I23" s="259"/>
      <c r="J23" s="259"/>
    </row>
    <row r="24">
      <c r="A24" s="8" t="s">
        <v>278</v>
      </c>
      <c r="B24" s="43" t="s">
        <v>279</v>
      </c>
      <c r="C24" s="43" t="s">
        <v>259</v>
      </c>
      <c r="D24" s="43" t="s">
        <v>239</v>
      </c>
      <c r="E24" s="255">
        <v>0.0</v>
      </c>
      <c r="F24" s="256">
        <v>1.0</v>
      </c>
      <c r="G24" s="257" t="str">
        <f>IF(E24="","",IF(E24&lt;F24,"Rupture","OK"))</f>
        <v>#ERROR!</v>
      </c>
      <c r="H24" s="258" t="str">
        <f>IFERROR(E24*INDEX('MP Referentiel'!F:F,MATCH(A24,'MP Referentiel'!A:A,0)),"")</f>
        <v>#ERROR!</v>
      </c>
      <c r="I24" s="257"/>
      <c r="J24" s="257"/>
    </row>
    <row r="25">
      <c r="A25" s="8" t="s">
        <v>280</v>
      </c>
      <c r="B25" s="51" t="s">
        <v>281</v>
      </c>
      <c r="C25" s="51" t="s">
        <v>259</v>
      </c>
      <c r="D25" s="51" t="s">
        <v>239</v>
      </c>
      <c r="E25" s="255">
        <v>0.0</v>
      </c>
      <c r="F25" s="75">
        <v>1.0</v>
      </c>
      <c r="G25" s="259" t="str">
        <f>IF(E25="","",IF(E25&lt;F25,"Rupture","OK"))</f>
        <v>#ERROR!</v>
      </c>
      <c r="H25" s="260" t="str">
        <f>IFERROR(E25*INDEX('MP Referentiel'!F:F,MATCH(A25,'MP Referentiel'!A:A,0)),"")</f>
        <v>#ERROR!</v>
      </c>
      <c r="I25" s="259"/>
      <c r="J25" s="259"/>
    </row>
    <row r="26">
      <c r="A26" s="8" t="s">
        <v>282</v>
      </c>
      <c r="B26" s="43" t="s">
        <v>283</v>
      </c>
      <c r="C26" s="43" t="s">
        <v>259</v>
      </c>
      <c r="D26" s="43" t="s">
        <v>239</v>
      </c>
      <c r="E26" s="255">
        <v>0.0</v>
      </c>
      <c r="F26" s="256">
        <v>1.0</v>
      </c>
      <c r="G26" s="257" t="str">
        <f>IF(E26="","",IF(E26&lt;F26,"Rupture","OK"))</f>
        <v>#ERROR!</v>
      </c>
      <c r="H26" s="258" t="str">
        <f>IFERROR(E26*INDEX('MP Referentiel'!F:F,MATCH(A26,'MP Referentiel'!A:A,0)),"")</f>
        <v>#ERROR!</v>
      </c>
      <c r="I26" s="257"/>
      <c r="J26" s="257"/>
    </row>
    <row r="27">
      <c r="A27" s="8" t="s">
        <v>284</v>
      </c>
      <c r="B27" s="51" t="s">
        <v>285</v>
      </c>
      <c r="C27" s="51" t="s">
        <v>259</v>
      </c>
      <c r="D27" s="51" t="s">
        <v>239</v>
      </c>
      <c r="E27" s="255">
        <v>0.0</v>
      </c>
      <c r="F27" s="75">
        <v>1.0</v>
      </c>
      <c r="G27" s="259" t="str">
        <f>IF(E27="","",IF(E27&lt;F27,"Rupture","OK"))</f>
        <v>#ERROR!</v>
      </c>
      <c r="H27" s="260" t="str">
        <f>IFERROR(E27*INDEX('MP Referentiel'!F:F,MATCH(A27,'MP Referentiel'!A:A,0)),"")</f>
        <v>#ERROR!</v>
      </c>
      <c r="I27" s="259"/>
      <c r="J27" s="259"/>
    </row>
    <row r="28">
      <c r="A28" s="8" t="s">
        <v>286</v>
      </c>
      <c r="B28" s="43" t="s">
        <v>287</v>
      </c>
      <c r="C28" s="43" t="s">
        <v>288</v>
      </c>
      <c r="D28" s="43" t="s">
        <v>239</v>
      </c>
      <c r="E28" s="255">
        <v>0.0</v>
      </c>
      <c r="F28" s="256">
        <v>1.0</v>
      </c>
      <c r="G28" s="257" t="str">
        <f>IF(E28="","",IF(E28&lt;F28,"Rupture","OK"))</f>
        <v>#ERROR!</v>
      </c>
      <c r="H28" s="258" t="str">
        <f>IFERROR(E28*INDEX('MP Referentiel'!F:F,MATCH(A28,'MP Referentiel'!A:A,0)),"")</f>
        <v>#ERROR!</v>
      </c>
      <c r="I28" s="257"/>
      <c r="J28" s="257"/>
    </row>
    <row r="29">
      <c r="A29" s="8" t="s">
        <v>289</v>
      </c>
      <c r="B29" s="51" t="s">
        <v>290</v>
      </c>
      <c r="C29" s="51" t="s">
        <v>288</v>
      </c>
      <c r="D29" s="51" t="s">
        <v>239</v>
      </c>
      <c r="E29" s="255">
        <v>0.0</v>
      </c>
      <c r="F29" s="75">
        <v>1.0</v>
      </c>
      <c r="G29" s="259" t="str">
        <f>IF(E29="","",IF(E29&lt;F29,"Rupture","OK"))</f>
        <v>#ERROR!</v>
      </c>
      <c r="H29" s="260" t="str">
        <f>IFERROR(E29*INDEX('MP Referentiel'!F:F,MATCH(A29,'MP Referentiel'!A:A,0)),"")</f>
        <v>#ERROR!</v>
      </c>
      <c r="I29" s="259"/>
      <c r="J29" s="259"/>
    </row>
    <row r="30">
      <c r="A30" s="8" t="s">
        <v>291</v>
      </c>
      <c r="B30" s="43" t="s">
        <v>292</v>
      </c>
      <c r="C30" s="43" t="s">
        <v>293</v>
      </c>
      <c r="D30" s="43" t="s">
        <v>239</v>
      </c>
      <c r="E30" s="255">
        <v>0.0</v>
      </c>
      <c r="F30" s="256">
        <v>1.0</v>
      </c>
      <c r="G30" s="257" t="str">
        <f>IF(E30="","",IF(E30&lt;F30,"Rupture","OK"))</f>
        <v>#ERROR!</v>
      </c>
      <c r="H30" s="258" t="str">
        <f>IFERROR(E30*INDEX('MP Referentiel'!F:F,MATCH(A30,'MP Referentiel'!A:A,0)),"")</f>
        <v>#ERROR!</v>
      </c>
      <c r="I30" s="257"/>
      <c r="J30" s="257"/>
    </row>
    <row r="31">
      <c r="A31" s="8" t="s">
        <v>294</v>
      </c>
      <c r="B31" s="51" t="s">
        <v>295</v>
      </c>
      <c r="C31" s="51" t="s">
        <v>296</v>
      </c>
      <c r="D31" s="51" t="s">
        <v>239</v>
      </c>
      <c r="E31" s="255">
        <v>0.0</v>
      </c>
      <c r="F31" s="75">
        <v>1.0</v>
      </c>
      <c r="G31" s="259" t="str">
        <f>IF(E31="","",IF(E31&lt;F31,"Rupture","OK"))</f>
        <v>#ERROR!</v>
      </c>
      <c r="H31" s="260" t="str">
        <f>IFERROR(E31*INDEX('MP Referentiel'!F:F,MATCH(A31,'MP Referentiel'!A:A,0)),"")</f>
        <v>#ERROR!</v>
      </c>
      <c r="I31" s="259"/>
      <c r="J31" s="259"/>
    </row>
    <row r="32">
      <c r="A32" s="8" t="s">
        <v>297</v>
      </c>
      <c r="B32" s="43" t="s">
        <v>298</v>
      </c>
      <c r="C32" s="43" t="s">
        <v>296</v>
      </c>
      <c r="D32" s="43" t="s">
        <v>239</v>
      </c>
      <c r="E32" s="255">
        <v>0.0</v>
      </c>
      <c r="F32" s="256">
        <v>1.0</v>
      </c>
      <c r="G32" s="257" t="str">
        <f>IF(E32="","",IF(E32&lt;F32,"Rupture","OK"))</f>
        <v>#ERROR!</v>
      </c>
      <c r="H32" s="258" t="str">
        <f>IFERROR(E32*INDEX('MP Referentiel'!F:F,MATCH(A32,'MP Referentiel'!A:A,0)),"")</f>
        <v>#ERROR!</v>
      </c>
      <c r="I32" s="257"/>
      <c r="J32" s="257"/>
    </row>
    <row r="33">
      <c r="A33" s="8" t="s">
        <v>299</v>
      </c>
      <c r="B33" s="51" t="s">
        <v>300</v>
      </c>
      <c r="C33" s="51" t="s">
        <v>301</v>
      </c>
      <c r="D33" s="51" t="s">
        <v>239</v>
      </c>
      <c r="E33" s="255">
        <v>0.0</v>
      </c>
      <c r="F33" s="75">
        <v>1.0</v>
      </c>
      <c r="G33" s="259" t="str">
        <f>IF(E33="","",IF(E33&lt;F33,"Rupture","OK"))</f>
        <v>#ERROR!</v>
      </c>
      <c r="H33" s="260" t="str">
        <f>IFERROR(E33*INDEX('MP Referentiel'!F:F,MATCH(A33,'MP Referentiel'!A:A,0)),"")</f>
        <v>#ERROR!</v>
      </c>
      <c r="I33" s="259"/>
      <c r="J33" s="259"/>
    </row>
    <row r="34">
      <c r="A34" s="8" t="s">
        <v>302</v>
      </c>
      <c r="B34" s="43" t="s">
        <v>303</v>
      </c>
      <c r="C34" s="43" t="s">
        <v>301</v>
      </c>
      <c r="D34" s="43" t="s">
        <v>239</v>
      </c>
      <c r="E34" s="255">
        <v>0.0</v>
      </c>
      <c r="F34" s="256">
        <v>1.0</v>
      </c>
      <c r="G34" s="257" t="str">
        <f>IF(E34="","",IF(E34&lt;F34,"Rupture","OK"))</f>
        <v>#ERROR!</v>
      </c>
      <c r="H34" s="258" t="str">
        <f>IFERROR(E34*INDEX('MP Referentiel'!F:F,MATCH(A34,'MP Referentiel'!A:A,0)),"")</f>
        <v>#ERROR!</v>
      </c>
      <c r="I34" s="257"/>
      <c r="J34" s="257"/>
    </row>
    <row r="35">
      <c r="A35" s="8" t="s">
        <v>304</v>
      </c>
      <c r="B35" s="51" t="s">
        <v>305</v>
      </c>
      <c r="C35" s="51" t="s">
        <v>301</v>
      </c>
      <c r="D35" s="51" t="s">
        <v>239</v>
      </c>
      <c r="E35" s="255">
        <v>0.0</v>
      </c>
      <c r="F35" s="75">
        <v>1.0</v>
      </c>
      <c r="G35" s="259" t="str">
        <f>IF(E35="","",IF(E35&lt;F35,"Rupture","OK"))</f>
        <v>#ERROR!</v>
      </c>
      <c r="H35" s="260" t="str">
        <f>IFERROR(E35*INDEX('MP Referentiel'!F:F,MATCH(A35,'MP Referentiel'!A:A,0)),"")</f>
        <v>#ERROR!</v>
      </c>
      <c r="I35" s="259"/>
      <c r="J35" s="259"/>
    </row>
    <row r="36">
      <c r="A36" s="8" t="s">
        <v>306</v>
      </c>
      <c r="B36" s="43" t="s">
        <v>307</v>
      </c>
      <c r="C36" s="43" t="s">
        <v>301</v>
      </c>
      <c r="D36" s="43" t="s">
        <v>308</v>
      </c>
      <c r="E36" s="255">
        <v>0.0</v>
      </c>
      <c r="F36" s="256">
        <v>1.0</v>
      </c>
      <c r="G36" s="257" t="str">
        <f>IF(E36="","",IF(E36&lt;F36,"Rupture","OK"))</f>
        <v>#ERROR!</v>
      </c>
      <c r="H36" s="258" t="str">
        <f>IFERROR(E36*INDEX('MP Referentiel'!F:F,MATCH(A36,'MP Referentiel'!A:A,0)),"")</f>
        <v>#ERROR!</v>
      </c>
      <c r="I36" s="257"/>
      <c r="J36" s="257"/>
    </row>
    <row r="37">
      <c r="A37" s="8" t="s">
        <v>309</v>
      </c>
      <c r="B37" s="51" t="s">
        <v>310</v>
      </c>
      <c r="C37" s="51" t="s">
        <v>301</v>
      </c>
      <c r="D37" s="51" t="s">
        <v>239</v>
      </c>
      <c r="E37" s="255">
        <v>0.0</v>
      </c>
      <c r="F37" s="75">
        <v>1.0</v>
      </c>
      <c r="G37" s="259" t="str">
        <f>IF(E37="","",IF(E37&lt;F37,"Rupture","OK"))</f>
        <v>#ERROR!</v>
      </c>
      <c r="H37" s="260" t="str">
        <f>IFERROR(E37*INDEX('MP Referentiel'!F:F,MATCH(A37,'MP Referentiel'!A:A,0)),"")</f>
        <v>#ERROR!</v>
      </c>
      <c r="I37" s="259"/>
      <c r="J37" s="259"/>
    </row>
    <row r="38">
      <c r="A38" s="8" t="s">
        <v>311</v>
      </c>
      <c r="B38" s="43" t="s">
        <v>312</v>
      </c>
      <c r="C38" s="43" t="s">
        <v>301</v>
      </c>
      <c r="D38" s="43" t="s">
        <v>308</v>
      </c>
      <c r="E38" s="255">
        <v>0.0</v>
      </c>
      <c r="F38" s="256">
        <v>1.0</v>
      </c>
      <c r="G38" s="257" t="str">
        <f>IF(E38="","",IF(E38&lt;F38,"Rupture","OK"))</f>
        <v>#ERROR!</v>
      </c>
      <c r="H38" s="258" t="str">
        <f>IFERROR(E38*INDEX('MP Referentiel'!F:F,MATCH(A38,'MP Referentiel'!A:A,0)),"")</f>
        <v>#ERROR!</v>
      </c>
      <c r="I38" s="257"/>
      <c r="J38" s="257"/>
    </row>
    <row r="39">
      <c r="A39" s="8" t="s">
        <v>313</v>
      </c>
      <c r="B39" s="51" t="s">
        <v>314</v>
      </c>
      <c r="C39" s="51" t="s">
        <v>301</v>
      </c>
      <c r="D39" s="51" t="s">
        <v>239</v>
      </c>
      <c r="E39" s="255">
        <v>0.0</v>
      </c>
      <c r="F39" s="75">
        <v>1.0</v>
      </c>
      <c r="G39" s="259" t="str">
        <f>IF(E39="","",IF(E39&lt;F39,"Rupture","OK"))</f>
        <v>#ERROR!</v>
      </c>
      <c r="H39" s="260" t="str">
        <f>IFERROR(E39*INDEX('MP Referentiel'!F:F,MATCH(A39,'MP Referentiel'!A:A,0)),"")</f>
        <v>#ERROR!</v>
      </c>
      <c r="I39" s="259"/>
      <c r="J39" s="259"/>
    </row>
    <row r="40">
      <c r="A40" s="8" t="s">
        <v>315</v>
      </c>
      <c r="B40" s="43" t="s">
        <v>316</v>
      </c>
      <c r="C40" s="43" t="s">
        <v>317</v>
      </c>
      <c r="D40" s="43" t="s">
        <v>308</v>
      </c>
      <c r="E40" s="255">
        <v>0.0</v>
      </c>
      <c r="F40" s="256">
        <v>1.0</v>
      </c>
      <c r="G40" s="257" t="str">
        <f>IF(E40="","",IF(E40&lt;F40,"Rupture","OK"))</f>
        <v>#ERROR!</v>
      </c>
      <c r="H40" s="258" t="str">
        <f>IFERROR(E40*INDEX('MP Referentiel'!F:F,MATCH(A40,'MP Referentiel'!A:A,0)),"")</f>
        <v>#ERROR!</v>
      </c>
      <c r="I40" s="257"/>
      <c r="J40" s="257"/>
    </row>
    <row r="41">
      <c r="A41" s="8" t="s">
        <v>318</v>
      </c>
      <c r="B41" s="51" t="s">
        <v>319</v>
      </c>
      <c r="C41" s="51" t="s">
        <v>317</v>
      </c>
      <c r="D41" s="51" t="s">
        <v>239</v>
      </c>
      <c r="E41" s="255">
        <v>0.0</v>
      </c>
      <c r="F41" s="75">
        <v>1.0</v>
      </c>
      <c r="G41" s="259" t="str">
        <f>IF(E41="","",IF(E41&lt;F41,"Rupture","OK"))</f>
        <v>#ERROR!</v>
      </c>
      <c r="H41" s="260" t="str">
        <f>IFERROR(E41*INDEX('MP Referentiel'!F:F,MATCH(A41,'MP Referentiel'!A:A,0)),"")</f>
        <v>#ERROR!</v>
      </c>
      <c r="I41" s="259"/>
      <c r="J41" s="259"/>
    </row>
    <row r="42">
      <c r="A42" s="8" t="s">
        <v>320</v>
      </c>
      <c r="B42" s="43" t="s">
        <v>321</v>
      </c>
      <c r="C42" s="43" t="s">
        <v>317</v>
      </c>
      <c r="D42" s="43" t="s">
        <v>239</v>
      </c>
      <c r="E42" s="255">
        <v>0.0</v>
      </c>
      <c r="F42" s="256">
        <v>1.0</v>
      </c>
      <c r="G42" s="257" t="str">
        <f>IF(E42="","",IF(E42&lt;F42,"Rupture","OK"))</f>
        <v>#ERROR!</v>
      </c>
      <c r="H42" s="258" t="str">
        <f>IFERROR(E42*INDEX('MP Referentiel'!F:F,MATCH(A42,'MP Referentiel'!A:A,0)),"")</f>
        <v>#ERROR!</v>
      </c>
      <c r="I42" s="257"/>
      <c r="J42" s="257"/>
    </row>
    <row r="43">
      <c r="A43" s="8" t="s">
        <v>322</v>
      </c>
      <c r="B43" s="51" t="s">
        <v>323</v>
      </c>
      <c r="C43" s="51" t="s">
        <v>324</v>
      </c>
      <c r="D43" s="51" t="s">
        <v>239</v>
      </c>
      <c r="E43" s="255">
        <v>0.0</v>
      </c>
      <c r="F43" s="75">
        <v>1.0</v>
      </c>
      <c r="G43" s="259" t="str">
        <f>IF(E43="","",IF(E43&lt;F43,"Rupture","OK"))</f>
        <v>#ERROR!</v>
      </c>
      <c r="H43" s="260" t="str">
        <f>IFERROR(E43*INDEX('MP Referentiel'!F:F,MATCH(A43,'MP Referentiel'!A:A,0)),"")</f>
        <v>#ERROR!</v>
      </c>
      <c r="I43" s="259"/>
      <c r="J43" s="259"/>
    </row>
    <row r="44">
      <c r="A44" s="8" t="s">
        <v>325</v>
      </c>
      <c r="B44" s="43" t="s">
        <v>326</v>
      </c>
      <c r="C44" s="43" t="s">
        <v>324</v>
      </c>
      <c r="D44" s="43" t="s">
        <v>239</v>
      </c>
      <c r="E44" s="255">
        <v>0.0</v>
      </c>
      <c r="F44" s="256">
        <v>1.0</v>
      </c>
      <c r="G44" s="257" t="str">
        <f>IF(E44="","",IF(E44&lt;F44,"Rupture","OK"))</f>
        <v>#ERROR!</v>
      </c>
      <c r="H44" s="258" t="str">
        <f>IFERROR(E44*INDEX('MP Referentiel'!F:F,MATCH(A44,'MP Referentiel'!A:A,0)),"")</f>
        <v>#ERROR!</v>
      </c>
      <c r="I44" s="257"/>
      <c r="J44" s="257"/>
    </row>
    <row r="45">
      <c r="A45" s="8" t="s">
        <v>327</v>
      </c>
      <c r="B45" s="51" t="s">
        <v>328</v>
      </c>
      <c r="C45" s="51" t="s">
        <v>324</v>
      </c>
      <c r="D45" s="51" t="s">
        <v>239</v>
      </c>
      <c r="E45" s="255">
        <v>0.0</v>
      </c>
      <c r="F45" s="75">
        <v>1.0</v>
      </c>
      <c r="G45" s="259" t="str">
        <f>IF(E45="","",IF(E45&lt;F45,"Rupture","OK"))</f>
        <v>#ERROR!</v>
      </c>
      <c r="H45" s="260" t="str">
        <f>IFERROR(E45*INDEX('MP Referentiel'!F:F,MATCH(A45,'MP Referentiel'!A:A,0)),"")</f>
        <v>#ERROR!</v>
      </c>
      <c r="I45" s="259"/>
      <c r="J45" s="259"/>
    </row>
    <row r="46">
      <c r="A46" s="8" t="s">
        <v>329</v>
      </c>
      <c r="B46" s="43" t="s">
        <v>330</v>
      </c>
      <c r="C46" s="43" t="s">
        <v>324</v>
      </c>
      <c r="D46" s="43" t="s">
        <v>239</v>
      </c>
      <c r="E46" s="255">
        <v>0.0</v>
      </c>
      <c r="F46" s="256">
        <v>1.0</v>
      </c>
      <c r="G46" s="257" t="str">
        <f>IF(E46="","",IF(E46&lt;F46,"Rupture","OK"))</f>
        <v>#ERROR!</v>
      </c>
      <c r="H46" s="258" t="str">
        <f>IFERROR(E46*INDEX('MP Referentiel'!F:F,MATCH(A46,'MP Referentiel'!A:A,0)),"")</f>
        <v>#ERROR!</v>
      </c>
      <c r="I46" s="257"/>
      <c r="J46" s="257"/>
    </row>
    <row r="47">
      <c r="A47" s="8" t="s">
        <v>331</v>
      </c>
      <c r="B47" s="51" t="s">
        <v>332</v>
      </c>
      <c r="C47" s="51" t="s">
        <v>324</v>
      </c>
      <c r="D47" s="51" t="s">
        <v>239</v>
      </c>
      <c r="E47" s="255">
        <v>0.0</v>
      </c>
      <c r="F47" s="75">
        <v>1.0</v>
      </c>
      <c r="G47" s="259" t="str">
        <f>IF(E47="","",IF(E47&lt;F47,"Rupture","OK"))</f>
        <v>#ERROR!</v>
      </c>
      <c r="H47" s="260" t="str">
        <f>IFERROR(E47*INDEX('MP Referentiel'!F:F,MATCH(A47,'MP Referentiel'!A:A,0)),"")</f>
        <v>#ERROR!</v>
      </c>
      <c r="I47" s="259"/>
      <c r="J47" s="259"/>
    </row>
    <row r="48">
      <c r="A48" s="8" t="s">
        <v>333</v>
      </c>
      <c r="B48" s="43" t="s">
        <v>334</v>
      </c>
      <c r="C48" s="43" t="s">
        <v>335</v>
      </c>
      <c r="D48" s="43" t="s">
        <v>239</v>
      </c>
      <c r="E48" s="255">
        <v>0.0</v>
      </c>
      <c r="F48" s="256">
        <v>1.0</v>
      </c>
      <c r="G48" s="257" t="str">
        <f>IF(E48="","",IF(E48&lt;F48,"Rupture","OK"))</f>
        <v>#ERROR!</v>
      </c>
      <c r="H48" s="258" t="str">
        <f>IFERROR(E48*INDEX('MP Referentiel'!F:F,MATCH(A48,'MP Referentiel'!A:A,0)),"")</f>
        <v>#ERROR!</v>
      </c>
      <c r="I48" s="257"/>
      <c r="J48" s="257"/>
    </row>
    <row r="49">
      <c r="A49" s="8" t="s">
        <v>336</v>
      </c>
      <c r="B49" s="51" t="s">
        <v>337</v>
      </c>
      <c r="C49" s="51" t="s">
        <v>335</v>
      </c>
      <c r="D49" s="51" t="s">
        <v>239</v>
      </c>
      <c r="E49" s="255">
        <v>0.0</v>
      </c>
      <c r="F49" s="75">
        <v>1.0</v>
      </c>
      <c r="G49" s="259" t="str">
        <f>IF(E49="","",IF(E49&lt;F49,"Rupture","OK"))</f>
        <v>#ERROR!</v>
      </c>
      <c r="H49" s="260" t="str">
        <f>IFERROR(E49*INDEX('MP Referentiel'!F:F,MATCH(A49,'MP Referentiel'!A:A,0)),"")</f>
        <v>#ERROR!</v>
      </c>
      <c r="I49" s="259"/>
      <c r="J49" s="259"/>
    </row>
    <row r="50">
      <c r="A50" s="8" t="s">
        <v>338</v>
      </c>
      <c r="B50" s="43" t="s">
        <v>339</v>
      </c>
      <c r="C50" s="43" t="s">
        <v>335</v>
      </c>
      <c r="D50" s="43" t="s">
        <v>239</v>
      </c>
      <c r="E50" s="255">
        <v>0.0</v>
      </c>
      <c r="F50" s="256">
        <v>1.0</v>
      </c>
      <c r="G50" s="257" t="str">
        <f>IF(E50="","",IF(E50&lt;F50,"Rupture","OK"))</f>
        <v>#ERROR!</v>
      </c>
      <c r="H50" s="258" t="str">
        <f>IFERROR(E50*INDEX('MP Referentiel'!F:F,MATCH(A50,'MP Referentiel'!A:A,0)),"")</f>
        <v>#ERROR!</v>
      </c>
      <c r="I50" s="257"/>
      <c r="J50" s="257"/>
    </row>
    <row r="51">
      <c r="A51" s="8" t="s">
        <v>340</v>
      </c>
      <c r="B51" s="51" t="s">
        <v>341</v>
      </c>
      <c r="C51" s="51" t="s">
        <v>335</v>
      </c>
      <c r="D51" s="51" t="s">
        <v>239</v>
      </c>
      <c r="E51" s="255">
        <v>0.0</v>
      </c>
      <c r="F51" s="75">
        <v>1.0</v>
      </c>
      <c r="G51" s="259" t="str">
        <f>IF(E51="","",IF(E51&lt;F51,"Rupture","OK"))</f>
        <v>#ERROR!</v>
      </c>
      <c r="H51" s="260" t="str">
        <f>IFERROR(E51*INDEX('MP Referentiel'!F:F,MATCH(A51,'MP Referentiel'!A:A,0)),"")</f>
        <v>#ERROR!</v>
      </c>
      <c r="I51" s="259"/>
      <c r="J51" s="259"/>
    </row>
    <row r="52">
      <c r="A52" s="8" t="s">
        <v>342</v>
      </c>
      <c r="B52" s="43" t="s">
        <v>343</v>
      </c>
      <c r="C52" s="43" t="s">
        <v>335</v>
      </c>
      <c r="D52" s="43" t="s">
        <v>239</v>
      </c>
      <c r="E52" s="255">
        <v>0.0</v>
      </c>
      <c r="F52" s="256">
        <v>1.0</v>
      </c>
      <c r="G52" s="257" t="str">
        <f>IF(E52="","",IF(E52&lt;F52,"Rupture","OK"))</f>
        <v>#ERROR!</v>
      </c>
      <c r="H52" s="258" t="str">
        <f>IFERROR(E52*INDEX('MP Referentiel'!F:F,MATCH(A52,'MP Referentiel'!A:A,0)),"")</f>
        <v>#ERROR!</v>
      </c>
      <c r="I52" s="257"/>
      <c r="J52" s="257"/>
    </row>
    <row r="53">
      <c r="A53" s="8" t="s">
        <v>344</v>
      </c>
      <c r="B53" s="51" t="s">
        <v>345</v>
      </c>
      <c r="C53" s="51" t="s">
        <v>335</v>
      </c>
      <c r="D53" s="51" t="s">
        <v>239</v>
      </c>
      <c r="E53" s="255">
        <v>0.0</v>
      </c>
      <c r="F53" s="75">
        <v>1.0</v>
      </c>
      <c r="G53" s="259" t="str">
        <f>IF(E53="","",IF(E53&lt;F53,"Rupture","OK"))</f>
        <v>#ERROR!</v>
      </c>
      <c r="H53" s="260" t="str">
        <f>IFERROR(E53*INDEX('MP Referentiel'!F:F,MATCH(A53,'MP Referentiel'!A:A,0)),"")</f>
        <v>#ERROR!</v>
      </c>
      <c r="I53" s="259"/>
      <c r="J53" s="259"/>
    </row>
    <row r="54">
      <c r="A54" s="8" t="s">
        <v>346</v>
      </c>
      <c r="B54" s="43" t="s">
        <v>347</v>
      </c>
      <c r="C54" s="43" t="s">
        <v>335</v>
      </c>
      <c r="D54" s="43" t="s">
        <v>239</v>
      </c>
      <c r="E54" s="255">
        <v>0.0</v>
      </c>
      <c r="F54" s="256">
        <v>1.0</v>
      </c>
      <c r="G54" s="257" t="str">
        <f>IF(E54="","",IF(E54&lt;F54,"Rupture","OK"))</f>
        <v>#ERROR!</v>
      </c>
      <c r="H54" s="258" t="str">
        <f>IFERROR(E54*INDEX('MP Referentiel'!F:F,MATCH(A54,'MP Referentiel'!A:A,0)),"")</f>
        <v>#ERROR!</v>
      </c>
      <c r="I54" s="257"/>
      <c r="J54" s="257"/>
    </row>
    <row r="55">
      <c r="A55" s="8" t="s">
        <v>348</v>
      </c>
      <c r="B55" s="51" t="s">
        <v>349</v>
      </c>
      <c r="C55" s="51" t="s">
        <v>335</v>
      </c>
      <c r="D55" s="51" t="s">
        <v>239</v>
      </c>
      <c r="E55" s="255">
        <v>0.0</v>
      </c>
      <c r="F55" s="75">
        <v>1.0</v>
      </c>
      <c r="G55" s="259" t="str">
        <f>IF(E55="","",IF(E55&lt;F55,"Rupture","OK"))</f>
        <v>#ERROR!</v>
      </c>
      <c r="H55" s="260" t="str">
        <f>IFERROR(E55*INDEX('MP Referentiel'!F:F,MATCH(A55,'MP Referentiel'!A:A,0)),"")</f>
        <v>#ERROR!</v>
      </c>
      <c r="I55" s="259"/>
      <c r="J55" s="259"/>
    </row>
    <row r="56">
      <c r="A56" s="8" t="s">
        <v>350</v>
      </c>
      <c r="B56" s="43" t="s">
        <v>351</v>
      </c>
      <c r="C56" s="43" t="s">
        <v>335</v>
      </c>
      <c r="D56" s="43" t="s">
        <v>239</v>
      </c>
      <c r="E56" s="255">
        <v>0.0</v>
      </c>
      <c r="F56" s="256">
        <v>1.0</v>
      </c>
      <c r="G56" s="257" t="str">
        <f>IF(E56="","",IF(E56&lt;F56,"Rupture","OK"))</f>
        <v>#ERROR!</v>
      </c>
      <c r="H56" s="258" t="str">
        <f>IFERROR(E56*INDEX('MP Referentiel'!F:F,MATCH(A56,'MP Referentiel'!A:A,0)),"")</f>
        <v>#ERROR!</v>
      </c>
      <c r="I56" s="257"/>
      <c r="J56" s="257"/>
    </row>
    <row r="57">
      <c r="A57" s="8" t="s">
        <v>352</v>
      </c>
      <c r="B57" s="51" t="s">
        <v>353</v>
      </c>
      <c r="C57" s="51" t="s">
        <v>335</v>
      </c>
      <c r="D57" s="51" t="s">
        <v>239</v>
      </c>
      <c r="E57" s="255">
        <v>0.0</v>
      </c>
      <c r="F57" s="75">
        <v>1.0</v>
      </c>
      <c r="G57" s="259" t="str">
        <f>IF(E57="","",IF(E57&lt;F57,"Rupture","OK"))</f>
        <v>#ERROR!</v>
      </c>
      <c r="H57" s="260" t="str">
        <f>IFERROR(E57*INDEX('MP Referentiel'!F:F,MATCH(A57,'MP Referentiel'!A:A,0)),"")</f>
        <v>#ERROR!</v>
      </c>
      <c r="I57" s="259"/>
      <c r="J57" s="259"/>
    </row>
    <row r="58">
      <c r="A58" s="8" t="s">
        <v>354</v>
      </c>
      <c r="B58" s="43" t="s">
        <v>355</v>
      </c>
      <c r="C58" s="43" t="s">
        <v>335</v>
      </c>
      <c r="D58" s="43" t="s">
        <v>239</v>
      </c>
      <c r="E58" s="255">
        <v>0.0</v>
      </c>
      <c r="F58" s="256">
        <v>1.0</v>
      </c>
      <c r="G58" s="257" t="str">
        <f>IF(E58="","",IF(E58&lt;F58,"Rupture","OK"))</f>
        <v>#ERROR!</v>
      </c>
      <c r="H58" s="258" t="str">
        <f>IFERROR(E58*INDEX('MP Referentiel'!F:F,MATCH(A58,'MP Referentiel'!A:A,0)),"")</f>
        <v>#ERROR!</v>
      </c>
      <c r="I58" s="257"/>
      <c r="J58" s="257"/>
    </row>
    <row r="59">
      <c r="A59" s="8" t="s">
        <v>356</v>
      </c>
      <c r="B59" s="51" t="s">
        <v>357</v>
      </c>
      <c r="C59" s="51" t="s">
        <v>358</v>
      </c>
      <c r="D59" s="51" t="s">
        <v>239</v>
      </c>
      <c r="E59" s="255">
        <v>0.0</v>
      </c>
      <c r="F59" s="75">
        <v>1.0</v>
      </c>
      <c r="G59" s="259" t="str">
        <f>IF(E59="","",IF(E59&lt;F59,"Rupture","OK"))</f>
        <v>#ERROR!</v>
      </c>
      <c r="H59" s="260" t="str">
        <f>IFERROR(E59*INDEX('MP Referentiel'!F:F,MATCH(A59,'MP Referentiel'!A:A,0)),"")</f>
        <v>#ERROR!</v>
      </c>
      <c r="I59" s="259"/>
      <c r="J59" s="259"/>
    </row>
    <row r="60">
      <c r="A60" s="8" t="s">
        <v>359</v>
      </c>
      <c r="B60" s="43" t="s">
        <v>360</v>
      </c>
      <c r="C60" s="43" t="s">
        <v>361</v>
      </c>
      <c r="D60" s="43" t="s">
        <v>239</v>
      </c>
      <c r="E60" s="255">
        <v>0.0</v>
      </c>
      <c r="F60" s="256">
        <v>1.0</v>
      </c>
      <c r="G60" s="257" t="str">
        <f>IF(E60="","",IF(E60&lt;F60,"Rupture","OK"))</f>
        <v>#ERROR!</v>
      </c>
      <c r="H60" s="258" t="str">
        <f>IFERROR(E60*INDEX('MP Referentiel'!F:F,MATCH(A60,'MP Referentiel'!A:A,0)),"")</f>
        <v>#ERROR!</v>
      </c>
      <c r="I60" s="257"/>
      <c r="J60" s="257"/>
    </row>
    <row r="61">
      <c r="A61" s="8" t="s">
        <v>362</v>
      </c>
      <c r="B61" s="51" t="s">
        <v>363</v>
      </c>
      <c r="C61" s="51" t="s">
        <v>361</v>
      </c>
      <c r="D61" s="51" t="s">
        <v>239</v>
      </c>
      <c r="E61" s="255">
        <v>0.0</v>
      </c>
      <c r="F61" s="75">
        <v>1.0</v>
      </c>
      <c r="G61" s="259" t="str">
        <f>IF(E61="","",IF(E61&lt;F61,"Rupture","OK"))</f>
        <v>#ERROR!</v>
      </c>
      <c r="H61" s="260" t="str">
        <f>IFERROR(E61*INDEX('MP Referentiel'!F:F,MATCH(A61,'MP Referentiel'!A:A,0)),"")</f>
        <v>#ERROR!</v>
      </c>
      <c r="I61" s="259"/>
      <c r="J61" s="259"/>
    </row>
    <row r="62">
      <c r="A62" s="8" t="s">
        <v>364</v>
      </c>
      <c r="B62" s="43" t="s">
        <v>365</v>
      </c>
      <c r="C62" s="43" t="s">
        <v>361</v>
      </c>
      <c r="D62" s="43" t="s">
        <v>239</v>
      </c>
      <c r="E62" s="255">
        <v>0.0</v>
      </c>
      <c r="F62" s="256">
        <v>1.0</v>
      </c>
      <c r="G62" s="257" t="str">
        <f>IF(E62="","",IF(E62&lt;F62,"Rupture","OK"))</f>
        <v>#ERROR!</v>
      </c>
      <c r="H62" s="258" t="str">
        <f>IFERROR(E62*INDEX('MP Referentiel'!F:F,MATCH(A62,'MP Referentiel'!A:A,0)),"")</f>
        <v>#ERROR!</v>
      </c>
      <c r="I62" s="257"/>
      <c r="J62" s="257"/>
    </row>
    <row r="63">
      <c r="A63" s="8" t="s">
        <v>366</v>
      </c>
      <c r="B63" s="51" t="s">
        <v>367</v>
      </c>
      <c r="C63" s="51" t="s">
        <v>361</v>
      </c>
      <c r="D63" s="51" t="s">
        <v>239</v>
      </c>
      <c r="E63" s="255">
        <v>0.0</v>
      </c>
      <c r="F63" s="75">
        <v>1.0</v>
      </c>
      <c r="G63" s="259" t="str">
        <f>IF(E63="","",IF(E63&lt;F63,"Rupture","OK"))</f>
        <v>#ERROR!</v>
      </c>
      <c r="H63" s="260" t="str">
        <f>IFERROR(E63*INDEX('MP Referentiel'!F:F,MATCH(A63,'MP Referentiel'!A:A,0)),"")</f>
        <v>#ERROR!</v>
      </c>
      <c r="I63" s="259"/>
      <c r="J63" s="259"/>
    </row>
    <row r="64">
      <c r="A64" s="8" t="s">
        <v>368</v>
      </c>
      <c r="B64" s="43" t="s">
        <v>369</v>
      </c>
      <c r="C64" s="43" t="s">
        <v>370</v>
      </c>
      <c r="D64" s="43" t="s">
        <v>308</v>
      </c>
      <c r="E64" s="255">
        <v>0.0</v>
      </c>
      <c r="F64" s="256">
        <v>1.0</v>
      </c>
      <c r="G64" s="257" t="str">
        <f>IF(E64="","",IF(E64&lt;F64,"Rupture","OK"))</f>
        <v>#ERROR!</v>
      </c>
      <c r="H64" s="258" t="str">
        <f>IFERROR(E64*INDEX('MP Referentiel'!F:F,MATCH(A64,'MP Referentiel'!A:A,0)),"")</f>
        <v>#ERROR!</v>
      </c>
      <c r="I64" s="257"/>
      <c r="J64" s="257"/>
    </row>
    <row r="65">
      <c r="A65" s="8" t="s">
        <v>371</v>
      </c>
      <c r="B65" s="51" t="s">
        <v>372</v>
      </c>
      <c r="C65" s="51" t="s">
        <v>373</v>
      </c>
      <c r="D65" s="51" t="s">
        <v>308</v>
      </c>
      <c r="E65" s="255">
        <v>0.0</v>
      </c>
      <c r="F65" s="75">
        <v>1.0</v>
      </c>
      <c r="G65" s="259" t="str">
        <f>IF(E65="","",IF(E65&lt;F65,"Rupture","OK"))</f>
        <v>#ERROR!</v>
      </c>
      <c r="H65" s="260" t="str">
        <f>IFERROR(E65*INDEX('MP Referentiel'!F:F,MATCH(A65,'MP Referentiel'!A:A,0)),"")</f>
        <v>#ERROR!</v>
      </c>
      <c r="I65" s="259"/>
      <c r="J65" s="259"/>
    </row>
    <row r="66">
      <c r="A66" s="8" t="s">
        <v>374</v>
      </c>
      <c r="B66" s="43" t="s">
        <v>375</v>
      </c>
      <c r="C66" s="43" t="s">
        <v>373</v>
      </c>
      <c r="D66" s="43" t="s">
        <v>308</v>
      </c>
      <c r="E66" s="255">
        <v>0.0</v>
      </c>
      <c r="F66" s="256">
        <v>1.0</v>
      </c>
      <c r="G66" s="257" t="str">
        <f>IF(E66="","",IF(E66&lt;F66,"Rupture","OK"))</f>
        <v>#ERROR!</v>
      </c>
      <c r="H66" s="258" t="str">
        <f>IFERROR(E66*INDEX('MP Referentiel'!F:F,MATCH(A66,'MP Referentiel'!A:A,0)),"")</f>
        <v>#ERROR!</v>
      </c>
      <c r="I66" s="257"/>
      <c r="J66" s="257"/>
    </row>
    <row r="67">
      <c r="A67" s="8" t="s">
        <v>376</v>
      </c>
      <c r="B67" s="51" t="s">
        <v>377</v>
      </c>
      <c r="C67" s="51" t="s">
        <v>373</v>
      </c>
      <c r="D67" s="51" t="s">
        <v>308</v>
      </c>
      <c r="E67" s="255">
        <v>0.0</v>
      </c>
      <c r="F67" s="75">
        <v>1.0</v>
      </c>
      <c r="G67" s="259" t="str">
        <f>IF(E67="","",IF(E67&lt;F67,"Rupture","OK"))</f>
        <v>#ERROR!</v>
      </c>
      <c r="H67" s="260" t="str">
        <f>IFERROR(E67*INDEX('MP Referentiel'!F:F,MATCH(A67,'MP Referentiel'!A:A,0)),"")</f>
        <v>#ERROR!</v>
      </c>
      <c r="I67" s="259"/>
      <c r="J67" s="259"/>
    </row>
    <row r="68">
      <c r="A68" s="8" t="s">
        <v>378</v>
      </c>
      <c r="B68" s="43" t="s">
        <v>379</v>
      </c>
      <c r="C68" s="43" t="s">
        <v>380</v>
      </c>
      <c r="D68" s="43" t="s">
        <v>308</v>
      </c>
      <c r="E68" s="255">
        <v>0.0</v>
      </c>
      <c r="F68" s="256">
        <v>1.0</v>
      </c>
      <c r="G68" s="257" t="str">
        <f>IF(E68="","",IF(E68&lt;F68,"Rupture","OK"))</f>
        <v>#ERROR!</v>
      </c>
      <c r="H68" s="258" t="str">
        <f>IFERROR(E68*INDEX('MP Referentiel'!F:F,MATCH(A68,'MP Referentiel'!A:A,0)),"")</f>
        <v>#ERROR!</v>
      </c>
      <c r="I68" s="257"/>
      <c r="J68" s="257"/>
    </row>
    <row r="69">
      <c r="A69" s="8" t="s">
        <v>381</v>
      </c>
      <c r="B69" s="51" t="s">
        <v>382</v>
      </c>
      <c r="C69" s="51" t="s">
        <v>380</v>
      </c>
      <c r="D69" s="51" t="s">
        <v>308</v>
      </c>
      <c r="E69" s="255">
        <v>0.0</v>
      </c>
      <c r="F69" s="75">
        <v>1.0</v>
      </c>
      <c r="G69" s="259" t="str">
        <f>IF(E69="","",IF(E69&lt;F69,"Rupture","OK"))</f>
        <v>#ERROR!</v>
      </c>
      <c r="H69" s="260" t="str">
        <f>IFERROR(E69*INDEX('MP Referentiel'!F:F,MATCH(A69,'MP Referentiel'!A:A,0)),"")</f>
        <v>#ERROR!</v>
      </c>
      <c r="I69" s="259"/>
      <c r="J69" s="259"/>
    </row>
    <row r="70">
      <c r="A70" s="8" t="s">
        <v>383</v>
      </c>
      <c r="B70" s="43" t="s">
        <v>384</v>
      </c>
      <c r="C70" s="43" t="s">
        <v>385</v>
      </c>
      <c r="D70" s="43" t="s">
        <v>386</v>
      </c>
      <c r="E70" s="255">
        <v>0.0</v>
      </c>
      <c r="F70" s="256">
        <v>1.0</v>
      </c>
      <c r="G70" s="257" t="str">
        <f>IF(E70="","",IF(E70&lt;F70,"Rupture","OK"))</f>
        <v>#ERROR!</v>
      </c>
      <c r="H70" s="258" t="str">
        <f>IFERROR(E70*INDEX('MP Referentiel'!F:F,MATCH(A70,'MP Referentiel'!A:A,0)),"")</f>
        <v>#ERROR!</v>
      </c>
      <c r="I70" s="257"/>
      <c r="J70" s="257"/>
    </row>
    <row r="71">
      <c r="A71" s="8" t="s">
        <v>387</v>
      </c>
      <c r="B71" s="51" t="s">
        <v>388</v>
      </c>
      <c r="C71" s="51" t="s">
        <v>385</v>
      </c>
      <c r="D71" s="51" t="s">
        <v>386</v>
      </c>
      <c r="E71" s="255">
        <v>0.0</v>
      </c>
      <c r="F71" s="75">
        <v>1.0</v>
      </c>
      <c r="G71" s="259" t="str">
        <f>IF(E71="","",IF(E71&lt;F71,"Rupture","OK"))</f>
        <v>#ERROR!</v>
      </c>
      <c r="H71" s="260" t="str">
        <f>IFERROR(E71*INDEX('MP Referentiel'!F:F,MATCH(A71,'MP Referentiel'!A:A,0)),"")</f>
        <v>#ERROR!</v>
      </c>
      <c r="I71" s="259"/>
      <c r="J71" s="259"/>
    </row>
    <row r="72">
      <c r="A72" s="8" t="s">
        <v>389</v>
      </c>
      <c r="B72" s="43" t="s">
        <v>390</v>
      </c>
      <c r="C72" s="43" t="s">
        <v>385</v>
      </c>
      <c r="D72" s="43" t="s">
        <v>386</v>
      </c>
      <c r="E72" s="255">
        <v>0.0</v>
      </c>
      <c r="F72" s="256">
        <v>1.0</v>
      </c>
      <c r="G72" s="257" t="str">
        <f>IF(E72="","",IF(E72&lt;F72,"Rupture","OK"))</f>
        <v>#ERROR!</v>
      </c>
      <c r="H72" s="258" t="str">
        <f>IFERROR(E72*INDEX('MP Referentiel'!F:F,MATCH(A72,'MP Referentiel'!A:A,0)),"")</f>
        <v>#ERROR!</v>
      </c>
      <c r="I72" s="257"/>
      <c r="J72" s="257"/>
    </row>
    <row r="73">
      <c r="A73" s="8" t="s">
        <v>391</v>
      </c>
      <c r="B73" s="51" t="s">
        <v>392</v>
      </c>
      <c r="C73" s="51" t="s">
        <v>385</v>
      </c>
      <c r="D73" s="51" t="s">
        <v>386</v>
      </c>
      <c r="E73" s="255">
        <v>0.0</v>
      </c>
      <c r="F73" s="75">
        <v>1.0</v>
      </c>
      <c r="G73" s="259" t="str">
        <f>IF(E73="","",IF(E73&lt;F73,"Rupture","OK"))</f>
        <v>#ERROR!</v>
      </c>
      <c r="H73" s="260" t="str">
        <f>IFERROR(E73*INDEX('MP Referentiel'!F:F,MATCH(A73,'MP Referentiel'!A:A,0)),"")</f>
        <v>#ERROR!</v>
      </c>
      <c r="I73" s="259"/>
      <c r="J73" s="259"/>
    </row>
    <row r="74">
      <c r="A74" s="8" t="s">
        <v>393</v>
      </c>
      <c r="B74" s="43" t="s">
        <v>394</v>
      </c>
      <c r="C74" s="43" t="s">
        <v>385</v>
      </c>
      <c r="D74" s="43" t="s">
        <v>386</v>
      </c>
      <c r="E74" s="255">
        <v>0.0</v>
      </c>
      <c r="F74" s="256">
        <v>1.0</v>
      </c>
      <c r="G74" s="257" t="str">
        <f>IF(E74="","",IF(E74&lt;F74,"Rupture","OK"))</f>
        <v>#ERROR!</v>
      </c>
      <c r="H74" s="258" t="str">
        <f>IFERROR(E74*INDEX('MP Referentiel'!F:F,MATCH(A74,'MP Referentiel'!A:A,0)),"")</f>
        <v>#ERROR!</v>
      </c>
      <c r="I74" s="257"/>
      <c r="J74" s="257"/>
    </row>
    <row r="75">
      <c r="A75" s="8" t="s">
        <v>395</v>
      </c>
      <c r="B75" s="51" t="s">
        <v>396</v>
      </c>
      <c r="C75" s="51" t="s">
        <v>385</v>
      </c>
      <c r="D75" s="51" t="s">
        <v>386</v>
      </c>
      <c r="E75" s="255">
        <v>0.0</v>
      </c>
      <c r="F75" s="75">
        <v>1.0</v>
      </c>
      <c r="G75" s="259" t="str">
        <f>IF(E75="","",IF(E75&lt;F75,"Rupture","OK"))</f>
        <v>#ERROR!</v>
      </c>
      <c r="H75" s="260" t="str">
        <f>IFERROR(E75*INDEX('MP Referentiel'!F:F,MATCH(A75,'MP Referentiel'!A:A,0)),"")</f>
        <v>#ERROR!</v>
      </c>
      <c r="I75" s="259"/>
      <c r="J75" s="259"/>
    </row>
    <row r="76">
      <c r="A76" s="8" t="s">
        <v>397</v>
      </c>
      <c r="B76" s="43" t="s">
        <v>398</v>
      </c>
      <c r="C76" s="43" t="s">
        <v>385</v>
      </c>
      <c r="D76" s="43" t="s">
        <v>386</v>
      </c>
      <c r="E76" s="255">
        <v>0.0</v>
      </c>
      <c r="F76" s="256">
        <v>1.0</v>
      </c>
      <c r="G76" s="257" t="str">
        <f>IF(E76="","",IF(E76&lt;F76,"Rupture","OK"))</f>
        <v>#ERROR!</v>
      </c>
      <c r="H76" s="258" t="str">
        <f>IFERROR(E76*INDEX('MP Referentiel'!F:F,MATCH(A76,'MP Referentiel'!A:A,0)),"")</f>
        <v>#ERROR!</v>
      </c>
      <c r="I76" s="257"/>
      <c r="J76" s="257"/>
    </row>
    <row r="77">
      <c r="A77" s="8" t="s">
        <v>399</v>
      </c>
      <c r="B77" s="51" t="s">
        <v>400</v>
      </c>
      <c r="C77" s="51" t="s">
        <v>385</v>
      </c>
      <c r="D77" s="51" t="s">
        <v>386</v>
      </c>
      <c r="E77" s="255">
        <v>0.0</v>
      </c>
      <c r="F77" s="75">
        <v>1.0</v>
      </c>
      <c r="G77" s="259" t="str">
        <f>IF(E77="","",IF(E77&lt;F77,"Rupture","OK"))</f>
        <v>#ERROR!</v>
      </c>
      <c r="H77" s="260" t="str">
        <f>IFERROR(E77*INDEX('MP Referentiel'!F:F,MATCH(A77,'MP Referentiel'!A:A,0)),"")</f>
        <v>#ERROR!</v>
      </c>
      <c r="I77" s="259"/>
      <c r="J77" s="259"/>
    </row>
    <row r="78">
      <c r="A78" s="8" t="s">
        <v>401</v>
      </c>
      <c r="B78" s="43" t="s">
        <v>402</v>
      </c>
      <c r="C78" s="43" t="s">
        <v>385</v>
      </c>
      <c r="D78" s="43" t="s">
        <v>386</v>
      </c>
      <c r="E78" s="255">
        <v>0.0</v>
      </c>
      <c r="F78" s="256">
        <v>1.0</v>
      </c>
      <c r="G78" s="257" t="str">
        <f>IF(E78="","",IF(E78&lt;F78,"Rupture","OK"))</f>
        <v>#ERROR!</v>
      </c>
      <c r="H78" s="258" t="str">
        <f>IFERROR(E78*INDEX('MP Referentiel'!F:F,MATCH(A78,'MP Referentiel'!A:A,0)),"")</f>
        <v>#ERROR!</v>
      </c>
      <c r="I78" s="257"/>
      <c r="J78" s="257"/>
    </row>
    <row r="79">
      <c r="A79" s="259"/>
      <c r="B79" s="259"/>
      <c r="C79" s="259"/>
      <c r="D79" s="259"/>
      <c r="E79" s="259"/>
      <c r="F79" s="259"/>
      <c r="G79" s="259" t="str">
        <f>IF(E79="","",IF(E79&lt;F79,"Rupture","OK"))</f>
        <v>#ERROR!</v>
      </c>
      <c r="H79" s="260" t="str">
        <f>IFERROR(E79*INDEX('MP Referentiel'!F:F,MATCH(A79,'MP Referentiel'!A:A,0)),"")</f>
        <v>#ERROR!</v>
      </c>
      <c r="I79" s="259"/>
      <c r="J79" s="259"/>
    </row>
    <row r="80">
      <c r="A80" s="257"/>
      <c r="B80" s="257"/>
      <c r="C80" s="257"/>
      <c r="D80" s="257"/>
      <c r="E80" s="257"/>
      <c r="F80" s="257"/>
      <c r="G80" s="257" t="str">
        <f>IF(E80="","",IF(E80&lt;F80,"Rupture","OK"))</f>
        <v>#ERROR!</v>
      </c>
      <c r="H80" s="258" t="str">
        <f>IFERROR(E80*INDEX('MP Referentiel'!F:F,MATCH(A80,'MP Referentiel'!A:A,0)),"")</f>
        <v>#ERROR!</v>
      </c>
      <c r="I80" s="257"/>
      <c r="J80" s="257"/>
    </row>
    <row r="81">
      <c r="A81" s="259"/>
      <c r="B81" s="259"/>
      <c r="C81" s="259"/>
      <c r="D81" s="259"/>
      <c r="E81" s="259"/>
      <c r="F81" s="259"/>
      <c r="G81" s="259" t="str">
        <f>IF(E81="","",IF(E81&lt;F81,"Rupture","OK"))</f>
        <v>#ERROR!</v>
      </c>
      <c r="H81" s="260" t="str">
        <f>IFERROR(E81*INDEX('MP Referentiel'!F:F,MATCH(A81,'MP Referentiel'!A:A,0)),"")</f>
        <v>#ERROR!</v>
      </c>
      <c r="I81" s="259"/>
      <c r="J81" s="259"/>
    </row>
    <row r="82">
      <c r="A82" s="257"/>
      <c r="B82" s="257"/>
      <c r="C82" s="257"/>
      <c r="D82" s="257"/>
      <c r="E82" s="257"/>
      <c r="F82" s="257"/>
      <c r="G82" s="257" t="str">
        <f>IF(E82="","",IF(E82&lt;F82,"Rupture","OK"))</f>
        <v>#ERROR!</v>
      </c>
      <c r="H82" s="258" t="str">
        <f>IFERROR(E82*INDEX('MP Referentiel'!F:F,MATCH(A82,'MP Referentiel'!A:A,0)),"")</f>
        <v>#ERROR!</v>
      </c>
      <c r="I82" s="257"/>
      <c r="J82" s="257"/>
    </row>
    <row r="83">
      <c r="A83" s="259"/>
      <c r="B83" s="259"/>
      <c r="C83" s="259"/>
      <c r="D83" s="259"/>
      <c r="E83" s="259"/>
      <c r="F83" s="259"/>
      <c r="G83" s="259" t="str">
        <f>IF(E83="","",IF(E83&lt;F83,"Rupture","OK"))</f>
        <v>#ERROR!</v>
      </c>
      <c r="H83" s="260" t="str">
        <f>IFERROR(E83*INDEX('MP Referentiel'!F:F,MATCH(A83,'MP Referentiel'!A:A,0)),"")</f>
        <v>#ERROR!</v>
      </c>
      <c r="I83" s="259"/>
      <c r="J83" s="259"/>
    </row>
    <row r="84">
      <c r="A84" s="257"/>
      <c r="B84" s="257"/>
      <c r="C84" s="257"/>
      <c r="D84" s="257"/>
      <c r="E84" s="257"/>
      <c r="F84" s="257"/>
      <c r="G84" s="257" t="str">
        <f>IF(E84="","",IF(E84&lt;F84,"Rupture","OK"))</f>
        <v>#ERROR!</v>
      </c>
      <c r="H84" s="258" t="str">
        <f>IFERROR(E84*INDEX('MP Referentiel'!F:F,MATCH(A84,'MP Referentiel'!A:A,0)),"")</f>
        <v>#ERROR!</v>
      </c>
      <c r="I84" s="257"/>
      <c r="J84" s="257"/>
    </row>
    <row r="85">
      <c r="A85" s="259"/>
      <c r="B85" s="259"/>
      <c r="C85" s="259"/>
      <c r="D85" s="259"/>
      <c r="E85" s="259"/>
      <c r="F85" s="259"/>
      <c r="G85" s="259" t="str">
        <f>IF(E85="","",IF(E85&lt;F85,"Rupture","OK"))</f>
        <v>#ERROR!</v>
      </c>
      <c r="H85" s="260" t="str">
        <f>IFERROR(E85*INDEX('MP Referentiel'!F:F,MATCH(A85,'MP Referentiel'!A:A,0)),"")</f>
        <v>#ERROR!</v>
      </c>
      <c r="I85" s="259"/>
      <c r="J85" s="259"/>
    </row>
    <row r="86">
      <c r="A86" s="257"/>
      <c r="B86" s="257"/>
      <c r="C86" s="257"/>
      <c r="D86" s="257"/>
      <c r="E86" s="257"/>
      <c r="F86" s="257"/>
      <c r="G86" s="257" t="str">
        <f>IF(E86="","",IF(E86&lt;F86,"Rupture","OK"))</f>
        <v>#ERROR!</v>
      </c>
      <c r="H86" s="258" t="str">
        <f>IFERROR(E86*INDEX('MP Referentiel'!F:F,MATCH(A86,'MP Referentiel'!A:A,0)),"")</f>
        <v>#ERROR!</v>
      </c>
      <c r="I86" s="257"/>
      <c r="J86" s="257"/>
    </row>
    <row r="87">
      <c r="A87" s="259"/>
      <c r="B87" s="259"/>
      <c r="C87" s="259"/>
      <c r="D87" s="259"/>
      <c r="E87" s="259"/>
      <c r="F87" s="259"/>
      <c r="G87" s="259" t="str">
        <f>IF(E87="","",IF(E87&lt;F87,"Rupture","OK"))</f>
        <v>#ERROR!</v>
      </c>
      <c r="H87" s="260" t="str">
        <f>IFERROR(E87*INDEX('MP Referentiel'!F:F,MATCH(A87,'MP Referentiel'!A:A,0)),"")</f>
        <v>#ERROR!</v>
      </c>
      <c r="I87" s="259"/>
      <c r="J87" s="259"/>
    </row>
    <row r="88">
      <c r="A88" s="257"/>
      <c r="B88" s="257"/>
      <c r="C88" s="257"/>
      <c r="D88" s="257"/>
      <c r="E88" s="257"/>
      <c r="F88" s="257"/>
      <c r="G88" s="257" t="str">
        <f>IF(E88="","",IF(E88&lt;F88,"Rupture","OK"))</f>
        <v>#ERROR!</v>
      </c>
      <c r="H88" s="258" t="str">
        <f>IFERROR(E88*INDEX('MP Referentiel'!F:F,MATCH(A88,'MP Referentiel'!A:A,0)),"")</f>
        <v>#ERROR!</v>
      </c>
      <c r="I88" s="257"/>
      <c r="J88" s="257"/>
    </row>
    <row r="89">
      <c r="A89" s="259"/>
      <c r="B89" s="259"/>
      <c r="C89" s="259"/>
      <c r="D89" s="259"/>
      <c r="E89" s="259"/>
      <c r="F89" s="259"/>
      <c r="G89" s="259" t="str">
        <f>IF(E89="","",IF(E89&lt;F89,"Rupture","OK"))</f>
        <v>#ERROR!</v>
      </c>
      <c r="H89" s="260" t="str">
        <f>IFERROR(E89*INDEX('MP Referentiel'!F:F,MATCH(A89,'MP Referentiel'!A:A,0)),"")</f>
        <v>#ERROR!</v>
      </c>
      <c r="I89" s="259"/>
      <c r="J89" s="259"/>
    </row>
    <row r="90">
      <c r="A90" s="257"/>
      <c r="B90" s="257"/>
      <c r="C90" s="257"/>
      <c r="D90" s="257"/>
      <c r="E90" s="257"/>
      <c r="F90" s="257"/>
      <c r="G90" s="257" t="str">
        <f>IF(E90="","",IF(E90&lt;F90,"Rupture","OK"))</f>
        <v>#ERROR!</v>
      </c>
      <c r="H90" s="258" t="str">
        <f>IFERROR(E90*INDEX('MP Referentiel'!F:F,MATCH(A90,'MP Referentiel'!A:A,0)),"")</f>
        <v>#ERROR!</v>
      </c>
      <c r="I90" s="257"/>
      <c r="J90" s="257"/>
    </row>
    <row r="91">
      <c r="A91" s="259"/>
      <c r="B91" s="259"/>
      <c r="C91" s="259"/>
      <c r="D91" s="259"/>
      <c r="E91" s="259"/>
      <c r="F91" s="259"/>
      <c r="G91" s="259" t="str">
        <f>IF(E91="","",IF(E91&lt;F91,"Rupture","OK"))</f>
        <v>#ERROR!</v>
      </c>
      <c r="H91" s="260" t="str">
        <f>IFERROR(E91*INDEX('MP Referentiel'!F:F,MATCH(A91,'MP Referentiel'!A:A,0)),"")</f>
        <v>#ERROR!</v>
      </c>
      <c r="I91" s="259"/>
      <c r="J91" s="259"/>
    </row>
    <row r="92">
      <c r="A92" s="257"/>
      <c r="B92" s="257"/>
      <c r="C92" s="257"/>
      <c r="D92" s="257"/>
      <c r="E92" s="257"/>
      <c r="F92" s="257"/>
      <c r="G92" s="257" t="str">
        <f>IF(E92="","",IF(E92&lt;F92,"Rupture","OK"))</f>
        <v>#ERROR!</v>
      </c>
      <c r="H92" s="258" t="str">
        <f>IFERROR(E92*INDEX('MP Referentiel'!F:F,MATCH(A92,'MP Referentiel'!A:A,0)),"")</f>
        <v>#ERROR!</v>
      </c>
      <c r="I92" s="257"/>
      <c r="J92" s="257"/>
    </row>
    <row r="93">
      <c r="A93" s="259"/>
      <c r="B93" s="259"/>
      <c r="C93" s="259"/>
      <c r="D93" s="259"/>
      <c r="E93" s="259"/>
      <c r="F93" s="259"/>
      <c r="G93" s="259" t="str">
        <f>IF(E93="","",IF(E93&lt;F93,"Rupture","OK"))</f>
        <v>#ERROR!</v>
      </c>
      <c r="H93" s="260" t="str">
        <f>IFERROR(E93*INDEX('MP Referentiel'!F:F,MATCH(A93,'MP Referentiel'!A:A,0)),"")</f>
        <v>#ERROR!</v>
      </c>
      <c r="I93" s="259"/>
      <c r="J93" s="259"/>
    </row>
    <row r="94">
      <c r="A94" s="257"/>
      <c r="B94" s="257"/>
      <c r="C94" s="257"/>
      <c r="D94" s="257"/>
      <c r="E94" s="257"/>
      <c r="F94" s="257"/>
      <c r="G94" s="257" t="str">
        <f>IF(E94="","",IF(E94&lt;F94,"Rupture","OK"))</f>
        <v>#ERROR!</v>
      </c>
      <c r="H94" s="258" t="str">
        <f>IFERROR(E94*INDEX('MP Referentiel'!F:F,MATCH(A94,'MP Referentiel'!A:A,0)),"")</f>
        <v>#ERROR!</v>
      </c>
      <c r="I94" s="257"/>
      <c r="J94" s="257"/>
    </row>
    <row r="95">
      <c r="A95" s="259"/>
      <c r="B95" s="259"/>
      <c r="C95" s="259"/>
      <c r="D95" s="259"/>
      <c r="E95" s="259"/>
      <c r="F95" s="259"/>
      <c r="G95" s="259" t="str">
        <f>IF(E95="","",IF(E95&lt;F95,"Rupture","OK"))</f>
        <v>#ERROR!</v>
      </c>
      <c r="H95" s="260" t="str">
        <f>IFERROR(E95*INDEX('MP Referentiel'!F:F,MATCH(A95,'MP Referentiel'!A:A,0)),"")</f>
        <v>#ERROR!</v>
      </c>
      <c r="I95" s="259"/>
      <c r="J95" s="259"/>
    </row>
    <row r="96">
      <c r="A96" s="257"/>
      <c r="B96" s="257"/>
      <c r="C96" s="257"/>
      <c r="D96" s="257"/>
      <c r="E96" s="257"/>
      <c r="F96" s="257"/>
      <c r="G96" s="257" t="str">
        <f>IF(E96="","",IF(E96&lt;F96,"Rupture","OK"))</f>
        <v>#ERROR!</v>
      </c>
      <c r="H96" s="258" t="str">
        <f>IFERROR(E96*INDEX('MP Referentiel'!F:F,MATCH(A96,'MP Referentiel'!A:A,0)),"")</f>
        <v>#ERROR!</v>
      </c>
      <c r="I96" s="257"/>
      <c r="J96" s="257"/>
    </row>
    <row r="97">
      <c r="A97" s="259"/>
      <c r="B97" s="259"/>
      <c r="C97" s="259"/>
      <c r="D97" s="259"/>
      <c r="E97" s="259"/>
      <c r="F97" s="259"/>
      <c r="G97" s="259" t="str">
        <f>IF(E97="","",IF(E97&lt;F97,"Rupture","OK"))</f>
        <v>#ERROR!</v>
      </c>
      <c r="H97" s="260" t="str">
        <f>IFERROR(E97*INDEX('MP Referentiel'!F:F,MATCH(A97,'MP Referentiel'!A:A,0)),"")</f>
        <v>#ERROR!</v>
      </c>
      <c r="I97" s="259"/>
      <c r="J97" s="259"/>
    </row>
    <row r="98">
      <c r="A98" s="257"/>
      <c r="B98" s="257"/>
      <c r="C98" s="257"/>
      <c r="D98" s="257"/>
      <c r="E98" s="257"/>
      <c r="F98" s="257"/>
      <c r="G98" s="257" t="str">
        <f>IF(E98="","",IF(E98&lt;F98,"Rupture","OK"))</f>
        <v>#ERROR!</v>
      </c>
      <c r="H98" s="258" t="str">
        <f>IFERROR(E98*INDEX('MP Referentiel'!F:F,MATCH(A98,'MP Referentiel'!A:A,0)),"")</f>
        <v>#ERROR!</v>
      </c>
      <c r="I98" s="257"/>
      <c r="J98" s="257"/>
    </row>
    <row r="99">
      <c r="A99" s="259"/>
      <c r="B99" s="259"/>
      <c r="C99" s="259"/>
      <c r="D99" s="259"/>
      <c r="E99" s="259"/>
      <c r="F99" s="259"/>
      <c r="G99" s="259" t="str">
        <f>IF(E99="","",IF(E99&lt;F99,"Rupture","OK"))</f>
        <v>#ERROR!</v>
      </c>
      <c r="H99" s="260" t="str">
        <f>IFERROR(E99*INDEX('MP Referentiel'!F:F,MATCH(A99,'MP Referentiel'!A:A,0)),"")</f>
        <v>#ERROR!</v>
      </c>
      <c r="I99" s="259"/>
      <c r="J99" s="259"/>
    </row>
    <row r="100">
      <c r="A100" s="257"/>
      <c r="B100" s="257"/>
      <c r="C100" s="257"/>
      <c r="D100" s="257"/>
      <c r="E100" s="257"/>
      <c r="F100" s="257"/>
      <c r="G100" s="257" t="str">
        <f>IF(E100="","",IF(E100&lt;F100,"Rupture","OK"))</f>
        <v>#ERROR!</v>
      </c>
      <c r="H100" s="258" t="str">
        <f>IFERROR(E100*INDEX('MP Referentiel'!F:F,MATCH(A100,'MP Referentiel'!A:A,0)),"")</f>
        <v>#ERROR!</v>
      </c>
      <c r="I100" s="257"/>
      <c r="J100" s="257"/>
    </row>
    <row r="101">
      <c r="A101" s="259"/>
      <c r="B101" s="259"/>
      <c r="C101" s="259"/>
      <c r="D101" s="259"/>
      <c r="E101" s="259"/>
      <c r="F101" s="259"/>
      <c r="G101" s="259" t="str">
        <f>IF(E101="","",IF(E101&lt;F101,"Rupture","OK"))</f>
        <v>#ERROR!</v>
      </c>
      <c r="H101" s="260" t="str">
        <f>IFERROR(E101*INDEX('MP Referentiel'!F:F,MATCH(A101,'MP Referentiel'!A:A,0)),"")</f>
        <v>#ERROR!</v>
      </c>
      <c r="I101" s="259"/>
      <c r="J101" s="259"/>
    </row>
    <row r="102">
      <c r="A102" s="257"/>
      <c r="B102" s="257"/>
      <c r="C102" s="257"/>
      <c r="D102" s="257"/>
      <c r="E102" s="257"/>
      <c r="F102" s="257"/>
      <c r="G102" s="257" t="str">
        <f>IF(E102="","",IF(E102&lt;F102,"Rupture","OK"))</f>
        <v>#ERROR!</v>
      </c>
      <c r="H102" s="258" t="str">
        <f>IFERROR(E102*INDEX('MP Referentiel'!F:F,MATCH(A102,'MP Referentiel'!A:A,0)),"")</f>
        <v>#ERROR!</v>
      </c>
      <c r="I102" s="257"/>
      <c r="J102" s="257"/>
    </row>
    <row r="103">
      <c r="A103" s="259"/>
      <c r="B103" s="259"/>
      <c r="C103" s="259"/>
      <c r="D103" s="259"/>
      <c r="E103" s="259"/>
      <c r="F103" s="259"/>
      <c r="G103" s="259" t="str">
        <f>IF(E103="","",IF(E103&lt;F103,"Rupture","OK"))</f>
        <v>#ERROR!</v>
      </c>
      <c r="H103" s="260" t="str">
        <f>IFERROR(E103*INDEX('MP Referentiel'!F:F,MATCH(A103,'MP Referentiel'!A:A,0)),"")</f>
        <v>#ERROR!</v>
      </c>
      <c r="I103" s="259"/>
      <c r="J103" s="259"/>
    </row>
    <row r="104">
      <c r="A104" s="257"/>
      <c r="B104" s="257"/>
      <c r="C104" s="257"/>
      <c r="D104" s="257"/>
      <c r="E104" s="257"/>
      <c r="F104" s="257"/>
      <c r="G104" s="257" t="str">
        <f>IF(E104="","",IF(E104&lt;F104,"Rupture","OK"))</f>
        <v>#ERROR!</v>
      </c>
      <c r="H104" s="258" t="str">
        <f>IFERROR(E104*INDEX('MP Referentiel'!F:F,MATCH(A104,'MP Referentiel'!A:A,0)),"")</f>
        <v>#ERROR!</v>
      </c>
      <c r="I104" s="257"/>
      <c r="J104" s="257"/>
    </row>
    <row r="105">
      <c r="A105" s="259"/>
      <c r="B105" s="259"/>
      <c r="C105" s="259"/>
      <c r="D105" s="259"/>
      <c r="E105" s="259"/>
      <c r="F105" s="259"/>
      <c r="G105" s="259" t="str">
        <f>IF(E105="","",IF(E105&lt;F105,"Rupture","OK"))</f>
        <v>#ERROR!</v>
      </c>
      <c r="H105" s="260" t="str">
        <f>IFERROR(E105*INDEX('MP Referentiel'!F:F,MATCH(A105,'MP Referentiel'!A:A,0)),"")</f>
        <v>#ERROR!</v>
      </c>
      <c r="I105" s="259"/>
      <c r="J105" s="259"/>
    </row>
    <row r="106">
      <c r="A106" s="257"/>
      <c r="B106" s="257"/>
      <c r="C106" s="257"/>
      <c r="D106" s="257"/>
      <c r="E106" s="257"/>
      <c r="F106" s="257"/>
      <c r="G106" s="257" t="str">
        <f>IF(E106="","",IF(E106&lt;F106,"Rupture","OK"))</f>
        <v>#ERROR!</v>
      </c>
      <c r="H106" s="258" t="str">
        <f>IFERROR(E106*INDEX('MP Referentiel'!F:F,MATCH(A106,'MP Referentiel'!A:A,0)),"")</f>
        <v>#ERROR!</v>
      </c>
      <c r="I106" s="257"/>
      <c r="J106" s="257"/>
    </row>
    <row r="107">
      <c r="A107" s="259"/>
      <c r="B107" s="259"/>
      <c r="C107" s="259"/>
      <c r="D107" s="259"/>
      <c r="E107" s="259"/>
      <c r="F107" s="259"/>
      <c r="G107" s="259" t="str">
        <f>IF(E107="","",IF(E107&lt;F107,"Rupture","OK"))</f>
        <v>#ERROR!</v>
      </c>
      <c r="H107" s="260" t="str">
        <f>IFERROR(E107*INDEX('MP Referentiel'!F:F,MATCH(A107,'MP Referentiel'!A:A,0)),"")</f>
        <v>#ERROR!</v>
      </c>
      <c r="I107" s="259"/>
      <c r="J107" s="259"/>
    </row>
    <row r="108">
      <c r="A108" s="257"/>
      <c r="B108" s="257"/>
      <c r="C108" s="257"/>
      <c r="D108" s="257"/>
      <c r="E108" s="257"/>
      <c r="F108" s="257"/>
      <c r="G108" s="257" t="str">
        <f>IF(E108="","",IF(E108&lt;F108,"Rupture","OK"))</f>
        <v>#ERROR!</v>
      </c>
      <c r="H108" s="258" t="str">
        <f>IFERROR(E108*INDEX('MP Referentiel'!F:F,MATCH(A108,'MP Referentiel'!A:A,0)),"")</f>
        <v>#ERROR!</v>
      </c>
      <c r="I108" s="257"/>
      <c r="J108" s="257"/>
    </row>
    <row r="109">
      <c r="A109" s="259"/>
      <c r="B109" s="259"/>
      <c r="C109" s="259"/>
      <c r="D109" s="259"/>
      <c r="E109" s="259"/>
      <c r="F109" s="259"/>
      <c r="G109" s="259" t="str">
        <f>IF(E109="","",IF(E109&lt;F109,"Rupture","OK"))</f>
        <v>#ERROR!</v>
      </c>
      <c r="H109" s="260" t="str">
        <f>IFERROR(E109*INDEX('MP Referentiel'!F:F,MATCH(A109,'MP Referentiel'!A:A,0)),"")</f>
        <v>#ERROR!</v>
      </c>
      <c r="I109" s="259"/>
      <c r="J109" s="259"/>
    </row>
    <row r="110">
      <c r="A110" s="257"/>
      <c r="B110" s="257"/>
      <c r="C110" s="257"/>
      <c r="D110" s="257"/>
      <c r="E110" s="257"/>
      <c r="F110" s="257"/>
      <c r="G110" s="257" t="str">
        <f>IF(E110="","",IF(E110&lt;F110,"Rupture","OK"))</f>
        <v>#ERROR!</v>
      </c>
      <c r="H110" s="258" t="str">
        <f>IFERROR(E110*INDEX('MP Referentiel'!F:F,MATCH(A110,'MP Referentiel'!A:A,0)),"")</f>
        <v>#ERROR!</v>
      </c>
      <c r="I110" s="257"/>
      <c r="J110" s="257"/>
    </row>
    <row r="111">
      <c r="A111" s="259"/>
      <c r="B111" s="259"/>
      <c r="C111" s="259"/>
      <c r="D111" s="259"/>
      <c r="E111" s="259"/>
      <c r="F111" s="259"/>
      <c r="G111" s="259" t="str">
        <f>IF(E111="","",IF(E111&lt;F111,"Rupture","OK"))</f>
        <v>#ERROR!</v>
      </c>
      <c r="H111" s="260" t="str">
        <f>IFERROR(E111*INDEX('MP Referentiel'!F:F,MATCH(A111,'MP Referentiel'!A:A,0)),"")</f>
        <v>#ERROR!</v>
      </c>
      <c r="I111" s="259"/>
      <c r="J111" s="259"/>
    </row>
    <row r="112">
      <c r="A112" s="257"/>
      <c r="B112" s="257"/>
      <c r="C112" s="257"/>
      <c r="D112" s="257"/>
      <c r="E112" s="257"/>
      <c r="F112" s="257"/>
      <c r="G112" s="257" t="str">
        <f>IF(E112="","",IF(E112&lt;F112,"Rupture","OK"))</f>
        <v>#ERROR!</v>
      </c>
      <c r="H112" s="258" t="str">
        <f>IFERROR(E112*INDEX('MP Referentiel'!F:F,MATCH(A112,'MP Referentiel'!A:A,0)),"")</f>
        <v>#ERROR!</v>
      </c>
      <c r="I112" s="257"/>
      <c r="J112" s="257"/>
    </row>
    <row r="113">
      <c r="A113" s="259"/>
      <c r="B113" s="259"/>
      <c r="C113" s="259"/>
      <c r="D113" s="259"/>
      <c r="E113" s="259"/>
      <c r="F113" s="259"/>
      <c r="G113" s="259" t="str">
        <f>IF(E113="","",IF(E113&lt;F113,"Rupture","OK"))</f>
        <v>#ERROR!</v>
      </c>
      <c r="H113" s="260" t="str">
        <f>IFERROR(E113*INDEX('MP Referentiel'!F:F,MATCH(A113,'MP Referentiel'!A:A,0)),"")</f>
        <v>#ERROR!</v>
      </c>
      <c r="I113" s="259"/>
      <c r="J113" s="259"/>
    </row>
    <row r="114">
      <c r="A114" s="257"/>
      <c r="B114" s="257"/>
      <c r="C114" s="257"/>
      <c r="D114" s="257"/>
      <c r="E114" s="257"/>
      <c r="F114" s="257"/>
      <c r="G114" s="257" t="str">
        <f>IF(E114="","",IF(E114&lt;F114,"Rupture","OK"))</f>
        <v>#ERROR!</v>
      </c>
      <c r="H114" s="258" t="str">
        <f>IFERROR(E114*INDEX('MP Referentiel'!F:F,MATCH(A114,'MP Referentiel'!A:A,0)),"")</f>
        <v>#ERROR!</v>
      </c>
      <c r="I114" s="257"/>
      <c r="J114" s="257"/>
    </row>
    <row r="115">
      <c r="A115" s="259"/>
      <c r="B115" s="259"/>
      <c r="C115" s="259"/>
      <c r="D115" s="259"/>
      <c r="E115" s="259"/>
      <c r="F115" s="259"/>
      <c r="G115" s="259" t="str">
        <f>IF(E115="","",IF(E115&lt;F115,"Rupture","OK"))</f>
        <v>#ERROR!</v>
      </c>
      <c r="H115" s="260" t="str">
        <f>IFERROR(E115*INDEX('MP Referentiel'!F:F,MATCH(A115,'MP Referentiel'!A:A,0)),"")</f>
        <v>#ERROR!</v>
      </c>
      <c r="I115" s="259"/>
      <c r="J115" s="259"/>
    </row>
    <row r="116">
      <c r="A116" s="257"/>
      <c r="B116" s="257"/>
      <c r="C116" s="257"/>
      <c r="D116" s="257"/>
      <c r="E116" s="257"/>
      <c r="F116" s="257"/>
      <c r="G116" s="257" t="str">
        <f>IF(E116="","",IF(E116&lt;F116,"Rupture","OK"))</f>
        <v>#ERROR!</v>
      </c>
      <c r="H116" s="258" t="str">
        <f>IFERROR(E116*INDEX('MP Referentiel'!F:F,MATCH(A116,'MP Referentiel'!A:A,0)),"")</f>
        <v>#ERROR!</v>
      </c>
      <c r="I116" s="257"/>
      <c r="J116" s="257"/>
    </row>
    <row r="117">
      <c r="A117" s="259"/>
      <c r="B117" s="259"/>
      <c r="C117" s="259"/>
      <c r="D117" s="259"/>
      <c r="E117" s="259"/>
      <c r="F117" s="259"/>
      <c r="G117" s="259" t="str">
        <f>IF(E117="","",IF(E117&lt;F117,"Rupture","OK"))</f>
        <v>#ERROR!</v>
      </c>
      <c r="H117" s="260" t="str">
        <f>IFERROR(E117*INDEX('MP Referentiel'!F:F,MATCH(A117,'MP Referentiel'!A:A,0)),"")</f>
        <v>#ERROR!</v>
      </c>
      <c r="I117" s="259"/>
      <c r="J117" s="259"/>
    </row>
    <row r="118">
      <c r="A118" s="257"/>
      <c r="B118" s="257"/>
      <c r="C118" s="257"/>
      <c r="D118" s="257"/>
      <c r="E118" s="257"/>
      <c r="F118" s="257"/>
      <c r="G118" s="257" t="str">
        <f>IF(E118="","",IF(E118&lt;F118,"Rupture","OK"))</f>
        <v>#ERROR!</v>
      </c>
      <c r="H118" s="258" t="str">
        <f>IFERROR(E118*INDEX('MP Referentiel'!F:F,MATCH(A118,'MP Referentiel'!A:A,0)),"")</f>
        <v>#ERROR!</v>
      </c>
      <c r="I118" s="257"/>
      <c r="J118" s="257"/>
    </row>
    <row r="119">
      <c r="A119" s="259"/>
      <c r="B119" s="259"/>
      <c r="C119" s="259"/>
      <c r="D119" s="259"/>
      <c r="E119" s="259"/>
      <c r="F119" s="259"/>
      <c r="G119" s="259" t="str">
        <f>IF(E119="","",IF(E119&lt;F119,"Rupture","OK"))</f>
        <v>#ERROR!</v>
      </c>
      <c r="H119" s="260" t="str">
        <f>IFERROR(E119*INDEX('MP Referentiel'!F:F,MATCH(A119,'MP Referentiel'!A:A,0)),"")</f>
        <v>#ERROR!</v>
      </c>
      <c r="I119" s="259"/>
      <c r="J119" s="259"/>
    </row>
    <row r="120">
      <c r="A120" s="257"/>
      <c r="B120" s="257"/>
      <c r="C120" s="257"/>
      <c r="D120" s="257"/>
      <c r="E120" s="257"/>
      <c r="F120" s="257"/>
      <c r="G120" s="257" t="str">
        <f>IF(E120="","",IF(E120&lt;F120,"Rupture","OK"))</f>
        <v>#ERROR!</v>
      </c>
      <c r="H120" s="258" t="str">
        <f>IFERROR(E120*INDEX('MP Referentiel'!F:F,MATCH(A120,'MP Referentiel'!A:A,0)),"")</f>
        <v>#ERROR!</v>
      </c>
      <c r="I120" s="257"/>
      <c r="J120" s="257"/>
    </row>
    <row r="121">
      <c r="A121" s="259"/>
      <c r="B121" s="259"/>
      <c r="C121" s="259"/>
      <c r="D121" s="259"/>
      <c r="E121" s="259"/>
      <c r="F121" s="259"/>
      <c r="G121" s="259" t="str">
        <f>IF(E121="","",IF(E121&lt;F121,"Rupture","OK"))</f>
        <v>#ERROR!</v>
      </c>
      <c r="H121" s="260" t="str">
        <f>IFERROR(E121*INDEX('MP Referentiel'!F:F,MATCH(A121,'MP Referentiel'!A:A,0)),"")</f>
        <v>#ERROR!</v>
      </c>
      <c r="I121" s="259"/>
      <c r="J121" s="259"/>
    </row>
    <row r="122">
      <c r="A122" s="257"/>
      <c r="B122" s="257"/>
      <c r="C122" s="257"/>
      <c r="D122" s="257"/>
      <c r="E122" s="257"/>
      <c r="F122" s="257"/>
      <c r="G122" s="257" t="str">
        <f>IF(E122="","",IF(E122&lt;F122,"Rupture","OK"))</f>
        <v>#ERROR!</v>
      </c>
      <c r="H122" s="258" t="str">
        <f>IFERROR(E122*INDEX('MP Referentiel'!F:F,MATCH(A122,'MP Referentiel'!A:A,0)),"")</f>
        <v>#ERROR!</v>
      </c>
      <c r="I122" s="257"/>
      <c r="J122" s="257"/>
    </row>
    <row r="123">
      <c r="A123" s="259"/>
      <c r="B123" s="259"/>
      <c r="C123" s="259"/>
      <c r="D123" s="259"/>
      <c r="E123" s="259"/>
      <c r="F123" s="259"/>
      <c r="G123" s="259" t="str">
        <f>IF(E123="","",IF(E123&lt;F123,"Rupture","OK"))</f>
        <v>#ERROR!</v>
      </c>
      <c r="H123" s="260" t="str">
        <f>IFERROR(E123*INDEX('MP Referentiel'!F:F,MATCH(A123,'MP Referentiel'!A:A,0)),"")</f>
        <v>#ERROR!</v>
      </c>
      <c r="I123" s="259"/>
      <c r="J123" s="259"/>
    </row>
    <row r="124">
      <c r="A124" s="257"/>
      <c r="B124" s="257"/>
      <c r="C124" s="257"/>
      <c r="D124" s="257"/>
      <c r="E124" s="257"/>
      <c r="F124" s="257"/>
      <c r="G124" s="257" t="str">
        <f>IF(E124="","",IF(E124&lt;F124,"Rupture","OK"))</f>
        <v>#ERROR!</v>
      </c>
      <c r="H124" s="258" t="str">
        <f>IFERROR(E124*INDEX('MP Referentiel'!F:F,MATCH(A124,'MP Referentiel'!A:A,0)),"")</f>
        <v>#ERROR!</v>
      </c>
      <c r="I124" s="257"/>
      <c r="J124" s="257"/>
    </row>
    <row r="125">
      <c r="A125" s="259"/>
      <c r="B125" s="259"/>
      <c r="C125" s="259"/>
      <c r="D125" s="259"/>
      <c r="E125" s="259"/>
      <c r="F125" s="259"/>
      <c r="G125" s="259" t="str">
        <f>IF(E125="","",IF(E125&lt;F125,"Rupture","OK"))</f>
        <v>#ERROR!</v>
      </c>
      <c r="H125" s="260" t="str">
        <f>IFERROR(E125*INDEX('MP Referentiel'!F:F,MATCH(A125,'MP Referentiel'!A:A,0)),"")</f>
        <v>#ERROR!</v>
      </c>
      <c r="I125" s="259"/>
      <c r="J125" s="259"/>
    </row>
    <row r="126">
      <c r="A126" s="257"/>
      <c r="B126" s="257"/>
      <c r="C126" s="257"/>
      <c r="D126" s="257"/>
      <c r="E126" s="257"/>
      <c r="F126" s="257"/>
      <c r="G126" s="257" t="str">
        <f>IF(E126="","",IF(E126&lt;F126,"Rupture","OK"))</f>
        <v>#ERROR!</v>
      </c>
      <c r="H126" s="258" t="str">
        <f>IFERROR(E126*INDEX('MP Referentiel'!F:F,MATCH(A126,'MP Referentiel'!A:A,0)),"")</f>
        <v>#ERROR!</v>
      </c>
      <c r="I126" s="257"/>
      <c r="J126" s="257"/>
    </row>
    <row r="127">
      <c r="A127" s="259"/>
      <c r="B127" s="259"/>
      <c r="C127" s="259"/>
      <c r="D127" s="259"/>
      <c r="E127" s="259"/>
      <c r="F127" s="259"/>
      <c r="G127" s="259" t="str">
        <f>IF(E127="","",IF(E127&lt;F127,"Rupture","OK"))</f>
        <v>#ERROR!</v>
      </c>
      <c r="H127" s="260" t="str">
        <f>IFERROR(E127*INDEX('MP Referentiel'!F:F,MATCH(A127,'MP Referentiel'!A:A,0)),"")</f>
        <v>#ERROR!</v>
      </c>
      <c r="I127" s="259"/>
      <c r="J127" s="259"/>
    </row>
    <row r="128">
      <c r="A128" s="257"/>
      <c r="B128" s="257"/>
      <c r="C128" s="257"/>
      <c r="D128" s="257"/>
      <c r="E128" s="257"/>
      <c r="F128" s="257"/>
      <c r="G128" s="257" t="str">
        <f>IF(E128="","",IF(E128&lt;F128,"Rupture","OK"))</f>
        <v>#ERROR!</v>
      </c>
      <c r="H128" s="258" t="str">
        <f>IFERROR(E128*INDEX('MP Referentiel'!F:F,MATCH(A128,'MP Referentiel'!A:A,0)),"")</f>
        <v>#ERROR!</v>
      </c>
      <c r="I128" s="257"/>
      <c r="J128" s="257"/>
    </row>
    <row r="129">
      <c r="A129" s="259"/>
      <c r="B129" s="259"/>
      <c r="C129" s="259"/>
      <c r="D129" s="259"/>
      <c r="E129" s="259"/>
      <c r="F129" s="259"/>
      <c r="G129" s="259" t="str">
        <f>IF(E129="","",IF(E129&lt;F129,"Rupture","OK"))</f>
        <v>#ERROR!</v>
      </c>
      <c r="H129" s="260" t="str">
        <f>IFERROR(E129*INDEX('MP Referentiel'!F:F,MATCH(A129,'MP Referentiel'!A:A,0)),"")</f>
        <v>#ERROR!</v>
      </c>
      <c r="I129" s="259"/>
      <c r="J129" s="259"/>
    </row>
    <row r="130">
      <c r="A130" s="257"/>
      <c r="B130" s="257"/>
      <c r="C130" s="257"/>
      <c r="D130" s="257"/>
      <c r="E130" s="257"/>
      <c r="F130" s="257"/>
      <c r="G130" s="257" t="str">
        <f>IF(E130="","",IF(E130&lt;F130,"Rupture","OK"))</f>
        <v>#ERROR!</v>
      </c>
      <c r="H130" s="258" t="str">
        <f>IFERROR(E130*INDEX('MP Referentiel'!F:F,MATCH(A130,'MP Referentiel'!A:A,0)),"")</f>
        <v>#ERROR!</v>
      </c>
      <c r="I130" s="257"/>
      <c r="J130" s="257"/>
    </row>
    <row r="131">
      <c r="A131" s="259"/>
      <c r="B131" s="259"/>
      <c r="C131" s="259"/>
      <c r="D131" s="259"/>
      <c r="E131" s="259"/>
      <c r="F131" s="259"/>
      <c r="G131" s="259" t="str">
        <f>IF(E131="","",IF(E131&lt;F131,"Rupture","OK"))</f>
        <v>#ERROR!</v>
      </c>
      <c r="H131" s="260" t="str">
        <f>IFERROR(E131*INDEX('MP Referentiel'!F:F,MATCH(A131,'MP Referentiel'!A:A,0)),"")</f>
        <v>#ERROR!</v>
      </c>
      <c r="I131" s="259"/>
      <c r="J131" s="259"/>
    </row>
    <row r="132">
      <c r="A132" s="257"/>
      <c r="B132" s="257"/>
      <c r="C132" s="257"/>
      <c r="D132" s="257"/>
      <c r="E132" s="257"/>
      <c r="F132" s="257"/>
      <c r="G132" s="257" t="str">
        <f>IF(E132="","",IF(E132&lt;F132,"Rupture","OK"))</f>
        <v>#ERROR!</v>
      </c>
      <c r="H132" s="258" t="str">
        <f>IFERROR(E132*INDEX('MP Referentiel'!F:F,MATCH(A132,'MP Referentiel'!A:A,0)),"")</f>
        <v>#ERROR!</v>
      </c>
      <c r="I132" s="257"/>
      <c r="J132" s="257"/>
    </row>
    <row r="133">
      <c r="A133" s="259"/>
      <c r="B133" s="259"/>
      <c r="C133" s="259"/>
      <c r="D133" s="259"/>
      <c r="E133" s="259"/>
      <c r="F133" s="259"/>
      <c r="G133" s="259" t="str">
        <f>IF(E133="","",IF(E133&lt;F133,"Rupture","OK"))</f>
        <v>#ERROR!</v>
      </c>
      <c r="H133" s="260" t="str">
        <f>IFERROR(E133*INDEX('MP Referentiel'!F:F,MATCH(A133,'MP Referentiel'!A:A,0)),"")</f>
        <v>#ERROR!</v>
      </c>
      <c r="I133" s="259"/>
      <c r="J133" s="259"/>
    </row>
    <row r="134">
      <c r="A134" s="257"/>
      <c r="B134" s="257"/>
      <c r="C134" s="257"/>
      <c r="D134" s="257"/>
      <c r="E134" s="257"/>
      <c r="F134" s="257"/>
      <c r="G134" s="257" t="str">
        <f>IF(E134="","",IF(E134&lt;F134,"Rupture","OK"))</f>
        <v>#ERROR!</v>
      </c>
      <c r="H134" s="258" t="str">
        <f>IFERROR(E134*INDEX('MP Referentiel'!F:F,MATCH(A134,'MP Referentiel'!A:A,0)),"")</f>
        <v>#ERROR!</v>
      </c>
      <c r="I134" s="257"/>
      <c r="J134" s="257"/>
    </row>
    <row r="135">
      <c r="A135" s="259"/>
      <c r="B135" s="259"/>
      <c r="C135" s="259"/>
      <c r="D135" s="259"/>
      <c r="E135" s="259"/>
      <c r="F135" s="259"/>
      <c r="G135" s="259" t="str">
        <f>IF(E135="","",IF(E135&lt;F135,"Rupture","OK"))</f>
        <v>#ERROR!</v>
      </c>
      <c r="H135" s="260" t="str">
        <f>IFERROR(E135*INDEX('MP Referentiel'!F:F,MATCH(A135,'MP Referentiel'!A:A,0)),"")</f>
        <v>#ERROR!</v>
      </c>
      <c r="I135" s="259"/>
      <c r="J135" s="259"/>
    </row>
    <row r="136">
      <c r="A136" s="257"/>
      <c r="B136" s="257"/>
      <c r="C136" s="257"/>
      <c r="D136" s="257"/>
      <c r="E136" s="257"/>
      <c r="F136" s="257"/>
      <c r="G136" s="257" t="str">
        <f>IF(E136="","",IF(E136&lt;F136,"Rupture","OK"))</f>
        <v>#ERROR!</v>
      </c>
      <c r="H136" s="258" t="str">
        <f>IFERROR(E136*INDEX('MP Referentiel'!F:F,MATCH(A136,'MP Referentiel'!A:A,0)),"")</f>
        <v>#ERROR!</v>
      </c>
      <c r="I136" s="257"/>
      <c r="J136" s="257"/>
    </row>
    <row r="137">
      <c r="A137" s="259"/>
      <c r="B137" s="259"/>
      <c r="C137" s="259"/>
      <c r="D137" s="259"/>
      <c r="E137" s="259"/>
      <c r="F137" s="259"/>
      <c r="G137" s="259" t="str">
        <f>IF(E137="","",IF(E137&lt;F137,"Rupture","OK"))</f>
        <v>#ERROR!</v>
      </c>
      <c r="H137" s="260" t="str">
        <f>IFERROR(E137*INDEX('MP Referentiel'!F:F,MATCH(A137,'MP Referentiel'!A:A,0)),"")</f>
        <v>#ERROR!</v>
      </c>
      <c r="I137" s="259"/>
      <c r="J137" s="259"/>
    </row>
    <row r="138">
      <c r="A138" s="257"/>
      <c r="B138" s="257"/>
      <c r="C138" s="257"/>
      <c r="D138" s="257"/>
      <c r="E138" s="257"/>
      <c r="F138" s="257"/>
      <c r="G138" s="257" t="str">
        <f>IF(E138="","",IF(E138&lt;F138,"Rupture","OK"))</f>
        <v>#ERROR!</v>
      </c>
      <c r="H138" s="258" t="str">
        <f>IFERROR(E138*INDEX('MP Referentiel'!F:F,MATCH(A138,'MP Referentiel'!A:A,0)),"")</f>
        <v>#ERROR!</v>
      </c>
      <c r="I138" s="257"/>
      <c r="J138" s="257"/>
    </row>
    <row r="139">
      <c r="A139" s="259"/>
      <c r="B139" s="259"/>
      <c r="C139" s="259"/>
      <c r="D139" s="259"/>
      <c r="E139" s="259"/>
      <c r="F139" s="259"/>
      <c r="G139" s="259" t="str">
        <f>IF(E139="","",IF(E139&lt;F139,"Rupture","OK"))</f>
        <v>#ERROR!</v>
      </c>
      <c r="H139" s="260" t="str">
        <f>IFERROR(E139*INDEX('MP Referentiel'!F:F,MATCH(A139,'MP Referentiel'!A:A,0)),"")</f>
        <v>#ERROR!</v>
      </c>
      <c r="I139" s="259"/>
      <c r="J139" s="259"/>
    </row>
    <row r="140">
      <c r="A140" s="257"/>
      <c r="B140" s="257"/>
      <c r="C140" s="257"/>
      <c r="D140" s="257"/>
      <c r="E140" s="257"/>
      <c r="F140" s="257"/>
      <c r="G140" s="257" t="str">
        <f>IF(E140="","",IF(E140&lt;F140,"Rupture","OK"))</f>
        <v>#ERROR!</v>
      </c>
      <c r="H140" s="258" t="str">
        <f>IFERROR(E140*INDEX('MP Referentiel'!F:F,MATCH(A140,'MP Referentiel'!A:A,0)),"")</f>
        <v>#ERROR!</v>
      </c>
      <c r="I140" s="257"/>
      <c r="J140" s="257"/>
    </row>
    <row r="141">
      <c r="A141" s="259"/>
      <c r="B141" s="259"/>
      <c r="C141" s="259"/>
      <c r="D141" s="259"/>
      <c r="E141" s="259"/>
      <c r="F141" s="259"/>
      <c r="G141" s="259" t="str">
        <f>IF(E141="","",IF(E141&lt;F141,"Rupture","OK"))</f>
        <v>#ERROR!</v>
      </c>
      <c r="H141" s="260" t="str">
        <f>IFERROR(E141*INDEX('MP Referentiel'!F:F,MATCH(A141,'MP Referentiel'!A:A,0)),"")</f>
        <v>#ERROR!</v>
      </c>
      <c r="I141" s="259"/>
      <c r="J141" s="259"/>
    </row>
    <row r="142">
      <c r="A142" s="257"/>
      <c r="B142" s="257"/>
      <c r="C142" s="257"/>
      <c r="D142" s="257"/>
      <c r="E142" s="257"/>
      <c r="F142" s="257"/>
      <c r="G142" s="257" t="str">
        <f>IF(E142="","",IF(E142&lt;F142,"Rupture","OK"))</f>
        <v>#ERROR!</v>
      </c>
      <c r="H142" s="258" t="str">
        <f>IFERROR(E142*INDEX('MP Referentiel'!F:F,MATCH(A142,'MP Referentiel'!A:A,0)),"")</f>
        <v>#ERROR!</v>
      </c>
      <c r="I142" s="257"/>
      <c r="J142" s="257"/>
    </row>
    <row r="143">
      <c r="A143" s="259"/>
      <c r="B143" s="259"/>
      <c r="C143" s="259"/>
      <c r="D143" s="259"/>
      <c r="E143" s="259"/>
      <c r="F143" s="259"/>
      <c r="G143" s="259" t="str">
        <f>IF(E143="","",IF(E143&lt;F143,"Rupture","OK"))</f>
        <v>#ERROR!</v>
      </c>
      <c r="H143" s="260" t="str">
        <f>IFERROR(E143*INDEX('MP Referentiel'!F:F,MATCH(A143,'MP Referentiel'!A:A,0)),"")</f>
        <v>#ERROR!</v>
      </c>
      <c r="I143" s="259"/>
      <c r="J143" s="259"/>
    </row>
    <row r="144">
      <c r="A144" s="257"/>
      <c r="B144" s="257"/>
      <c r="C144" s="257"/>
      <c r="D144" s="257"/>
      <c r="E144" s="257"/>
      <c r="F144" s="257"/>
      <c r="G144" s="257" t="str">
        <f>IF(E144="","",IF(E144&lt;F144,"Rupture","OK"))</f>
        <v>#ERROR!</v>
      </c>
      <c r="H144" s="258" t="str">
        <f>IFERROR(E144*INDEX('MP Referentiel'!F:F,MATCH(A144,'MP Referentiel'!A:A,0)),"")</f>
        <v>#ERROR!</v>
      </c>
      <c r="I144" s="257"/>
      <c r="J144" s="257"/>
    </row>
    <row r="145">
      <c r="A145" s="259"/>
      <c r="B145" s="259"/>
      <c r="C145" s="259"/>
      <c r="D145" s="259"/>
      <c r="E145" s="259"/>
      <c r="F145" s="259"/>
      <c r="G145" s="259" t="str">
        <f>IF(E145="","",IF(E145&lt;F145,"Rupture","OK"))</f>
        <v>#ERROR!</v>
      </c>
      <c r="H145" s="260" t="str">
        <f>IFERROR(E145*INDEX('MP Referentiel'!F:F,MATCH(A145,'MP Referentiel'!A:A,0)),"")</f>
        <v>#ERROR!</v>
      </c>
      <c r="I145" s="259"/>
      <c r="J145" s="259"/>
    </row>
    <row r="146">
      <c r="A146" s="257"/>
      <c r="B146" s="257"/>
      <c r="C146" s="257"/>
      <c r="D146" s="257"/>
      <c r="E146" s="257"/>
      <c r="F146" s="257"/>
      <c r="G146" s="257" t="str">
        <f>IF(E146="","",IF(E146&lt;F146,"Rupture","OK"))</f>
        <v>#ERROR!</v>
      </c>
      <c r="H146" s="258" t="str">
        <f>IFERROR(E146*INDEX('MP Referentiel'!F:F,MATCH(A146,'MP Referentiel'!A:A,0)),"")</f>
        <v>#ERROR!</v>
      </c>
      <c r="I146" s="257"/>
      <c r="J146" s="257"/>
    </row>
    <row r="147">
      <c r="A147" s="259"/>
      <c r="B147" s="259"/>
      <c r="C147" s="259"/>
      <c r="D147" s="259"/>
      <c r="E147" s="259"/>
      <c r="F147" s="259"/>
      <c r="G147" s="259" t="str">
        <f>IF(E147="","",IF(E147&lt;F147,"Rupture","OK"))</f>
        <v>#ERROR!</v>
      </c>
      <c r="H147" s="260" t="str">
        <f>IFERROR(E147*INDEX('MP Referentiel'!F:F,MATCH(A147,'MP Referentiel'!A:A,0)),"")</f>
        <v>#ERROR!</v>
      </c>
      <c r="I147" s="259"/>
      <c r="J147" s="259"/>
    </row>
    <row r="148">
      <c r="A148" s="257"/>
      <c r="B148" s="257"/>
      <c r="C148" s="257"/>
      <c r="D148" s="257"/>
      <c r="E148" s="257"/>
      <c r="F148" s="257"/>
      <c r="G148" s="257" t="str">
        <f>IF(E148="","",IF(E148&lt;F148,"Rupture","OK"))</f>
        <v>#ERROR!</v>
      </c>
      <c r="H148" s="258" t="str">
        <f>IFERROR(E148*INDEX('MP Referentiel'!F:F,MATCH(A148,'MP Referentiel'!A:A,0)),"")</f>
        <v>#ERROR!</v>
      </c>
      <c r="I148" s="257"/>
      <c r="J148" s="257"/>
    </row>
    <row r="149">
      <c r="A149" s="259"/>
      <c r="B149" s="259"/>
      <c r="C149" s="259"/>
      <c r="D149" s="259"/>
      <c r="E149" s="259"/>
      <c r="F149" s="259"/>
      <c r="G149" s="259" t="str">
        <f>IF(E149="","",IF(E149&lt;F149,"Rupture","OK"))</f>
        <v>#ERROR!</v>
      </c>
      <c r="H149" s="260" t="str">
        <f>IFERROR(E149*INDEX('MP Referentiel'!F:F,MATCH(A149,'MP Referentiel'!A:A,0)),"")</f>
        <v>#ERROR!</v>
      </c>
      <c r="I149" s="259"/>
      <c r="J149" s="259"/>
    </row>
    <row r="150">
      <c r="A150" s="257"/>
      <c r="B150" s="257"/>
      <c r="C150" s="257"/>
      <c r="D150" s="257"/>
      <c r="E150" s="257"/>
      <c r="F150" s="257"/>
      <c r="G150" s="257" t="str">
        <f>IF(E150="","",IF(E150&lt;F150,"Rupture","OK"))</f>
        <v>#ERROR!</v>
      </c>
      <c r="H150" s="258" t="str">
        <f>IFERROR(E150*INDEX('MP Referentiel'!F:F,MATCH(A150,'MP Referentiel'!A:A,0)),"")</f>
        <v>#ERROR!</v>
      </c>
      <c r="I150" s="257"/>
      <c r="J150" s="257"/>
    </row>
    <row r="151">
      <c r="A151" s="259"/>
      <c r="B151" s="259"/>
      <c r="C151" s="259"/>
      <c r="D151" s="259"/>
      <c r="E151" s="259"/>
      <c r="F151" s="259"/>
      <c r="G151" s="259" t="str">
        <f>IF(E151="","",IF(E151&lt;F151,"Rupture","OK"))</f>
        <v>#ERROR!</v>
      </c>
      <c r="H151" s="260" t="str">
        <f>IFERROR(E151*INDEX('MP Referentiel'!F:F,MATCH(A151,'MP Referentiel'!A:A,0)),"")</f>
        <v>#ERROR!</v>
      </c>
      <c r="I151" s="259"/>
      <c r="J151" s="259"/>
    </row>
    <row r="152">
      <c r="A152" s="257"/>
      <c r="B152" s="257"/>
      <c r="C152" s="257"/>
      <c r="D152" s="257"/>
      <c r="E152" s="257"/>
      <c r="F152" s="257"/>
      <c r="G152" s="257" t="str">
        <f>IF(E152="","",IF(E152&lt;F152,"Rupture","OK"))</f>
        <v>#ERROR!</v>
      </c>
      <c r="H152" s="258" t="str">
        <f>IFERROR(E152*INDEX('MP Referentiel'!F:F,MATCH(A152,'MP Referentiel'!A:A,0)),"")</f>
        <v>#ERROR!</v>
      </c>
      <c r="I152" s="257"/>
      <c r="J152" s="257"/>
    </row>
    <row r="153">
      <c r="A153" s="259"/>
      <c r="B153" s="259"/>
      <c r="C153" s="259"/>
      <c r="D153" s="259"/>
      <c r="E153" s="259"/>
      <c r="F153" s="259"/>
      <c r="G153" s="259" t="str">
        <f>IF(E153="","",IF(E153&lt;F153,"Rupture","OK"))</f>
        <v>#ERROR!</v>
      </c>
      <c r="H153" s="260" t="str">
        <f>IFERROR(E153*INDEX('MP Referentiel'!F:F,MATCH(A153,'MP Referentiel'!A:A,0)),"")</f>
        <v>#ERROR!</v>
      </c>
      <c r="I153" s="259"/>
      <c r="J153" s="259"/>
    </row>
    <row r="154">
      <c r="A154" s="257"/>
      <c r="B154" s="257"/>
      <c r="C154" s="257"/>
      <c r="D154" s="257"/>
      <c r="E154" s="257"/>
      <c r="F154" s="257"/>
      <c r="G154" s="257" t="str">
        <f>IF(E154="","",IF(E154&lt;F154,"Rupture","OK"))</f>
        <v>#ERROR!</v>
      </c>
      <c r="H154" s="258" t="str">
        <f>IFERROR(E154*INDEX('MP Referentiel'!F:F,MATCH(A154,'MP Referentiel'!A:A,0)),"")</f>
        <v>#ERROR!</v>
      </c>
      <c r="I154" s="257"/>
      <c r="J154" s="257"/>
    </row>
    <row r="155">
      <c r="A155" s="259"/>
      <c r="B155" s="259"/>
      <c r="C155" s="259"/>
      <c r="D155" s="259"/>
      <c r="E155" s="259"/>
      <c r="F155" s="259"/>
      <c r="G155" s="259" t="str">
        <f>IF(E155="","",IF(E155&lt;F155,"Rupture","OK"))</f>
        <v>#ERROR!</v>
      </c>
      <c r="H155" s="260" t="str">
        <f>IFERROR(E155*INDEX('MP Referentiel'!F:F,MATCH(A155,'MP Referentiel'!A:A,0)),"")</f>
        <v>#ERROR!</v>
      </c>
      <c r="I155" s="259"/>
      <c r="J155" s="259"/>
    </row>
    <row r="156">
      <c r="A156" s="257"/>
      <c r="B156" s="257"/>
      <c r="C156" s="257"/>
      <c r="D156" s="257"/>
      <c r="E156" s="257"/>
      <c r="F156" s="257"/>
      <c r="G156" s="257" t="str">
        <f>IF(E156="","",IF(E156&lt;F156,"Rupture","OK"))</f>
        <v>#ERROR!</v>
      </c>
      <c r="H156" s="258" t="str">
        <f>IFERROR(E156*INDEX('MP Referentiel'!F:F,MATCH(A156,'MP Referentiel'!A:A,0)),"")</f>
        <v>#ERROR!</v>
      </c>
      <c r="I156" s="257"/>
      <c r="J156" s="257"/>
    </row>
    <row r="157">
      <c r="A157" s="259"/>
      <c r="B157" s="259"/>
      <c r="C157" s="259"/>
      <c r="D157" s="259"/>
      <c r="E157" s="259"/>
      <c r="F157" s="259"/>
      <c r="G157" s="259" t="str">
        <f>IF(E157="","",IF(E157&lt;F157,"Rupture","OK"))</f>
        <v>#ERROR!</v>
      </c>
      <c r="H157" s="260" t="str">
        <f>IFERROR(E157*INDEX('MP Referentiel'!F:F,MATCH(A157,'MP Referentiel'!A:A,0)),"")</f>
        <v>#ERROR!</v>
      </c>
      <c r="I157" s="259"/>
      <c r="J157" s="259"/>
    </row>
    <row r="158">
      <c r="A158" s="257"/>
      <c r="B158" s="257"/>
      <c r="C158" s="257"/>
      <c r="D158" s="257"/>
      <c r="E158" s="257"/>
      <c r="F158" s="257"/>
      <c r="G158" s="257" t="str">
        <f>IF(E158="","",IF(E158&lt;F158,"Rupture","OK"))</f>
        <v>#ERROR!</v>
      </c>
      <c r="H158" s="258" t="str">
        <f>IFERROR(E158*INDEX('MP Referentiel'!F:F,MATCH(A158,'MP Referentiel'!A:A,0)),"")</f>
        <v>#ERROR!</v>
      </c>
      <c r="I158" s="257"/>
      <c r="J158" s="257"/>
    </row>
    <row r="159">
      <c r="A159" s="259"/>
      <c r="B159" s="259"/>
      <c r="C159" s="259"/>
      <c r="D159" s="259"/>
      <c r="E159" s="259"/>
      <c r="F159" s="259"/>
      <c r="G159" s="259" t="str">
        <f>IF(E159="","",IF(E159&lt;F159,"Rupture","OK"))</f>
        <v>#ERROR!</v>
      </c>
      <c r="H159" s="260" t="str">
        <f>IFERROR(E159*INDEX('MP Referentiel'!F:F,MATCH(A159,'MP Referentiel'!A:A,0)),"")</f>
        <v>#ERROR!</v>
      </c>
      <c r="I159" s="259"/>
      <c r="J159" s="259"/>
    </row>
    <row r="160">
      <c r="A160" s="257"/>
      <c r="B160" s="257"/>
      <c r="C160" s="257"/>
      <c r="D160" s="257"/>
      <c r="E160" s="257"/>
      <c r="F160" s="257"/>
      <c r="G160" s="257" t="str">
        <f>IF(E160="","",IF(E160&lt;F160,"Rupture","OK"))</f>
        <v>#ERROR!</v>
      </c>
      <c r="H160" s="258" t="str">
        <f>IFERROR(E160*INDEX('MP Referentiel'!F:F,MATCH(A160,'MP Referentiel'!A:A,0)),"")</f>
        <v>#ERROR!</v>
      </c>
      <c r="I160" s="257"/>
      <c r="J160" s="257"/>
    </row>
    <row r="161">
      <c r="A161" s="259"/>
      <c r="B161" s="259"/>
      <c r="C161" s="259"/>
      <c r="D161" s="259"/>
      <c r="E161" s="259"/>
      <c r="F161" s="259"/>
      <c r="G161" s="259" t="str">
        <f>IF(E161="","",IF(E161&lt;F161,"Rupture","OK"))</f>
        <v>#ERROR!</v>
      </c>
      <c r="H161" s="260" t="str">
        <f>IFERROR(E161*INDEX('MP Referentiel'!F:F,MATCH(A161,'MP Referentiel'!A:A,0)),"")</f>
        <v>#ERROR!</v>
      </c>
      <c r="I161" s="259"/>
      <c r="J161" s="259"/>
    </row>
    <row r="162">
      <c r="A162" s="257"/>
      <c r="B162" s="257"/>
      <c r="C162" s="257"/>
      <c r="D162" s="257"/>
      <c r="E162" s="257"/>
      <c r="F162" s="257"/>
      <c r="G162" s="257" t="str">
        <f>IF(E162="","",IF(E162&lt;F162,"Rupture","OK"))</f>
        <v>#ERROR!</v>
      </c>
      <c r="H162" s="258" t="str">
        <f>IFERROR(E162*INDEX('MP Referentiel'!F:F,MATCH(A162,'MP Referentiel'!A:A,0)),"")</f>
        <v>#ERROR!</v>
      </c>
      <c r="I162" s="257"/>
      <c r="J162" s="257"/>
    </row>
    <row r="163">
      <c r="A163" s="259"/>
      <c r="B163" s="259"/>
      <c r="C163" s="259"/>
      <c r="D163" s="259"/>
      <c r="E163" s="259"/>
      <c r="F163" s="259"/>
      <c r="G163" s="259" t="str">
        <f>IF(E163="","",IF(E163&lt;F163,"Rupture","OK"))</f>
        <v>#ERROR!</v>
      </c>
      <c r="H163" s="260" t="str">
        <f>IFERROR(E163*INDEX('MP Referentiel'!F:F,MATCH(A163,'MP Referentiel'!A:A,0)),"")</f>
        <v>#ERROR!</v>
      </c>
      <c r="I163" s="259"/>
      <c r="J163" s="259"/>
    </row>
    <row r="164">
      <c r="A164" s="257"/>
      <c r="B164" s="257"/>
      <c r="C164" s="257"/>
      <c r="D164" s="257"/>
      <c r="E164" s="257"/>
      <c r="F164" s="257"/>
      <c r="G164" s="257" t="str">
        <f>IF(E164="","",IF(E164&lt;F164,"Rupture","OK"))</f>
        <v>#ERROR!</v>
      </c>
      <c r="H164" s="258" t="str">
        <f>IFERROR(E164*INDEX('MP Referentiel'!F:F,MATCH(A164,'MP Referentiel'!A:A,0)),"")</f>
        <v>#ERROR!</v>
      </c>
      <c r="I164" s="257"/>
      <c r="J164" s="257"/>
    </row>
    <row r="165">
      <c r="A165" s="259"/>
      <c r="B165" s="259"/>
      <c r="C165" s="259"/>
      <c r="D165" s="259"/>
      <c r="E165" s="259"/>
      <c r="F165" s="259"/>
      <c r="G165" s="259" t="str">
        <f>IF(E165="","",IF(E165&lt;F165,"Rupture","OK"))</f>
        <v>#ERROR!</v>
      </c>
      <c r="H165" s="260" t="str">
        <f>IFERROR(E165*INDEX('MP Referentiel'!F:F,MATCH(A165,'MP Referentiel'!A:A,0)),"")</f>
        <v>#ERROR!</v>
      </c>
      <c r="I165" s="259"/>
      <c r="J165" s="259"/>
    </row>
    <row r="166">
      <c r="A166" s="257"/>
      <c r="B166" s="257"/>
      <c r="C166" s="257"/>
      <c r="D166" s="257"/>
      <c r="E166" s="257"/>
      <c r="F166" s="257"/>
      <c r="G166" s="257" t="str">
        <f>IF(E166="","",IF(E166&lt;F166,"Rupture","OK"))</f>
        <v>#ERROR!</v>
      </c>
      <c r="H166" s="258" t="str">
        <f>IFERROR(E166*INDEX('MP Referentiel'!F:F,MATCH(A166,'MP Referentiel'!A:A,0)),"")</f>
        <v>#ERROR!</v>
      </c>
      <c r="I166" s="257"/>
      <c r="J166" s="257"/>
    </row>
    <row r="167">
      <c r="A167" s="259"/>
      <c r="B167" s="259"/>
      <c r="C167" s="259"/>
      <c r="D167" s="259"/>
      <c r="E167" s="259"/>
      <c r="F167" s="259"/>
      <c r="G167" s="259" t="str">
        <f>IF(E167="","",IF(E167&lt;F167,"Rupture","OK"))</f>
        <v>#ERROR!</v>
      </c>
      <c r="H167" s="260" t="str">
        <f>IFERROR(E167*INDEX('MP Referentiel'!F:F,MATCH(A167,'MP Referentiel'!A:A,0)),"")</f>
        <v>#ERROR!</v>
      </c>
      <c r="I167" s="259"/>
      <c r="J167" s="259"/>
    </row>
    <row r="168">
      <c r="A168" s="257"/>
      <c r="B168" s="257"/>
      <c r="C168" s="257"/>
      <c r="D168" s="257"/>
      <c r="E168" s="257"/>
      <c r="F168" s="257"/>
      <c r="G168" s="257" t="str">
        <f>IF(E168="","",IF(E168&lt;F168,"Rupture","OK"))</f>
        <v>#ERROR!</v>
      </c>
      <c r="H168" s="258" t="str">
        <f>IFERROR(E168*INDEX('MP Referentiel'!F:F,MATCH(A168,'MP Referentiel'!A:A,0)),"")</f>
        <v>#ERROR!</v>
      </c>
      <c r="I168" s="257"/>
      <c r="J168" s="257"/>
    </row>
    <row r="169">
      <c r="A169" s="259"/>
      <c r="B169" s="259"/>
      <c r="C169" s="259"/>
      <c r="D169" s="259"/>
      <c r="E169" s="259"/>
      <c r="F169" s="259"/>
      <c r="G169" s="259" t="str">
        <f>IF(E169="","",IF(E169&lt;F169,"Rupture","OK"))</f>
        <v>#ERROR!</v>
      </c>
      <c r="H169" s="260" t="str">
        <f>IFERROR(E169*INDEX('MP Referentiel'!F:F,MATCH(A169,'MP Referentiel'!A:A,0)),"")</f>
        <v>#ERROR!</v>
      </c>
      <c r="I169" s="259"/>
      <c r="J169" s="259"/>
    </row>
    <row r="170">
      <c r="A170" s="257"/>
      <c r="B170" s="257"/>
      <c r="C170" s="257"/>
      <c r="D170" s="257"/>
      <c r="E170" s="257"/>
      <c r="F170" s="257"/>
      <c r="G170" s="257" t="str">
        <f>IF(E170="","",IF(E170&lt;F170,"Rupture","OK"))</f>
        <v>#ERROR!</v>
      </c>
      <c r="H170" s="258" t="str">
        <f>IFERROR(E170*INDEX('MP Referentiel'!F:F,MATCH(A170,'MP Referentiel'!A:A,0)),"")</f>
        <v>#ERROR!</v>
      </c>
      <c r="I170" s="257"/>
      <c r="J170" s="257"/>
    </row>
    <row r="171">
      <c r="A171" s="259"/>
      <c r="B171" s="259"/>
      <c r="C171" s="259"/>
      <c r="D171" s="259"/>
      <c r="E171" s="259"/>
      <c r="F171" s="259"/>
      <c r="G171" s="259" t="str">
        <f>IF(E171="","",IF(E171&lt;F171,"Rupture","OK"))</f>
        <v>#ERROR!</v>
      </c>
      <c r="H171" s="260" t="str">
        <f>IFERROR(E171*INDEX('MP Referentiel'!F:F,MATCH(A171,'MP Referentiel'!A:A,0)),"")</f>
        <v>#ERROR!</v>
      </c>
      <c r="I171" s="259"/>
      <c r="J171" s="259"/>
    </row>
    <row r="172">
      <c r="A172" s="257"/>
      <c r="B172" s="257"/>
      <c r="C172" s="257"/>
      <c r="D172" s="257"/>
      <c r="E172" s="257"/>
      <c r="F172" s="257"/>
      <c r="G172" s="257" t="str">
        <f>IF(E172="","",IF(E172&lt;F172,"Rupture","OK"))</f>
        <v>#ERROR!</v>
      </c>
      <c r="H172" s="258" t="str">
        <f>IFERROR(E172*INDEX('MP Referentiel'!F:F,MATCH(A172,'MP Referentiel'!A:A,0)),"")</f>
        <v>#ERROR!</v>
      </c>
      <c r="I172" s="257"/>
      <c r="J172" s="257"/>
    </row>
    <row r="173">
      <c r="A173" s="259"/>
      <c r="B173" s="259"/>
      <c r="C173" s="259"/>
      <c r="D173" s="259"/>
      <c r="E173" s="259"/>
      <c r="F173" s="259"/>
      <c r="G173" s="259" t="str">
        <f>IF(E173="","",IF(E173&lt;F173,"Rupture","OK"))</f>
        <v>#ERROR!</v>
      </c>
      <c r="H173" s="260" t="str">
        <f>IFERROR(E173*INDEX('MP Referentiel'!F:F,MATCH(A173,'MP Referentiel'!A:A,0)),"")</f>
        <v>#ERROR!</v>
      </c>
      <c r="I173" s="259"/>
      <c r="J173" s="259"/>
    </row>
    <row r="174">
      <c r="A174" s="257"/>
      <c r="B174" s="257"/>
      <c r="C174" s="257"/>
      <c r="D174" s="257"/>
      <c r="E174" s="257"/>
      <c r="F174" s="257"/>
      <c r="G174" s="257" t="str">
        <f>IF(E174="","",IF(E174&lt;F174,"Rupture","OK"))</f>
        <v>#ERROR!</v>
      </c>
      <c r="H174" s="258" t="str">
        <f>IFERROR(E174*INDEX('MP Referentiel'!F:F,MATCH(A174,'MP Referentiel'!A:A,0)),"")</f>
        <v>#ERROR!</v>
      </c>
      <c r="I174" s="257"/>
      <c r="J174" s="257"/>
    </row>
    <row r="175">
      <c r="A175" s="259"/>
      <c r="B175" s="259"/>
      <c r="C175" s="259"/>
      <c r="D175" s="259"/>
      <c r="E175" s="259"/>
      <c r="F175" s="259"/>
      <c r="G175" s="259" t="str">
        <f>IF(E175="","",IF(E175&lt;F175,"Rupture","OK"))</f>
        <v>#ERROR!</v>
      </c>
      <c r="H175" s="260" t="str">
        <f>IFERROR(E175*INDEX('MP Referentiel'!F:F,MATCH(A175,'MP Referentiel'!A:A,0)),"")</f>
        <v>#ERROR!</v>
      </c>
      <c r="I175" s="259"/>
      <c r="J175" s="259"/>
    </row>
    <row r="176">
      <c r="A176" s="257"/>
      <c r="B176" s="257"/>
      <c r="C176" s="257"/>
      <c r="D176" s="257"/>
      <c r="E176" s="257"/>
      <c r="F176" s="257"/>
      <c r="G176" s="257" t="str">
        <f>IF(E176="","",IF(E176&lt;F176,"Rupture","OK"))</f>
        <v>#ERROR!</v>
      </c>
      <c r="H176" s="258" t="str">
        <f>IFERROR(E176*INDEX('MP Referentiel'!F:F,MATCH(A176,'MP Referentiel'!A:A,0)),"")</f>
        <v>#ERROR!</v>
      </c>
      <c r="I176" s="257"/>
      <c r="J176" s="257"/>
    </row>
    <row r="177">
      <c r="A177" s="259"/>
      <c r="B177" s="259"/>
      <c r="C177" s="259"/>
      <c r="D177" s="259"/>
      <c r="E177" s="259"/>
      <c r="F177" s="259"/>
      <c r="G177" s="259" t="str">
        <f>IF(E177="","",IF(E177&lt;F177,"Rupture","OK"))</f>
        <v>#ERROR!</v>
      </c>
      <c r="H177" s="260" t="str">
        <f>IFERROR(E177*INDEX('MP Referentiel'!F:F,MATCH(A177,'MP Referentiel'!A:A,0)),"")</f>
        <v>#ERROR!</v>
      </c>
      <c r="I177" s="259"/>
      <c r="J177" s="259"/>
    </row>
    <row r="178">
      <c r="A178" s="257"/>
      <c r="B178" s="257"/>
      <c r="C178" s="257"/>
      <c r="D178" s="257"/>
      <c r="E178" s="257"/>
      <c r="F178" s="257"/>
      <c r="G178" s="257" t="str">
        <f>IF(E178="","",IF(E178&lt;F178,"Rupture","OK"))</f>
        <v>#ERROR!</v>
      </c>
      <c r="H178" s="258" t="str">
        <f>IFERROR(E178*INDEX('MP Referentiel'!F:F,MATCH(A178,'MP Referentiel'!A:A,0)),"")</f>
        <v>#ERROR!</v>
      </c>
      <c r="I178" s="257"/>
      <c r="J178" s="257"/>
    </row>
    <row r="179">
      <c r="A179" s="259"/>
      <c r="B179" s="259"/>
      <c r="C179" s="259"/>
      <c r="D179" s="259"/>
      <c r="E179" s="259"/>
      <c r="F179" s="259"/>
      <c r="G179" s="259" t="str">
        <f>IF(E179="","",IF(E179&lt;F179,"Rupture","OK"))</f>
        <v>#ERROR!</v>
      </c>
      <c r="H179" s="260" t="str">
        <f>IFERROR(E179*INDEX('MP Referentiel'!F:F,MATCH(A179,'MP Referentiel'!A:A,0)),"")</f>
        <v>#ERROR!</v>
      </c>
      <c r="I179" s="259"/>
      <c r="J179" s="259"/>
    </row>
    <row r="180">
      <c r="A180" s="257"/>
      <c r="B180" s="257"/>
      <c r="C180" s="257"/>
      <c r="D180" s="257"/>
      <c r="E180" s="257"/>
      <c r="F180" s="257"/>
      <c r="G180" s="257" t="str">
        <f>IF(E180="","",IF(E180&lt;F180,"Rupture","OK"))</f>
        <v>#ERROR!</v>
      </c>
      <c r="H180" s="258" t="str">
        <f>IFERROR(E180*INDEX('MP Referentiel'!F:F,MATCH(A180,'MP Referentiel'!A:A,0)),"")</f>
        <v>#ERROR!</v>
      </c>
      <c r="I180" s="257"/>
      <c r="J180" s="257"/>
    </row>
    <row r="181">
      <c r="A181" s="259"/>
      <c r="B181" s="259"/>
      <c r="C181" s="259"/>
      <c r="D181" s="259"/>
      <c r="E181" s="259"/>
      <c r="F181" s="259"/>
      <c r="G181" s="259" t="str">
        <f>IF(E181="","",IF(E181&lt;F181,"Rupture","OK"))</f>
        <v>#ERROR!</v>
      </c>
      <c r="H181" s="260" t="str">
        <f>IFERROR(E181*INDEX('MP Referentiel'!F:F,MATCH(A181,'MP Referentiel'!A:A,0)),"")</f>
        <v>#ERROR!</v>
      </c>
      <c r="I181" s="259"/>
      <c r="J181" s="259"/>
    </row>
    <row r="182">
      <c r="A182" s="257"/>
      <c r="B182" s="257"/>
      <c r="C182" s="257"/>
      <c r="D182" s="257"/>
      <c r="E182" s="257"/>
      <c r="F182" s="257"/>
      <c r="G182" s="257" t="str">
        <f>IF(E182="","",IF(E182&lt;F182,"Rupture","OK"))</f>
        <v>#ERROR!</v>
      </c>
      <c r="H182" s="258" t="str">
        <f>IFERROR(E182*INDEX('MP Referentiel'!F:F,MATCH(A182,'MP Referentiel'!A:A,0)),"")</f>
        <v>#ERROR!</v>
      </c>
      <c r="I182" s="257"/>
      <c r="J182" s="257"/>
    </row>
    <row r="183">
      <c r="A183" s="259"/>
      <c r="B183" s="259"/>
      <c r="C183" s="259"/>
      <c r="D183" s="259"/>
      <c r="E183" s="259"/>
      <c r="F183" s="259"/>
      <c r="G183" s="259" t="str">
        <f>IF(E183="","",IF(E183&lt;F183,"Rupture","OK"))</f>
        <v>#ERROR!</v>
      </c>
      <c r="H183" s="260" t="str">
        <f>IFERROR(E183*INDEX('MP Referentiel'!F:F,MATCH(A183,'MP Referentiel'!A:A,0)),"")</f>
        <v>#ERROR!</v>
      </c>
      <c r="I183" s="259"/>
      <c r="J183" s="259"/>
    </row>
    <row r="184">
      <c r="A184" s="257"/>
      <c r="B184" s="257"/>
      <c r="C184" s="257"/>
      <c r="D184" s="257"/>
      <c r="E184" s="257"/>
      <c r="F184" s="257"/>
      <c r="G184" s="257" t="str">
        <f>IF(E184="","",IF(E184&lt;F184,"Rupture","OK"))</f>
        <v>#ERROR!</v>
      </c>
      <c r="H184" s="258" t="str">
        <f>IFERROR(E184*INDEX('MP Referentiel'!F:F,MATCH(A184,'MP Referentiel'!A:A,0)),"")</f>
        <v>#ERROR!</v>
      </c>
      <c r="I184" s="257"/>
      <c r="J184" s="257"/>
    </row>
    <row r="185">
      <c r="A185" s="259"/>
      <c r="B185" s="259"/>
      <c r="C185" s="259"/>
      <c r="D185" s="259"/>
      <c r="E185" s="259"/>
      <c r="F185" s="259"/>
      <c r="G185" s="259" t="str">
        <f>IF(E185="","",IF(E185&lt;F185,"Rupture","OK"))</f>
        <v>#ERROR!</v>
      </c>
      <c r="H185" s="260" t="str">
        <f>IFERROR(E185*INDEX('MP Referentiel'!F:F,MATCH(A185,'MP Referentiel'!A:A,0)),"")</f>
        <v>#ERROR!</v>
      </c>
      <c r="I185" s="259"/>
      <c r="J185" s="259"/>
    </row>
    <row r="186">
      <c r="A186" s="257"/>
      <c r="B186" s="257"/>
      <c r="C186" s="257"/>
      <c r="D186" s="257"/>
      <c r="E186" s="257"/>
      <c r="F186" s="257"/>
      <c r="G186" s="257" t="str">
        <f>IF(E186="","",IF(E186&lt;F186,"Rupture","OK"))</f>
        <v>#ERROR!</v>
      </c>
      <c r="H186" s="258" t="str">
        <f>IFERROR(E186*INDEX('MP Referentiel'!F:F,MATCH(A186,'MP Referentiel'!A:A,0)),"")</f>
        <v>#ERROR!</v>
      </c>
      <c r="I186" s="257"/>
      <c r="J186" s="257"/>
    </row>
    <row r="187">
      <c r="A187" s="259"/>
      <c r="B187" s="259"/>
      <c r="C187" s="259"/>
      <c r="D187" s="259"/>
      <c r="E187" s="259"/>
      <c r="F187" s="259"/>
      <c r="G187" s="259" t="str">
        <f>IF(E187="","",IF(E187&lt;F187,"Rupture","OK"))</f>
        <v>#ERROR!</v>
      </c>
      <c r="H187" s="260" t="str">
        <f>IFERROR(E187*INDEX('MP Referentiel'!F:F,MATCH(A187,'MP Referentiel'!A:A,0)),"")</f>
        <v>#ERROR!</v>
      </c>
      <c r="I187" s="259"/>
      <c r="J187" s="259"/>
    </row>
    <row r="188">
      <c r="A188" s="257"/>
      <c r="B188" s="257"/>
      <c r="C188" s="257"/>
      <c r="D188" s="257"/>
      <c r="E188" s="257"/>
      <c r="F188" s="257"/>
      <c r="G188" s="257" t="str">
        <f>IF(E188="","",IF(E188&lt;F188,"Rupture","OK"))</f>
        <v>#ERROR!</v>
      </c>
      <c r="H188" s="258" t="str">
        <f>IFERROR(E188*INDEX('MP Referentiel'!F:F,MATCH(A188,'MP Referentiel'!A:A,0)),"")</f>
        <v>#ERROR!</v>
      </c>
      <c r="I188" s="257"/>
      <c r="J188" s="257"/>
    </row>
    <row r="189">
      <c r="A189" s="259"/>
      <c r="B189" s="259"/>
      <c r="C189" s="259"/>
      <c r="D189" s="259"/>
      <c r="E189" s="259"/>
      <c r="F189" s="259"/>
      <c r="G189" s="259" t="str">
        <f>IF(E189="","",IF(E189&lt;F189,"Rupture","OK"))</f>
        <v>#ERROR!</v>
      </c>
      <c r="H189" s="260" t="str">
        <f>IFERROR(E189*INDEX('MP Referentiel'!F:F,MATCH(A189,'MP Referentiel'!A:A,0)),"")</f>
        <v>#ERROR!</v>
      </c>
      <c r="I189" s="259"/>
      <c r="J189" s="259"/>
    </row>
    <row r="190">
      <c r="A190" s="257"/>
      <c r="B190" s="257"/>
      <c r="C190" s="257"/>
      <c r="D190" s="257"/>
      <c r="E190" s="257"/>
      <c r="F190" s="257"/>
      <c r="G190" s="257" t="str">
        <f>IF(E190="","",IF(E190&lt;F190,"Rupture","OK"))</f>
        <v>#ERROR!</v>
      </c>
      <c r="H190" s="258" t="str">
        <f>IFERROR(E190*INDEX('MP Referentiel'!F:F,MATCH(A190,'MP Referentiel'!A:A,0)),"")</f>
        <v>#ERROR!</v>
      </c>
      <c r="I190" s="257"/>
      <c r="J190" s="257"/>
    </row>
    <row r="191">
      <c r="A191" s="259"/>
      <c r="B191" s="259"/>
      <c r="C191" s="259"/>
      <c r="D191" s="259"/>
      <c r="E191" s="259"/>
      <c r="F191" s="259"/>
      <c r="G191" s="259" t="str">
        <f>IF(E191="","",IF(E191&lt;F191,"Rupture","OK"))</f>
        <v>#ERROR!</v>
      </c>
      <c r="H191" s="260" t="str">
        <f>IFERROR(E191*INDEX('MP Referentiel'!F:F,MATCH(A191,'MP Referentiel'!A:A,0)),"")</f>
        <v>#ERROR!</v>
      </c>
      <c r="I191" s="259"/>
      <c r="J191" s="259"/>
    </row>
    <row r="192">
      <c r="A192" s="257"/>
      <c r="B192" s="257"/>
      <c r="C192" s="257"/>
      <c r="D192" s="257"/>
      <c r="E192" s="257"/>
      <c r="F192" s="257"/>
      <c r="G192" s="257" t="str">
        <f>IF(E192="","",IF(E192&lt;F192,"Rupture","OK"))</f>
        <v>#ERROR!</v>
      </c>
      <c r="H192" s="258" t="str">
        <f>IFERROR(E192*INDEX('MP Referentiel'!F:F,MATCH(A192,'MP Referentiel'!A:A,0)),"")</f>
        <v>#ERROR!</v>
      </c>
      <c r="I192" s="257"/>
      <c r="J192" s="257"/>
    </row>
    <row r="193">
      <c r="A193" s="259"/>
      <c r="B193" s="259"/>
      <c r="C193" s="259"/>
      <c r="D193" s="259"/>
      <c r="E193" s="259"/>
      <c r="F193" s="259"/>
      <c r="G193" s="259" t="str">
        <f>IF(E193="","",IF(E193&lt;F193,"Rupture","OK"))</f>
        <v>#ERROR!</v>
      </c>
      <c r="H193" s="260" t="str">
        <f>IFERROR(E193*INDEX('MP Referentiel'!F:F,MATCH(A193,'MP Referentiel'!A:A,0)),"")</f>
        <v>#ERROR!</v>
      </c>
      <c r="I193" s="259"/>
      <c r="J193" s="259"/>
    </row>
    <row r="194">
      <c r="A194" s="257"/>
      <c r="B194" s="257"/>
      <c r="C194" s="257"/>
      <c r="D194" s="257"/>
      <c r="E194" s="257"/>
      <c r="F194" s="257"/>
      <c r="G194" s="257" t="str">
        <f>IF(E194="","",IF(E194&lt;F194,"Rupture","OK"))</f>
        <v>#ERROR!</v>
      </c>
      <c r="H194" s="258" t="str">
        <f>IFERROR(E194*INDEX('MP Referentiel'!F:F,MATCH(A194,'MP Referentiel'!A:A,0)),"")</f>
        <v>#ERROR!</v>
      </c>
      <c r="I194" s="257"/>
      <c r="J194" s="257"/>
    </row>
    <row r="195">
      <c r="A195" s="259"/>
      <c r="B195" s="259"/>
      <c r="C195" s="259"/>
      <c r="D195" s="259"/>
      <c r="E195" s="259"/>
      <c r="F195" s="259"/>
      <c r="G195" s="259" t="str">
        <f>IF(E195="","",IF(E195&lt;F195,"Rupture","OK"))</f>
        <v>#ERROR!</v>
      </c>
      <c r="H195" s="260" t="str">
        <f>IFERROR(E195*INDEX('MP Referentiel'!F:F,MATCH(A195,'MP Referentiel'!A:A,0)),"")</f>
        <v>#ERROR!</v>
      </c>
      <c r="I195" s="259"/>
      <c r="J195" s="259"/>
    </row>
    <row r="196">
      <c r="A196" s="257"/>
      <c r="B196" s="257"/>
      <c r="C196" s="257"/>
      <c r="D196" s="257"/>
      <c r="E196" s="257"/>
      <c r="F196" s="257"/>
      <c r="G196" s="257" t="str">
        <f>IF(E196="","",IF(E196&lt;F196,"Rupture","OK"))</f>
        <v>#ERROR!</v>
      </c>
      <c r="H196" s="258" t="str">
        <f>IFERROR(E196*INDEX('MP Referentiel'!F:F,MATCH(A196,'MP Referentiel'!A:A,0)),"")</f>
        <v>#ERROR!</v>
      </c>
      <c r="I196" s="257"/>
      <c r="J196" s="257"/>
    </row>
    <row r="197">
      <c r="A197" s="259"/>
      <c r="B197" s="259"/>
      <c r="C197" s="259"/>
      <c r="D197" s="259"/>
      <c r="E197" s="259"/>
      <c r="F197" s="259"/>
      <c r="G197" s="259" t="str">
        <f>IF(E197="","",IF(E197&lt;F197,"Rupture","OK"))</f>
        <v>#ERROR!</v>
      </c>
      <c r="H197" s="260" t="str">
        <f>IFERROR(E197*INDEX('MP Referentiel'!F:F,MATCH(A197,'MP Referentiel'!A:A,0)),"")</f>
        <v>#ERROR!</v>
      </c>
      <c r="I197" s="259"/>
      <c r="J197" s="259"/>
    </row>
    <row r="198">
      <c r="A198" s="257"/>
      <c r="B198" s="257"/>
      <c r="C198" s="257"/>
      <c r="D198" s="257"/>
      <c r="E198" s="257"/>
      <c r="F198" s="257"/>
      <c r="G198" s="257" t="str">
        <f>IF(E198="","",IF(E198&lt;F198,"Rupture","OK"))</f>
        <v>#ERROR!</v>
      </c>
      <c r="H198" s="258" t="str">
        <f>IFERROR(E198*INDEX('MP Referentiel'!F:F,MATCH(A198,'MP Referentiel'!A:A,0)),"")</f>
        <v>#ERROR!</v>
      </c>
      <c r="I198" s="257"/>
      <c r="J198" s="257"/>
    </row>
    <row r="199">
      <c r="A199" s="259"/>
      <c r="B199" s="259"/>
      <c r="C199" s="259"/>
      <c r="D199" s="259"/>
      <c r="E199" s="259"/>
      <c r="F199" s="259"/>
      <c r="G199" s="259" t="str">
        <f>IF(E199="","",IF(E199&lt;F199,"Rupture","OK"))</f>
        <v>#ERROR!</v>
      </c>
      <c r="H199" s="260" t="str">
        <f>IFERROR(E199*INDEX('MP Referentiel'!F:F,MATCH(A199,'MP Referentiel'!A:A,0)),"")</f>
        <v>#ERROR!</v>
      </c>
      <c r="I199" s="259"/>
      <c r="J199" s="259"/>
    </row>
    <row r="200">
      <c r="A200" s="257"/>
      <c r="B200" s="257"/>
      <c r="C200" s="257"/>
      <c r="D200" s="257"/>
      <c r="E200" s="257"/>
      <c r="F200" s="257"/>
      <c r="G200" s="257" t="str">
        <f>IF(E200="","",IF(E200&lt;F200,"Rupture","OK"))</f>
        <v>#ERROR!</v>
      </c>
      <c r="H200" s="258" t="str">
        <f>IFERROR(E200*INDEX('MP Referentiel'!F:F,MATCH(A200,'MP Referentiel'!A:A,0)),"")</f>
        <v>#ERROR!</v>
      </c>
      <c r="I200" s="257"/>
      <c r="J200" s="257"/>
    </row>
    <row r="201">
      <c r="A201" s="259"/>
      <c r="B201" s="259"/>
      <c r="C201" s="259"/>
      <c r="D201" s="259"/>
      <c r="E201" s="259"/>
      <c r="F201" s="259"/>
      <c r="G201" s="259" t="str">
        <f>IF(E201="","",IF(E201&lt;F201,"Rupture","OK"))</f>
        <v>#ERROR!</v>
      </c>
      <c r="H201" s="260" t="str">
        <f>IFERROR(E201*INDEX('MP Referentiel'!F:F,MATCH(A201,'MP Referentiel'!A:A,0)),"")</f>
        <v>#ERROR!</v>
      </c>
      <c r="I201" s="259"/>
      <c r="J201" s="259"/>
    </row>
    <row r="202">
      <c r="A202" s="257"/>
      <c r="B202" s="257"/>
      <c r="C202" s="257"/>
      <c r="D202" s="257"/>
      <c r="E202" s="257"/>
      <c r="F202" s="257"/>
      <c r="G202" s="257" t="str">
        <f>IF(E202="","",IF(E202&lt;F202,"Rupture","OK"))</f>
        <v>#ERROR!</v>
      </c>
      <c r="H202" s="258" t="str">
        <f>IFERROR(E202*INDEX('MP Referentiel'!F:F,MATCH(A202,'MP Referentiel'!A:A,0)),"")</f>
        <v>#ERROR!</v>
      </c>
      <c r="I202" s="257"/>
      <c r="J202" s="257"/>
    </row>
    <row r="203">
      <c r="A203" s="259"/>
      <c r="B203" s="259"/>
      <c r="C203" s="259"/>
      <c r="D203" s="259"/>
      <c r="E203" s="259"/>
      <c r="F203" s="259"/>
      <c r="G203" s="259" t="str">
        <f>IF(E203="","",IF(E203&lt;F203,"Rupture","OK"))</f>
        <v>#ERROR!</v>
      </c>
      <c r="H203" s="260" t="str">
        <f>IFERROR(E203*INDEX('MP Referentiel'!F:F,MATCH(A203,'MP Referentiel'!A:A,0)),"")</f>
        <v>#ERROR!</v>
      </c>
      <c r="I203" s="259"/>
      <c r="J203" s="259"/>
    </row>
    <row r="204">
      <c r="A204" s="257"/>
      <c r="B204" s="257"/>
      <c r="C204" s="257"/>
      <c r="D204" s="257"/>
      <c r="E204" s="257"/>
      <c r="F204" s="257"/>
      <c r="G204" s="257" t="str">
        <f>IF(E204="","",IF(E204&lt;F204,"Rupture","OK"))</f>
        <v>#ERROR!</v>
      </c>
      <c r="H204" s="258" t="str">
        <f>IFERROR(E204*INDEX('MP Referentiel'!F:F,MATCH(A204,'MP Referentiel'!A:A,0)),"")</f>
        <v>#ERROR!</v>
      </c>
      <c r="I204" s="257"/>
      <c r="J204" s="257"/>
    </row>
    <row r="205">
      <c r="A205" s="259"/>
      <c r="B205" s="259"/>
      <c r="C205" s="259"/>
      <c r="D205" s="259"/>
      <c r="E205" s="259"/>
      <c r="F205" s="259"/>
      <c r="G205" s="259" t="str">
        <f>IF(E205="","",IF(E205&lt;F205,"Rupture","OK"))</f>
        <v>#ERROR!</v>
      </c>
      <c r="H205" s="260" t="str">
        <f>IFERROR(E205*INDEX('MP Referentiel'!F:F,MATCH(A205,'MP Referentiel'!A:A,0)),"")</f>
        <v>#ERROR!</v>
      </c>
      <c r="I205" s="259"/>
      <c r="J205" s="259"/>
    </row>
    <row r="206" ht="16.5" customHeight="1">
      <c r="A206" s="261" t="s">
        <v>689</v>
      </c>
    </row>
    <row r="207">
      <c r="A207" s="262" t="s">
        <v>77</v>
      </c>
      <c r="B207" s="262" t="s">
        <v>78</v>
      </c>
      <c r="C207" s="262" t="s">
        <v>690</v>
      </c>
      <c r="D207" s="262" t="s">
        <v>12</v>
      </c>
      <c r="E207" s="262" t="s">
        <v>691</v>
      </c>
      <c r="F207" s="262" t="s">
        <v>692</v>
      </c>
      <c r="G207" s="262" t="s">
        <v>693</v>
      </c>
      <c r="H207" s="262" t="s">
        <v>694</v>
      </c>
    </row>
    <row r="208">
      <c r="A208" s="43" t="s">
        <v>444</v>
      </c>
      <c r="B208" s="43" t="s">
        <v>456</v>
      </c>
      <c r="C208" s="256">
        <v>250.0</v>
      </c>
      <c r="D208" s="255">
        <v>0.0</v>
      </c>
      <c r="E208" s="258" t="str">
        <f>IFERROR(D208*INDEX('Prix Vente'!C:C,MATCH(A208&amp;B208,'Prix Vente'!A:A&amp;'Prix Vente'!B:B,0)),"")</f>
        <v>#ERROR!</v>
      </c>
      <c r="F208" s="257"/>
      <c r="G208" s="257"/>
      <c r="H208" s="257"/>
    </row>
    <row r="209">
      <c r="A209" s="51" t="s">
        <v>444</v>
      </c>
      <c r="B209" s="51" t="s">
        <v>448</v>
      </c>
      <c r="C209" s="75">
        <v>320.0</v>
      </c>
      <c r="D209" s="255">
        <v>0.0</v>
      </c>
      <c r="E209" s="260" t="str">
        <f>IFERROR(D209*INDEX('Prix Vente'!C:C,MATCH(A209&amp;B209,'Prix Vente'!A:A&amp;'Prix Vente'!B:B,0)),"")</f>
        <v>#ERROR!</v>
      </c>
      <c r="F209" s="259"/>
      <c r="G209" s="259"/>
      <c r="H209" s="259"/>
    </row>
    <row r="210">
      <c r="A210" s="43" t="s">
        <v>444</v>
      </c>
      <c r="B210" s="43" t="s">
        <v>439</v>
      </c>
      <c r="C210" s="256">
        <v>500.0</v>
      </c>
      <c r="D210" s="255">
        <v>0.0</v>
      </c>
      <c r="E210" s="258" t="str">
        <f>IFERROR(D210*INDEX('Prix Vente'!C:C,MATCH(A210&amp;B210,'Prix Vente'!A:A&amp;'Prix Vente'!B:B,0)),"")</f>
        <v>#ERROR!</v>
      </c>
      <c r="F210" s="257"/>
      <c r="G210" s="257"/>
      <c r="H210" s="257"/>
    </row>
    <row r="211">
      <c r="A211" s="51" t="s">
        <v>444</v>
      </c>
      <c r="B211" s="51" t="s">
        <v>452</v>
      </c>
      <c r="C211" s="75">
        <v>730.0</v>
      </c>
      <c r="D211" s="255">
        <v>0.0</v>
      </c>
      <c r="E211" s="260" t="str">
        <f>IFERROR(D211*INDEX('Prix Vente'!C:C,MATCH(A211&amp;B211,'Prix Vente'!A:A&amp;'Prix Vente'!B:B,0)),"")</f>
        <v>#ERROR!</v>
      </c>
      <c r="F211" s="259"/>
      <c r="G211" s="259"/>
      <c r="H211" s="259"/>
    </row>
    <row r="212">
      <c r="A212" s="43" t="s">
        <v>444</v>
      </c>
      <c r="B212" s="43" t="s">
        <v>489</v>
      </c>
      <c r="C212" s="256">
        <v>900.0</v>
      </c>
      <c r="D212" s="255">
        <v>0.0</v>
      </c>
      <c r="E212" s="258" t="str">
        <f>IFERROR(D212*INDEX('Prix Vente'!C:C,MATCH(A212&amp;B212,'Prix Vente'!A:A&amp;'Prix Vente'!B:B,0)),"")</f>
        <v>#ERROR!</v>
      </c>
      <c r="F212" s="257"/>
      <c r="G212" s="257"/>
      <c r="H212" s="257"/>
    </row>
    <row r="213">
      <c r="A213" s="51" t="s">
        <v>444</v>
      </c>
      <c r="B213" s="51" t="s">
        <v>596</v>
      </c>
      <c r="C213" s="75">
        <v>1350.0</v>
      </c>
      <c r="D213" s="255">
        <v>0.0</v>
      </c>
      <c r="E213" s="260" t="str">
        <f>IFERROR(D213*INDEX('Prix Vente'!C:C,MATCH(A213&amp;B213,'Prix Vente'!A:A&amp;'Prix Vente'!B:B,0)),"")</f>
        <v>#ERROR!</v>
      </c>
      <c r="F213" s="259"/>
      <c r="G213" s="259"/>
      <c r="H213" s="259"/>
    </row>
    <row r="214">
      <c r="A214" s="43" t="s">
        <v>444</v>
      </c>
      <c r="B214" s="43" t="s">
        <v>597</v>
      </c>
      <c r="C214" s="256">
        <v>40.0</v>
      </c>
      <c r="D214" s="255">
        <v>0.0</v>
      </c>
      <c r="E214" s="258" t="str">
        <f>IFERROR(D214*INDEX('Prix Vente'!C:C,MATCH(A214&amp;B214,'Prix Vente'!A:A&amp;'Prix Vente'!B:B,0)),"")</f>
        <v>#ERROR!</v>
      </c>
      <c r="F214" s="257"/>
      <c r="G214" s="257"/>
      <c r="H214" s="257"/>
    </row>
    <row r="215">
      <c r="A215" s="51" t="s">
        <v>444</v>
      </c>
      <c r="B215" s="51" t="s">
        <v>598</v>
      </c>
      <c r="C215" s="75">
        <v>65.0</v>
      </c>
      <c r="D215" s="255">
        <v>0.0</v>
      </c>
      <c r="E215" s="260" t="str">
        <f>IFERROR(D215*INDEX('Prix Vente'!C:C,MATCH(A215&amp;B215,'Prix Vente'!A:A&amp;'Prix Vente'!B:B,0)),"")</f>
        <v>#ERROR!</v>
      </c>
      <c r="F215" s="259"/>
      <c r="G215" s="259"/>
      <c r="H215" s="259"/>
    </row>
    <row r="216">
      <c r="A216" s="43" t="s">
        <v>444</v>
      </c>
      <c r="B216" s="43" t="s">
        <v>599</v>
      </c>
      <c r="C216" s="256">
        <v>130.0</v>
      </c>
      <c r="D216" s="255">
        <v>0.0</v>
      </c>
      <c r="E216" s="258" t="str">
        <f>IFERROR(D216*INDEX('Prix Vente'!C:C,MATCH(A216&amp;B216,'Prix Vente'!A:A&amp;'Prix Vente'!B:B,0)),"")</f>
        <v>#ERROR!</v>
      </c>
      <c r="F216" s="257"/>
      <c r="G216" s="257"/>
      <c r="H216" s="257"/>
    </row>
    <row r="217">
      <c r="A217" s="51" t="s">
        <v>438</v>
      </c>
      <c r="B217" s="51" t="s">
        <v>456</v>
      </c>
      <c r="C217" s="75">
        <v>250.0</v>
      </c>
      <c r="D217" s="255">
        <v>0.0</v>
      </c>
      <c r="E217" s="260" t="str">
        <f>IFERROR(D217*INDEX('Prix Vente'!C:C,MATCH(A217&amp;B217,'Prix Vente'!A:A&amp;'Prix Vente'!B:B,0)),"")</f>
        <v>#ERROR!</v>
      </c>
      <c r="F217" s="259"/>
      <c r="G217" s="259"/>
      <c r="H217" s="259"/>
    </row>
    <row r="218">
      <c r="A218" s="43" t="s">
        <v>438</v>
      </c>
      <c r="B218" s="43" t="s">
        <v>448</v>
      </c>
      <c r="C218" s="256">
        <v>320.0</v>
      </c>
      <c r="D218" s="255">
        <v>0.0</v>
      </c>
      <c r="E218" s="258" t="str">
        <f>IFERROR(D218*INDEX('Prix Vente'!C:C,MATCH(A218&amp;B218,'Prix Vente'!A:A&amp;'Prix Vente'!B:B,0)),"")</f>
        <v>#ERROR!</v>
      </c>
      <c r="F218" s="257"/>
      <c r="G218" s="257"/>
      <c r="H218" s="257"/>
    </row>
    <row r="219">
      <c r="A219" s="51" t="s">
        <v>438</v>
      </c>
      <c r="B219" s="51" t="s">
        <v>439</v>
      </c>
      <c r="C219" s="75">
        <v>500.0</v>
      </c>
      <c r="D219" s="255">
        <v>0.0</v>
      </c>
      <c r="E219" s="260" t="str">
        <f>IFERROR(D219*INDEX('Prix Vente'!C:C,MATCH(A219&amp;B219,'Prix Vente'!A:A&amp;'Prix Vente'!B:B,0)),"")</f>
        <v>#ERROR!</v>
      </c>
      <c r="F219" s="259"/>
      <c r="G219" s="259"/>
      <c r="H219" s="259"/>
    </row>
    <row r="220">
      <c r="A220" s="43" t="s">
        <v>438</v>
      </c>
      <c r="B220" s="43" t="s">
        <v>452</v>
      </c>
      <c r="C220" s="256">
        <v>730.0</v>
      </c>
      <c r="D220" s="255">
        <v>0.0</v>
      </c>
      <c r="E220" s="258" t="str">
        <f>IFERROR(D220*INDEX('Prix Vente'!C:C,MATCH(A220&amp;B220,'Prix Vente'!A:A&amp;'Prix Vente'!B:B,0)),"")</f>
        <v>#ERROR!</v>
      </c>
      <c r="F220" s="257"/>
      <c r="G220" s="257"/>
      <c r="H220" s="257"/>
    </row>
    <row r="221">
      <c r="A221" s="51" t="s">
        <v>438</v>
      </c>
      <c r="B221" s="51" t="s">
        <v>489</v>
      </c>
      <c r="C221" s="75">
        <v>900.0</v>
      </c>
      <c r="D221" s="255">
        <v>0.0</v>
      </c>
      <c r="E221" s="260" t="str">
        <f>IFERROR(D221*INDEX('Prix Vente'!C:C,MATCH(A221&amp;B221,'Prix Vente'!A:A&amp;'Prix Vente'!B:B,0)),"")</f>
        <v>#ERROR!</v>
      </c>
      <c r="F221" s="259"/>
      <c r="G221" s="259"/>
      <c r="H221" s="259"/>
    </row>
    <row r="222">
      <c r="A222" s="43" t="s">
        <v>438</v>
      </c>
      <c r="B222" s="43" t="s">
        <v>596</v>
      </c>
      <c r="C222" s="256">
        <v>1350.0</v>
      </c>
      <c r="D222" s="255">
        <v>0.0</v>
      </c>
      <c r="E222" s="258" t="str">
        <f>IFERROR(D222*INDEX('Prix Vente'!C:C,MATCH(A222&amp;B222,'Prix Vente'!A:A&amp;'Prix Vente'!B:B,0)),"")</f>
        <v>#ERROR!</v>
      </c>
      <c r="F222" s="257"/>
      <c r="G222" s="257"/>
      <c r="H222" s="257"/>
    </row>
    <row r="223">
      <c r="A223" s="51" t="s">
        <v>438</v>
      </c>
      <c r="B223" s="51" t="s">
        <v>597</v>
      </c>
      <c r="C223" s="75">
        <v>40.0</v>
      </c>
      <c r="D223" s="255">
        <v>0.0</v>
      </c>
      <c r="E223" s="260" t="str">
        <f>IFERROR(D223*INDEX('Prix Vente'!C:C,MATCH(A223&amp;B223,'Prix Vente'!A:A&amp;'Prix Vente'!B:B,0)),"")</f>
        <v>#ERROR!</v>
      </c>
      <c r="F223" s="259"/>
      <c r="G223" s="259"/>
      <c r="H223" s="259"/>
    </row>
    <row r="224">
      <c r="A224" s="43" t="s">
        <v>438</v>
      </c>
      <c r="B224" s="43" t="s">
        <v>598</v>
      </c>
      <c r="C224" s="256">
        <v>65.0</v>
      </c>
      <c r="D224" s="255">
        <v>0.0</v>
      </c>
      <c r="E224" s="258" t="str">
        <f>IFERROR(D224*INDEX('Prix Vente'!C:C,MATCH(A224&amp;B224,'Prix Vente'!A:A&amp;'Prix Vente'!B:B,0)),"")</f>
        <v>#ERROR!</v>
      </c>
      <c r="F224" s="257"/>
      <c r="G224" s="257"/>
      <c r="H224" s="257"/>
    </row>
    <row r="225">
      <c r="A225" s="51" t="s">
        <v>438</v>
      </c>
      <c r="B225" s="51" t="s">
        <v>599</v>
      </c>
      <c r="C225" s="75">
        <v>130.0</v>
      </c>
      <c r="D225" s="255">
        <v>0.0</v>
      </c>
      <c r="E225" s="260" t="str">
        <f>IFERROR(D225*INDEX('Prix Vente'!C:C,MATCH(A225&amp;B225,'Prix Vente'!A:A&amp;'Prix Vente'!B:B,0)),"")</f>
        <v>#ERROR!</v>
      </c>
      <c r="F225" s="259"/>
      <c r="G225" s="259"/>
      <c r="H225" s="259"/>
    </row>
    <row r="226">
      <c r="A226" s="43" t="s">
        <v>447</v>
      </c>
      <c r="B226" s="43" t="s">
        <v>456</v>
      </c>
      <c r="C226" s="256">
        <v>250.0</v>
      </c>
      <c r="D226" s="255">
        <v>0.0</v>
      </c>
      <c r="E226" s="258" t="str">
        <f>IFERROR(D226*INDEX('Prix Vente'!C:C,MATCH(A226&amp;B226,'Prix Vente'!A:A&amp;'Prix Vente'!B:B,0)),"")</f>
        <v>#ERROR!</v>
      </c>
      <c r="F226" s="257"/>
      <c r="G226" s="257"/>
      <c r="H226" s="257"/>
    </row>
    <row r="227">
      <c r="A227" s="51" t="s">
        <v>447</v>
      </c>
      <c r="B227" s="51" t="s">
        <v>448</v>
      </c>
      <c r="C227" s="75">
        <v>320.0</v>
      </c>
      <c r="D227" s="255">
        <v>0.0</v>
      </c>
      <c r="E227" s="260" t="str">
        <f>IFERROR(D227*INDEX('Prix Vente'!C:C,MATCH(A227&amp;B227,'Prix Vente'!A:A&amp;'Prix Vente'!B:B,0)),"")</f>
        <v>#ERROR!</v>
      </c>
      <c r="F227" s="259"/>
      <c r="G227" s="259"/>
      <c r="H227" s="259"/>
    </row>
    <row r="228">
      <c r="A228" s="43" t="s">
        <v>447</v>
      </c>
      <c r="B228" s="43" t="s">
        <v>439</v>
      </c>
      <c r="C228" s="256">
        <v>500.0</v>
      </c>
      <c r="D228" s="255">
        <v>0.0</v>
      </c>
      <c r="E228" s="258" t="str">
        <f>IFERROR(D228*INDEX('Prix Vente'!C:C,MATCH(A228&amp;B228,'Prix Vente'!A:A&amp;'Prix Vente'!B:B,0)),"")</f>
        <v>#ERROR!</v>
      </c>
      <c r="F228" s="257"/>
      <c r="G228" s="257"/>
      <c r="H228" s="257"/>
    </row>
    <row r="229">
      <c r="A229" s="51" t="s">
        <v>447</v>
      </c>
      <c r="B229" s="51" t="s">
        <v>452</v>
      </c>
      <c r="C229" s="75">
        <v>730.0</v>
      </c>
      <c r="D229" s="255">
        <v>0.0</v>
      </c>
      <c r="E229" s="260" t="str">
        <f>IFERROR(D229*INDEX('Prix Vente'!C:C,MATCH(A229&amp;B229,'Prix Vente'!A:A&amp;'Prix Vente'!B:B,0)),"")</f>
        <v>#ERROR!</v>
      </c>
      <c r="F229" s="259"/>
      <c r="G229" s="259"/>
      <c r="H229" s="259"/>
    </row>
    <row r="230">
      <c r="A230" s="43" t="s">
        <v>447</v>
      </c>
      <c r="B230" s="43" t="s">
        <v>489</v>
      </c>
      <c r="C230" s="256">
        <v>900.0</v>
      </c>
      <c r="D230" s="255">
        <v>0.0</v>
      </c>
      <c r="E230" s="258" t="str">
        <f>IFERROR(D230*INDEX('Prix Vente'!C:C,MATCH(A230&amp;B230,'Prix Vente'!A:A&amp;'Prix Vente'!B:B,0)),"")</f>
        <v>#ERROR!</v>
      </c>
      <c r="F230" s="257"/>
      <c r="G230" s="257"/>
      <c r="H230" s="257"/>
    </row>
    <row r="231">
      <c r="A231" s="51" t="s">
        <v>447</v>
      </c>
      <c r="B231" s="51" t="s">
        <v>596</v>
      </c>
      <c r="C231" s="75">
        <v>1350.0</v>
      </c>
      <c r="D231" s="255">
        <v>0.0</v>
      </c>
      <c r="E231" s="260" t="str">
        <f>IFERROR(D231*INDEX('Prix Vente'!C:C,MATCH(A231&amp;B231,'Prix Vente'!A:A&amp;'Prix Vente'!B:B,0)),"")</f>
        <v>#ERROR!</v>
      </c>
      <c r="F231" s="259"/>
      <c r="G231" s="259"/>
      <c r="H231" s="259"/>
    </row>
    <row r="232">
      <c r="A232" s="43" t="s">
        <v>447</v>
      </c>
      <c r="B232" s="43" t="s">
        <v>597</v>
      </c>
      <c r="C232" s="256">
        <v>40.0</v>
      </c>
      <c r="D232" s="255">
        <v>0.0</v>
      </c>
      <c r="E232" s="258" t="str">
        <f>IFERROR(D232*INDEX('Prix Vente'!C:C,MATCH(A232&amp;B232,'Prix Vente'!A:A&amp;'Prix Vente'!B:B,0)),"")</f>
        <v>#ERROR!</v>
      </c>
      <c r="F232" s="257"/>
      <c r="G232" s="257"/>
      <c r="H232" s="257"/>
    </row>
    <row r="233">
      <c r="A233" s="51" t="s">
        <v>447</v>
      </c>
      <c r="B233" s="51" t="s">
        <v>598</v>
      </c>
      <c r="C233" s="75">
        <v>65.0</v>
      </c>
      <c r="D233" s="255">
        <v>0.0</v>
      </c>
      <c r="E233" s="260" t="str">
        <f>IFERROR(D233*INDEX('Prix Vente'!C:C,MATCH(A233&amp;B233,'Prix Vente'!A:A&amp;'Prix Vente'!B:B,0)),"")</f>
        <v>#ERROR!</v>
      </c>
      <c r="F233" s="259"/>
      <c r="G233" s="259"/>
      <c r="H233" s="259"/>
    </row>
    <row r="234">
      <c r="A234" s="43" t="s">
        <v>447</v>
      </c>
      <c r="B234" s="43" t="s">
        <v>599</v>
      </c>
      <c r="C234" s="256">
        <v>130.0</v>
      </c>
      <c r="D234" s="255">
        <v>0.0</v>
      </c>
      <c r="E234" s="258" t="str">
        <f>IFERROR(D234*INDEX('Prix Vente'!C:C,MATCH(A234&amp;B234,'Prix Vente'!A:A&amp;'Prix Vente'!B:B,0)),"")</f>
        <v>#ERROR!</v>
      </c>
      <c r="F234" s="257"/>
      <c r="G234" s="257"/>
      <c r="H234" s="257"/>
    </row>
    <row r="235">
      <c r="A235" s="51" t="s">
        <v>451</v>
      </c>
      <c r="B235" s="51" t="s">
        <v>456</v>
      </c>
      <c r="C235" s="75">
        <v>250.0</v>
      </c>
      <c r="D235" s="255">
        <v>0.0</v>
      </c>
      <c r="E235" s="260" t="str">
        <f>IFERROR(D235*INDEX('Prix Vente'!C:C,MATCH(A235&amp;B235,'Prix Vente'!A:A&amp;'Prix Vente'!B:B,0)),"")</f>
        <v>#ERROR!</v>
      </c>
      <c r="F235" s="259"/>
      <c r="G235" s="259"/>
      <c r="H235" s="259"/>
    </row>
    <row r="236">
      <c r="A236" s="43" t="s">
        <v>451</v>
      </c>
      <c r="B236" s="43" t="s">
        <v>448</v>
      </c>
      <c r="C236" s="256">
        <v>320.0</v>
      </c>
      <c r="D236" s="255">
        <v>0.0</v>
      </c>
      <c r="E236" s="258" t="str">
        <f>IFERROR(D236*INDEX('Prix Vente'!C:C,MATCH(A236&amp;B236,'Prix Vente'!A:A&amp;'Prix Vente'!B:B,0)),"")</f>
        <v>#ERROR!</v>
      </c>
      <c r="F236" s="257"/>
      <c r="G236" s="257"/>
      <c r="H236" s="257"/>
    </row>
    <row r="237">
      <c r="A237" s="51" t="s">
        <v>451</v>
      </c>
      <c r="B237" s="51" t="s">
        <v>439</v>
      </c>
      <c r="C237" s="75">
        <v>500.0</v>
      </c>
      <c r="D237" s="255">
        <v>0.0</v>
      </c>
      <c r="E237" s="260" t="str">
        <f>IFERROR(D237*INDEX('Prix Vente'!C:C,MATCH(A237&amp;B237,'Prix Vente'!A:A&amp;'Prix Vente'!B:B,0)),"")</f>
        <v>#ERROR!</v>
      </c>
      <c r="F237" s="259"/>
      <c r="G237" s="259"/>
      <c r="H237" s="259"/>
    </row>
    <row r="238">
      <c r="A238" s="43" t="s">
        <v>451</v>
      </c>
      <c r="B238" s="43" t="s">
        <v>452</v>
      </c>
      <c r="C238" s="256">
        <v>730.0</v>
      </c>
      <c r="D238" s="255">
        <v>0.0</v>
      </c>
      <c r="E238" s="258" t="str">
        <f>IFERROR(D238*INDEX('Prix Vente'!C:C,MATCH(A238&amp;B238,'Prix Vente'!A:A&amp;'Prix Vente'!B:B,0)),"")</f>
        <v>#ERROR!</v>
      </c>
      <c r="F238" s="257"/>
      <c r="G238" s="257"/>
      <c r="H238" s="257"/>
    </row>
    <row r="239">
      <c r="A239" s="51" t="s">
        <v>451</v>
      </c>
      <c r="B239" s="51" t="s">
        <v>489</v>
      </c>
      <c r="C239" s="75">
        <v>900.0</v>
      </c>
      <c r="D239" s="255">
        <v>0.0</v>
      </c>
      <c r="E239" s="260" t="str">
        <f>IFERROR(D239*INDEX('Prix Vente'!C:C,MATCH(A239&amp;B239,'Prix Vente'!A:A&amp;'Prix Vente'!B:B,0)),"")</f>
        <v>#ERROR!</v>
      </c>
      <c r="F239" s="259"/>
      <c r="G239" s="259"/>
      <c r="H239" s="259"/>
    </row>
    <row r="240">
      <c r="A240" s="43" t="s">
        <v>451</v>
      </c>
      <c r="B240" s="43" t="s">
        <v>596</v>
      </c>
      <c r="C240" s="256">
        <v>1350.0</v>
      </c>
      <c r="D240" s="255">
        <v>0.0</v>
      </c>
      <c r="E240" s="258" t="str">
        <f>IFERROR(D240*INDEX('Prix Vente'!C:C,MATCH(A240&amp;B240,'Prix Vente'!A:A&amp;'Prix Vente'!B:B,0)),"")</f>
        <v>#ERROR!</v>
      </c>
      <c r="F240" s="257"/>
      <c r="G240" s="257"/>
      <c r="H240" s="257"/>
    </row>
    <row r="241">
      <c r="A241" s="51" t="s">
        <v>451</v>
      </c>
      <c r="B241" s="51" t="s">
        <v>597</v>
      </c>
      <c r="C241" s="75">
        <v>40.0</v>
      </c>
      <c r="D241" s="255">
        <v>0.0</v>
      </c>
      <c r="E241" s="260" t="str">
        <f>IFERROR(D241*INDEX('Prix Vente'!C:C,MATCH(A241&amp;B241,'Prix Vente'!A:A&amp;'Prix Vente'!B:B,0)),"")</f>
        <v>#ERROR!</v>
      </c>
      <c r="F241" s="259"/>
      <c r="G241" s="259"/>
      <c r="H241" s="259"/>
    </row>
    <row r="242">
      <c r="A242" s="43" t="s">
        <v>451</v>
      </c>
      <c r="B242" s="43" t="s">
        <v>598</v>
      </c>
      <c r="C242" s="256">
        <v>65.0</v>
      </c>
      <c r="D242" s="255">
        <v>0.0</v>
      </c>
      <c r="E242" s="258" t="str">
        <f>IFERROR(D242*INDEX('Prix Vente'!C:C,MATCH(A242&amp;B242,'Prix Vente'!A:A&amp;'Prix Vente'!B:B,0)),"")</f>
        <v>#ERROR!</v>
      </c>
      <c r="F242" s="257"/>
      <c r="G242" s="257"/>
      <c r="H242" s="257"/>
    </row>
    <row r="243">
      <c r="A243" s="51" t="s">
        <v>451</v>
      </c>
      <c r="B243" s="51" t="s">
        <v>599</v>
      </c>
      <c r="C243" s="75">
        <v>130.0</v>
      </c>
      <c r="D243" s="255">
        <v>0.0</v>
      </c>
      <c r="E243" s="260" t="str">
        <f>IFERROR(D243*INDEX('Prix Vente'!C:C,MATCH(A243&amp;B243,'Prix Vente'!A:A&amp;'Prix Vente'!B:B,0)),"")</f>
        <v>#ERROR!</v>
      </c>
      <c r="F243" s="259"/>
      <c r="G243" s="259"/>
      <c r="H243" s="259"/>
    </row>
    <row r="244">
      <c r="A244" s="43" t="s">
        <v>455</v>
      </c>
      <c r="B244" s="43" t="s">
        <v>456</v>
      </c>
      <c r="C244" s="256">
        <v>250.0</v>
      </c>
      <c r="D244" s="255">
        <v>0.0</v>
      </c>
      <c r="E244" s="258" t="str">
        <f>IFERROR(D244*INDEX('Prix Vente'!C:C,MATCH(A244&amp;B244,'Prix Vente'!A:A&amp;'Prix Vente'!B:B,0)),"")</f>
        <v>#ERROR!</v>
      </c>
      <c r="F244" s="257"/>
      <c r="G244" s="257"/>
      <c r="H244" s="257"/>
    </row>
    <row r="245">
      <c r="A245" s="51" t="s">
        <v>455</v>
      </c>
      <c r="B245" s="51" t="s">
        <v>448</v>
      </c>
      <c r="C245" s="75">
        <v>320.0</v>
      </c>
      <c r="D245" s="255">
        <v>0.0</v>
      </c>
      <c r="E245" s="260" t="str">
        <f>IFERROR(D245*INDEX('Prix Vente'!C:C,MATCH(A245&amp;B245,'Prix Vente'!A:A&amp;'Prix Vente'!B:B,0)),"")</f>
        <v>#ERROR!</v>
      </c>
      <c r="F245" s="259"/>
      <c r="G245" s="259"/>
      <c r="H245" s="259"/>
    </row>
    <row r="246">
      <c r="A246" s="43" t="s">
        <v>455</v>
      </c>
      <c r="B246" s="43" t="s">
        <v>439</v>
      </c>
      <c r="C246" s="256">
        <v>500.0</v>
      </c>
      <c r="D246" s="255">
        <v>0.0</v>
      </c>
      <c r="E246" s="258" t="str">
        <f>IFERROR(D246*INDEX('Prix Vente'!C:C,MATCH(A246&amp;B246,'Prix Vente'!A:A&amp;'Prix Vente'!B:B,0)),"")</f>
        <v>#ERROR!</v>
      </c>
      <c r="F246" s="257"/>
      <c r="G246" s="257"/>
      <c r="H246" s="257"/>
    </row>
    <row r="247">
      <c r="A247" s="51" t="s">
        <v>455</v>
      </c>
      <c r="B247" s="51" t="s">
        <v>452</v>
      </c>
      <c r="C247" s="75">
        <v>730.0</v>
      </c>
      <c r="D247" s="255">
        <v>0.0</v>
      </c>
      <c r="E247" s="260" t="str">
        <f>IFERROR(D247*INDEX('Prix Vente'!C:C,MATCH(A247&amp;B247,'Prix Vente'!A:A&amp;'Prix Vente'!B:B,0)),"")</f>
        <v>#ERROR!</v>
      </c>
      <c r="F247" s="259"/>
      <c r="G247" s="259"/>
      <c r="H247" s="259"/>
    </row>
    <row r="248">
      <c r="A248" s="43" t="s">
        <v>455</v>
      </c>
      <c r="B248" s="43" t="s">
        <v>489</v>
      </c>
      <c r="C248" s="256">
        <v>900.0</v>
      </c>
      <c r="D248" s="255">
        <v>0.0</v>
      </c>
      <c r="E248" s="258" t="str">
        <f>IFERROR(D248*INDEX('Prix Vente'!C:C,MATCH(A248&amp;B248,'Prix Vente'!A:A&amp;'Prix Vente'!B:B,0)),"")</f>
        <v>#ERROR!</v>
      </c>
      <c r="F248" s="257"/>
      <c r="G248" s="257"/>
      <c r="H248" s="257"/>
    </row>
    <row r="249">
      <c r="A249" s="51" t="s">
        <v>455</v>
      </c>
      <c r="B249" s="51" t="s">
        <v>596</v>
      </c>
      <c r="C249" s="75">
        <v>1350.0</v>
      </c>
      <c r="D249" s="255">
        <v>0.0</v>
      </c>
      <c r="E249" s="260" t="str">
        <f>IFERROR(D249*INDEX('Prix Vente'!C:C,MATCH(A249&amp;B249,'Prix Vente'!A:A&amp;'Prix Vente'!B:B,0)),"")</f>
        <v>#ERROR!</v>
      </c>
      <c r="F249" s="259"/>
      <c r="G249" s="259"/>
      <c r="H249" s="259"/>
    </row>
    <row r="250">
      <c r="A250" s="43" t="s">
        <v>455</v>
      </c>
      <c r="B250" s="43" t="s">
        <v>597</v>
      </c>
      <c r="C250" s="256">
        <v>40.0</v>
      </c>
      <c r="D250" s="255">
        <v>0.0</v>
      </c>
      <c r="E250" s="258" t="str">
        <f>IFERROR(D250*INDEX('Prix Vente'!C:C,MATCH(A250&amp;B250,'Prix Vente'!A:A&amp;'Prix Vente'!B:B,0)),"")</f>
        <v>#ERROR!</v>
      </c>
      <c r="F250" s="257"/>
      <c r="G250" s="257"/>
      <c r="H250" s="257"/>
    </row>
    <row r="251">
      <c r="A251" s="51" t="s">
        <v>455</v>
      </c>
      <c r="B251" s="51" t="s">
        <v>598</v>
      </c>
      <c r="C251" s="75">
        <v>65.0</v>
      </c>
      <c r="D251" s="255">
        <v>0.0</v>
      </c>
      <c r="E251" s="260" t="str">
        <f>IFERROR(D251*INDEX('Prix Vente'!C:C,MATCH(A251&amp;B251,'Prix Vente'!A:A&amp;'Prix Vente'!B:B,0)),"")</f>
        <v>#ERROR!</v>
      </c>
      <c r="F251" s="259"/>
      <c r="G251" s="259"/>
      <c r="H251" s="259"/>
    </row>
    <row r="252">
      <c r="A252" s="43" t="s">
        <v>455</v>
      </c>
      <c r="B252" s="43" t="s">
        <v>599</v>
      </c>
      <c r="C252" s="256">
        <v>130.0</v>
      </c>
      <c r="D252" s="255">
        <v>0.0</v>
      </c>
      <c r="E252" s="258" t="str">
        <f>IFERROR(D252*INDEX('Prix Vente'!C:C,MATCH(A252&amp;B252,'Prix Vente'!A:A&amp;'Prix Vente'!B:B,0)),"")</f>
        <v>#ERROR!</v>
      </c>
      <c r="F252" s="257"/>
      <c r="G252" s="257"/>
      <c r="H252" s="257"/>
    </row>
    <row r="253">
      <c r="A253" s="51" t="s">
        <v>496</v>
      </c>
      <c r="B253" s="51" t="s">
        <v>456</v>
      </c>
      <c r="C253" s="75">
        <v>250.0</v>
      </c>
      <c r="D253" s="255">
        <v>0.0</v>
      </c>
      <c r="E253" s="260" t="str">
        <f>IFERROR(D253*INDEX('Prix Vente'!C:C,MATCH(A253&amp;B253,'Prix Vente'!A:A&amp;'Prix Vente'!B:B,0)),"")</f>
        <v>#ERROR!</v>
      </c>
      <c r="F253" s="259"/>
      <c r="G253" s="259"/>
      <c r="H253" s="259"/>
    </row>
    <row r="254">
      <c r="A254" s="43" t="s">
        <v>496</v>
      </c>
      <c r="B254" s="43" t="s">
        <v>448</v>
      </c>
      <c r="C254" s="256">
        <v>320.0</v>
      </c>
      <c r="D254" s="255">
        <v>0.0</v>
      </c>
      <c r="E254" s="258" t="str">
        <f>IFERROR(D254*INDEX('Prix Vente'!C:C,MATCH(A254&amp;B254,'Prix Vente'!A:A&amp;'Prix Vente'!B:B,0)),"")</f>
        <v>#ERROR!</v>
      </c>
      <c r="F254" s="257"/>
      <c r="G254" s="257"/>
      <c r="H254" s="257"/>
    </row>
    <row r="255">
      <c r="A255" s="51" t="s">
        <v>496</v>
      </c>
      <c r="B255" s="51" t="s">
        <v>439</v>
      </c>
      <c r="C255" s="75">
        <v>500.0</v>
      </c>
      <c r="D255" s="255">
        <v>0.0</v>
      </c>
      <c r="E255" s="260" t="str">
        <f>IFERROR(D255*INDEX('Prix Vente'!C:C,MATCH(A255&amp;B255,'Prix Vente'!A:A&amp;'Prix Vente'!B:B,0)),"")</f>
        <v>#ERROR!</v>
      </c>
      <c r="F255" s="259"/>
      <c r="G255" s="259"/>
      <c r="H255" s="259"/>
    </row>
    <row r="256">
      <c r="A256" s="43" t="s">
        <v>496</v>
      </c>
      <c r="B256" s="43" t="s">
        <v>452</v>
      </c>
      <c r="C256" s="256">
        <v>730.0</v>
      </c>
      <c r="D256" s="255">
        <v>0.0</v>
      </c>
      <c r="E256" s="258" t="str">
        <f>IFERROR(D256*INDEX('Prix Vente'!C:C,MATCH(A256&amp;B256,'Prix Vente'!A:A&amp;'Prix Vente'!B:B,0)),"")</f>
        <v>#ERROR!</v>
      </c>
      <c r="F256" s="257"/>
      <c r="G256" s="257"/>
      <c r="H256" s="257"/>
    </row>
    <row r="257">
      <c r="A257" s="51" t="s">
        <v>496</v>
      </c>
      <c r="B257" s="51" t="s">
        <v>489</v>
      </c>
      <c r="C257" s="75">
        <v>900.0</v>
      </c>
      <c r="D257" s="255">
        <v>0.0</v>
      </c>
      <c r="E257" s="260" t="str">
        <f>IFERROR(D257*INDEX('Prix Vente'!C:C,MATCH(A257&amp;B257,'Prix Vente'!A:A&amp;'Prix Vente'!B:B,0)),"")</f>
        <v>#ERROR!</v>
      </c>
      <c r="F257" s="259"/>
      <c r="G257" s="259"/>
      <c r="H257" s="259"/>
    </row>
    <row r="258">
      <c r="A258" s="43" t="s">
        <v>496</v>
      </c>
      <c r="B258" s="43" t="s">
        <v>596</v>
      </c>
      <c r="C258" s="256">
        <v>1350.0</v>
      </c>
      <c r="D258" s="255">
        <v>0.0</v>
      </c>
      <c r="E258" s="258" t="str">
        <f>IFERROR(D258*INDEX('Prix Vente'!C:C,MATCH(A258&amp;B258,'Prix Vente'!A:A&amp;'Prix Vente'!B:B,0)),"")</f>
        <v>#ERROR!</v>
      </c>
      <c r="F258" s="257"/>
      <c r="G258" s="257"/>
      <c r="H258" s="257"/>
    </row>
    <row r="259">
      <c r="A259" s="51" t="s">
        <v>496</v>
      </c>
      <c r="B259" s="51" t="s">
        <v>597</v>
      </c>
      <c r="C259" s="75">
        <v>40.0</v>
      </c>
      <c r="D259" s="255">
        <v>0.0</v>
      </c>
      <c r="E259" s="260" t="str">
        <f>IFERROR(D259*INDEX('Prix Vente'!C:C,MATCH(A259&amp;B259,'Prix Vente'!A:A&amp;'Prix Vente'!B:B,0)),"")</f>
        <v>#ERROR!</v>
      </c>
      <c r="F259" s="259"/>
      <c r="G259" s="259"/>
      <c r="H259" s="259"/>
    </row>
    <row r="260">
      <c r="A260" s="43" t="s">
        <v>496</v>
      </c>
      <c r="B260" s="43" t="s">
        <v>598</v>
      </c>
      <c r="C260" s="256">
        <v>65.0</v>
      </c>
      <c r="D260" s="255">
        <v>0.0</v>
      </c>
      <c r="E260" s="258" t="str">
        <f>IFERROR(D260*INDEX('Prix Vente'!C:C,MATCH(A260&amp;B260,'Prix Vente'!A:A&amp;'Prix Vente'!B:B,0)),"")</f>
        <v>#ERROR!</v>
      </c>
      <c r="F260" s="257"/>
      <c r="G260" s="257"/>
      <c r="H260" s="257"/>
    </row>
    <row r="261">
      <c r="A261" s="51" t="s">
        <v>496</v>
      </c>
      <c r="B261" s="51" t="s">
        <v>599</v>
      </c>
      <c r="C261" s="75">
        <v>130.0</v>
      </c>
      <c r="D261" s="255">
        <v>0.0</v>
      </c>
      <c r="E261" s="260" t="str">
        <f>IFERROR(D261*INDEX('Prix Vente'!C:C,MATCH(A261&amp;B261,'Prix Vente'!A:A&amp;'Prix Vente'!B:B,0)),"")</f>
        <v>#ERROR!</v>
      </c>
      <c r="F261" s="259"/>
      <c r="G261" s="259"/>
      <c r="H261" s="259"/>
    </row>
  </sheetData>
  <mergeCells count="3">
    <mergeCell ref="A1:J1"/>
    <mergeCell ref="A4:J4"/>
    <mergeCell ref="A206:J206"/>
  </mergeCells>
  <conditionalFormatting sqref="G6:G205">
    <cfRule type="cellIs" dxfId="2" priority="1" stopIfTrue="1" operator="equal">
      <formula>"Rupture"</formula>
    </cfRule>
  </conditionalFormatting>
  <conditionalFormatting sqref="G6:G205">
    <cfRule type="cellIs" dxfId="2" priority="2" stopIfTrue="1" operator="equal">
      <formula>"NC"</formula>
    </cfRule>
  </conditionalFormatting>
  <conditionalFormatting sqref="G6:G205">
    <cfRule type="cellIs" dxfId="2" priority="3" stopIfTrue="1" operator="equal">
      <formula>"Expire"</formula>
    </cfRule>
  </conditionalFormatting>
  <conditionalFormatting sqref="G6:G205">
    <cfRule type="cellIs" dxfId="2" priority="4" stopIfTrue="1" operator="equal">
      <formula>"URGENT"</formula>
    </cfRule>
  </conditionalFormatting>
  <conditionalFormatting sqref="G6:G205">
    <cfRule type="cellIs" dxfId="2" priority="5" stopIfTrue="1" operator="equal">
      <formula>"Bloque"</formula>
    </cfRule>
  </conditionalFormatting>
  <conditionalFormatting sqref="G6:G205">
    <cfRule type="cellIs" dxfId="3" priority="6" stopIfTrue="1" operator="equal">
      <formula>"Proche"</formula>
    </cfRule>
  </conditionalFormatting>
  <conditionalFormatting sqref="G6:G205">
    <cfRule type="cellIs" dxfId="3" priority="7" stopIfTrue="1" operator="equal">
      <formula>"A PRODUIRE"</formula>
    </cfRule>
  </conditionalFormatting>
  <conditionalFormatting sqref="G6:G205">
    <cfRule type="cellIs" dxfId="3" priority="8" stopIfTrue="1" operator="equal">
      <formula>"Sous-temperature"</formula>
    </cfRule>
  </conditionalFormatting>
  <conditionalFormatting sqref="G6:G205">
    <cfRule type="cellIs" dxfId="4" priority="9" stopIfTrue="1" operator="equal">
      <formula>"OK"</formula>
    </cfRule>
  </conditionalFormatting>
  <conditionalFormatting sqref="G6:G205">
    <cfRule type="cellIs" dxfId="4" priority="10" stopIfTrue="1" operator="equal">
      <formula>"Valide"</formula>
    </cfRule>
  </conditionalFormatting>
  <conditionalFormatting sqref="G6:G205">
    <cfRule type="cellIs" dxfId="4" priority="11" stopIfTrue="1" operator="equal">
      <formula>"Termine"</formula>
    </cfRule>
  </conditionalFormatting>
  <conditionalFormatting sqref="G6:G205">
    <cfRule type="cellIs" dxfId="4" priority="12" stopIfTrue="1" operator="equal">
      <formula>"Actif"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13"/>
    <col customWidth="1" min="2" max="2" width="12.0"/>
    <col customWidth="1" min="3" max="3" width="25.13"/>
    <col customWidth="1" min="4" max="4" width="16.38"/>
    <col customWidth="1" min="5" max="5" width="13.88"/>
    <col customWidth="1" min="6" max="6" width="11.38"/>
    <col customWidth="1" min="7" max="7" width="15.13"/>
    <col customWidth="1" min="8" max="8" width="11.38"/>
    <col customWidth="1" min="9" max="9" width="12.63"/>
    <col customWidth="1" min="10" max="10" width="11.38"/>
    <col customWidth="1" min="11" max="11" width="15.13"/>
    <col customWidth="1" min="12" max="12" width="12.63"/>
    <col customWidth="1" min="13" max="13" width="13.88"/>
    <col customWidth="1" min="14" max="14" width="25.13"/>
    <col customWidth="1" min="15" max="15" width="27.63"/>
    <col customWidth="1" min="16" max="16" width="11.38"/>
    <col customWidth="1" min="17" max="17" width="31.38"/>
    <col customWidth="1" min="18" max="18" width="15.13"/>
  </cols>
  <sheetData>
    <row r="1" ht="25.5" customHeight="1">
      <c r="A1" s="30" t="s">
        <v>695</v>
      </c>
    </row>
    <row r="2" ht="22.5" customHeight="1">
      <c r="A2" s="158" t="s">
        <v>696</v>
      </c>
    </row>
    <row r="3">
      <c r="A3" s="263" t="s">
        <v>697</v>
      </c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</row>
    <row r="4">
      <c r="A4" s="265"/>
      <c r="B4" s="266"/>
      <c r="C4" s="227"/>
      <c r="D4" s="227"/>
      <c r="E4" s="227"/>
      <c r="F4" s="227"/>
      <c r="G4" s="227"/>
      <c r="H4" s="227"/>
      <c r="I4" s="227"/>
      <c r="J4" s="227"/>
      <c r="K4" s="227"/>
      <c r="L4" s="266" t="str">
        <f>IF(B4="","",B4+IFERROR(INDEX(Config!B:B,MATCH("DDM appertisation standard (mois)",Config!A:A,0)),36)*30)</f>
        <v>#ERROR!</v>
      </c>
      <c r="M4" s="227"/>
      <c r="N4" s="227"/>
      <c r="O4" s="227"/>
      <c r="P4" s="227"/>
      <c r="Q4" s="267"/>
      <c r="R4" s="268" t="str">
        <f>IFERROR(IF(A4="","",COUNTIF(Ventes!B5:B504,A4)),"")</f>
        <v>#ERROR!</v>
      </c>
    </row>
    <row r="5">
      <c r="A5" s="269"/>
      <c r="B5" s="270"/>
      <c r="C5" s="235"/>
      <c r="D5" s="235"/>
      <c r="E5" s="235"/>
      <c r="F5" s="235"/>
      <c r="G5" s="235"/>
      <c r="H5" s="235"/>
      <c r="I5" s="235"/>
      <c r="J5" s="235"/>
      <c r="K5" s="235"/>
      <c r="L5" s="270" t="str">
        <f>IF(B5="","",B5+IFERROR(INDEX(Config!B:B,MATCH("DDM appertisation standard (mois)",Config!A:A,0)),36)*30)</f>
        <v>#ERROR!</v>
      </c>
      <c r="M5" s="235"/>
      <c r="N5" s="235"/>
      <c r="O5" s="235"/>
      <c r="P5" s="235"/>
      <c r="Q5" s="267"/>
      <c r="R5" s="268" t="str">
        <f>IFERROR(IF(A5="","",COUNTIF(Ventes!B5:B504,A5)),"")</f>
        <v>#ERROR!</v>
      </c>
    </row>
    <row r="6">
      <c r="A6" s="265"/>
      <c r="B6" s="266"/>
      <c r="C6" s="227"/>
      <c r="D6" s="227"/>
      <c r="E6" s="227"/>
      <c r="F6" s="227"/>
      <c r="G6" s="227"/>
      <c r="H6" s="227"/>
      <c r="I6" s="227"/>
      <c r="J6" s="227"/>
      <c r="K6" s="227"/>
      <c r="L6" s="266" t="str">
        <f>IF(B6="","",B6+IFERROR(INDEX(Config!B:B,MATCH("DDM appertisation standard (mois)",Config!A:A,0)),36)*30)</f>
        <v>#ERROR!</v>
      </c>
      <c r="M6" s="227"/>
      <c r="N6" s="227"/>
      <c r="O6" s="227"/>
      <c r="P6" s="227"/>
      <c r="Q6" s="267"/>
      <c r="R6" s="268" t="str">
        <f>IFERROR(IF(A6="","",COUNTIF(Ventes!B5:B504,A6)),"")</f>
        <v>#ERROR!</v>
      </c>
    </row>
    <row r="7">
      <c r="A7" s="269"/>
      <c r="B7" s="270"/>
      <c r="C7" s="235"/>
      <c r="D7" s="235"/>
      <c r="E7" s="235"/>
      <c r="F7" s="235"/>
      <c r="G7" s="235"/>
      <c r="H7" s="235"/>
      <c r="I7" s="235"/>
      <c r="J7" s="235"/>
      <c r="K7" s="235"/>
      <c r="L7" s="270" t="str">
        <f>IF(B7="","",B7+IFERROR(INDEX(Config!B:B,MATCH("DDM appertisation standard (mois)",Config!A:A,0)),36)*30)</f>
        <v>#ERROR!</v>
      </c>
      <c r="M7" s="235"/>
      <c r="N7" s="235"/>
      <c r="O7" s="235"/>
      <c r="P7" s="235"/>
      <c r="Q7" s="267"/>
      <c r="R7" s="268" t="str">
        <f>IFERROR(IF(A7="","",COUNTIF(Ventes!B5:B504,A7)),"")</f>
        <v>#ERROR!</v>
      </c>
    </row>
    <row r="8">
      <c r="A8" s="265"/>
      <c r="B8" s="266"/>
      <c r="C8" s="227"/>
      <c r="D8" s="227"/>
      <c r="E8" s="227"/>
      <c r="F8" s="227"/>
      <c r="G8" s="227"/>
      <c r="H8" s="227"/>
      <c r="I8" s="227"/>
      <c r="J8" s="227"/>
      <c r="K8" s="227"/>
      <c r="L8" s="266" t="str">
        <f>IF(B8="","",B8+IFERROR(INDEX(Config!B:B,MATCH("DDM appertisation standard (mois)",Config!A:A,0)),36)*30)</f>
        <v>#ERROR!</v>
      </c>
      <c r="M8" s="227"/>
      <c r="N8" s="227"/>
      <c r="O8" s="227"/>
      <c r="P8" s="227"/>
      <c r="Q8" s="267"/>
      <c r="R8" s="268" t="str">
        <f>IFERROR(IF(A8="","",COUNTIF(Ventes!B5:B504,A8)),"")</f>
        <v>#ERROR!</v>
      </c>
    </row>
    <row r="9">
      <c r="A9" s="269"/>
      <c r="B9" s="270"/>
      <c r="C9" s="235"/>
      <c r="D9" s="235"/>
      <c r="E9" s="235"/>
      <c r="F9" s="235"/>
      <c r="G9" s="235"/>
      <c r="H9" s="235"/>
      <c r="I9" s="235"/>
      <c r="J9" s="235"/>
      <c r="K9" s="235"/>
      <c r="L9" s="270" t="str">
        <f>IF(B9="","",B9+IFERROR(INDEX(Config!B:B,MATCH("DDM appertisation standard (mois)",Config!A:A,0)),36)*30)</f>
        <v>#ERROR!</v>
      </c>
      <c r="M9" s="235"/>
      <c r="N9" s="235"/>
      <c r="O9" s="235"/>
      <c r="P9" s="235"/>
      <c r="Q9" s="267"/>
      <c r="R9" s="268" t="str">
        <f>IFERROR(IF(A9="","",COUNTIF(Ventes!B5:B504,A9)),"")</f>
        <v>#ERROR!</v>
      </c>
    </row>
    <row r="10">
      <c r="A10" s="265"/>
      <c r="B10" s="266"/>
      <c r="C10" s="227"/>
      <c r="D10" s="227"/>
      <c r="E10" s="227"/>
      <c r="F10" s="227"/>
      <c r="G10" s="227"/>
      <c r="H10" s="227"/>
      <c r="I10" s="227"/>
      <c r="J10" s="227"/>
      <c r="K10" s="227"/>
      <c r="L10" s="266" t="str">
        <f>IF(B10="","",B10+IFERROR(INDEX(Config!B:B,MATCH("DDM appertisation standard (mois)",Config!A:A,0)),36)*30)</f>
        <v>#ERROR!</v>
      </c>
      <c r="M10" s="227"/>
      <c r="N10" s="227"/>
      <c r="O10" s="227"/>
      <c r="P10" s="227"/>
      <c r="Q10" s="267"/>
      <c r="R10" s="268" t="str">
        <f>IFERROR(IF(A10="","",COUNTIF(Ventes!B5:B504,A10)),"")</f>
        <v>#ERROR!</v>
      </c>
    </row>
    <row r="11">
      <c r="A11" s="269"/>
      <c r="B11" s="270"/>
      <c r="C11" s="235"/>
      <c r="D11" s="235"/>
      <c r="E11" s="235"/>
      <c r="F11" s="235"/>
      <c r="G11" s="235"/>
      <c r="H11" s="235"/>
      <c r="I11" s="235"/>
      <c r="J11" s="235"/>
      <c r="K11" s="235"/>
      <c r="L11" s="270" t="str">
        <f>IF(B11="","",B11+IFERROR(INDEX(Config!B:B,MATCH("DDM appertisation standard (mois)",Config!A:A,0)),36)*30)</f>
        <v>#ERROR!</v>
      </c>
      <c r="M11" s="235"/>
      <c r="N11" s="235"/>
      <c r="O11" s="235"/>
      <c r="P11" s="235"/>
      <c r="Q11" s="267"/>
      <c r="R11" s="268" t="str">
        <f>IFERROR(IF(A11="","",COUNTIF(Ventes!B5:B504,A11)),"")</f>
        <v>#ERROR!</v>
      </c>
    </row>
    <row r="12">
      <c r="A12" s="265"/>
      <c r="B12" s="266"/>
      <c r="C12" s="227"/>
      <c r="D12" s="227"/>
      <c r="E12" s="227"/>
      <c r="F12" s="227"/>
      <c r="G12" s="227"/>
      <c r="H12" s="227"/>
      <c r="I12" s="227"/>
      <c r="J12" s="227"/>
      <c r="K12" s="227"/>
      <c r="L12" s="266" t="str">
        <f>IF(B12="","",B12+IFERROR(INDEX(Config!B:B,MATCH("DDM appertisation standard (mois)",Config!A:A,0)),36)*30)</f>
        <v>#ERROR!</v>
      </c>
      <c r="M12" s="227"/>
      <c r="N12" s="227"/>
      <c r="O12" s="227"/>
      <c r="P12" s="227"/>
      <c r="Q12" s="267"/>
      <c r="R12" s="268" t="str">
        <f>IFERROR(IF(A12="","",COUNTIF(Ventes!B5:B504,A12)),"")</f>
        <v>#ERROR!</v>
      </c>
    </row>
    <row r="13">
      <c r="A13" s="269"/>
      <c r="B13" s="270"/>
      <c r="C13" s="235"/>
      <c r="D13" s="235"/>
      <c r="E13" s="235"/>
      <c r="F13" s="235"/>
      <c r="G13" s="235"/>
      <c r="H13" s="235"/>
      <c r="I13" s="235"/>
      <c r="J13" s="235"/>
      <c r="K13" s="235"/>
      <c r="L13" s="270" t="str">
        <f>IF(B13="","",B13+IFERROR(INDEX(Config!B:B,MATCH("DDM appertisation standard (mois)",Config!A:A,0)),36)*30)</f>
        <v>#ERROR!</v>
      </c>
      <c r="M13" s="235"/>
      <c r="N13" s="235"/>
      <c r="O13" s="235"/>
      <c r="P13" s="235"/>
      <c r="Q13" s="267"/>
      <c r="R13" s="268" t="str">
        <f>IFERROR(IF(A13="","",COUNTIF(Ventes!B5:B504,A13)),"")</f>
        <v>#ERROR!</v>
      </c>
    </row>
    <row r="14">
      <c r="A14" s="265"/>
      <c r="B14" s="266"/>
      <c r="C14" s="227"/>
      <c r="D14" s="227"/>
      <c r="E14" s="227"/>
      <c r="F14" s="227"/>
      <c r="G14" s="227"/>
      <c r="H14" s="227"/>
      <c r="I14" s="227"/>
      <c r="J14" s="227"/>
      <c r="K14" s="227"/>
      <c r="L14" s="266" t="str">
        <f>IF(B14="","",B14+IFERROR(INDEX(Config!B:B,MATCH("DDM appertisation standard (mois)",Config!A:A,0)),36)*30)</f>
        <v>#ERROR!</v>
      </c>
      <c r="M14" s="227"/>
      <c r="N14" s="227"/>
      <c r="O14" s="227"/>
      <c r="P14" s="227"/>
      <c r="Q14" s="267"/>
      <c r="R14" s="268" t="str">
        <f>IFERROR(IF(A14="","",COUNTIF(Ventes!B5:B504,A14)),"")</f>
        <v>#ERROR!</v>
      </c>
    </row>
    <row r="15">
      <c r="A15" s="269"/>
      <c r="B15" s="270"/>
      <c r="C15" s="235"/>
      <c r="D15" s="235"/>
      <c r="E15" s="235"/>
      <c r="F15" s="235"/>
      <c r="G15" s="235"/>
      <c r="H15" s="235"/>
      <c r="I15" s="235"/>
      <c r="J15" s="235"/>
      <c r="K15" s="235"/>
      <c r="L15" s="270" t="str">
        <f>IF(B15="","",B15+IFERROR(INDEX(Config!B:B,MATCH("DDM appertisation standard (mois)",Config!A:A,0)),36)*30)</f>
        <v>#ERROR!</v>
      </c>
      <c r="M15" s="235"/>
      <c r="N15" s="235"/>
      <c r="O15" s="235"/>
      <c r="P15" s="235"/>
      <c r="Q15" s="267"/>
      <c r="R15" s="268" t="str">
        <f>IFERROR(IF(A15="","",COUNTIF(Ventes!B5:B504,A15)),"")</f>
        <v>#ERROR!</v>
      </c>
    </row>
    <row r="16">
      <c r="A16" s="265"/>
      <c r="B16" s="266"/>
      <c r="C16" s="227"/>
      <c r="D16" s="227"/>
      <c r="E16" s="227"/>
      <c r="F16" s="227"/>
      <c r="G16" s="227"/>
      <c r="H16" s="227"/>
      <c r="I16" s="227"/>
      <c r="J16" s="227"/>
      <c r="K16" s="227"/>
      <c r="L16" s="266" t="str">
        <f>IF(B16="","",B16+IFERROR(INDEX(Config!B:B,MATCH("DDM appertisation standard (mois)",Config!A:A,0)),36)*30)</f>
        <v>#ERROR!</v>
      </c>
      <c r="M16" s="227"/>
      <c r="N16" s="227"/>
      <c r="O16" s="227"/>
      <c r="P16" s="227"/>
      <c r="Q16" s="267"/>
      <c r="R16" s="268" t="str">
        <f>IFERROR(IF(A16="","",COUNTIF(Ventes!B5:B504,A16)),"")</f>
        <v>#ERROR!</v>
      </c>
    </row>
    <row r="17">
      <c r="A17" s="269"/>
      <c r="B17" s="270"/>
      <c r="C17" s="235"/>
      <c r="D17" s="235"/>
      <c r="E17" s="235"/>
      <c r="F17" s="235"/>
      <c r="G17" s="235"/>
      <c r="H17" s="235"/>
      <c r="I17" s="235"/>
      <c r="J17" s="235"/>
      <c r="K17" s="235"/>
      <c r="L17" s="270" t="str">
        <f>IF(B17="","",B17+IFERROR(INDEX(Config!B:B,MATCH("DDM appertisation standard (mois)",Config!A:A,0)),36)*30)</f>
        <v>#ERROR!</v>
      </c>
      <c r="M17" s="235"/>
      <c r="N17" s="235"/>
      <c r="O17" s="235"/>
      <c r="P17" s="235"/>
      <c r="Q17" s="267"/>
      <c r="R17" s="268" t="str">
        <f>IFERROR(IF(A17="","",COUNTIF(Ventes!B5:B504,A17)),"")</f>
        <v>#ERROR!</v>
      </c>
    </row>
    <row r="18">
      <c r="A18" s="265"/>
      <c r="B18" s="266"/>
      <c r="C18" s="227"/>
      <c r="D18" s="227"/>
      <c r="E18" s="227"/>
      <c r="F18" s="227"/>
      <c r="G18" s="227"/>
      <c r="H18" s="227"/>
      <c r="I18" s="227"/>
      <c r="J18" s="227"/>
      <c r="K18" s="227"/>
      <c r="L18" s="266" t="str">
        <f>IF(B18="","",B18+IFERROR(INDEX(Config!B:B,MATCH("DDM appertisation standard (mois)",Config!A:A,0)),36)*30)</f>
        <v>#ERROR!</v>
      </c>
      <c r="M18" s="227"/>
      <c r="N18" s="227"/>
      <c r="O18" s="227"/>
      <c r="P18" s="227"/>
      <c r="Q18" s="267"/>
      <c r="R18" s="268" t="str">
        <f>IFERROR(IF(A18="","",COUNTIF(Ventes!B5:B504,A18)),"")</f>
        <v>#ERROR!</v>
      </c>
    </row>
    <row r="19">
      <c r="A19" s="269"/>
      <c r="B19" s="270"/>
      <c r="C19" s="235"/>
      <c r="D19" s="235"/>
      <c r="E19" s="235"/>
      <c r="F19" s="235"/>
      <c r="G19" s="235"/>
      <c r="H19" s="235"/>
      <c r="I19" s="235"/>
      <c r="J19" s="235"/>
      <c r="K19" s="235"/>
      <c r="L19" s="270" t="str">
        <f>IF(B19="","",B19+IFERROR(INDEX(Config!B:B,MATCH("DDM appertisation standard (mois)",Config!A:A,0)),36)*30)</f>
        <v>#ERROR!</v>
      </c>
      <c r="M19" s="235"/>
      <c r="N19" s="235"/>
      <c r="O19" s="235"/>
      <c r="P19" s="235"/>
      <c r="Q19" s="267"/>
      <c r="R19" s="268" t="str">
        <f>IFERROR(IF(A19="","",COUNTIF(Ventes!B5:B504,A19)),"")</f>
        <v>#ERROR!</v>
      </c>
    </row>
    <row r="20">
      <c r="A20" s="265"/>
      <c r="B20" s="266"/>
      <c r="C20" s="227"/>
      <c r="D20" s="227"/>
      <c r="E20" s="227"/>
      <c r="F20" s="227"/>
      <c r="G20" s="227"/>
      <c r="H20" s="227"/>
      <c r="I20" s="227"/>
      <c r="J20" s="227"/>
      <c r="K20" s="227"/>
      <c r="L20" s="266" t="str">
        <f>IF(B20="","",B20+IFERROR(INDEX(Config!B:B,MATCH("DDM appertisation standard (mois)",Config!A:A,0)),36)*30)</f>
        <v>#ERROR!</v>
      </c>
      <c r="M20" s="227"/>
      <c r="N20" s="227"/>
      <c r="O20" s="227"/>
      <c r="P20" s="227"/>
      <c r="Q20" s="267"/>
      <c r="R20" s="268" t="str">
        <f>IFERROR(IF(A20="","",COUNTIF(Ventes!B5:B504,A20)),"")</f>
        <v>#ERROR!</v>
      </c>
    </row>
    <row r="21">
      <c r="A21" s="269"/>
      <c r="B21" s="270"/>
      <c r="C21" s="235"/>
      <c r="D21" s="235"/>
      <c r="E21" s="235"/>
      <c r="F21" s="235"/>
      <c r="G21" s="235"/>
      <c r="H21" s="235"/>
      <c r="I21" s="235"/>
      <c r="J21" s="235"/>
      <c r="K21" s="235"/>
      <c r="L21" s="270" t="str">
        <f>IF(B21="","",B21+IFERROR(INDEX(Config!B:B,MATCH("DDM appertisation standard (mois)",Config!A:A,0)),36)*30)</f>
        <v>#ERROR!</v>
      </c>
      <c r="M21" s="235"/>
      <c r="N21" s="235"/>
      <c r="O21" s="235"/>
      <c r="P21" s="235"/>
      <c r="Q21" s="267"/>
      <c r="R21" s="268" t="str">
        <f>IFERROR(IF(A21="","",COUNTIF(Ventes!B5:B504,A21)),"")</f>
        <v>#ERROR!</v>
      </c>
    </row>
    <row r="22">
      <c r="A22" s="265"/>
      <c r="B22" s="266"/>
      <c r="C22" s="227"/>
      <c r="D22" s="227"/>
      <c r="E22" s="227"/>
      <c r="F22" s="227"/>
      <c r="G22" s="227"/>
      <c r="H22" s="227"/>
      <c r="I22" s="227"/>
      <c r="J22" s="227"/>
      <c r="K22" s="227"/>
      <c r="L22" s="266" t="str">
        <f>IF(B22="","",B22+IFERROR(INDEX(Config!B:B,MATCH("DDM appertisation standard (mois)",Config!A:A,0)),36)*30)</f>
        <v>#ERROR!</v>
      </c>
      <c r="M22" s="227"/>
      <c r="N22" s="227"/>
      <c r="O22" s="227"/>
      <c r="P22" s="227"/>
      <c r="Q22" s="267"/>
      <c r="R22" s="268" t="str">
        <f>IFERROR(IF(A22="","",COUNTIF(Ventes!B5:B504,A22)),"")</f>
        <v>#ERROR!</v>
      </c>
    </row>
    <row r="23">
      <c r="A23" s="269"/>
      <c r="B23" s="270"/>
      <c r="C23" s="235"/>
      <c r="D23" s="235"/>
      <c r="E23" s="235"/>
      <c r="F23" s="235"/>
      <c r="G23" s="235"/>
      <c r="H23" s="235"/>
      <c r="I23" s="235"/>
      <c r="J23" s="235"/>
      <c r="K23" s="235"/>
      <c r="L23" s="270" t="str">
        <f>IF(B23="","",B23+IFERROR(INDEX(Config!B:B,MATCH("DDM appertisation standard (mois)",Config!A:A,0)),36)*30)</f>
        <v>#ERROR!</v>
      </c>
      <c r="M23" s="235"/>
      <c r="N23" s="235"/>
      <c r="O23" s="235"/>
      <c r="P23" s="235"/>
      <c r="Q23" s="267"/>
      <c r="R23" s="268" t="str">
        <f>IFERROR(IF(A23="","",COUNTIF(Ventes!B5:B504,A23)),"")</f>
        <v>#ERROR!</v>
      </c>
    </row>
    <row r="24">
      <c r="A24" s="265"/>
      <c r="B24" s="266"/>
      <c r="C24" s="227"/>
      <c r="D24" s="227"/>
      <c r="E24" s="227"/>
      <c r="F24" s="227"/>
      <c r="G24" s="227"/>
      <c r="H24" s="227"/>
      <c r="I24" s="227"/>
      <c r="J24" s="227"/>
      <c r="K24" s="227"/>
      <c r="L24" s="266" t="str">
        <f>IF(B24="","",B24+IFERROR(INDEX(Config!B:B,MATCH("DDM appertisation standard (mois)",Config!A:A,0)),36)*30)</f>
        <v>#ERROR!</v>
      </c>
      <c r="M24" s="227"/>
      <c r="N24" s="227"/>
      <c r="O24" s="227"/>
      <c r="P24" s="227"/>
      <c r="Q24" s="267"/>
      <c r="R24" s="268" t="str">
        <f>IFERROR(IF(A24="","",COUNTIF(Ventes!B5:B504,A24)),"")</f>
        <v>#ERROR!</v>
      </c>
    </row>
    <row r="25">
      <c r="A25" s="269"/>
      <c r="B25" s="270"/>
      <c r="C25" s="235"/>
      <c r="D25" s="235"/>
      <c r="E25" s="235"/>
      <c r="F25" s="235"/>
      <c r="G25" s="235"/>
      <c r="H25" s="235"/>
      <c r="I25" s="235"/>
      <c r="J25" s="235"/>
      <c r="K25" s="235"/>
      <c r="L25" s="270" t="str">
        <f>IF(B25="","",B25+IFERROR(INDEX(Config!B:B,MATCH("DDM appertisation standard (mois)",Config!A:A,0)),36)*30)</f>
        <v>#ERROR!</v>
      </c>
      <c r="M25" s="235"/>
      <c r="N25" s="235"/>
      <c r="O25" s="235"/>
      <c r="P25" s="235"/>
      <c r="Q25" s="267"/>
      <c r="R25" s="268" t="str">
        <f>IFERROR(IF(A25="","",COUNTIF(Ventes!B5:B504,A25)),"")</f>
        <v>#ERROR!</v>
      </c>
    </row>
    <row r="26">
      <c r="A26" s="265"/>
      <c r="B26" s="266"/>
      <c r="C26" s="227"/>
      <c r="D26" s="227"/>
      <c r="E26" s="227"/>
      <c r="F26" s="227"/>
      <c r="G26" s="227"/>
      <c r="H26" s="227"/>
      <c r="I26" s="227"/>
      <c r="J26" s="227"/>
      <c r="K26" s="227"/>
      <c r="L26" s="266" t="str">
        <f>IF(B26="","",B26+IFERROR(INDEX(Config!B:B,MATCH("DDM appertisation standard (mois)",Config!A:A,0)),36)*30)</f>
        <v>#ERROR!</v>
      </c>
      <c r="M26" s="227"/>
      <c r="N26" s="227"/>
      <c r="O26" s="227"/>
      <c r="P26" s="227"/>
      <c r="Q26" s="267"/>
      <c r="R26" s="268" t="str">
        <f>IFERROR(IF(A26="","",COUNTIF(Ventes!B5:B504,A26)),"")</f>
        <v>#ERROR!</v>
      </c>
    </row>
    <row r="27">
      <c r="A27" s="269"/>
      <c r="B27" s="270"/>
      <c r="C27" s="235"/>
      <c r="D27" s="235"/>
      <c r="E27" s="235"/>
      <c r="F27" s="235"/>
      <c r="G27" s="235"/>
      <c r="H27" s="235"/>
      <c r="I27" s="235"/>
      <c r="J27" s="235"/>
      <c r="K27" s="235"/>
      <c r="L27" s="270" t="str">
        <f>IF(B27="","",B27+IFERROR(INDEX(Config!B:B,MATCH("DDM appertisation standard (mois)",Config!A:A,0)),36)*30)</f>
        <v>#ERROR!</v>
      </c>
      <c r="M27" s="235"/>
      <c r="N27" s="235"/>
      <c r="O27" s="235"/>
      <c r="P27" s="235"/>
      <c r="Q27" s="267"/>
      <c r="R27" s="268" t="str">
        <f>IFERROR(IF(A27="","",COUNTIF(Ventes!B5:B504,A27)),"")</f>
        <v>#ERROR!</v>
      </c>
    </row>
    <row r="28">
      <c r="A28" s="265"/>
      <c r="B28" s="266"/>
      <c r="C28" s="227"/>
      <c r="D28" s="227"/>
      <c r="E28" s="227"/>
      <c r="F28" s="227"/>
      <c r="G28" s="227"/>
      <c r="H28" s="227"/>
      <c r="I28" s="227"/>
      <c r="J28" s="227"/>
      <c r="K28" s="227"/>
      <c r="L28" s="266" t="str">
        <f>IF(B28="","",B28+IFERROR(INDEX(Config!B:B,MATCH("DDM appertisation standard (mois)",Config!A:A,0)),36)*30)</f>
        <v>#ERROR!</v>
      </c>
      <c r="M28" s="227"/>
      <c r="N28" s="227"/>
      <c r="O28" s="227"/>
      <c r="P28" s="227"/>
      <c r="Q28" s="267"/>
      <c r="R28" s="268" t="str">
        <f>IFERROR(IF(A28="","",COUNTIF(Ventes!B5:B504,A28)),"")</f>
        <v>#ERROR!</v>
      </c>
    </row>
    <row r="29">
      <c r="A29" s="269"/>
      <c r="B29" s="270"/>
      <c r="C29" s="235"/>
      <c r="D29" s="235"/>
      <c r="E29" s="235"/>
      <c r="F29" s="235"/>
      <c r="G29" s="235"/>
      <c r="H29" s="235"/>
      <c r="I29" s="235"/>
      <c r="J29" s="235"/>
      <c r="K29" s="235"/>
      <c r="L29" s="270" t="str">
        <f>IF(B29="","",B29+IFERROR(INDEX(Config!B:B,MATCH("DDM appertisation standard (mois)",Config!A:A,0)),36)*30)</f>
        <v>#ERROR!</v>
      </c>
      <c r="M29" s="235"/>
      <c r="N29" s="235"/>
      <c r="O29" s="235"/>
      <c r="P29" s="235"/>
      <c r="Q29" s="267"/>
      <c r="R29" s="268" t="str">
        <f>IFERROR(IF(A29="","",COUNTIF(Ventes!B5:B504,A29)),"")</f>
        <v>#ERROR!</v>
      </c>
    </row>
    <row r="30">
      <c r="A30" s="265"/>
      <c r="B30" s="266"/>
      <c r="C30" s="227"/>
      <c r="D30" s="227"/>
      <c r="E30" s="227"/>
      <c r="F30" s="227"/>
      <c r="G30" s="227"/>
      <c r="H30" s="227"/>
      <c r="I30" s="227"/>
      <c r="J30" s="227"/>
      <c r="K30" s="227"/>
      <c r="L30" s="266" t="str">
        <f>IF(B30="","",B30+IFERROR(INDEX(Config!B:B,MATCH("DDM appertisation standard (mois)",Config!A:A,0)),36)*30)</f>
        <v>#ERROR!</v>
      </c>
      <c r="M30" s="227"/>
      <c r="N30" s="227"/>
      <c r="O30" s="227"/>
      <c r="P30" s="227"/>
      <c r="Q30" s="267"/>
      <c r="R30" s="268" t="str">
        <f>IFERROR(IF(A30="","",COUNTIF(Ventes!B5:B504,A30)),"")</f>
        <v>#ERROR!</v>
      </c>
    </row>
    <row r="31">
      <c r="A31" s="269"/>
      <c r="B31" s="270"/>
      <c r="C31" s="235"/>
      <c r="D31" s="235"/>
      <c r="E31" s="235"/>
      <c r="F31" s="235"/>
      <c r="G31" s="235"/>
      <c r="H31" s="235"/>
      <c r="I31" s="235"/>
      <c r="J31" s="235"/>
      <c r="K31" s="235"/>
      <c r="L31" s="270" t="str">
        <f>IF(B31="","",B31+IFERROR(INDEX(Config!B:B,MATCH("DDM appertisation standard (mois)",Config!A:A,0)),36)*30)</f>
        <v>#ERROR!</v>
      </c>
      <c r="M31" s="235"/>
      <c r="N31" s="235"/>
      <c r="O31" s="235"/>
      <c r="P31" s="235"/>
      <c r="Q31" s="267"/>
      <c r="R31" s="268" t="str">
        <f>IFERROR(IF(A31="","",COUNTIF(Ventes!B5:B504,A31)),"")</f>
        <v>#ERROR!</v>
      </c>
    </row>
    <row r="32">
      <c r="A32" s="265"/>
      <c r="B32" s="266"/>
      <c r="C32" s="227"/>
      <c r="D32" s="227"/>
      <c r="E32" s="227"/>
      <c r="F32" s="227"/>
      <c r="G32" s="227"/>
      <c r="H32" s="227"/>
      <c r="I32" s="227"/>
      <c r="J32" s="227"/>
      <c r="K32" s="227"/>
      <c r="L32" s="266" t="str">
        <f>IF(B32="","",B32+IFERROR(INDEX(Config!B:B,MATCH("DDM appertisation standard (mois)",Config!A:A,0)),36)*30)</f>
        <v>#ERROR!</v>
      </c>
      <c r="M32" s="227"/>
      <c r="N32" s="227"/>
      <c r="O32" s="227"/>
      <c r="P32" s="227"/>
      <c r="Q32" s="267"/>
      <c r="R32" s="268" t="str">
        <f>IFERROR(IF(A32="","",COUNTIF(Ventes!B5:B504,A32)),"")</f>
        <v>#ERROR!</v>
      </c>
    </row>
    <row r="33">
      <c r="A33" s="269"/>
      <c r="B33" s="270"/>
      <c r="C33" s="235"/>
      <c r="D33" s="235"/>
      <c r="E33" s="235"/>
      <c r="F33" s="235"/>
      <c r="G33" s="235"/>
      <c r="H33" s="235"/>
      <c r="I33" s="235"/>
      <c r="J33" s="235"/>
      <c r="K33" s="235"/>
      <c r="L33" s="270" t="str">
        <f>IF(B33="","",B33+IFERROR(INDEX(Config!B:B,MATCH("DDM appertisation standard (mois)",Config!A:A,0)),36)*30)</f>
        <v>#ERROR!</v>
      </c>
      <c r="M33" s="235"/>
      <c r="N33" s="235"/>
      <c r="O33" s="235"/>
      <c r="P33" s="235"/>
      <c r="Q33" s="267"/>
      <c r="R33" s="268" t="str">
        <f>IFERROR(IF(A33="","",COUNTIF(Ventes!B5:B504,A33)),"")</f>
        <v>#ERROR!</v>
      </c>
    </row>
    <row r="34">
      <c r="A34" s="265"/>
      <c r="B34" s="266"/>
      <c r="C34" s="227"/>
      <c r="D34" s="227"/>
      <c r="E34" s="227"/>
      <c r="F34" s="227"/>
      <c r="G34" s="227"/>
      <c r="H34" s="227"/>
      <c r="I34" s="227"/>
      <c r="J34" s="227"/>
      <c r="K34" s="227"/>
      <c r="L34" s="266" t="str">
        <f>IF(B34="","",B34+IFERROR(INDEX(Config!B:B,MATCH("DDM appertisation standard (mois)",Config!A:A,0)),36)*30)</f>
        <v>#ERROR!</v>
      </c>
      <c r="M34" s="227"/>
      <c r="N34" s="227"/>
      <c r="O34" s="227"/>
      <c r="P34" s="227"/>
      <c r="Q34" s="267"/>
      <c r="R34" s="268" t="str">
        <f>IFERROR(IF(A34="","",COUNTIF(Ventes!B5:B504,A34)),"")</f>
        <v>#ERROR!</v>
      </c>
    </row>
    <row r="35">
      <c r="A35" s="269"/>
      <c r="B35" s="270"/>
      <c r="C35" s="235"/>
      <c r="D35" s="235"/>
      <c r="E35" s="235"/>
      <c r="F35" s="235"/>
      <c r="G35" s="235"/>
      <c r="H35" s="235"/>
      <c r="I35" s="235"/>
      <c r="J35" s="235"/>
      <c r="K35" s="235"/>
      <c r="L35" s="270" t="str">
        <f>IF(B35="","",B35+IFERROR(INDEX(Config!B:B,MATCH("DDM appertisation standard (mois)",Config!A:A,0)),36)*30)</f>
        <v>#ERROR!</v>
      </c>
      <c r="M35" s="235"/>
      <c r="N35" s="235"/>
      <c r="O35" s="235"/>
      <c r="P35" s="235"/>
      <c r="Q35" s="267"/>
      <c r="R35" s="268" t="str">
        <f>IFERROR(IF(A35="","",COUNTIF(Ventes!B5:B504,A35)),"")</f>
        <v>#ERROR!</v>
      </c>
    </row>
    <row r="36">
      <c r="A36" s="265"/>
      <c r="B36" s="266"/>
      <c r="C36" s="227"/>
      <c r="D36" s="227"/>
      <c r="E36" s="227"/>
      <c r="F36" s="227"/>
      <c r="G36" s="227"/>
      <c r="H36" s="227"/>
      <c r="I36" s="227"/>
      <c r="J36" s="227"/>
      <c r="K36" s="227"/>
      <c r="L36" s="266" t="str">
        <f>IF(B36="","",B36+IFERROR(INDEX(Config!B:B,MATCH("DDM appertisation standard (mois)",Config!A:A,0)),36)*30)</f>
        <v>#ERROR!</v>
      </c>
      <c r="M36" s="227"/>
      <c r="N36" s="227"/>
      <c r="O36" s="227"/>
      <c r="P36" s="227"/>
      <c r="Q36" s="267"/>
      <c r="R36" s="268" t="str">
        <f>IFERROR(IF(A36="","",COUNTIF(Ventes!B5:B504,A36)),"")</f>
        <v>#ERROR!</v>
      </c>
    </row>
    <row r="37">
      <c r="A37" s="269"/>
      <c r="B37" s="270"/>
      <c r="C37" s="235"/>
      <c r="D37" s="235"/>
      <c r="E37" s="235"/>
      <c r="F37" s="235"/>
      <c r="G37" s="235"/>
      <c r="H37" s="235"/>
      <c r="I37" s="235"/>
      <c r="J37" s="235"/>
      <c r="K37" s="235"/>
      <c r="L37" s="270" t="str">
        <f>IF(B37="","",B37+IFERROR(INDEX(Config!B:B,MATCH("DDM appertisation standard (mois)",Config!A:A,0)),36)*30)</f>
        <v>#ERROR!</v>
      </c>
      <c r="M37" s="235"/>
      <c r="N37" s="235"/>
      <c r="O37" s="235"/>
      <c r="P37" s="235"/>
      <c r="Q37" s="267"/>
      <c r="R37" s="268" t="str">
        <f>IFERROR(IF(A37="","",COUNTIF(Ventes!B5:B504,A37)),"")</f>
        <v>#ERROR!</v>
      </c>
    </row>
    <row r="38">
      <c r="A38" s="265"/>
      <c r="B38" s="266"/>
      <c r="C38" s="227"/>
      <c r="D38" s="227"/>
      <c r="E38" s="227"/>
      <c r="F38" s="227"/>
      <c r="G38" s="227"/>
      <c r="H38" s="227"/>
      <c r="I38" s="227"/>
      <c r="J38" s="227"/>
      <c r="K38" s="227"/>
      <c r="L38" s="266" t="str">
        <f>IF(B38="","",B38+IFERROR(INDEX(Config!B:B,MATCH("DDM appertisation standard (mois)",Config!A:A,0)),36)*30)</f>
        <v>#ERROR!</v>
      </c>
      <c r="M38" s="227"/>
      <c r="N38" s="227"/>
      <c r="O38" s="227"/>
      <c r="P38" s="227"/>
      <c r="Q38" s="267"/>
      <c r="R38" s="268" t="str">
        <f>IFERROR(IF(A38="","",COUNTIF(Ventes!B5:B504,A38)),"")</f>
        <v>#ERROR!</v>
      </c>
    </row>
    <row r="39">
      <c r="A39" s="269"/>
      <c r="B39" s="270"/>
      <c r="C39" s="235"/>
      <c r="D39" s="235"/>
      <c r="E39" s="235"/>
      <c r="F39" s="235"/>
      <c r="G39" s="235"/>
      <c r="H39" s="235"/>
      <c r="I39" s="235"/>
      <c r="J39" s="235"/>
      <c r="K39" s="235"/>
      <c r="L39" s="270" t="str">
        <f>IF(B39="","",B39+IFERROR(INDEX(Config!B:B,MATCH("DDM appertisation standard (mois)",Config!A:A,0)),36)*30)</f>
        <v>#ERROR!</v>
      </c>
      <c r="M39" s="235"/>
      <c r="N39" s="235"/>
      <c r="O39" s="235"/>
      <c r="P39" s="235"/>
      <c r="Q39" s="267"/>
      <c r="R39" s="268" t="str">
        <f>IFERROR(IF(A39="","",COUNTIF(Ventes!B5:B504,A39)),"")</f>
        <v>#ERROR!</v>
      </c>
    </row>
    <row r="40">
      <c r="A40" s="265"/>
      <c r="B40" s="266"/>
      <c r="C40" s="227"/>
      <c r="D40" s="227"/>
      <c r="E40" s="227"/>
      <c r="F40" s="227"/>
      <c r="G40" s="227"/>
      <c r="H40" s="227"/>
      <c r="I40" s="227"/>
      <c r="J40" s="227"/>
      <c r="K40" s="227"/>
      <c r="L40" s="266" t="str">
        <f>IF(B40="","",B40+IFERROR(INDEX(Config!B:B,MATCH("DDM appertisation standard (mois)",Config!A:A,0)),36)*30)</f>
        <v>#ERROR!</v>
      </c>
      <c r="M40" s="227"/>
      <c r="N40" s="227"/>
      <c r="O40" s="227"/>
      <c r="P40" s="227"/>
      <c r="Q40" s="267"/>
      <c r="R40" s="268" t="str">
        <f>IFERROR(IF(A40="","",COUNTIF(Ventes!B5:B504,A40)),"")</f>
        <v>#ERROR!</v>
      </c>
    </row>
    <row r="41">
      <c r="A41" s="269"/>
      <c r="B41" s="270"/>
      <c r="C41" s="235"/>
      <c r="D41" s="235"/>
      <c r="E41" s="235"/>
      <c r="F41" s="235"/>
      <c r="G41" s="235"/>
      <c r="H41" s="235"/>
      <c r="I41" s="235"/>
      <c r="J41" s="235"/>
      <c r="K41" s="235"/>
      <c r="L41" s="270" t="str">
        <f>IF(B41="","",B41+IFERROR(INDEX(Config!B:B,MATCH("DDM appertisation standard (mois)",Config!A:A,0)),36)*30)</f>
        <v>#ERROR!</v>
      </c>
      <c r="M41" s="235"/>
      <c r="N41" s="235"/>
      <c r="O41" s="235"/>
      <c r="P41" s="235"/>
      <c r="Q41" s="267"/>
      <c r="R41" s="268" t="str">
        <f>IFERROR(IF(A41="","",COUNTIF(Ventes!B5:B504,A41)),"")</f>
        <v>#ERROR!</v>
      </c>
    </row>
    <row r="42">
      <c r="A42" s="265"/>
      <c r="B42" s="266"/>
      <c r="C42" s="227"/>
      <c r="D42" s="227"/>
      <c r="E42" s="227"/>
      <c r="F42" s="227"/>
      <c r="G42" s="227"/>
      <c r="H42" s="227"/>
      <c r="I42" s="227"/>
      <c r="J42" s="227"/>
      <c r="K42" s="227"/>
      <c r="L42" s="266" t="str">
        <f>IF(B42="","",B42+IFERROR(INDEX(Config!B:B,MATCH("DDM appertisation standard (mois)",Config!A:A,0)),36)*30)</f>
        <v>#ERROR!</v>
      </c>
      <c r="M42" s="227"/>
      <c r="N42" s="227"/>
      <c r="O42" s="227"/>
      <c r="P42" s="227"/>
      <c r="Q42" s="267"/>
      <c r="R42" s="268" t="str">
        <f>IFERROR(IF(A42="","",COUNTIF(Ventes!B5:B504,A42)),"")</f>
        <v>#ERROR!</v>
      </c>
    </row>
    <row r="43">
      <c r="A43" s="269"/>
      <c r="B43" s="270"/>
      <c r="C43" s="235"/>
      <c r="D43" s="235"/>
      <c r="E43" s="235"/>
      <c r="F43" s="235"/>
      <c r="G43" s="235"/>
      <c r="H43" s="235"/>
      <c r="I43" s="235"/>
      <c r="J43" s="235"/>
      <c r="K43" s="235"/>
      <c r="L43" s="270" t="str">
        <f>IF(B43="","",B43+IFERROR(INDEX(Config!B:B,MATCH("DDM appertisation standard (mois)",Config!A:A,0)),36)*30)</f>
        <v>#ERROR!</v>
      </c>
      <c r="M43" s="235"/>
      <c r="N43" s="235"/>
      <c r="O43" s="235"/>
      <c r="P43" s="235"/>
      <c r="Q43" s="267"/>
      <c r="R43" s="268" t="str">
        <f>IFERROR(IF(A43="","",COUNTIF(Ventes!B5:B504,A43)),"")</f>
        <v>#ERROR!</v>
      </c>
    </row>
    <row r="44">
      <c r="A44" s="265"/>
      <c r="B44" s="266"/>
      <c r="C44" s="227"/>
      <c r="D44" s="227"/>
      <c r="E44" s="227"/>
      <c r="F44" s="227"/>
      <c r="G44" s="227"/>
      <c r="H44" s="227"/>
      <c r="I44" s="227"/>
      <c r="J44" s="227"/>
      <c r="K44" s="227"/>
      <c r="L44" s="266" t="str">
        <f>IF(B44="","",B44+IFERROR(INDEX(Config!B:B,MATCH("DDM appertisation standard (mois)",Config!A:A,0)),36)*30)</f>
        <v>#ERROR!</v>
      </c>
      <c r="M44" s="227"/>
      <c r="N44" s="227"/>
      <c r="O44" s="227"/>
      <c r="P44" s="227"/>
      <c r="Q44" s="267"/>
      <c r="R44" s="268" t="str">
        <f>IFERROR(IF(A44="","",COUNTIF(Ventes!B5:B504,A44)),"")</f>
        <v>#ERROR!</v>
      </c>
    </row>
    <row r="45">
      <c r="A45" s="269"/>
      <c r="B45" s="270"/>
      <c r="C45" s="235"/>
      <c r="D45" s="235"/>
      <c r="E45" s="235"/>
      <c r="F45" s="235"/>
      <c r="G45" s="235"/>
      <c r="H45" s="235"/>
      <c r="I45" s="235"/>
      <c r="J45" s="235"/>
      <c r="K45" s="235"/>
      <c r="L45" s="270" t="str">
        <f>IF(B45="","",B45+IFERROR(INDEX(Config!B:B,MATCH("DDM appertisation standard (mois)",Config!A:A,0)),36)*30)</f>
        <v>#ERROR!</v>
      </c>
      <c r="M45" s="235"/>
      <c r="N45" s="235"/>
      <c r="O45" s="235"/>
      <c r="P45" s="235"/>
      <c r="Q45" s="267"/>
      <c r="R45" s="268" t="str">
        <f>IFERROR(IF(A45="","",COUNTIF(Ventes!B5:B504,A45)),"")</f>
        <v>#ERROR!</v>
      </c>
    </row>
    <row r="46">
      <c r="A46" s="265"/>
      <c r="B46" s="266"/>
      <c r="C46" s="227"/>
      <c r="D46" s="227"/>
      <c r="E46" s="227"/>
      <c r="F46" s="227"/>
      <c r="G46" s="227"/>
      <c r="H46" s="227"/>
      <c r="I46" s="227"/>
      <c r="J46" s="227"/>
      <c r="K46" s="227"/>
      <c r="L46" s="266" t="str">
        <f>IF(B46="","",B46+IFERROR(INDEX(Config!B:B,MATCH("DDM appertisation standard (mois)",Config!A:A,0)),36)*30)</f>
        <v>#ERROR!</v>
      </c>
      <c r="M46" s="227"/>
      <c r="N46" s="227"/>
      <c r="O46" s="227"/>
      <c r="P46" s="227"/>
      <c r="Q46" s="267"/>
      <c r="R46" s="268" t="str">
        <f>IFERROR(IF(A46="","",COUNTIF(Ventes!B5:B504,A46)),"")</f>
        <v>#ERROR!</v>
      </c>
    </row>
    <row r="47">
      <c r="A47" s="269"/>
      <c r="B47" s="270"/>
      <c r="C47" s="235"/>
      <c r="D47" s="235"/>
      <c r="E47" s="235"/>
      <c r="F47" s="235"/>
      <c r="G47" s="235"/>
      <c r="H47" s="235"/>
      <c r="I47" s="235"/>
      <c r="J47" s="235"/>
      <c r="K47" s="235"/>
      <c r="L47" s="270" t="str">
        <f>IF(B47="","",B47+IFERROR(INDEX(Config!B:B,MATCH("DDM appertisation standard (mois)",Config!A:A,0)),36)*30)</f>
        <v>#ERROR!</v>
      </c>
      <c r="M47" s="235"/>
      <c r="N47" s="235"/>
      <c r="O47" s="235"/>
      <c r="P47" s="235"/>
      <c r="Q47" s="267"/>
      <c r="R47" s="268" t="str">
        <f>IFERROR(IF(A47="","",COUNTIF(Ventes!B5:B504,A47)),"")</f>
        <v>#ERROR!</v>
      </c>
    </row>
    <row r="48">
      <c r="A48" s="265"/>
      <c r="B48" s="266"/>
      <c r="C48" s="227"/>
      <c r="D48" s="227"/>
      <c r="E48" s="227"/>
      <c r="F48" s="227"/>
      <c r="G48" s="227"/>
      <c r="H48" s="227"/>
      <c r="I48" s="227"/>
      <c r="J48" s="227"/>
      <c r="K48" s="227"/>
      <c r="L48" s="266" t="str">
        <f>IF(B48="","",B48+IFERROR(INDEX(Config!B:B,MATCH("DDM appertisation standard (mois)",Config!A:A,0)),36)*30)</f>
        <v>#ERROR!</v>
      </c>
      <c r="M48" s="227"/>
      <c r="N48" s="227"/>
      <c r="O48" s="227"/>
      <c r="P48" s="227"/>
      <c r="Q48" s="267"/>
      <c r="R48" s="268" t="str">
        <f>IFERROR(IF(A48="","",COUNTIF(Ventes!B5:B504,A48)),"")</f>
        <v>#ERROR!</v>
      </c>
    </row>
    <row r="49">
      <c r="A49" s="269"/>
      <c r="B49" s="270"/>
      <c r="C49" s="235"/>
      <c r="D49" s="235"/>
      <c r="E49" s="235"/>
      <c r="F49" s="235"/>
      <c r="G49" s="235"/>
      <c r="H49" s="235"/>
      <c r="I49" s="235"/>
      <c r="J49" s="235"/>
      <c r="K49" s="235"/>
      <c r="L49" s="270" t="str">
        <f>IF(B49="","",B49+IFERROR(INDEX(Config!B:B,MATCH("DDM appertisation standard (mois)",Config!A:A,0)),36)*30)</f>
        <v>#ERROR!</v>
      </c>
      <c r="M49" s="235"/>
      <c r="N49" s="235"/>
      <c r="O49" s="235"/>
      <c r="P49" s="235"/>
      <c r="Q49" s="267"/>
      <c r="R49" s="268" t="str">
        <f>IFERROR(IF(A49="","",COUNTIF(Ventes!B5:B504,A49)),"")</f>
        <v>#ERROR!</v>
      </c>
    </row>
    <row r="50">
      <c r="A50" s="265"/>
      <c r="B50" s="266"/>
      <c r="C50" s="227"/>
      <c r="D50" s="227"/>
      <c r="E50" s="227"/>
      <c r="F50" s="227"/>
      <c r="G50" s="227"/>
      <c r="H50" s="227"/>
      <c r="I50" s="227"/>
      <c r="J50" s="227"/>
      <c r="K50" s="227"/>
      <c r="L50" s="266" t="str">
        <f>IF(B50="","",B50+IFERROR(INDEX(Config!B:B,MATCH("DDM appertisation standard (mois)",Config!A:A,0)),36)*30)</f>
        <v>#ERROR!</v>
      </c>
      <c r="M50" s="227"/>
      <c r="N50" s="227"/>
      <c r="O50" s="227"/>
      <c r="P50" s="227"/>
      <c r="Q50" s="267"/>
      <c r="R50" s="268" t="str">
        <f>IFERROR(IF(A50="","",COUNTIF(Ventes!B5:B504,A50)),"")</f>
        <v>#ERROR!</v>
      </c>
    </row>
    <row r="51">
      <c r="A51" s="269"/>
      <c r="B51" s="270"/>
      <c r="C51" s="235"/>
      <c r="D51" s="235"/>
      <c r="E51" s="235"/>
      <c r="F51" s="235"/>
      <c r="G51" s="235"/>
      <c r="H51" s="235"/>
      <c r="I51" s="235"/>
      <c r="J51" s="235"/>
      <c r="K51" s="235"/>
      <c r="L51" s="270" t="str">
        <f>IF(B51="","",B51+IFERROR(INDEX(Config!B:B,MATCH("DDM appertisation standard (mois)",Config!A:A,0)),36)*30)</f>
        <v>#ERROR!</v>
      </c>
      <c r="M51" s="235"/>
      <c r="N51" s="235"/>
      <c r="O51" s="235"/>
      <c r="P51" s="235"/>
      <c r="Q51" s="267"/>
      <c r="R51" s="268" t="str">
        <f>IFERROR(IF(A51="","",COUNTIF(Ventes!B5:B504,A51)),"")</f>
        <v>#ERROR!</v>
      </c>
    </row>
    <row r="52">
      <c r="A52" s="265"/>
      <c r="B52" s="266"/>
      <c r="C52" s="227"/>
      <c r="D52" s="227"/>
      <c r="E52" s="227"/>
      <c r="F52" s="227"/>
      <c r="G52" s="227"/>
      <c r="H52" s="227"/>
      <c r="I52" s="227"/>
      <c r="J52" s="227"/>
      <c r="K52" s="227"/>
      <c r="L52" s="266" t="str">
        <f>IF(B52="","",B52+IFERROR(INDEX(Config!B:B,MATCH("DDM appertisation standard (mois)",Config!A:A,0)),36)*30)</f>
        <v>#ERROR!</v>
      </c>
      <c r="M52" s="227"/>
      <c r="N52" s="227"/>
      <c r="O52" s="227"/>
      <c r="P52" s="227"/>
      <c r="Q52" s="267"/>
      <c r="R52" s="268" t="str">
        <f>IFERROR(IF(A52="","",COUNTIF(Ventes!B5:B504,A52)),"")</f>
        <v>#ERROR!</v>
      </c>
    </row>
    <row r="53">
      <c r="A53" s="269"/>
      <c r="B53" s="270"/>
      <c r="C53" s="235"/>
      <c r="D53" s="235"/>
      <c r="E53" s="235"/>
      <c r="F53" s="235"/>
      <c r="G53" s="235"/>
      <c r="H53" s="235"/>
      <c r="I53" s="235"/>
      <c r="J53" s="235"/>
      <c r="K53" s="235"/>
      <c r="L53" s="270" t="str">
        <f>IF(B53="","",B53+IFERROR(INDEX(Config!B:B,MATCH("DDM appertisation standard (mois)",Config!A:A,0)),36)*30)</f>
        <v>#ERROR!</v>
      </c>
      <c r="M53" s="235"/>
      <c r="N53" s="235"/>
      <c r="O53" s="235"/>
      <c r="P53" s="235"/>
      <c r="Q53" s="267"/>
      <c r="R53" s="268" t="str">
        <f>IFERROR(IF(A53="","",COUNTIF(Ventes!B5:B504,A53)),"")</f>
        <v>#ERROR!</v>
      </c>
    </row>
    <row r="54">
      <c r="A54" s="265"/>
      <c r="B54" s="266"/>
      <c r="C54" s="227"/>
      <c r="D54" s="227"/>
      <c r="E54" s="227"/>
      <c r="F54" s="227"/>
      <c r="G54" s="227"/>
      <c r="H54" s="227"/>
      <c r="I54" s="227"/>
      <c r="J54" s="227"/>
      <c r="K54" s="227"/>
      <c r="L54" s="266" t="str">
        <f>IF(B54="","",B54+IFERROR(INDEX(Config!B:B,MATCH("DDM appertisation standard (mois)",Config!A:A,0)),36)*30)</f>
        <v>#ERROR!</v>
      </c>
      <c r="M54" s="227"/>
      <c r="N54" s="227"/>
      <c r="O54" s="227"/>
      <c r="P54" s="227"/>
      <c r="Q54" s="267"/>
      <c r="R54" s="268" t="str">
        <f>IFERROR(IF(A54="","",COUNTIF(Ventes!B5:B504,A54)),"")</f>
        <v>#ERROR!</v>
      </c>
    </row>
    <row r="55">
      <c r="A55" s="269"/>
      <c r="B55" s="270"/>
      <c r="C55" s="235"/>
      <c r="D55" s="235"/>
      <c r="E55" s="235"/>
      <c r="F55" s="235"/>
      <c r="G55" s="235"/>
      <c r="H55" s="235"/>
      <c r="I55" s="235"/>
      <c r="J55" s="235"/>
      <c r="K55" s="235"/>
      <c r="L55" s="270" t="str">
        <f>IF(B55="","",B55+IFERROR(INDEX(Config!B:B,MATCH("DDM appertisation standard (mois)",Config!A:A,0)),36)*30)</f>
        <v>#ERROR!</v>
      </c>
      <c r="M55" s="235"/>
      <c r="N55" s="235"/>
      <c r="O55" s="235"/>
      <c r="P55" s="235"/>
      <c r="Q55" s="267"/>
      <c r="R55" s="268" t="str">
        <f>IFERROR(IF(A55="","",COUNTIF(Ventes!B5:B504,A55)),"")</f>
        <v>#ERROR!</v>
      </c>
    </row>
    <row r="56">
      <c r="A56" s="265"/>
      <c r="B56" s="266"/>
      <c r="C56" s="227"/>
      <c r="D56" s="227"/>
      <c r="E56" s="227"/>
      <c r="F56" s="227"/>
      <c r="G56" s="227"/>
      <c r="H56" s="227"/>
      <c r="I56" s="227"/>
      <c r="J56" s="227"/>
      <c r="K56" s="227"/>
      <c r="L56" s="266" t="str">
        <f>IF(B56="","",B56+IFERROR(INDEX(Config!B:B,MATCH("DDM appertisation standard (mois)",Config!A:A,0)),36)*30)</f>
        <v>#ERROR!</v>
      </c>
      <c r="M56" s="227"/>
      <c r="N56" s="227"/>
      <c r="O56" s="227"/>
      <c r="P56" s="227"/>
      <c r="Q56" s="267"/>
      <c r="R56" s="268" t="str">
        <f>IFERROR(IF(A56="","",COUNTIF(Ventes!B5:B504,A56)),"")</f>
        <v>#ERROR!</v>
      </c>
    </row>
    <row r="57">
      <c r="A57" s="269"/>
      <c r="B57" s="270"/>
      <c r="C57" s="235"/>
      <c r="D57" s="235"/>
      <c r="E57" s="235"/>
      <c r="F57" s="235"/>
      <c r="G57" s="235"/>
      <c r="H57" s="235"/>
      <c r="I57" s="235"/>
      <c r="J57" s="235"/>
      <c r="K57" s="235"/>
      <c r="L57" s="270" t="str">
        <f>IF(B57="","",B57+IFERROR(INDEX(Config!B:B,MATCH("DDM appertisation standard (mois)",Config!A:A,0)),36)*30)</f>
        <v>#ERROR!</v>
      </c>
      <c r="M57" s="235"/>
      <c r="N57" s="235"/>
      <c r="O57" s="235"/>
      <c r="P57" s="235"/>
      <c r="Q57" s="267"/>
      <c r="R57" s="268" t="str">
        <f>IFERROR(IF(A57="","",COUNTIF(Ventes!B5:B504,A57)),"")</f>
        <v>#ERROR!</v>
      </c>
    </row>
    <row r="58">
      <c r="A58" s="265"/>
      <c r="B58" s="266"/>
      <c r="C58" s="227"/>
      <c r="D58" s="227"/>
      <c r="E58" s="227"/>
      <c r="F58" s="227"/>
      <c r="G58" s="227"/>
      <c r="H58" s="227"/>
      <c r="I58" s="227"/>
      <c r="J58" s="227"/>
      <c r="K58" s="227"/>
      <c r="L58" s="266" t="str">
        <f>IF(B58="","",B58+IFERROR(INDEX(Config!B:B,MATCH("DDM appertisation standard (mois)",Config!A:A,0)),36)*30)</f>
        <v>#ERROR!</v>
      </c>
      <c r="M58" s="227"/>
      <c r="N58" s="227"/>
      <c r="O58" s="227"/>
      <c r="P58" s="227"/>
      <c r="Q58" s="267"/>
      <c r="R58" s="268" t="str">
        <f>IFERROR(IF(A58="","",COUNTIF(Ventes!B5:B504,A58)),"")</f>
        <v>#ERROR!</v>
      </c>
    </row>
    <row r="59">
      <c r="A59" s="269"/>
      <c r="B59" s="270"/>
      <c r="C59" s="235"/>
      <c r="D59" s="235"/>
      <c r="E59" s="235"/>
      <c r="F59" s="235"/>
      <c r="G59" s="235"/>
      <c r="H59" s="235"/>
      <c r="I59" s="235"/>
      <c r="J59" s="235"/>
      <c r="K59" s="235"/>
      <c r="L59" s="270" t="str">
        <f>IF(B59="","",B59+IFERROR(INDEX(Config!B:B,MATCH("DDM appertisation standard (mois)",Config!A:A,0)),36)*30)</f>
        <v>#ERROR!</v>
      </c>
      <c r="M59" s="235"/>
      <c r="N59" s="235"/>
      <c r="O59" s="235"/>
      <c r="P59" s="235"/>
      <c r="Q59" s="267"/>
      <c r="R59" s="268" t="str">
        <f>IFERROR(IF(A59="","",COUNTIF(Ventes!B5:B504,A59)),"")</f>
        <v>#ERROR!</v>
      </c>
    </row>
    <row r="60">
      <c r="A60" s="265"/>
      <c r="B60" s="266"/>
      <c r="C60" s="227"/>
      <c r="D60" s="227"/>
      <c r="E60" s="227"/>
      <c r="F60" s="227"/>
      <c r="G60" s="227"/>
      <c r="H60" s="227"/>
      <c r="I60" s="227"/>
      <c r="J60" s="227"/>
      <c r="K60" s="227"/>
      <c r="L60" s="266" t="str">
        <f>IF(B60="","",B60+IFERROR(INDEX(Config!B:B,MATCH("DDM appertisation standard (mois)",Config!A:A,0)),36)*30)</f>
        <v>#ERROR!</v>
      </c>
      <c r="M60" s="227"/>
      <c r="N60" s="227"/>
      <c r="O60" s="227"/>
      <c r="P60" s="227"/>
      <c r="Q60" s="267"/>
      <c r="R60" s="268" t="str">
        <f>IFERROR(IF(A60="","",COUNTIF(Ventes!B5:B504,A60)),"")</f>
        <v>#ERROR!</v>
      </c>
    </row>
    <row r="61">
      <c r="A61" s="269"/>
      <c r="B61" s="270"/>
      <c r="C61" s="235"/>
      <c r="D61" s="235"/>
      <c r="E61" s="235"/>
      <c r="F61" s="235"/>
      <c r="G61" s="235"/>
      <c r="H61" s="235"/>
      <c r="I61" s="235"/>
      <c r="J61" s="235"/>
      <c r="K61" s="235"/>
      <c r="L61" s="270" t="str">
        <f>IF(B61="","",B61+IFERROR(INDEX(Config!B:B,MATCH("DDM appertisation standard (mois)",Config!A:A,0)),36)*30)</f>
        <v>#ERROR!</v>
      </c>
      <c r="M61" s="235"/>
      <c r="N61" s="235"/>
      <c r="O61" s="235"/>
      <c r="P61" s="235"/>
      <c r="Q61" s="267"/>
      <c r="R61" s="268" t="str">
        <f>IFERROR(IF(A61="","",COUNTIF(Ventes!B5:B504,A61)),"")</f>
        <v>#ERROR!</v>
      </c>
    </row>
    <row r="62">
      <c r="A62" s="265"/>
      <c r="B62" s="266"/>
      <c r="C62" s="227"/>
      <c r="D62" s="227"/>
      <c r="E62" s="227"/>
      <c r="F62" s="227"/>
      <c r="G62" s="227"/>
      <c r="H62" s="227"/>
      <c r="I62" s="227"/>
      <c r="J62" s="227"/>
      <c r="K62" s="227"/>
      <c r="L62" s="266" t="str">
        <f>IF(B62="","",B62+IFERROR(INDEX(Config!B:B,MATCH("DDM appertisation standard (mois)",Config!A:A,0)),36)*30)</f>
        <v>#ERROR!</v>
      </c>
      <c r="M62" s="227"/>
      <c r="N62" s="227"/>
      <c r="O62" s="227"/>
      <c r="P62" s="227"/>
      <c r="Q62" s="267"/>
      <c r="R62" s="268" t="str">
        <f>IFERROR(IF(A62="","",COUNTIF(Ventes!B5:B504,A62)),"")</f>
        <v>#ERROR!</v>
      </c>
    </row>
    <row r="63">
      <c r="A63" s="269"/>
      <c r="B63" s="270"/>
      <c r="C63" s="235"/>
      <c r="D63" s="235"/>
      <c r="E63" s="235"/>
      <c r="F63" s="235"/>
      <c r="G63" s="235"/>
      <c r="H63" s="235"/>
      <c r="I63" s="235"/>
      <c r="J63" s="235"/>
      <c r="K63" s="235"/>
      <c r="L63" s="270" t="str">
        <f>IF(B63="","",B63+IFERROR(INDEX(Config!B:B,MATCH("DDM appertisation standard (mois)",Config!A:A,0)),36)*30)</f>
        <v>#ERROR!</v>
      </c>
      <c r="M63" s="235"/>
      <c r="N63" s="235"/>
      <c r="O63" s="235"/>
      <c r="P63" s="235"/>
      <c r="Q63" s="267"/>
      <c r="R63" s="268" t="str">
        <f>IFERROR(IF(A63="","",COUNTIF(Ventes!B5:B504,A63)),"")</f>
        <v>#ERROR!</v>
      </c>
    </row>
    <row r="64">
      <c r="A64" s="265"/>
      <c r="B64" s="266"/>
      <c r="C64" s="227"/>
      <c r="D64" s="227"/>
      <c r="E64" s="227"/>
      <c r="F64" s="227"/>
      <c r="G64" s="227"/>
      <c r="H64" s="227"/>
      <c r="I64" s="227"/>
      <c r="J64" s="227"/>
      <c r="K64" s="227"/>
      <c r="L64" s="266" t="str">
        <f>IF(B64="","",B64+IFERROR(INDEX(Config!B:B,MATCH("DDM appertisation standard (mois)",Config!A:A,0)),36)*30)</f>
        <v>#ERROR!</v>
      </c>
      <c r="M64" s="227"/>
      <c r="N64" s="227"/>
      <c r="O64" s="227"/>
      <c r="P64" s="227"/>
      <c r="Q64" s="267"/>
      <c r="R64" s="268" t="str">
        <f>IFERROR(IF(A64="","",COUNTIF(Ventes!B5:B504,A64)),"")</f>
        <v>#ERROR!</v>
      </c>
    </row>
    <row r="65">
      <c r="A65" s="269"/>
      <c r="B65" s="270"/>
      <c r="C65" s="235"/>
      <c r="D65" s="235"/>
      <c r="E65" s="235"/>
      <c r="F65" s="235"/>
      <c r="G65" s="235"/>
      <c r="H65" s="235"/>
      <c r="I65" s="235"/>
      <c r="J65" s="235"/>
      <c r="K65" s="235"/>
      <c r="L65" s="270" t="str">
        <f>IF(B65="","",B65+IFERROR(INDEX(Config!B:B,MATCH("DDM appertisation standard (mois)",Config!A:A,0)),36)*30)</f>
        <v>#ERROR!</v>
      </c>
      <c r="M65" s="235"/>
      <c r="N65" s="235"/>
      <c r="O65" s="235"/>
      <c r="P65" s="235"/>
      <c r="Q65" s="267"/>
      <c r="R65" s="268" t="str">
        <f>IFERROR(IF(A65="","",COUNTIF(Ventes!B5:B504,A65)),"")</f>
        <v>#ERROR!</v>
      </c>
    </row>
    <row r="66">
      <c r="A66" s="265"/>
      <c r="B66" s="266"/>
      <c r="C66" s="227"/>
      <c r="D66" s="227"/>
      <c r="E66" s="227"/>
      <c r="F66" s="227"/>
      <c r="G66" s="227"/>
      <c r="H66" s="227"/>
      <c r="I66" s="227"/>
      <c r="J66" s="227"/>
      <c r="K66" s="227"/>
      <c r="L66" s="266" t="str">
        <f>IF(B66="","",B66+IFERROR(INDEX(Config!B:B,MATCH("DDM appertisation standard (mois)",Config!A:A,0)),36)*30)</f>
        <v>#ERROR!</v>
      </c>
      <c r="M66" s="227"/>
      <c r="N66" s="227"/>
      <c r="O66" s="227"/>
      <c r="P66" s="227"/>
      <c r="Q66" s="267"/>
      <c r="R66" s="268" t="str">
        <f>IFERROR(IF(A66="","",COUNTIF(Ventes!B5:B504,A66)),"")</f>
        <v>#ERROR!</v>
      </c>
    </row>
    <row r="67">
      <c r="A67" s="269"/>
      <c r="B67" s="270"/>
      <c r="C67" s="235"/>
      <c r="D67" s="235"/>
      <c r="E67" s="235"/>
      <c r="F67" s="235"/>
      <c r="G67" s="235"/>
      <c r="H67" s="235"/>
      <c r="I67" s="235"/>
      <c r="J67" s="235"/>
      <c r="K67" s="235"/>
      <c r="L67" s="270" t="str">
        <f>IF(B67="","",B67+IFERROR(INDEX(Config!B:B,MATCH("DDM appertisation standard (mois)",Config!A:A,0)),36)*30)</f>
        <v>#ERROR!</v>
      </c>
      <c r="M67" s="235"/>
      <c r="N67" s="235"/>
      <c r="O67" s="235"/>
      <c r="P67" s="235"/>
      <c r="Q67" s="267"/>
      <c r="R67" s="268" t="str">
        <f>IFERROR(IF(A67="","",COUNTIF(Ventes!B5:B504,A67)),"")</f>
        <v>#ERROR!</v>
      </c>
    </row>
    <row r="68">
      <c r="A68" s="265"/>
      <c r="B68" s="266"/>
      <c r="C68" s="227"/>
      <c r="D68" s="227"/>
      <c r="E68" s="227"/>
      <c r="F68" s="227"/>
      <c r="G68" s="227"/>
      <c r="H68" s="227"/>
      <c r="I68" s="227"/>
      <c r="J68" s="227"/>
      <c r="K68" s="227"/>
      <c r="L68" s="266" t="str">
        <f>IF(B68="","",B68+IFERROR(INDEX(Config!B:B,MATCH("DDM appertisation standard (mois)",Config!A:A,0)),36)*30)</f>
        <v>#ERROR!</v>
      </c>
      <c r="M68" s="227"/>
      <c r="N68" s="227"/>
      <c r="O68" s="227"/>
      <c r="P68" s="227"/>
      <c r="Q68" s="267"/>
      <c r="R68" s="268" t="str">
        <f>IFERROR(IF(A68="","",COUNTIF(Ventes!B5:B504,A68)),"")</f>
        <v>#ERROR!</v>
      </c>
    </row>
    <row r="69">
      <c r="A69" s="269"/>
      <c r="B69" s="270"/>
      <c r="C69" s="235"/>
      <c r="D69" s="235"/>
      <c r="E69" s="235"/>
      <c r="F69" s="235"/>
      <c r="G69" s="235"/>
      <c r="H69" s="235"/>
      <c r="I69" s="235"/>
      <c r="J69" s="235"/>
      <c r="K69" s="235"/>
      <c r="L69" s="270" t="str">
        <f>IF(B69="","",B69+IFERROR(INDEX(Config!B:B,MATCH("DDM appertisation standard (mois)",Config!A:A,0)),36)*30)</f>
        <v>#ERROR!</v>
      </c>
      <c r="M69" s="235"/>
      <c r="N69" s="235"/>
      <c r="O69" s="235"/>
      <c r="P69" s="235"/>
      <c r="Q69" s="267"/>
      <c r="R69" s="268" t="str">
        <f>IFERROR(IF(A69="","",COUNTIF(Ventes!B5:B504,A69)),"")</f>
        <v>#ERROR!</v>
      </c>
    </row>
    <row r="70">
      <c r="A70" s="265"/>
      <c r="B70" s="266"/>
      <c r="C70" s="227"/>
      <c r="D70" s="227"/>
      <c r="E70" s="227"/>
      <c r="F70" s="227"/>
      <c r="G70" s="227"/>
      <c r="H70" s="227"/>
      <c r="I70" s="227"/>
      <c r="J70" s="227"/>
      <c r="K70" s="227"/>
      <c r="L70" s="266" t="str">
        <f>IF(B70="","",B70+IFERROR(INDEX(Config!B:B,MATCH("DDM appertisation standard (mois)",Config!A:A,0)),36)*30)</f>
        <v>#ERROR!</v>
      </c>
      <c r="M70" s="227"/>
      <c r="N70" s="227"/>
      <c r="O70" s="227"/>
      <c r="P70" s="227"/>
      <c r="Q70" s="267"/>
      <c r="R70" s="268" t="str">
        <f>IFERROR(IF(A70="","",COUNTIF(Ventes!B5:B504,A70)),"")</f>
        <v>#ERROR!</v>
      </c>
    </row>
    <row r="71">
      <c r="A71" s="269"/>
      <c r="B71" s="270"/>
      <c r="C71" s="235"/>
      <c r="D71" s="235"/>
      <c r="E71" s="235"/>
      <c r="F71" s="235"/>
      <c r="G71" s="235"/>
      <c r="H71" s="235"/>
      <c r="I71" s="235"/>
      <c r="J71" s="235"/>
      <c r="K71" s="235"/>
      <c r="L71" s="270" t="str">
        <f>IF(B71="","",B71+IFERROR(INDEX(Config!B:B,MATCH("DDM appertisation standard (mois)",Config!A:A,0)),36)*30)</f>
        <v>#ERROR!</v>
      </c>
      <c r="M71" s="235"/>
      <c r="N71" s="235"/>
      <c r="O71" s="235"/>
      <c r="P71" s="235"/>
      <c r="Q71" s="267"/>
      <c r="R71" s="268" t="str">
        <f>IFERROR(IF(A71="","",COUNTIF(Ventes!B5:B504,A71)),"")</f>
        <v>#ERROR!</v>
      </c>
    </row>
    <row r="72">
      <c r="A72" s="265"/>
      <c r="B72" s="266"/>
      <c r="C72" s="227"/>
      <c r="D72" s="227"/>
      <c r="E72" s="227"/>
      <c r="F72" s="227"/>
      <c r="G72" s="227"/>
      <c r="H72" s="227"/>
      <c r="I72" s="227"/>
      <c r="J72" s="227"/>
      <c r="K72" s="227"/>
      <c r="L72" s="266" t="str">
        <f>IF(B72="","",B72+IFERROR(INDEX(Config!B:B,MATCH("DDM appertisation standard (mois)",Config!A:A,0)),36)*30)</f>
        <v>#ERROR!</v>
      </c>
      <c r="M72" s="227"/>
      <c r="N72" s="227"/>
      <c r="O72" s="227"/>
      <c r="P72" s="227"/>
      <c r="Q72" s="267"/>
      <c r="R72" s="268" t="str">
        <f>IFERROR(IF(A72="","",COUNTIF(Ventes!B5:B504,A72)),"")</f>
        <v>#ERROR!</v>
      </c>
    </row>
    <row r="73">
      <c r="A73" s="269"/>
      <c r="B73" s="270"/>
      <c r="C73" s="235"/>
      <c r="D73" s="235"/>
      <c r="E73" s="235"/>
      <c r="F73" s="235"/>
      <c r="G73" s="235"/>
      <c r="H73" s="235"/>
      <c r="I73" s="235"/>
      <c r="J73" s="235"/>
      <c r="K73" s="235"/>
      <c r="L73" s="270" t="str">
        <f>IF(B73="","",B73+IFERROR(INDEX(Config!B:B,MATCH("DDM appertisation standard (mois)",Config!A:A,0)),36)*30)</f>
        <v>#ERROR!</v>
      </c>
      <c r="M73" s="235"/>
      <c r="N73" s="235"/>
      <c r="O73" s="235"/>
      <c r="P73" s="235"/>
      <c r="Q73" s="267"/>
      <c r="R73" s="268" t="str">
        <f>IFERROR(IF(A73="","",COUNTIF(Ventes!B5:B504,A73)),"")</f>
        <v>#ERROR!</v>
      </c>
    </row>
    <row r="74">
      <c r="A74" s="265"/>
      <c r="B74" s="266"/>
      <c r="C74" s="227"/>
      <c r="D74" s="227"/>
      <c r="E74" s="227"/>
      <c r="F74" s="227"/>
      <c r="G74" s="227"/>
      <c r="H74" s="227"/>
      <c r="I74" s="227"/>
      <c r="J74" s="227"/>
      <c r="K74" s="227"/>
      <c r="L74" s="266" t="str">
        <f>IF(B74="","",B74+IFERROR(INDEX(Config!B:B,MATCH("DDM appertisation standard (mois)",Config!A:A,0)),36)*30)</f>
        <v>#ERROR!</v>
      </c>
      <c r="M74" s="227"/>
      <c r="N74" s="227"/>
      <c r="O74" s="227"/>
      <c r="P74" s="227"/>
      <c r="Q74" s="267"/>
      <c r="R74" s="268" t="str">
        <f>IFERROR(IF(A74="","",COUNTIF(Ventes!B5:B504,A74)),"")</f>
        <v>#ERROR!</v>
      </c>
    </row>
    <row r="75">
      <c r="A75" s="269"/>
      <c r="B75" s="270"/>
      <c r="C75" s="235"/>
      <c r="D75" s="235"/>
      <c r="E75" s="235"/>
      <c r="F75" s="235"/>
      <c r="G75" s="235"/>
      <c r="H75" s="235"/>
      <c r="I75" s="235"/>
      <c r="J75" s="235"/>
      <c r="K75" s="235"/>
      <c r="L75" s="270" t="str">
        <f>IF(B75="","",B75+IFERROR(INDEX(Config!B:B,MATCH("DDM appertisation standard (mois)",Config!A:A,0)),36)*30)</f>
        <v>#ERROR!</v>
      </c>
      <c r="M75" s="235"/>
      <c r="N75" s="235"/>
      <c r="O75" s="235"/>
      <c r="P75" s="235"/>
      <c r="Q75" s="267"/>
      <c r="R75" s="268" t="str">
        <f>IFERROR(IF(A75="","",COUNTIF(Ventes!B5:B504,A75)),"")</f>
        <v>#ERROR!</v>
      </c>
    </row>
    <row r="76">
      <c r="A76" s="265"/>
      <c r="B76" s="266"/>
      <c r="C76" s="227"/>
      <c r="D76" s="227"/>
      <c r="E76" s="227"/>
      <c r="F76" s="227"/>
      <c r="G76" s="227"/>
      <c r="H76" s="227"/>
      <c r="I76" s="227"/>
      <c r="J76" s="227"/>
      <c r="K76" s="227"/>
      <c r="L76" s="266" t="str">
        <f>IF(B76="","",B76+IFERROR(INDEX(Config!B:B,MATCH("DDM appertisation standard (mois)",Config!A:A,0)),36)*30)</f>
        <v>#ERROR!</v>
      </c>
      <c r="M76" s="227"/>
      <c r="N76" s="227"/>
      <c r="O76" s="227"/>
      <c r="P76" s="227"/>
      <c r="Q76" s="267"/>
      <c r="R76" s="268" t="str">
        <f>IFERROR(IF(A76="","",COUNTIF(Ventes!B5:B504,A76)),"")</f>
        <v>#ERROR!</v>
      </c>
    </row>
    <row r="77">
      <c r="A77" s="269"/>
      <c r="B77" s="270"/>
      <c r="C77" s="235"/>
      <c r="D77" s="235"/>
      <c r="E77" s="235"/>
      <c r="F77" s="235"/>
      <c r="G77" s="235"/>
      <c r="H77" s="235"/>
      <c r="I77" s="235"/>
      <c r="J77" s="235"/>
      <c r="K77" s="235"/>
      <c r="L77" s="270" t="str">
        <f>IF(B77="","",B77+IFERROR(INDEX(Config!B:B,MATCH("DDM appertisation standard (mois)",Config!A:A,0)),36)*30)</f>
        <v>#ERROR!</v>
      </c>
      <c r="M77" s="235"/>
      <c r="N77" s="235"/>
      <c r="O77" s="235"/>
      <c r="P77" s="235"/>
      <c r="Q77" s="267"/>
      <c r="R77" s="268" t="str">
        <f>IFERROR(IF(A77="","",COUNTIF(Ventes!B5:B504,A77)),"")</f>
        <v>#ERROR!</v>
      </c>
    </row>
    <row r="78">
      <c r="A78" s="265"/>
      <c r="B78" s="266"/>
      <c r="C78" s="227"/>
      <c r="D78" s="227"/>
      <c r="E78" s="227"/>
      <c r="F78" s="227"/>
      <c r="G78" s="227"/>
      <c r="H78" s="227"/>
      <c r="I78" s="227"/>
      <c r="J78" s="227"/>
      <c r="K78" s="227"/>
      <c r="L78" s="266" t="str">
        <f>IF(B78="","",B78+IFERROR(INDEX(Config!B:B,MATCH("DDM appertisation standard (mois)",Config!A:A,0)),36)*30)</f>
        <v>#ERROR!</v>
      </c>
      <c r="M78" s="227"/>
      <c r="N78" s="227"/>
      <c r="O78" s="227"/>
      <c r="P78" s="227"/>
      <c r="Q78" s="267"/>
      <c r="R78" s="268" t="str">
        <f>IFERROR(IF(A78="","",COUNTIF(Ventes!B5:B504,A78)),"")</f>
        <v>#ERROR!</v>
      </c>
    </row>
    <row r="79">
      <c r="A79" s="269"/>
      <c r="B79" s="270"/>
      <c r="C79" s="235"/>
      <c r="D79" s="235"/>
      <c r="E79" s="235"/>
      <c r="F79" s="235"/>
      <c r="G79" s="235"/>
      <c r="H79" s="235"/>
      <c r="I79" s="235"/>
      <c r="J79" s="235"/>
      <c r="K79" s="235"/>
      <c r="L79" s="270" t="str">
        <f>IF(B79="","",B79+IFERROR(INDEX(Config!B:B,MATCH("DDM appertisation standard (mois)",Config!A:A,0)),36)*30)</f>
        <v>#ERROR!</v>
      </c>
      <c r="M79" s="235"/>
      <c r="N79" s="235"/>
      <c r="O79" s="235"/>
      <c r="P79" s="235"/>
      <c r="Q79" s="267"/>
      <c r="R79" s="268" t="str">
        <f>IFERROR(IF(A79="","",COUNTIF(Ventes!B5:B504,A79)),"")</f>
        <v>#ERROR!</v>
      </c>
    </row>
    <row r="80">
      <c r="A80" s="265"/>
      <c r="B80" s="266"/>
      <c r="C80" s="227"/>
      <c r="D80" s="227"/>
      <c r="E80" s="227"/>
      <c r="F80" s="227"/>
      <c r="G80" s="227"/>
      <c r="H80" s="227"/>
      <c r="I80" s="227"/>
      <c r="J80" s="227"/>
      <c r="K80" s="227"/>
      <c r="L80" s="266" t="str">
        <f>IF(B80="","",B80+IFERROR(INDEX(Config!B:B,MATCH("DDM appertisation standard (mois)",Config!A:A,0)),36)*30)</f>
        <v>#ERROR!</v>
      </c>
      <c r="M80" s="227"/>
      <c r="N80" s="227"/>
      <c r="O80" s="227"/>
      <c r="P80" s="227"/>
      <c r="Q80" s="267"/>
      <c r="R80" s="268" t="str">
        <f>IFERROR(IF(A80="","",COUNTIF(Ventes!B5:B504,A80)),"")</f>
        <v>#ERROR!</v>
      </c>
    </row>
    <row r="81">
      <c r="A81" s="269"/>
      <c r="B81" s="270"/>
      <c r="C81" s="235"/>
      <c r="D81" s="235"/>
      <c r="E81" s="235"/>
      <c r="F81" s="235"/>
      <c r="G81" s="235"/>
      <c r="H81" s="235"/>
      <c r="I81" s="235"/>
      <c r="J81" s="235"/>
      <c r="K81" s="235"/>
      <c r="L81" s="270" t="str">
        <f>IF(B81="","",B81+IFERROR(INDEX(Config!B:B,MATCH("DDM appertisation standard (mois)",Config!A:A,0)),36)*30)</f>
        <v>#ERROR!</v>
      </c>
      <c r="M81" s="235"/>
      <c r="N81" s="235"/>
      <c r="O81" s="235"/>
      <c r="P81" s="235"/>
      <c r="Q81" s="267"/>
      <c r="R81" s="268" t="str">
        <f>IFERROR(IF(A81="","",COUNTIF(Ventes!B5:B504,A81)),"")</f>
        <v>#ERROR!</v>
      </c>
    </row>
    <row r="82">
      <c r="A82" s="265"/>
      <c r="B82" s="266"/>
      <c r="C82" s="227"/>
      <c r="D82" s="227"/>
      <c r="E82" s="227"/>
      <c r="F82" s="227"/>
      <c r="G82" s="227"/>
      <c r="H82" s="227"/>
      <c r="I82" s="227"/>
      <c r="J82" s="227"/>
      <c r="K82" s="227"/>
      <c r="L82" s="266" t="str">
        <f>IF(B82="","",B82+IFERROR(INDEX(Config!B:B,MATCH("DDM appertisation standard (mois)",Config!A:A,0)),36)*30)</f>
        <v>#ERROR!</v>
      </c>
      <c r="M82" s="227"/>
      <c r="N82" s="227"/>
      <c r="O82" s="227"/>
      <c r="P82" s="227"/>
      <c r="Q82" s="267"/>
      <c r="R82" s="268" t="str">
        <f>IFERROR(IF(A82="","",COUNTIF(Ventes!B5:B504,A82)),"")</f>
        <v>#ERROR!</v>
      </c>
    </row>
    <row r="83">
      <c r="A83" s="269"/>
      <c r="B83" s="270"/>
      <c r="C83" s="235"/>
      <c r="D83" s="235"/>
      <c r="E83" s="235"/>
      <c r="F83" s="235"/>
      <c r="G83" s="235"/>
      <c r="H83" s="235"/>
      <c r="I83" s="235"/>
      <c r="J83" s="235"/>
      <c r="K83" s="235"/>
      <c r="L83" s="270" t="str">
        <f>IF(B83="","",B83+IFERROR(INDEX(Config!B:B,MATCH("DDM appertisation standard (mois)",Config!A:A,0)),36)*30)</f>
        <v>#ERROR!</v>
      </c>
      <c r="M83" s="235"/>
      <c r="N83" s="235"/>
      <c r="O83" s="235"/>
      <c r="P83" s="235"/>
      <c r="Q83" s="267"/>
      <c r="R83" s="268" t="str">
        <f>IFERROR(IF(A83="","",COUNTIF(Ventes!B5:B504,A83)),"")</f>
        <v>#ERROR!</v>
      </c>
    </row>
    <row r="84">
      <c r="A84" s="265"/>
      <c r="B84" s="266"/>
      <c r="C84" s="227"/>
      <c r="D84" s="227"/>
      <c r="E84" s="227"/>
      <c r="F84" s="227"/>
      <c r="G84" s="227"/>
      <c r="H84" s="227"/>
      <c r="I84" s="227"/>
      <c r="J84" s="227"/>
      <c r="K84" s="227"/>
      <c r="L84" s="266" t="str">
        <f>IF(B84="","",B84+IFERROR(INDEX(Config!B:B,MATCH("DDM appertisation standard (mois)",Config!A:A,0)),36)*30)</f>
        <v>#ERROR!</v>
      </c>
      <c r="M84" s="227"/>
      <c r="N84" s="227"/>
      <c r="O84" s="227"/>
      <c r="P84" s="227"/>
      <c r="Q84" s="267"/>
      <c r="R84" s="268" t="str">
        <f>IFERROR(IF(A84="","",COUNTIF(Ventes!B5:B504,A84)),"")</f>
        <v>#ERROR!</v>
      </c>
    </row>
    <row r="85">
      <c r="A85" s="269"/>
      <c r="B85" s="270"/>
      <c r="C85" s="235"/>
      <c r="D85" s="235"/>
      <c r="E85" s="235"/>
      <c r="F85" s="235"/>
      <c r="G85" s="235"/>
      <c r="H85" s="235"/>
      <c r="I85" s="235"/>
      <c r="J85" s="235"/>
      <c r="K85" s="235"/>
      <c r="L85" s="270" t="str">
        <f>IF(B85="","",B85+IFERROR(INDEX(Config!B:B,MATCH("DDM appertisation standard (mois)",Config!A:A,0)),36)*30)</f>
        <v>#ERROR!</v>
      </c>
      <c r="M85" s="235"/>
      <c r="N85" s="235"/>
      <c r="O85" s="235"/>
      <c r="P85" s="235"/>
      <c r="Q85" s="267"/>
      <c r="R85" s="268" t="str">
        <f>IFERROR(IF(A85="","",COUNTIF(Ventes!B5:B504,A85)),"")</f>
        <v>#ERROR!</v>
      </c>
    </row>
    <row r="86">
      <c r="A86" s="265"/>
      <c r="B86" s="266"/>
      <c r="C86" s="227"/>
      <c r="D86" s="227"/>
      <c r="E86" s="227"/>
      <c r="F86" s="227"/>
      <c r="G86" s="227"/>
      <c r="H86" s="227"/>
      <c r="I86" s="227"/>
      <c r="J86" s="227"/>
      <c r="K86" s="227"/>
      <c r="L86" s="266" t="str">
        <f>IF(B86="","",B86+IFERROR(INDEX(Config!B:B,MATCH("DDM appertisation standard (mois)",Config!A:A,0)),36)*30)</f>
        <v>#ERROR!</v>
      </c>
      <c r="M86" s="227"/>
      <c r="N86" s="227"/>
      <c r="O86" s="227"/>
      <c r="P86" s="227"/>
      <c r="Q86" s="267"/>
      <c r="R86" s="268" t="str">
        <f>IFERROR(IF(A86="","",COUNTIF(Ventes!B5:B504,A86)),"")</f>
        <v>#ERROR!</v>
      </c>
    </row>
    <row r="87">
      <c r="A87" s="269"/>
      <c r="B87" s="270"/>
      <c r="C87" s="235"/>
      <c r="D87" s="235"/>
      <c r="E87" s="235"/>
      <c r="F87" s="235"/>
      <c r="G87" s="235"/>
      <c r="H87" s="235"/>
      <c r="I87" s="235"/>
      <c r="J87" s="235"/>
      <c r="K87" s="235"/>
      <c r="L87" s="270" t="str">
        <f>IF(B87="","",B87+IFERROR(INDEX(Config!B:B,MATCH("DDM appertisation standard (mois)",Config!A:A,0)),36)*30)</f>
        <v>#ERROR!</v>
      </c>
      <c r="M87" s="235"/>
      <c r="N87" s="235"/>
      <c r="O87" s="235"/>
      <c r="P87" s="235"/>
      <c r="Q87" s="267"/>
      <c r="R87" s="268" t="str">
        <f>IFERROR(IF(A87="","",COUNTIF(Ventes!B5:B504,A87)),"")</f>
        <v>#ERROR!</v>
      </c>
    </row>
    <row r="88">
      <c r="A88" s="265"/>
      <c r="B88" s="266"/>
      <c r="C88" s="227"/>
      <c r="D88" s="227"/>
      <c r="E88" s="227"/>
      <c r="F88" s="227"/>
      <c r="G88" s="227"/>
      <c r="H88" s="227"/>
      <c r="I88" s="227"/>
      <c r="J88" s="227"/>
      <c r="K88" s="227"/>
      <c r="L88" s="266" t="str">
        <f>IF(B88="","",B88+IFERROR(INDEX(Config!B:B,MATCH("DDM appertisation standard (mois)",Config!A:A,0)),36)*30)</f>
        <v>#ERROR!</v>
      </c>
      <c r="M88" s="227"/>
      <c r="N88" s="227"/>
      <c r="O88" s="227"/>
      <c r="P88" s="227"/>
      <c r="Q88" s="267"/>
      <c r="R88" s="268" t="str">
        <f>IFERROR(IF(A88="","",COUNTIF(Ventes!B5:B504,A88)),"")</f>
        <v>#ERROR!</v>
      </c>
    </row>
    <row r="89">
      <c r="A89" s="269"/>
      <c r="B89" s="270"/>
      <c r="C89" s="235"/>
      <c r="D89" s="235"/>
      <c r="E89" s="235"/>
      <c r="F89" s="235"/>
      <c r="G89" s="235"/>
      <c r="H89" s="235"/>
      <c r="I89" s="235"/>
      <c r="J89" s="235"/>
      <c r="K89" s="235"/>
      <c r="L89" s="270" t="str">
        <f>IF(B89="","",B89+IFERROR(INDEX(Config!B:B,MATCH("DDM appertisation standard (mois)",Config!A:A,0)),36)*30)</f>
        <v>#ERROR!</v>
      </c>
      <c r="M89" s="235"/>
      <c r="N89" s="235"/>
      <c r="O89" s="235"/>
      <c r="P89" s="235"/>
      <c r="Q89" s="267"/>
      <c r="R89" s="268" t="str">
        <f>IFERROR(IF(A89="","",COUNTIF(Ventes!B5:B504,A89)),"")</f>
        <v>#ERROR!</v>
      </c>
    </row>
    <row r="90">
      <c r="A90" s="265"/>
      <c r="B90" s="266"/>
      <c r="C90" s="227"/>
      <c r="D90" s="227"/>
      <c r="E90" s="227"/>
      <c r="F90" s="227"/>
      <c r="G90" s="227"/>
      <c r="H90" s="227"/>
      <c r="I90" s="227"/>
      <c r="J90" s="227"/>
      <c r="K90" s="227"/>
      <c r="L90" s="266" t="str">
        <f>IF(B90="","",B90+IFERROR(INDEX(Config!B:B,MATCH("DDM appertisation standard (mois)",Config!A:A,0)),36)*30)</f>
        <v>#ERROR!</v>
      </c>
      <c r="M90" s="227"/>
      <c r="N90" s="227"/>
      <c r="O90" s="227"/>
      <c r="P90" s="227"/>
      <c r="Q90" s="267"/>
      <c r="R90" s="268" t="str">
        <f>IFERROR(IF(A90="","",COUNTIF(Ventes!B5:B504,A90)),"")</f>
        <v>#ERROR!</v>
      </c>
    </row>
    <row r="91">
      <c r="A91" s="269"/>
      <c r="B91" s="270"/>
      <c r="C91" s="235"/>
      <c r="D91" s="235"/>
      <c r="E91" s="235"/>
      <c r="F91" s="235"/>
      <c r="G91" s="235"/>
      <c r="H91" s="235"/>
      <c r="I91" s="235"/>
      <c r="J91" s="235"/>
      <c r="K91" s="235"/>
      <c r="L91" s="270" t="str">
        <f>IF(B91="","",B91+IFERROR(INDEX(Config!B:B,MATCH("DDM appertisation standard (mois)",Config!A:A,0)),36)*30)</f>
        <v>#ERROR!</v>
      </c>
      <c r="M91" s="235"/>
      <c r="N91" s="235"/>
      <c r="O91" s="235"/>
      <c r="P91" s="235"/>
      <c r="Q91" s="267"/>
      <c r="R91" s="268" t="str">
        <f>IFERROR(IF(A91="","",COUNTIF(Ventes!B5:B504,A91)),"")</f>
        <v>#ERROR!</v>
      </c>
    </row>
    <row r="92">
      <c r="A92" s="265"/>
      <c r="B92" s="266"/>
      <c r="C92" s="227"/>
      <c r="D92" s="227"/>
      <c r="E92" s="227"/>
      <c r="F92" s="227"/>
      <c r="G92" s="227"/>
      <c r="H92" s="227"/>
      <c r="I92" s="227"/>
      <c r="J92" s="227"/>
      <c r="K92" s="227"/>
      <c r="L92" s="266" t="str">
        <f>IF(B92="","",B92+IFERROR(INDEX(Config!B:B,MATCH("DDM appertisation standard (mois)",Config!A:A,0)),36)*30)</f>
        <v>#ERROR!</v>
      </c>
      <c r="M92" s="227"/>
      <c r="N92" s="227"/>
      <c r="O92" s="227"/>
      <c r="P92" s="227"/>
      <c r="Q92" s="267"/>
      <c r="R92" s="268" t="str">
        <f>IFERROR(IF(A92="","",COUNTIF(Ventes!B5:B504,A92)),"")</f>
        <v>#ERROR!</v>
      </c>
    </row>
    <row r="93">
      <c r="A93" s="269"/>
      <c r="B93" s="270"/>
      <c r="C93" s="235"/>
      <c r="D93" s="235"/>
      <c r="E93" s="235"/>
      <c r="F93" s="235"/>
      <c r="G93" s="235"/>
      <c r="H93" s="235"/>
      <c r="I93" s="235"/>
      <c r="J93" s="235"/>
      <c r="K93" s="235"/>
      <c r="L93" s="270" t="str">
        <f>IF(B93="","",B93+IFERROR(INDEX(Config!B:B,MATCH("DDM appertisation standard (mois)",Config!A:A,0)),36)*30)</f>
        <v>#ERROR!</v>
      </c>
      <c r="M93" s="235"/>
      <c r="N93" s="235"/>
      <c r="O93" s="235"/>
      <c r="P93" s="235"/>
      <c r="Q93" s="267"/>
      <c r="R93" s="268" t="str">
        <f>IFERROR(IF(A93="","",COUNTIF(Ventes!B5:B504,A93)),"")</f>
        <v>#ERROR!</v>
      </c>
    </row>
    <row r="94">
      <c r="A94" s="265"/>
      <c r="B94" s="266"/>
      <c r="C94" s="227"/>
      <c r="D94" s="227"/>
      <c r="E94" s="227"/>
      <c r="F94" s="227"/>
      <c r="G94" s="227"/>
      <c r="H94" s="227"/>
      <c r="I94" s="227"/>
      <c r="J94" s="227"/>
      <c r="K94" s="227"/>
      <c r="L94" s="266" t="str">
        <f>IF(B94="","",B94+IFERROR(INDEX(Config!B:B,MATCH("DDM appertisation standard (mois)",Config!A:A,0)),36)*30)</f>
        <v>#ERROR!</v>
      </c>
      <c r="M94" s="227"/>
      <c r="N94" s="227"/>
      <c r="O94" s="227"/>
      <c r="P94" s="227"/>
      <c r="Q94" s="267"/>
      <c r="R94" s="268" t="str">
        <f>IFERROR(IF(A94="","",COUNTIF(Ventes!B5:B504,A94)),"")</f>
        <v>#ERROR!</v>
      </c>
    </row>
    <row r="95">
      <c r="A95" s="269"/>
      <c r="B95" s="270"/>
      <c r="C95" s="235"/>
      <c r="D95" s="235"/>
      <c r="E95" s="235"/>
      <c r="F95" s="235"/>
      <c r="G95" s="235"/>
      <c r="H95" s="235"/>
      <c r="I95" s="235"/>
      <c r="J95" s="235"/>
      <c r="K95" s="235"/>
      <c r="L95" s="270" t="str">
        <f>IF(B95="","",B95+IFERROR(INDEX(Config!B:B,MATCH("DDM appertisation standard (mois)",Config!A:A,0)),36)*30)</f>
        <v>#ERROR!</v>
      </c>
      <c r="M95" s="235"/>
      <c r="N95" s="235"/>
      <c r="O95" s="235"/>
      <c r="P95" s="235"/>
      <c r="Q95" s="267"/>
      <c r="R95" s="268" t="str">
        <f>IFERROR(IF(A95="","",COUNTIF(Ventes!B5:B504,A95)),"")</f>
        <v>#ERROR!</v>
      </c>
    </row>
    <row r="96">
      <c r="A96" s="265"/>
      <c r="B96" s="266"/>
      <c r="C96" s="227"/>
      <c r="D96" s="227"/>
      <c r="E96" s="227"/>
      <c r="F96" s="227"/>
      <c r="G96" s="227"/>
      <c r="H96" s="227"/>
      <c r="I96" s="227"/>
      <c r="J96" s="227"/>
      <c r="K96" s="227"/>
      <c r="L96" s="266" t="str">
        <f>IF(B96="","",B96+IFERROR(INDEX(Config!B:B,MATCH("DDM appertisation standard (mois)",Config!A:A,0)),36)*30)</f>
        <v>#ERROR!</v>
      </c>
      <c r="M96" s="227"/>
      <c r="N96" s="227"/>
      <c r="O96" s="227"/>
      <c r="P96" s="227"/>
      <c r="Q96" s="267"/>
      <c r="R96" s="268" t="str">
        <f>IFERROR(IF(A96="","",COUNTIF(Ventes!B5:B504,A96)),"")</f>
        <v>#ERROR!</v>
      </c>
    </row>
    <row r="97">
      <c r="A97" s="269"/>
      <c r="B97" s="270"/>
      <c r="C97" s="235"/>
      <c r="D97" s="235"/>
      <c r="E97" s="235"/>
      <c r="F97" s="235"/>
      <c r="G97" s="235"/>
      <c r="H97" s="235"/>
      <c r="I97" s="235"/>
      <c r="J97" s="235"/>
      <c r="K97" s="235"/>
      <c r="L97" s="270" t="str">
        <f>IF(B97="","",B97+IFERROR(INDEX(Config!B:B,MATCH("DDM appertisation standard (mois)",Config!A:A,0)),36)*30)</f>
        <v>#ERROR!</v>
      </c>
      <c r="M97" s="235"/>
      <c r="N97" s="235"/>
      <c r="O97" s="235"/>
      <c r="P97" s="235"/>
      <c r="Q97" s="267"/>
      <c r="R97" s="268" t="str">
        <f>IFERROR(IF(A97="","",COUNTIF(Ventes!B5:B504,A97)),"")</f>
        <v>#ERROR!</v>
      </c>
    </row>
    <row r="98">
      <c r="A98" s="265"/>
      <c r="B98" s="266"/>
      <c r="C98" s="227"/>
      <c r="D98" s="227"/>
      <c r="E98" s="227"/>
      <c r="F98" s="227"/>
      <c r="G98" s="227"/>
      <c r="H98" s="227"/>
      <c r="I98" s="227"/>
      <c r="J98" s="227"/>
      <c r="K98" s="227"/>
      <c r="L98" s="266" t="str">
        <f>IF(B98="","",B98+IFERROR(INDEX(Config!B:B,MATCH("DDM appertisation standard (mois)",Config!A:A,0)),36)*30)</f>
        <v>#ERROR!</v>
      </c>
      <c r="M98" s="227"/>
      <c r="N98" s="227"/>
      <c r="O98" s="227"/>
      <c r="P98" s="227"/>
      <c r="Q98" s="267"/>
      <c r="R98" s="268" t="str">
        <f>IFERROR(IF(A98="","",COUNTIF(Ventes!B5:B504,A98)),"")</f>
        <v>#ERROR!</v>
      </c>
    </row>
    <row r="99">
      <c r="A99" s="269"/>
      <c r="B99" s="270"/>
      <c r="C99" s="235"/>
      <c r="D99" s="235"/>
      <c r="E99" s="235"/>
      <c r="F99" s="235"/>
      <c r="G99" s="235"/>
      <c r="H99" s="235"/>
      <c r="I99" s="235"/>
      <c r="J99" s="235"/>
      <c r="K99" s="235"/>
      <c r="L99" s="270" t="str">
        <f>IF(B99="","",B99+IFERROR(INDEX(Config!B:B,MATCH("DDM appertisation standard (mois)",Config!A:A,0)),36)*30)</f>
        <v>#ERROR!</v>
      </c>
      <c r="M99" s="235"/>
      <c r="N99" s="235"/>
      <c r="O99" s="235"/>
      <c r="P99" s="235"/>
      <c r="Q99" s="267"/>
      <c r="R99" s="268" t="str">
        <f>IFERROR(IF(A99="","",COUNTIF(Ventes!B5:B504,A99)),"")</f>
        <v>#ERROR!</v>
      </c>
    </row>
    <row r="100">
      <c r="A100" s="265"/>
      <c r="B100" s="266"/>
      <c r="C100" s="227"/>
      <c r="D100" s="227"/>
      <c r="E100" s="227"/>
      <c r="F100" s="227"/>
      <c r="G100" s="227"/>
      <c r="H100" s="227"/>
      <c r="I100" s="227"/>
      <c r="J100" s="227"/>
      <c r="K100" s="227"/>
      <c r="L100" s="266" t="str">
        <f>IF(B100="","",B100+IFERROR(INDEX(Config!B:B,MATCH("DDM appertisation standard (mois)",Config!A:A,0)),36)*30)</f>
        <v>#ERROR!</v>
      </c>
      <c r="M100" s="227"/>
      <c r="N100" s="227"/>
      <c r="O100" s="227"/>
      <c r="P100" s="227"/>
      <c r="Q100" s="267"/>
      <c r="R100" s="268" t="str">
        <f>IFERROR(IF(A100="","",COUNTIF(Ventes!B5:B504,A100)),"")</f>
        <v>#ERROR!</v>
      </c>
    </row>
    <row r="101">
      <c r="A101" s="269"/>
      <c r="B101" s="270"/>
      <c r="C101" s="235"/>
      <c r="D101" s="235"/>
      <c r="E101" s="235"/>
      <c r="F101" s="235"/>
      <c r="G101" s="235"/>
      <c r="H101" s="235"/>
      <c r="I101" s="235"/>
      <c r="J101" s="235"/>
      <c r="K101" s="235"/>
      <c r="L101" s="270" t="str">
        <f>IF(B101="","",B101+IFERROR(INDEX(Config!B:B,MATCH("DDM appertisation standard (mois)",Config!A:A,0)),36)*30)</f>
        <v>#ERROR!</v>
      </c>
      <c r="M101" s="235"/>
      <c r="N101" s="235"/>
      <c r="O101" s="235"/>
      <c r="P101" s="235"/>
      <c r="Q101" s="267"/>
      <c r="R101" s="268" t="str">
        <f>IFERROR(IF(A101="","",COUNTIF(Ventes!B5:B504,A101)),"")</f>
        <v>#ERROR!</v>
      </c>
    </row>
    <row r="102">
      <c r="A102" s="265"/>
      <c r="B102" s="266"/>
      <c r="C102" s="227"/>
      <c r="D102" s="227"/>
      <c r="E102" s="227"/>
      <c r="F102" s="227"/>
      <c r="G102" s="227"/>
      <c r="H102" s="227"/>
      <c r="I102" s="227"/>
      <c r="J102" s="227"/>
      <c r="K102" s="227"/>
      <c r="L102" s="266" t="str">
        <f>IF(B102="","",B102+IFERROR(INDEX(Config!B:B,MATCH("DDM appertisation standard (mois)",Config!A:A,0)),36)*30)</f>
        <v>#ERROR!</v>
      </c>
      <c r="M102" s="227"/>
      <c r="N102" s="227"/>
      <c r="O102" s="227"/>
      <c r="P102" s="227"/>
      <c r="Q102" s="267"/>
      <c r="R102" s="268" t="str">
        <f>IFERROR(IF(A102="","",COUNTIF(Ventes!B5:B504,A102)),"")</f>
        <v>#ERROR!</v>
      </c>
    </row>
    <row r="103">
      <c r="A103" s="269"/>
      <c r="B103" s="270"/>
      <c r="C103" s="235"/>
      <c r="D103" s="235"/>
      <c r="E103" s="235"/>
      <c r="F103" s="235"/>
      <c r="G103" s="235"/>
      <c r="H103" s="235"/>
      <c r="I103" s="235"/>
      <c r="J103" s="235"/>
      <c r="K103" s="235"/>
      <c r="L103" s="270" t="str">
        <f>IF(B103="","",B103+IFERROR(INDEX(Config!B:B,MATCH("DDM appertisation standard (mois)",Config!A:A,0)),36)*30)</f>
        <v>#ERROR!</v>
      </c>
      <c r="M103" s="235"/>
      <c r="N103" s="235"/>
      <c r="O103" s="235"/>
      <c r="P103" s="235"/>
      <c r="Q103" s="267"/>
      <c r="R103" s="268" t="str">
        <f>IFERROR(IF(A103="","",COUNTIF(Ventes!B5:B504,A103)),"")</f>
        <v>#ERROR!</v>
      </c>
    </row>
    <row r="104">
      <c r="A104" s="265"/>
      <c r="B104" s="266"/>
      <c r="C104" s="227"/>
      <c r="D104" s="227"/>
      <c r="E104" s="227"/>
      <c r="F104" s="227"/>
      <c r="G104" s="227"/>
      <c r="H104" s="227"/>
      <c r="I104" s="227"/>
      <c r="J104" s="227"/>
      <c r="K104" s="227"/>
      <c r="L104" s="266" t="str">
        <f>IF(B104="","",B104+IFERROR(INDEX(Config!B:B,MATCH("DDM appertisation standard (mois)",Config!A:A,0)),36)*30)</f>
        <v>#ERROR!</v>
      </c>
      <c r="M104" s="227"/>
      <c r="N104" s="227"/>
      <c r="O104" s="227"/>
      <c r="P104" s="227"/>
      <c r="Q104" s="267"/>
      <c r="R104" s="268" t="str">
        <f>IFERROR(IF(A104="","",COUNTIF(Ventes!B5:B504,A104)),"")</f>
        <v>#ERROR!</v>
      </c>
    </row>
    <row r="105">
      <c r="A105" s="269"/>
      <c r="B105" s="270"/>
      <c r="C105" s="235"/>
      <c r="D105" s="235"/>
      <c r="E105" s="235"/>
      <c r="F105" s="235"/>
      <c r="G105" s="235"/>
      <c r="H105" s="235"/>
      <c r="I105" s="235"/>
      <c r="J105" s="235"/>
      <c r="K105" s="235"/>
      <c r="L105" s="270" t="str">
        <f>IF(B105="","",B105+IFERROR(INDEX(Config!B:B,MATCH("DDM appertisation standard (mois)",Config!A:A,0)),36)*30)</f>
        <v>#ERROR!</v>
      </c>
      <c r="M105" s="235"/>
      <c r="N105" s="235"/>
      <c r="O105" s="235"/>
      <c r="P105" s="235"/>
      <c r="Q105" s="267"/>
      <c r="R105" s="268" t="str">
        <f>IFERROR(IF(A105="","",COUNTIF(Ventes!B5:B504,A105)),"")</f>
        <v>#ERROR!</v>
      </c>
    </row>
    <row r="106">
      <c r="A106" s="265"/>
      <c r="B106" s="266"/>
      <c r="C106" s="227"/>
      <c r="D106" s="227"/>
      <c r="E106" s="227"/>
      <c r="F106" s="227"/>
      <c r="G106" s="227"/>
      <c r="H106" s="227"/>
      <c r="I106" s="227"/>
      <c r="J106" s="227"/>
      <c r="K106" s="227"/>
      <c r="L106" s="266" t="str">
        <f>IF(B106="","",B106+IFERROR(INDEX(Config!B:B,MATCH("DDM appertisation standard (mois)",Config!A:A,0)),36)*30)</f>
        <v>#ERROR!</v>
      </c>
      <c r="M106" s="227"/>
      <c r="N106" s="227"/>
      <c r="O106" s="227"/>
      <c r="P106" s="227"/>
      <c r="Q106" s="267"/>
      <c r="R106" s="268" t="str">
        <f>IFERROR(IF(A106="","",COUNTIF(Ventes!B5:B504,A106)),"")</f>
        <v>#ERROR!</v>
      </c>
    </row>
    <row r="107">
      <c r="A107" s="269"/>
      <c r="B107" s="270"/>
      <c r="C107" s="235"/>
      <c r="D107" s="235"/>
      <c r="E107" s="235"/>
      <c r="F107" s="235"/>
      <c r="G107" s="235"/>
      <c r="H107" s="235"/>
      <c r="I107" s="235"/>
      <c r="J107" s="235"/>
      <c r="K107" s="235"/>
      <c r="L107" s="270" t="str">
        <f>IF(B107="","",B107+IFERROR(INDEX(Config!B:B,MATCH("DDM appertisation standard (mois)",Config!A:A,0)),36)*30)</f>
        <v>#ERROR!</v>
      </c>
      <c r="M107" s="235"/>
      <c r="N107" s="235"/>
      <c r="O107" s="235"/>
      <c r="P107" s="235"/>
      <c r="Q107" s="267"/>
      <c r="R107" s="268" t="str">
        <f>IFERROR(IF(A107="","",COUNTIF(Ventes!B5:B504,A107)),"")</f>
        <v>#ERROR!</v>
      </c>
    </row>
    <row r="108">
      <c r="A108" s="265"/>
      <c r="B108" s="266"/>
      <c r="C108" s="227"/>
      <c r="D108" s="227"/>
      <c r="E108" s="227"/>
      <c r="F108" s="227"/>
      <c r="G108" s="227"/>
      <c r="H108" s="227"/>
      <c r="I108" s="227"/>
      <c r="J108" s="227"/>
      <c r="K108" s="227"/>
      <c r="L108" s="266" t="str">
        <f>IF(B108="","",B108+IFERROR(INDEX(Config!B:B,MATCH("DDM appertisation standard (mois)",Config!A:A,0)),36)*30)</f>
        <v>#ERROR!</v>
      </c>
      <c r="M108" s="227"/>
      <c r="N108" s="227"/>
      <c r="O108" s="227"/>
      <c r="P108" s="227"/>
      <c r="Q108" s="267"/>
      <c r="R108" s="268" t="str">
        <f>IFERROR(IF(A108="","",COUNTIF(Ventes!B5:B504,A108)),"")</f>
        <v>#ERROR!</v>
      </c>
    </row>
    <row r="109">
      <c r="A109" s="269"/>
      <c r="B109" s="270"/>
      <c r="C109" s="235"/>
      <c r="D109" s="235"/>
      <c r="E109" s="235"/>
      <c r="F109" s="235"/>
      <c r="G109" s="235"/>
      <c r="H109" s="235"/>
      <c r="I109" s="235"/>
      <c r="J109" s="235"/>
      <c r="K109" s="235"/>
      <c r="L109" s="270" t="str">
        <f>IF(B109="","",B109+IFERROR(INDEX(Config!B:B,MATCH("DDM appertisation standard (mois)",Config!A:A,0)),36)*30)</f>
        <v>#ERROR!</v>
      </c>
      <c r="M109" s="235"/>
      <c r="N109" s="235"/>
      <c r="O109" s="235"/>
      <c r="P109" s="235"/>
      <c r="Q109" s="267"/>
      <c r="R109" s="268" t="str">
        <f>IFERROR(IF(A109="","",COUNTIF(Ventes!B5:B504,A109)),"")</f>
        <v>#ERROR!</v>
      </c>
    </row>
    <row r="110">
      <c r="A110" s="265"/>
      <c r="B110" s="266"/>
      <c r="C110" s="227"/>
      <c r="D110" s="227"/>
      <c r="E110" s="227"/>
      <c r="F110" s="227"/>
      <c r="G110" s="227"/>
      <c r="H110" s="227"/>
      <c r="I110" s="227"/>
      <c r="J110" s="227"/>
      <c r="K110" s="227"/>
      <c r="L110" s="266" t="str">
        <f>IF(B110="","",B110+IFERROR(INDEX(Config!B:B,MATCH("DDM appertisation standard (mois)",Config!A:A,0)),36)*30)</f>
        <v>#ERROR!</v>
      </c>
      <c r="M110" s="227"/>
      <c r="N110" s="227"/>
      <c r="O110" s="227"/>
      <c r="P110" s="227"/>
      <c r="Q110" s="267"/>
      <c r="R110" s="268" t="str">
        <f>IFERROR(IF(A110="","",COUNTIF(Ventes!B5:B504,A110)),"")</f>
        <v>#ERROR!</v>
      </c>
    </row>
    <row r="111">
      <c r="A111" s="269"/>
      <c r="B111" s="270"/>
      <c r="C111" s="235"/>
      <c r="D111" s="235"/>
      <c r="E111" s="235"/>
      <c r="F111" s="235"/>
      <c r="G111" s="235"/>
      <c r="H111" s="235"/>
      <c r="I111" s="235"/>
      <c r="J111" s="235"/>
      <c r="K111" s="235"/>
      <c r="L111" s="270" t="str">
        <f>IF(B111="","",B111+IFERROR(INDEX(Config!B:B,MATCH("DDM appertisation standard (mois)",Config!A:A,0)),36)*30)</f>
        <v>#ERROR!</v>
      </c>
      <c r="M111" s="235"/>
      <c r="N111" s="235"/>
      <c r="O111" s="235"/>
      <c r="P111" s="235"/>
      <c r="Q111" s="267"/>
      <c r="R111" s="268" t="str">
        <f>IFERROR(IF(A111="","",COUNTIF(Ventes!B5:B504,A111)),"")</f>
        <v>#ERROR!</v>
      </c>
    </row>
    <row r="112">
      <c r="A112" s="265"/>
      <c r="B112" s="266"/>
      <c r="C112" s="227"/>
      <c r="D112" s="227"/>
      <c r="E112" s="227"/>
      <c r="F112" s="227"/>
      <c r="G112" s="227"/>
      <c r="H112" s="227"/>
      <c r="I112" s="227"/>
      <c r="J112" s="227"/>
      <c r="K112" s="227"/>
      <c r="L112" s="266" t="str">
        <f>IF(B112="","",B112+IFERROR(INDEX(Config!B:B,MATCH("DDM appertisation standard (mois)",Config!A:A,0)),36)*30)</f>
        <v>#ERROR!</v>
      </c>
      <c r="M112" s="227"/>
      <c r="N112" s="227"/>
      <c r="O112" s="227"/>
      <c r="P112" s="227"/>
      <c r="Q112" s="267"/>
      <c r="R112" s="268" t="str">
        <f>IFERROR(IF(A112="","",COUNTIF(Ventes!B5:B504,A112)),"")</f>
        <v>#ERROR!</v>
      </c>
    </row>
    <row r="113">
      <c r="A113" s="269"/>
      <c r="B113" s="270"/>
      <c r="C113" s="235"/>
      <c r="D113" s="235"/>
      <c r="E113" s="235"/>
      <c r="F113" s="235"/>
      <c r="G113" s="235"/>
      <c r="H113" s="235"/>
      <c r="I113" s="235"/>
      <c r="J113" s="235"/>
      <c r="K113" s="235"/>
      <c r="L113" s="270" t="str">
        <f>IF(B113="","",B113+IFERROR(INDEX(Config!B:B,MATCH("DDM appertisation standard (mois)",Config!A:A,0)),36)*30)</f>
        <v>#ERROR!</v>
      </c>
      <c r="M113" s="235"/>
      <c r="N113" s="235"/>
      <c r="O113" s="235"/>
      <c r="P113" s="235"/>
      <c r="Q113" s="267"/>
      <c r="R113" s="268" t="str">
        <f>IFERROR(IF(A113="","",COUNTIF(Ventes!B5:B504,A113)),"")</f>
        <v>#ERROR!</v>
      </c>
    </row>
    <row r="114">
      <c r="A114" s="265"/>
      <c r="B114" s="266"/>
      <c r="C114" s="227"/>
      <c r="D114" s="227"/>
      <c r="E114" s="227"/>
      <c r="F114" s="227"/>
      <c r="G114" s="227"/>
      <c r="H114" s="227"/>
      <c r="I114" s="227"/>
      <c r="J114" s="227"/>
      <c r="K114" s="227"/>
      <c r="L114" s="266" t="str">
        <f>IF(B114="","",B114+IFERROR(INDEX(Config!B:B,MATCH("DDM appertisation standard (mois)",Config!A:A,0)),36)*30)</f>
        <v>#ERROR!</v>
      </c>
      <c r="M114" s="227"/>
      <c r="N114" s="227"/>
      <c r="O114" s="227"/>
      <c r="P114" s="227"/>
      <c r="Q114" s="267"/>
      <c r="R114" s="268" t="str">
        <f>IFERROR(IF(A114="","",COUNTIF(Ventes!B5:B504,A114)),"")</f>
        <v>#ERROR!</v>
      </c>
    </row>
    <row r="115">
      <c r="A115" s="269"/>
      <c r="B115" s="270"/>
      <c r="C115" s="235"/>
      <c r="D115" s="235"/>
      <c r="E115" s="235"/>
      <c r="F115" s="235"/>
      <c r="G115" s="235"/>
      <c r="H115" s="235"/>
      <c r="I115" s="235"/>
      <c r="J115" s="235"/>
      <c r="K115" s="235"/>
      <c r="L115" s="270" t="str">
        <f>IF(B115="","",B115+IFERROR(INDEX(Config!B:B,MATCH("DDM appertisation standard (mois)",Config!A:A,0)),36)*30)</f>
        <v>#ERROR!</v>
      </c>
      <c r="M115" s="235"/>
      <c r="N115" s="235"/>
      <c r="O115" s="235"/>
      <c r="P115" s="235"/>
      <c r="Q115" s="267"/>
      <c r="R115" s="268" t="str">
        <f>IFERROR(IF(A115="","",COUNTIF(Ventes!B5:B504,A115)),"")</f>
        <v>#ERROR!</v>
      </c>
    </row>
    <row r="116">
      <c r="A116" s="265"/>
      <c r="B116" s="266"/>
      <c r="C116" s="227"/>
      <c r="D116" s="227"/>
      <c r="E116" s="227"/>
      <c r="F116" s="227"/>
      <c r="G116" s="227"/>
      <c r="H116" s="227"/>
      <c r="I116" s="227"/>
      <c r="J116" s="227"/>
      <c r="K116" s="227"/>
      <c r="L116" s="266" t="str">
        <f>IF(B116="","",B116+IFERROR(INDEX(Config!B:B,MATCH("DDM appertisation standard (mois)",Config!A:A,0)),36)*30)</f>
        <v>#ERROR!</v>
      </c>
      <c r="M116" s="227"/>
      <c r="N116" s="227"/>
      <c r="O116" s="227"/>
      <c r="P116" s="227"/>
      <c r="Q116" s="267"/>
      <c r="R116" s="268" t="str">
        <f>IFERROR(IF(A116="","",COUNTIF(Ventes!B5:B504,A116)),"")</f>
        <v>#ERROR!</v>
      </c>
    </row>
    <row r="117">
      <c r="A117" s="269"/>
      <c r="B117" s="270"/>
      <c r="C117" s="235"/>
      <c r="D117" s="235"/>
      <c r="E117" s="235"/>
      <c r="F117" s="235"/>
      <c r="G117" s="235"/>
      <c r="H117" s="235"/>
      <c r="I117" s="235"/>
      <c r="J117" s="235"/>
      <c r="K117" s="235"/>
      <c r="L117" s="270" t="str">
        <f>IF(B117="","",B117+IFERROR(INDEX(Config!B:B,MATCH("DDM appertisation standard (mois)",Config!A:A,0)),36)*30)</f>
        <v>#ERROR!</v>
      </c>
      <c r="M117" s="235"/>
      <c r="N117" s="235"/>
      <c r="O117" s="235"/>
      <c r="P117" s="235"/>
      <c r="Q117" s="267"/>
      <c r="R117" s="268" t="str">
        <f>IFERROR(IF(A117="","",COUNTIF(Ventes!B5:B504,A117)),"")</f>
        <v>#ERROR!</v>
      </c>
    </row>
    <row r="118">
      <c r="A118" s="265"/>
      <c r="B118" s="266"/>
      <c r="C118" s="227"/>
      <c r="D118" s="227"/>
      <c r="E118" s="227"/>
      <c r="F118" s="227"/>
      <c r="G118" s="227"/>
      <c r="H118" s="227"/>
      <c r="I118" s="227"/>
      <c r="J118" s="227"/>
      <c r="K118" s="227"/>
      <c r="L118" s="266" t="str">
        <f>IF(B118="","",B118+IFERROR(INDEX(Config!B:B,MATCH("DDM appertisation standard (mois)",Config!A:A,0)),36)*30)</f>
        <v>#ERROR!</v>
      </c>
      <c r="M118" s="227"/>
      <c r="N118" s="227"/>
      <c r="O118" s="227"/>
      <c r="P118" s="227"/>
      <c r="Q118" s="267"/>
      <c r="R118" s="268" t="str">
        <f>IFERROR(IF(A118="","",COUNTIF(Ventes!B5:B504,A118)),"")</f>
        <v>#ERROR!</v>
      </c>
    </row>
    <row r="119">
      <c r="A119" s="269"/>
      <c r="B119" s="270"/>
      <c r="C119" s="235"/>
      <c r="D119" s="235"/>
      <c r="E119" s="235"/>
      <c r="F119" s="235"/>
      <c r="G119" s="235"/>
      <c r="H119" s="235"/>
      <c r="I119" s="235"/>
      <c r="J119" s="235"/>
      <c r="K119" s="235"/>
      <c r="L119" s="270" t="str">
        <f>IF(B119="","",B119+IFERROR(INDEX(Config!B:B,MATCH("DDM appertisation standard (mois)",Config!A:A,0)),36)*30)</f>
        <v>#ERROR!</v>
      </c>
      <c r="M119" s="235"/>
      <c r="N119" s="235"/>
      <c r="O119" s="235"/>
      <c r="P119" s="235"/>
      <c r="Q119" s="267"/>
      <c r="R119" s="268" t="str">
        <f>IFERROR(IF(A119="","",COUNTIF(Ventes!B5:B504,A119)),"")</f>
        <v>#ERROR!</v>
      </c>
    </row>
    <row r="120">
      <c r="A120" s="265"/>
      <c r="B120" s="266"/>
      <c r="C120" s="227"/>
      <c r="D120" s="227"/>
      <c r="E120" s="227"/>
      <c r="F120" s="227"/>
      <c r="G120" s="227"/>
      <c r="H120" s="227"/>
      <c r="I120" s="227"/>
      <c r="J120" s="227"/>
      <c r="K120" s="227"/>
      <c r="L120" s="266" t="str">
        <f>IF(B120="","",B120+IFERROR(INDEX(Config!B:B,MATCH("DDM appertisation standard (mois)",Config!A:A,0)),36)*30)</f>
        <v>#ERROR!</v>
      </c>
      <c r="M120" s="227"/>
      <c r="N120" s="227"/>
      <c r="O120" s="227"/>
      <c r="P120" s="227"/>
      <c r="Q120" s="267"/>
      <c r="R120" s="268" t="str">
        <f>IFERROR(IF(A120="","",COUNTIF(Ventes!B5:B504,A120)),"")</f>
        <v>#ERROR!</v>
      </c>
    </row>
    <row r="121">
      <c r="A121" s="269"/>
      <c r="B121" s="270"/>
      <c r="C121" s="235"/>
      <c r="D121" s="235"/>
      <c r="E121" s="235"/>
      <c r="F121" s="235"/>
      <c r="G121" s="235"/>
      <c r="H121" s="235"/>
      <c r="I121" s="235"/>
      <c r="J121" s="235"/>
      <c r="K121" s="235"/>
      <c r="L121" s="270" t="str">
        <f>IF(B121="","",B121+IFERROR(INDEX(Config!B:B,MATCH("DDM appertisation standard (mois)",Config!A:A,0)),36)*30)</f>
        <v>#ERROR!</v>
      </c>
      <c r="M121" s="235"/>
      <c r="N121" s="235"/>
      <c r="O121" s="235"/>
      <c r="P121" s="235"/>
      <c r="Q121" s="267"/>
      <c r="R121" s="268" t="str">
        <f>IFERROR(IF(A121="","",COUNTIF(Ventes!B5:B504,A121)),"")</f>
        <v>#ERROR!</v>
      </c>
    </row>
    <row r="122">
      <c r="A122" s="265"/>
      <c r="B122" s="266"/>
      <c r="C122" s="227"/>
      <c r="D122" s="227"/>
      <c r="E122" s="227"/>
      <c r="F122" s="227"/>
      <c r="G122" s="227"/>
      <c r="H122" s="227"/>
      <c r="I122" s="227"/>
      <c r="J122" s="227"/>
      <c r="K122" s="227"/>
      <c r="L122" s="266" t="str">
        <f>IF(B122="","",B122+IFERROR(INDEX(Config!B:B,MATCH("DDM appertisation standard (mois)",Config!A:A,0)),36)*30)</f>
        <v>#ERROR!</v>
      </c>
      <c r="M122" s="227"/>
      <c r="N122" s="227"/>
      <c r="O122" s="227"/>
      <c r="P122" s="227"/>
      <c r="Q122" s="267"/>
      <c r="R122" s="268" t="str">
        <f>IFERROR(IF(A122="","",COUNTIF(Ventes!B5:B504,A122)),"")</f>
        <v>#ERROR!</v>
      </c>
    </row>
    <row r="123">
      <c r="A123" s="269"/>
      <c r="B123" s="270"/>
      <c r="C123" s="235"/>
      <c r="D123" s="235"/>
      <c r="E123" s="235"/>
      <c r="F123" s="235"/>
      <c r="G123" s="235"/>
      <c r="H123" s="235"/>
      <c r="I123" s="235"/>
      <c r="J123" s="235"/>
      <c r="K123" s="235"/>
      <c r="L123" s="270" t="str">
        <f>IF(B123="","",B123+IFERROR(INDEX(Config!B:B,MATCH("DDM appertisation standard (mois)",Config!A:A,0)),36)*30)</f>
        <v>#ERROR!</v>
      </c>
      <c r="M123" s="235"/>
      <c r="N123" s="235"/>
      <c r="O123" s="235"/>
      <c r="P123" s="235"/>
      <c r="Q123" s="267"/>
      <c r="R123" s="268" t="str">
        <f>IFERROR(IF(A123="","",COUNTIF(Ventes!B5:B504,A123)),"")</f>
        <v>#ERROR!</v>
      </c>
    </row>
    <row r="124">
      <c r="A124" s="265"/>
      <c r="B124" s="266"/>
      <c r="C124" s="227"/>
      <c r="D124" s="227"/>
      <c r="E124" s="227"/>
      <c r="F124" s="227"/>
      <c r="G124" s="227"/>
      <c r="H124" s="227"/>
      <c r="I124" s="227"/>
      <c r="J124" s="227"/>
      <c r="K124" s="227"/>
      <c r="L124" s="266" t="str">
        <f>IF(B124="","",B124+IFERROR(INDEX(Config!B:B,MATCH("DDM appertisation standard (mois)",Config!A:A,0)),36)*30)</f>
        <v>#ERROR!</v>
      </c>
      <c r="M124" s="227"/>
      <c r="N124" s="227"/>
      <c r="O124" s="227"/>
      <c r="P124" s="227"/>
      <c r="Q124" s="267"/>
      <c r="R124" s="268" t="str">
        <f>IFERROR(IF(A124="","",COUNTIF(Ventes!B5:B504,A124)),"")</f>
        <v>#ERROR!</v>
      </c>
    </row>
    <row r="125">
      <c r="A125" s="269"/>
      <c r="B125" s="270"/>
      <c r="C125" s="235"/>
      <c r="D125" s="235"/>
      <c r="E125" s="235"/>
      <c r="F125" s="235"/>
      <c r="G125" s="235"/>
      <c r="H125" s="235"/>
      <c r="I125" s="235"/>
      <c r="J125" s="235"/>
      <c r="K125" s="235"/>
      <c r="L125" s="270" t="str">
        <f>IF(B125="","",B125+IFERROR(INDEX(Config!B:B,MATCH("DDM appertisation standard (mois)",Config!A:A,0)),36)*30)</f>
        <v>#ERROR!</v>
      </c>
      <c r="M125" s="235"/>
      <c r="N125" s="235"/>
      <c r="O125" s="235"/>
      <c r="P125" s="235"/>
      <c r="Q125" s="267"/>
      <c r="R125" s="268" t="str">
        <f>IFERROR(IF(A125="","",COUNTIF(Ventes!B5:B504,A125)),"")</f>
        <v>#ERROR!</v>
      </c>
    </row>
    <row r="126">
      <c r="A126" s="265"/>
      <c r="B126" s="266"/>
      <c r="C126" s="227"/>
      <c r="D126" s="227"/>
      <c r="E126" s="227"/>
      <c r="F126" s="227"/>
      <c r="G126" s="227"/>
      <c r="H126" s="227"/>
      <c r="I126" s="227"/>
      <c r="J126" s="227"/>
      <c r="K126" s="227"/>
      <c r="L126" s="266" t="str">
        <f>IF(B126="","",B126+IFERROR(INDEX(Config!B:B,MATCH("DDM appertisation standard (mois)",Config!A:A,0)),36)*30)</f>
        <v>#ERROR!</v>
      </c>
      <c r="M126" s="227"/>
      <c r="N126" s="227"/>
      <c r="O126" s="227"/>
      <c r="P126" s="227"/>
      <c r="Q126" s="267"/>
      <c r="R126" s="268" t="str">
        <f>IFERROR(IF(A126="","",COUNTIF(Ventes!B5:B504,A126)),"")</f>
        <v>#ERROR!</v>
      </c>
    </row>
    <row r="127">
      <c r="A127" s="269"/>
      <c r="B127" s="270"/>
      <c r="C127" s="235"/>
      <c r="D127" s="235"/>
      <c r="E127" s="235"/>
      <c r="F127" s="235"/>
      <c r="G127" s="235"/>
      <c r="H127" s="235"/>
      <c r="I127" s="235"/>
      <c r="J127" s="235"/>
      <c r="K127" s="235"/>
      <c r="L127" s="270" t="str">
        <f>IF(B127="","",B127+IFERROR(INDEX(Config!B:B,MATCH("DDM appertisation standard (mois)",Config!A:A,0)),36)*30)</f>
        <v>#ERROR!</v>
      </c>
      <c r="M127" s="235"/>
      <c r="N127" s="235"/>
      <c r="O127" s="235"/>
      <c r="P127" s="235"/>
      <c r="Q127" s="267"/>
      <c r="R127" s="268" t="str">
        <f>IFERROR(IF(A127="","",COUNTIF(Ventes!B5:B504,A127)),"")</f>
        <v>#ERROR!</v>
      </c>
    </row>
    <row r="128">
      <c r="A128" s="265"/>
      <c r="B128" s="266"/>
      <c r="C128" s="227"/>
      <c r="D128" s="227"/>
      <c r="E128" s="227"/>
      <c r="F128" s="227"/>
      <c r="G128" s="227"/>
      <c r="H128" s="227"/>
      <c r="I128" s="227"/>
      <c r="J128" s="227"/>
      <c r="K128" s="227"/>
      <c r="L128" s="266" t="str">
        <f>IF(B128="","",B128+IFERROR(INDEX(Config!B:B,MATCH("DDM appertisation standard (mois)",Config!A:A,0)),36)*30)</f>
        <v>#ERROR!</v>
      </c>
      <c r="M128" s="227"/>
      <c r="N128" s="227"/>
      <c r="O128" s="227"/>
      <c r="P128" s="227"/>
      <c r="Q128" s="267"/>
      <c r="R128" s="268" t="str">
        <f>IFERROR(IF(A128="","",COUNTIF(Ventes!B5:B504,A128)),"")</f>
        <v>#ERROR!</v>
      </c>
    </row>
    <row r="129">
      <c r="A129" s="269"/>
      <c r="B129" s="270"/>
      <c r="C129" s="235"/>
      <c r="D129" s="235"/>
      <c r="E129" s="235"/>
      <c r="F129" s="235"/>
      <c r="G129" s="235"/>
      <c r="H129" s="235"/>
      <c r="I129" s="235"/>
      <c r="J129" s="235"/>
      <c r="K129" s="235"/>
      <c r="L129" s="270" t="str">
        <f>IF(B129="","",B129+IFERROR(INDEX(Config!B:B,MATCH("DDM appertisation standard (mois)",Config!A:A,0)),36)*30)</f>
        <v>#ERROR!</v>
      </c>
      <c r="M129" s="235"/>
      <c r="N129" s="235"/>
      <c r="O129" s="235"/>
      <c r="P129" s="235"/>
      <c r="Q129" s="267"/>
      <c r="R129" s="268" t="str">
        <f>IFERROR(IF(A129="","",COUNTIF(Ventes!B5:B504,A129)),"")</f>
        <v>#ERROR!</v>
      </c>
    </row>
    <row r="130">
      <c r="A130" s="265"/>
      <c r="B130" s="266"/>
      <c r="C130" s="227"/>
      <c r="D130" s="227"/>
      <c r="E130" s="227"/>
      <c r="F130" s="227"/>
      <c r="G130" s="227"/>
      <c r="H130" s="227"/>
      <c r="I130" s="227"/>
      <c r="J130" s="227"/>
      <c r="K130" s="227"/>
      <c r="L130" s="266" t="str">
        <f>IF(B130="","",B130+IFERROR(INDEX(Config!B:B,MATCH("DDM appertisation standard (mois)",Config!A:A,0)),36)*30)</f>
        <v>#ERROR!</v>
      </c>
      <c r="M130" s="227"/>
      <c r="N130" s="227"/>
      <c r="O130" s="227"/>
      <c r="P130" s="227"/>
      <c r="Q130" s="267"/>
      <c r="R130" s="268" t="str">
        <f>IFERROR(IF(A130="","",COUNTIF(Ventes!B5:B504,A130)),"")</f>
        <v>#ERROR!</v>
      </c>
    </row>
    <row r="131">
      <c r="A131" s="269"/>
      <c r="B131" s="270"/>
      <c r="C131" s="235"/>
      <c r="D131" s="235"/>
      <c r="E131" s="235"/>
      <c r="F131" s="235"/>
      <c r="G131" s="235"/>
      <c r="H131" s="235"/>
      <c r="I131" s="235"/>
      <c r="J131" s="235"/>
      <c r="K131" s="235"/>
      <c r="L131" s="270" t="str">
        <f>IF(B131="","",B131+IFERROR(INDEX(Config!B:B,MATCH("DDM appertisation standard (mois)",Config!A:A,0)),36)*30)</f>
        <v>#ERROR!</v>
      </c>
      <c r="M131" s="235"/>
      <c r="N131" s="235"/>
      <c r="O131" s="235"/>
      <c r="P131" s="235"/>
      <c r="Q131" s="267"/>
      <c r="R131" s="268" t="str">
        <f>IFERROR(IF(A131="","",COUNTIF(Ventes!B5:B504,A131)),"")</f>
        <v>#ERROR!</v>
      </c>
    </row>
    <row r="132">
      <c r="A132" s="265"/>
      <c r="B132" s="266"/>
      <c r="C132" s="227"/>
      <c r="D132" s="227"/>
      <c r="E132" s="227"/>
      <c r="F132" s="227"/>
      <c r="G132" s="227"/>
      <c r="H132" s="227"/>
      <c r="I132" s="227"/>
      <c r="J132" s="227"/>
      <c r="K132" s="227"/>
      <c r="L132" s="266" t="str">
        <f>IF(B132="","",B132+IFERROR(INDEX(Config!B:B,MATCH("DDM appertisation standard (mois)",Config!A:A,0)),36)*30)</f>
        <v>#ERROR!</v>
      </c>
      <c r="M132" s="227"/>
      <c r="N132" s="227"/>
      <c r="O132" s="227"/>
      <c r="P132" s="227"/>
      <c r="Q132" s="267"/>
      <c r="R132" s="268" t="str">
        <f>IFERROR(IF(A132="","",COUNTIF(Ventes!B5:B504,A132)),"")</f>
        <v>#ERROR!</v>
      </c>
    </row>
    <row r="133">
      <c r="A133" s="269"/>
      <c r="B133" s="270"/>
      <c r="C133" s="235"/>
      <c r="D133" s="235"/>
      <c r="E133" s="235"/>
      <c r="F133" s="235"/>
      <c r="G133" s="235"/>
      <c r="H133" s="235"/>
      <c r="I133" s="235"/>
      <c r="J133" s="235"/>
      <c r="K133" s="235"/>
      <c r="L133" s="270" t="str">
        <f>IF(B133="","",B133+IFERROR(INDEX(Config!B:B,MATCH("DDM appertisation standard (mois)",Config!A:A,0)),36)*30)</f>
        <v>#ERROR!</v>
      </c>
      <c r="M133" s="235"/>
      <c r="N133" s="235"/>
      <c r="O133" s="235"/>
      <c r="P133" s="235"/>
      <c r="Q133" s="267"/>
      <c r="R133" s="268" t="str">
        <f>IFERROR(IF(A133="","",COUNTIF(Ventes!B5:B504,A133)),"")</f>
        <v>#ERROR!</v>
      </c>
    </row>
    <row r="134">
      <c r="A134" s="265"/>
      <c r="B134" s="266"/>
      <c r="C134" s="227"/>
      <c r="D134" s="227"/>
      <c r="E134" s="227"/>
      <c r="F134" s="227"/>
      <c r="G134" s="227"/>
      <c r="H134" s="227"/>
      <c r="I134" s="227"/>
      <c r="J134" s="227"/>
      <c r="K134" s="227"/>
      <c r="L134" s="266" t="str">
        <f>IF(B134="","",B134+IFERROR(INDEX(Config!B:B,MATCH("DDM appertisation standard (mois)",Config!A:A,0)),36)*30)</f>
        <v>#ERROR!</v>
      </c>
      <c r="M134" s="227"/>
      <c r="N134" s="227"/>
      <c r="O134" s="227"/>
      <c r="P134" s="227"/>
      <c r="Q134" s="267"/>
      <c r="R134" s="268" t="str">
        <f>IFERROR(IF(A134="","",COUNTIF(Ventes!B5:B504,A134)),"")</f>
        <v>#ERROR!</v>
      </c>
    </row>
    <row r="135">
      <c r="A135" s="269"/>
      <c r="B135" s="270"/>
      <c r="C135" s="235"/>
      <c r="D135" s="235"/>
      <c r="E135" s="235"/>
      <c r="F135" s="235"/>
      <c r="G135" s="235"/>
      <c r="H135" s="235"/>
      <c r="I135" s="235"/>
      <c r="J135" s="235"/>
      <c r="K135" s="235"/>
      <c r="L135" s="270" t="str">
        <f>IF(B135="","",B135+IFERROR(INDEX(Config!B:B,MATCH("DDM appertisation standard (mois)",Config!A:A,0)),36)*30)</f>
        <v>#ERROR!</v>
      </c>
      <c r="M135" s="235"/>
      <c r="N135" s="235"/>
      <c r="O135" s="235"/>
      <c r="P135" s="235"/>
      <c r="Q135" s="267"/>
      <c r="R135" s="268" t="str">
        <f>IFERROR(IF(A135="","",COUNTIF(Ventes!B5:B504,A135)),"")</f>
        <v>#ERROR!</v>
      </c>
    </row>
    <row r="136">
      <c r="A136" s="265"/>
      <c r="B136" s="266"/>
      <c r="C136" s="227"/>
      <c r="D136" s="227"/>
      <c r="E136" s="227"/>
      <c r="F136" s="227"/>
      <c r="G136" s="227"/>
      <c r="H136" s="227"/>
      <c r="I136" s="227"/>
      <c r="J136" s="227"/>
      <c r="K136" s="227"/>
      <c r="L136" s="266" t="str">
        <f>IF(B136="","",B136+IFERROR(INDEX(Config!B:B,MATCH("DDM appertisation standard (mois)",Config!A:A,0)),36)*30)</f>
        <v>#ERROR!</v>
      </c>
      <c r="M136" s="227"/>
      <c r="N136" s="227"/>
      <c r="O136" s="227"/>
      <c r="P136" s="227"/>
      <c r="Q136" s="267"/>
      <c r="R136" s="268" t="str">
        <f>IFERROR(IF(A136="","",COUNTIF(Ventes!B5:B504,A136)),"")</f>
        <v>#ERROR!</v>
      </c>
    </row>
    <row r="137">
      <c r="A137" s="269"/>
      <c r="B137" s="270"/>
      <c r="C137" s="235"/>
      <c r="D137" s="235"/>
      <c r="E137" s="235"/>
      <c r="F137" s="235"/>
      <c r="G137" s="235"/>
      <c r="H137" s="235"/>
      <c r="I137" s="235"/>
      <c r="J137" s="235"/>
      <c r="K137" s="235"/>
      <c r="L137" s="270" t="str">
        <f>IF(B137="","",B137+IFERROR(INDEX(Config!B:B,MATCH("DDM appertisation standard (mois)",Config!A:A,0)),36)*30)</f>
        <v>#ERROR!</v>
      </c>
      <c r="M137" s="235"/>
      <c r="N137" s="235"/>
      <c r="O137" s="235"/>
      <c r="P137" s="235"/>
      <c r="Q137" s="267"/>
      <c r="R137" s="268" t="str">
        <f>IFERROR(IF(A137="","",COUNTIF(Ventes!B5:B504,A137)),"")</f>
        <v>#ERROR!</v>
      </c>
    </row>
    <row r="138">
      <c r="A138" s="265"/>
      <c r="B138" s="266"/>
      <c r="C138" s="227"/>
      <c r="D138" s="227"/>
      <c r="E138" s="227"/>
      <c r="F138" s="227"/>
      <c r="G138" s="227"/>
      <c r="H138" s="227"/>
      <c r="I138" s="227"/>
      <c r="J138" s="227"/>
      <c r="K138" s="227"/>
      <c r="L138" s="266" t="str">
        <f>IF(B138="","",B138+IFERROR(INDEX(Config!B:B,MATCH("DDM appertisation standard (mois)",Config!A:A,0)),36)*30)</f>
        <v>#ERROR!</v>
      </c>
      <c r="M138" s="227"/>
      <c r="N138" s="227"/>
      <c r="O138" s="227"/>
      <c r="P138" s="227"/>
      <c r="Q138" s="267"/>
      <c r="R138" s="268" t="str">
        <f>IFERROR(IF(A138="","",COUNTIF(Ventes!B5:B504,A138)),"")</f>
        <v>#ERROR!</v>
      </c>
    </row>
    <row r="139">
      <c r="A139" s="269"/>
      <c r="B139" s="270"/>
      <c r="C139" s="235"/>
      <c r="D139" s="235"/>
      <c r="E139" s="235"/>
      <c r="F139" s="235"/>
      <c r="G139" s="235"/>
      <c r="H139" s="235"/>
      <c r="I139" s="235"/>
      <c r="J139" s="235"/>
      <c r="K139" s="235"/>
      <c r="L139" s="270" t="str">
        <f>IF(B139="","",B139+IFERROR(INDEX(Config!B:B,MATCH("DDM appertisation standard (mois)",Config!A:A,0)),36)*30)</f>
        <v>#ERROR!</v>
      </c>
      <c r="M139" s="235"/>
      <c r="N139" s="235"/>
      <c r="O139" s="235"/>
      <c r="P139" s="235"/>
      <c r="Q139" s="267"/>
      <c r="R139" s="268" t="str">
        <f>IFERROR(IF(A139="","",COUNTIF(Ventes!B5:B504,A139)),"")</f>
        <v>#ERROR!</v>
      </c>
    </row>
    <row r="140">
      <c r="A140" s="265"/>
      <c r="B140" s="266"/>
      <c r="C140" s="227"/>
      <c r="D140" s="227"/>
      <c r="E140" s="227"/>
      <c r="F140" s="227"/>
      <c r="G140" s="227"/>
      <c r="H140" s="227"/>
      <c r="I140" s="227"/>
      <c r="J140" s="227"/>
      <c r="K140" s="227"/>
      <c r="L140" s="266" t="str">
        <f>IF(B140="","",B140+IFERROR(INDEX(Config!B:B,MATCH("DDM appertisation standard (mois)",Config!A:A,0)),36)*30)</f>
        <v>#ERROR!</v>
      </c>
      <c r="M140" s="227"/>
      <c r="N140" s="227"/>
      <c r="O140" s="227"/>
      <c r="P140" s="227"/>
      <c r="Q140" s="267"/>
      <c r="R140" s="268" t="str">
        <f>IFERROR(IF(A140="","",COUNTIF(Ventes!B5:B504,A140)),"")</f>
        <v>#ERROR!</v>
      </c>
    </row>
    <row r="141">
      <c r="A141" s="269"/>
      <c r="B141" s="270"/>
      <c r="C141" s="235"/>
      <c r="D141" s="235"/>
      <c r="E141" s="235"/>
      <c r="F141" s="235"/>
      <c r="G141" s="235"/>
      <c r="H141" s="235"/>
      <c r="I141" s="235"/>
      <c r="J141" s="235"/>
      <c r="K141" s="235"/>
      <c r="L141" s="270" t="str">
        <f>IF(B141="","",B141+IFERROR(INDEX(Config!B:B,MATCH("DDM appertisation standard (mois)",Config!A:A,0)),36)*30)</f>
        <v>#ERROR!</v>
      </c>
      <c r="M141" s="235"/>
      <c r="N141" s="235"/>
      <c r="O141" s="235"/>
      <c r="P141" s="235"/>
      <c r="Q141" s="267"/>
      <c r="R141" s="268" t="str">
        <f>IFERROR(IF(A141="","",COUNTIF(Ventes!B5:B504,A141)),"")</f>
        <v>#ERROR!</v>
      </c>
    </row>
    <row r="142">
      <c r="A142" s="265"/>
      <c r="B142" s="266"/>
      <c r="C142" s="227"/>
      <c r="D142" s="227"/>
      <c r="E142" s="227"/>
      <c r="F142" s="227"/>
      <c r="G142" s="227"/>
      <c r="H142" s="227"/>
      <c r="I142" s="227"/>
      <c r="J142" s="227"/>
      <c r="K142" s="227"/>
      <c r="L142" s="266" t="str">
        <f>IF(B142="","",B142+IFERROR(INDEX(Config!B:B,MATCH("DDM appertisation standard (mois)",Config!A:A,0)),36)*30)</f>
        <v>#ERROR!</v>
      </c>
      <c r="M142" s="227"/>
      <c r="N142" s="227"/>
      <c r="O142" s="227"/>
      <c r="P142" s="227"/>
      <c r="Q142" s="267"/>
      <c r="R142" s="268" t="str">
        <f>IFERROR(IF(A142="","",COUNTIF(Ventes!B5:B504,A142)),"")</f>
        <v>#ERROR!</v>
      </c>
    </row>
    <row r="143">
      <c r="A143" s="269"/>
      <c r="B143" s="270"/>
      <c r="C143" s="235"/>
      <c r="D143" s="235"/>
      <c r="E143" s="235"/>
      <c r="F143" s="235"/>
      <c r="G143" s="235"/>
      <c r="H143" s="235"/>
      <c r="I143" s="235"/>
      <c r="J143" s="235"/>
      <c r="K143" s="235"/>
      <c r="L143" s="270" t="str">
        <f>IF(B143="","",B143+IFERROR(INDEX(Config!B:B,MATCH("DDM appertisation standard (mois)",Config!A:A,0)),36)*30)</f>
        <v>#ERROR!</v>
      </c>
      <c r="M143" s="235"/>
      <c r="N143" s="235"/>
      <c r="O143" s="235"/>
      <c r="P143" s="235"/>
      <c r="Q143" s="267"/>
      <c r="R143" s="268" t="str">
        <f>IFERROR(IF(A143="","",COUNTIF(Ventes!B5:B504,A143)),"")</f>
        <v>#ERROR!</v>
      </c>
    </row>
    <row r="144">
      <c r="A144" s="265"/>
      <c r="B144" s="266"/>
      <c r="C144" s="227"/>
      <c r="D144" s="227"/>
      <c r="E144" s="227"/>
      <c r="F144" s="227"/>
      <c r="G144" s="227"/>
      <c r="H144" s="227"/>
      <c r="I144" s="227"/>
      <c r="J144" s="227"/>
      <c r="K144" s="227"/>
      <c r="L144" s="266" t="str">
        <f>IF(B144="","",B144+IFERROR(INDEX(Config!B:B,MATCH("DDM appertisation standard (mois)",Config!A:A,0)),36)*30)</f>
        <v>#ERROR!</v>
      </c>
      <c r="M144" s="227"/>
      <c r="N144" s="227"/>
      <c r="O144" s="227"/>
      <c r="P144" s="227"/>
      <c r="Q144" s="267"/>
      <c r="R144" s="268" t="str">
        <f>IFERROR(IF(A144="","",COUNTIF(Ventes!B5:B504,A144)),"")</f>
        <v>#ERROR!</v>
      </c>
    </row>
    <row r="145">
      <c r="A145" s="269"/>
      <c r="B145" s="270"/>
      <c r="C145" s="235"/>
      <c r="D145" s="235"/>
      <c r="E145" s="235"/>
      <c r="F145" s="235"/>
      <c r="G145" s="235"/>
      <c r="H145" s="235"/>
      <c r="I145" s="235"/>
      <c r="J145" s="235"/>
      <c r="K145" s="235"/>
      <c r="L145" s="270" t="str">
        <f>IF(B145="","",B145+IFERROR(INDEX(Config!B:B,MATCH("DDM appertisation standard (mois)",Config!A:A,0)),36)*30)</f>
        <v>#ERROR!</v>
      </c>
      <c r="M145" s="235"/>
      <c r="N145" s="235"/>
      <c r="O145" s="235"/>
      <c r="P145" s="235"/>
      <c r="Q145" s="267"/>
      <c r="R145" s="268" t="str">
        <f>IFERROR(IF(A145="","",COUNTIF(Ventes!B5:B504,A145)),"")</f>
        <v>#ERROR!</v>
      </c>
    </row>
    <row r="146">
      <c r="A146" s="265"/>
      <c r="B146" s="266"/>
      <c r="C146" s="227"/>
      <c r="D146" s="227"/>
      <c r="E146" s="227"/>
      <c r="F146" s="227"/>
      <c r="G146" s="227"/>
      <c r="H146" s="227"/>
      <c r="I146" s="227"/>
      <c r="J146" s="227"/>
      <c r="K146" s="227"/>
      <c r="L146" s="266" t="str">
        <f>IF(B146="","",B146+IFERROR(INDEX(Config!B:B,MATCH("DDM appertisation standard (mois)",Config!A:A,0)),36)*30)</f>
        <v>#ERROR!</v>
      </c>
      <c r="M146" s="227"/>
      <c r="N146" s="227"/>
      <c r="O146" s="227"/>
      <c r="P146" s="227"/>
      <c r="Q146" s="267"/>
      <c r="R146" s="268" t="str">
        <f>IFERROR(IF(A146="","",COUNTIF(Ventes!B5:B504,A146)),"")</f>
        <v>#ERROR!</v>
      </c>
    </row>
    <row r="147">
      <c r="A147" s="269"/>
      <c r="B147" s="270"/>
      <c r="C147" s="235"/>
      <c r="D147" s="235"/>
      <c r="E147" s="235"/>
      <c r="F147" s="235"/>
      <c r="G147" s="235"/>
      <c r="H147" s="235"/>
      <c r="I147" s="235"/>
      <c r="J147" s="235"/>
      <c r="K147" s="235"/>
      <c r="L147" s="270" t="str">
        <f>IF(B147="","",B147+IFERROR(INDEX(Config!B:B,MATCH("DDM appertisation standard (mois)",Config!A:A,0)),36)*30)</f>
        <v>#ERROR!</v>
      </c>
      <c r="M147" s="235"/>
      <c r="N147" s="235"/>
      <c r="O147" s="235"/>
      <c r="P147" s="235"/>
      <c r="Q147" s="267"/>
      <c r="R147" s="268" t="str">
        <f>IFERROR(IF(A147="","",COUNTIF(Ventes!B5:B504,A147)),"")</f>
        <v>#ERROR!</v>
      </c>
    </row>
    <row r="148">
      <c r="A148" s="265"/>
      <c r="B148" s="266"/>
      <c r="C148" s="227"/>
      <c r="D148" s="227"/>
      <c r="E148" s="227"/>
      <c r="F148" s="227"/>
      <c r="G148" s="227"/>
      <c r="H148" s="227"/>
      <c r="I148" s="227"/>
      <c r="J148" s="227"/>
      <c r="K148" s="227"/>
      <c r="L148" s="266" t="str">
        <f>IF(B148="","",B148+IFERROR(INDEX(Config!B:B,MATCH("DDM appertisation standard (mois)",Config!A:A,0)),36)*30)</f>
        <v>#ERROR!</v>
      </c>
      <c r="M148" s="227"/>
      <c r="N148" s="227"/>
      <c r="O148" s="227"/>
      <c r="P148" s="227"/>
      <c r="Q148" s="267"/>
      <c r="R148" s="268" t="str">
        <f>IFERROR(IF(A148="","",COUNTIF(Ventes!B5:B504,A148)),"")</f>
        <v>#ERROR!</v>
      </c>
    </row>
    <row r="149">
      <c r="A149" s="269"/>
      <c r="B149" s="270"/>
      <c r="C149" s="235"/>
      <c r="D149" s="235"/>
      <c r="E149" s="235"/>
      <c r="F149" s="235"/>
      <c r="G149" s="235"/>
      <c r="H149" s="235"/>
      <c r="I149" s="235"/>
      <c r="J149" s="235"/>
      <c r="K149" s="235"/>
      <c r="L149" s="270" t="str">
        <f>IF(B149="","",B149+IFERROR(INDEX(Config!B:B,MATCH("DDM appertisation standard (mois)",Config!A:A,0)),36)*30)</f>
        <v>#ERROR!</v>
      </c>
      <c r="M149" s="235"/>
      <c r="N149" s="235"/>
      <c r="O149" s="235"/>
      <c r="P149" s="235"/>
      <c r="Q149" s="267"/>
      <c r="R149" s="268" t="str">
        <f>IFERROR(IF(A149="","",COUNTIF(Ventes!B5:B504,A149)),"")</f>
        <v>#ERROR!</v>
      </c>
    </row>
    <row r="150">
      <c r="A150" s="265"/>
      <c r="B150" s="266"/>
      <c r="C150" s="227"/>
      <c r="D150" s="227"/>
      <c r="E150" s="227"/>
      <c r="F150" s="227"/>
      <c r="G150" s="227"/>
      <c r="H150" s="227"/>
      <c r="I150" s="227"/>
      <c r="J150" s="227"/>
      <c r="K150" s="227"/>
      <c r="L150" s="266" t="str">
        <f>IF(B150="","",B150+IFERROR(INDEX(Config!B:B,MATCH("DDM appertisation standard (mois)",Config!A:A,0)),36)*30)</f>
        <v>#ERROR!</v>
      </c>
      <c r="M150" s="227"/>
      <c r="N150" s="227"/>
      <c r="O150" s="227"/>
      <c r="P150" s="227"/>
      <c r="Q150" s="267"/>
      <c r="R150" s="268" t="str">
        <f>IFERROR(IF(A150="","",COUNTIF(Ventes!B5:B504,A150)),"")</f>
        <v>#ERROR!</v>
      </c>
    </row>
    <row r="151">
      <c r="A151" s="269"/>
      <c r="B151" s="270"/>
      <c r="C151" s="235"/>
      <c r="D151" s="235"/>
      <c r="E151" s="235"/>
      <c r="F151" s="235"/>
      <c r="G151" s="235"/>
      <c r="H151" s="235"/>
      <c r="I151" s="235"/>
      <c r="J151" s="235"/>
      <c r="K151" s="235"/>
      <c r="L151" s="270" t="str">
        <f>IF(B151="","",B151+IFERROR(INDEX(Config!B:B,MATCH("DDM appertisation standard (mois)",Config!A:A,0)),36)*30)</f>
        <v>#ERROR!</v>
      </c>
      <c r="M151" s="235"/>
      <c r="N151" s="235"/>
      <c r="O151" s="235"/>
      <c r="P151" s="235"/>
      <c r="Q151" s="267"/>
      <c r="R151" s="268" t="str">
        <f>IFERROR(IF(A151="","",COUNTIF(Ventes!B5:B504,A151)),"")</f>
        <v>#ERROR!</v>
      </c>
    </row>
    <row r="152">
      <c r="A152" s="265"/>
      <c r="B152" s="266"/>
      <c r="C152" s="227"/>
      <c r="D152" s="227"/>
      <c r="E152" s="227"/>
      <c r="F152" s="227"/>
      <c r="G152" s="227"/>
      <c r="H152" s="227"/>
      <c r="I152" s="227"/>
      <c r="J152" s="227"/>
      <c r="K152" s="227"/>
      <c r="L152" s="266" t="str">
        <f>IF(B152="","",B152+IFERROR(INDEX(Config!B:B,MATCH("DDM appertisation standard (mois)",Config!A:A,0)),36)*30)</f>
        <v>#ERROR!</v>
      </c>
      <c r="M152" s="227"/>
      <c r="N152" s="227"/>
      <c r="O152" s="227"/>
      <c r="P152" s="227"/>
      <c r="Q152" s="267"/>
      <c r="R152" s="268" t="str">
        <f>IFERROR(IF(A152="","",COUNTIF(Ventes!B5:B504,A152)),"")</f>
        <v>#ERROR!</v>
      </c>
    </row>
    <row r="153">
      <c r="A153" s="269"/>
      <c r="B153" s="270"/>
      <c r="C153" s="235"/>
      <c r="D153" s="235"/>
      <c r="E153" s="235"/>
      <c r="F153" s="235"/>
      <c r="G153" s="235"/>
      <c r="H153" s="235"/>
      <c r="I153" s="235"/>
      <c r="J153" s="235"/>
      <c r="K153" s="235"/>
      <c r="L153" s="270" t="str">
        <f>IF(B153="","",B153+IFERROR(INDEX(Config!B:B,MATCH("DDM appertisation standard (mois)",Config!A:A,0)),36)*30)</f>
        <v>#ERROR!</v>
      </c>
      <c r="M153" s="235"/>
      <c r="N153" s="235"/>
      <c r="O153" s="235"/>
      <c r="P153" s="235"/>
      <c r="Q153" s="267"/>
      <c r="R153" s="268" t="str">
        <f>IFERROR(IF(A153="","",COUNTIF(Ventes!B5:B504,A153)),"")</f>
        <v>#ERROR!</v>
      </c>
    </row>
    <row r="154">
      <c r="A154" s="265"/>
      <c r="B154" s="266"/>
      <c r="C154" s="227"/>
      <c r="D154" s="227"/>
      <c r="E154" s="227"/>
      <c r="F154" s="227"/>
      <c r="G154" s="227"/>
      <c r="H154" s="227"/>
      <c r="I154" s="227"/>
      <c r="J154" s="227"/>
      <c r="K154" s="227"/>
      <c r="L154" s="266" t="str">
        <f>IF(B154="","",B154+IFERROR(INDEX(Config!B:B,MATCH("DDM appertisation standard (mois)",Config!A:A,0)),36)*30)</f>
        <v>#ERROR!</v>
      </c>
      <c r="M154" s="227"/>
      <c r="N154" s="227"/>
      <c r="O154" s="227"/>
      <c r="P154" s="227"/>
      <c r="Q154" s="267"/>
      <c r="R154" s="268" t="str">
        <f>IFERROR(IF(A154="","",COUNTIF(Ventes!B5:B504,A154)),"")</f>
        <v>#ERROR!</v>
      </c>
    </row>
    <row r="155">
      <c r="A155" s="269"/>
      <c r="B155" s="270"/>
      <c r="C155" s="235"/>
      <c r="D155" s="235"/>
      <c r="E155" s="235"/>
      <c r="F155" s="235"/>
      <c r="G155" s="235"/>
      <c r="H155" s="235"/>
      <c r="I155" s="235"/>
      <c r="J155" s="235"/>
      <c r="K155" s="235"/>
      <c r="L155" s="270" t="str">
        <f>IF(B155="","",B155+IFERROR(INDEX(Config!B:B,MATCH("DDM appertisation standard (mois)",Config!A:A,0)),36)*30)</f>
        <v>#ERROR!</v>
      </c>
      <c r="M155" s="235"/>
      <c r="N155" s="235"/>
      <c r="O155" s="235"/>
      <c r="P155" s="235"/>
      <c r="Q155" s="267"/>
      <c r="R155" s="268" t="str">
        <f>IFERROR(IF(A155="","",COUNTIF(Ventes!B5:B504,A155)),"")</f>
        <v>#ERROR!</v>
      </c>
    </row>
    <row r="156">
      <c r="A156" s="265"/>
      <c r="B156" s="266"/>
      <c r="C156" s="227"/>
      <c r="D156" s="227"/>
      <c r="E156" s="227"/>
      <c r="F156" s="227"/>
      <c r="G156" s="227"/>
      <c r="H156" s="227"/>
      <c r="I156" s="227"/>
      <c r="J156" s="227"/>
      <c r="K156" s="227"/>
      <c r="L156" s="266" t="str">
        <f>IF(B156="","",B156+IFERROR(INDEX(Config!B:B,MATCH("DDM appertisation standard (mois)",Config!A:A,0)),36)*30)</f>
        <v>#ERROR!</v>
      </c>
      <c r="M156" s="227"/>
      <c r="N156" s="227"/>
      <c r="O156" s="227"/>
      <c r="P156" s="227"/>
      <c r="Q156" s="267"/>
      <c r="R156" s="268" t="str">
        <f>IFERROR(IF(A156="","",COUNTIF(Ventes!B5:B504,A156)),"")</f>
        <v>#ERROR!</v>
      </c>
    </row>
    <row r="157">
      <c r="A157" s="269"/>
      <c r="B157" s="270"/>
      <c r="C157" s="235"/>
      <c r="D157" s="235"/>
      <c r="E157" s="235"/>
      <c r="F157" s="235"/>
      <c r="G157" s="235"/>
      <c r="H157" s="235"/>
      <c r="I157" s="235"/>
      <c r="J157" s="235"/>
      <c r="K157" s="235"/>
      <c r="L157" s="270" t="str">
        <f>IF(B157="","",B157+IFERROR(INDEX(Config!B:B,MATCH("DDM appertisation standard (mois)",Config!A:A,0)),36)*30)</f>
        <v>#ERROR!</v>
      </c>
      <c r="M157" s="235"/>
      <c r="N157" s="235"/>
      <c r="O157" s="235"/>
      <c r="P157" s="235"/>
      <c r="Q157" s="267"/>
      <c r="R157" s="268" t="str">
        <f>IFERROR(IF(A157="","",COUNTIF(Ventes!B5:B504,A157)),"")</f>
        <v>#ERROR!</v>
      </c>
    </row>
    <row r="158">
      <c r="A158" s="265"/>
      <c r="B158" s="266"/>
      <c r="C158" s="227"/>
      <c r="D158" s="227"/>
      <c r="E158" s="227"/>
      <c r="F158" s="227"/>
      <c r="G158" s="227"/>
      <c r="H158" s="227"/>
      <c r="I158" s="227"/>
      <c r="J158" s="227"/>
      <c r="K158" s="227"/>
      <c r="L158" s="266" t="str">
        <f>IF(B158="","",B158+IFERROR(INDEX(Config!B:B,MATCH("DDM appertisation standard (mois)",Config!A:A,0)),36)*30)</f>
        <v>#ERROR!</v>
      </c>
      <c r="M158" s="227"/>
      <c r="N158" s="227"/>
      <c r="O158" s="227"/>
      <c r="P158" s="227"/>
      <c r="Q158" s="267"/>
      <c r="R158" s="268" t="str">
        <f>IFERROR(IF(A158="","",COUNTIF(Ventes!B5:B504,A158)),"")</f>
        <v>#ERROR!</v>
      </c>
    </row>
    <row r="159">
      <c r="A159" s="269"/>
      <c r="B159" s="270"/>
      <c r="C159" s="235"/>
      <c r="D159" s="235"/>
      <c r="E159" s="235"/>
      <c r="F159" s="235"/>
      <c r="G159" s="235"/>
      <c r="H159" s="235"/>
      <c r="I159" s="235"/>
      <c r="J159" s="235"/>
      <c r="K159" s="235"/>
      <c r="L159" s="270" t="str">
        <f>IF(B159="","",B159+IFERROR(INDEX(Config!B:B,MATCH("DDM appertisation standard (mois)",Config!A:A,0)),36)*30)</f>
        <v>#ERROR!</v>
      </c>
      <c r="M159" s="235"/>
      <c r="N159" s="235"/>
      <c r="O159" s="235"/>
      <c r="P159" s="235"/>
      <c r="Q159" s="267"/>
      <c r="R159" s="268" t="str">
        <f>IFERROR(IF(A159="","",COUNTIF(Ventes!B5:B504,A159)),"")</f>
        <v>#ERROR!</v>
      </c>
    </row>
    <row r="160">
      <c r="A160" s="265"/>
      <c r="B160" s="266"/>
      <c r="C160" s="227"/>
      <c r="D160" s="227"/>
      <c r="E160" s="227"/>
      <c r="F160" s="227"/>
      <c r="G160" s="227"/>
      <c r="H160" s="227"/>
      <c r="I160" s="227"/>
      <c r="J160" s="227"/>
      <c r="K160" s="227"/>
      <c r="L160" s="266" t="str">
        <f>IF(B160="","",B160+IFERROR(INDEX(Config!B:B,MATCH("DDM appertisation standard (mois)",Config!A:A,0)),36)*30)</f>
        <v>#ERROR!</v>
      </c>
      <c r="M160" s="227"/>
      <c r="N160" s="227"/>
      <c r="O160" s="227"/>
      <c r="P160" s="227"/>
      <c r="Q160" s="267"/>
      <c r="R160" s="268" t="str">
        <f>IFERROR(IF(A160="","",COUNTIF(Ventes!B5:B504,A160)),"")</f>
        <v>#ERROR!</v>
      </c>
    </row>
    <row r="161">
      <c r="A161" s="269"/>
      <c r="B161" s="270"/>
      <c r="C161" s="235"/>
      <c r="D161" s="235"/>
      <c r="E161" s="235"/>
      <c r="F161" s="235"/>
      <c r="G161" s="235"/>
      <c r="H161" s="235"/>
      <c r="I161" s="235"/>
      <c r="J161" s="235"/>
      <c r="K161" s="235"/>
      <c r="L161" s="270" t="str">
        <f>IF(B161="","",B161+IFERROR(INDEX(Config!B:B,MATCH("DDM appertisation standard (mois)",Config!A:A,0)),36)*30)</f>
        <v>#ERROR!</v>
      </c>
      <c r="M161" s="235"/>
      <c r="N161" s="235"/>
      <c r="O161" s="235"/>
      <c r="P161" s="235"/>
      <c r="Q161" s="267"/>
      <c r="R161" s="268" t="str">
        <f>IFERROR(IF(A161="","",COUNTIF(Ventes!B5:B504,A161)),"")</f>
        <v>#ERROR!</v>
      </c>
    </row>
    <row r="162">
      <c r="A162" s="265"/>
      <c r="B162" s="266"/>
      <c r="C162" s="227"/>
      <c r="D162" s="227"/>
      <c r="E162" s="227"/>
      <c r="F162" s="227"/>
      <c r="G162" s="227"/>
      <c r="H162" s="227"/>
      <c r="I162" s="227"/>
      <c r="J162" s="227"/>
      <c r="K162" s="227"/>
      <c r="L162" s="266" t="str">
        <f>IF(B162="","",B162+IFERROR(INDEX(Config!B:B,MATCH("DDM appertisation standard (mois)",Config!A:A,0)),36)*30)</f>
        <v>#ERROR!</v>
      </c>
      <c r="M162" s="227"/>
      <c r="N162" s="227"/>
      <c r="O162" s="227"/>
      <c r="P162" s="227"/>
      <c r="Q162" s="267"/>
      <c r="R162" s="268" t="str">
        <f>IFERROR(IF(A162="","",COUNTIF(Ventes!B5:B504,A162)),"")</f>
        <v>#ERROR!</v>
      </c>
    </row>
    <row r="163">
      <c r="A163" s="269"/>
      <c r="B163" s="270"/>
      <c r="C163" s="235"/>
      <c r="D163" s="235"/>
      <c r="E163" s="235"/>
      <c r="F163" s="235"/>
      <c r="G163" s="235"/>
      <c r="H163" s="235"/>
      <c r="I163" s="235"/>
      <c r="J163" s="235"/>
      <c r="K163" s="235"/>
      <c r="L163" s="270" t="str">
        <f>IF(B163="","",B163+IFERROR(INDEX(Config!B:B,MATCH("DDM appertisation standard (mois)",Config!A:A,0)),36)*30)</f>
        <v>#ERROR!</v>
      </c>
      <c r="M163" s="235"/>
      <c r="N163" s="235"/>
      <c r="O163" s="235"/>
      <c r="P163" s="235"/>
      <c r="Q163" s="267"/>
      <c r="R163" s="268" t="str">
        <f>IFERROR(IF(A163="","",COUNTIF(Ventes!B5:B504,A163)),"")</f>
        <v>#ERROR!</v>
      </c>
    </row>
    <row r="164">
      <c r="A164" s="265"/>
      <c r="B164" s="266"/>
      <c r="C164" s="227"/>
      <c r="D164" s="227"/>
      <c r="E164" s="227"/>
      <c r="F164" s="227"/>
      <c r="G164" s="227"/>
      <c r="H164" s="227"/>
      <c r="I164" s="227"/>
      <c r="J164" s="227"/>
      <c r="K164" s="227"/>
      <c r="L164" s="266" t="str">
        <f>IF(B164="","",B164+IFERROR(INDEX(Config!B:B,MATCH("DDM appertisation standard (mois)",Config!A:A,0)),36)*30)</f>
        <v>#ERROR!</v>
      </c>
      <c r="M164" s="227"/>
      <c r="N164" s="227"/>
      <c r="O164" s="227"/>
      <c r="P164" s="227"/>
      <c r="Q164" s="267"/>
      <c r="R164" s="268" t="str">
        <f>IFERROR(IF(A164="","",COUNTIF(Ventes!B5:B504,A164)),"")</f>
        <v>#ERROR!</v>
      </c>
    </row>
    <row r="165">
      <c r="A165" s="269"/>
      <c r="B165" s="270"/>
      <c r="C165" s="235"/>
      <c r="D165" s="235"/>
      <c r="E165" s="235"/>
      <c r="F165" s="235"/>
      <c r="G165" s="235"/>
      <c r="H165" s="235"/>
      <c r="I165" s="235"/>
      <c r="J165" s="235"/>
      <c r="K165" s="235"/>
      <c r="L165" s="270" t="str">
        <f>IF(B165="","",B165+IFERROR(INDEX(Config!B:B,MATCH("DDM appertisation standard (mois)",Config!A:A,0)),36)*30)</f>
        <v>#ERROR!</v>
      </c>
      <c r="M165" s="235"/>
      <c r="N165" s="235"/>
      <c r="O165" s="235"/>
      <c r="P165" s="235"/>
      <c r="Q165" s="267"/>
      <c r="R165" s="268" t="str">
        <f>IFERROR(IF(A165="","",COUNTIF(Ventes!B5:B504,A165)),"")</f>
        <v>#ERROR!</v>
      </c>
    </row>
    <row r="166">
      <c r="A166" s="265"/>
      <c r="B166" s="266"/>
      <c r="C166" s="227"/>
      <c r="D166" s="227"/>
      <c r="E166" s="227"/>
      <c r="F166" s="227"/>
      <c r="G166" s="227"/>
      <c r="H166" s="227"/>
      <c r="I166" s="227"/>
      <c r="J166" s="227"/>
      <c r="K166" s="227"/>
      <c r="L166" s="266" t="str">
        <f>IF(B166="","",B166+IFERROR(INDEX(Config!B:B,MATCH("DDM appertisation standard (mois)",Config!A:A,0)),36)*30)</f>
        <v>#ERROR!</v>
      </c>
      <c r="M166" s="227"/>
      <c r="N166" s="227"/>
      <c r="O166" s="227"/>
      <c r="P166" s="227"/>
      <c r="Q166" s="267"/>
      <c r="R166" s="268" t="str">
        <f>IFERROR(IF(A166="","",COUNTIF(Ventes!B5:B504,A166)),"")</f>
        <v>#ERROR!</v>
      </c>
    </row>
    <row r="167">
      <c r="A167" s="269"/>
      <c r="B167" s="270"/>
      <c r="C167" s="235"/>
      <c r="D167" s="235"/>
      <c r="E167" s="235"/>
      <c r="F167" s="235"/>
      <c r="G167" s="235"/>
      <c r="H167" s="235"/>
      <c r="I167" s="235"/>
      <c r="J167" s="235"/>
      <c r="K167" s="235"/>
      <c r="L167" s="270" t="str">
        <f>IF(B167="","",B167+IFERROR(INDEX(Config!B:B,MATCH("DDM appertisation standard (mois)",Config!A:A,0)),36)*30)</f>
        <v>#ERROR!</v>
      </c>
      <c r="M167" s="235"/>
      <c r="N167" s="235"/>
      <c r="O167" s="235"/>
      <c r="P167" s="235"/>
      <c r="Q167" s="267"/>
      <c r="R167" s="268" t="str">
        <f>IFERROR(IF(A167="","",COUNTIF(Ventes!B5:B504,A167)),"")</f>
        <v>#ERROR!</v>
      </c>
    </row>
    <row r="168">
      <c r="A168" s="265"/>
      <c r="B168" s="266"/>
      <c r="C168" s="227"/>
      <c r="D168" s="227"/>
      <c r="E168" s="227"/>
      <c r="F168" s="227"/>
      <c r="G168" s="227"/>
      <c r="H168" s="227"/>
      <c r="I168" s="227"/>
      <c r="J168" s="227"/>
      <c r="K168" s="227"/>
      <c r="L168" s="266" t="str">
        <f>IF(B168="","",B168+IFERROR(INDEX(Config!B:B,MATCH("DDM appertisation standard (mois)",Config!A:A,0)),36)*30)</f>
        <v>#ERROR!</v>
      </c>
      <c r="M168" s="227"/>
      <c r="N168" s="227"/>
      <c r="O168" s="227"/>
      <c r="P168" s="227"/>
      <c r="Q168" s="267"/>
      <c r="R168" s="268" t="str">
        <f>IFERROR(IF(A168="","",COUNTIF(Ventes!B5:B504,A168)),"")</f>
        <v>#ERROR!</v>
      </c>
    </row>
    <row r="169">
      <c r="A169" s="269"/>
      <c r="B169" s="270"/>
      <c r="C169" s="235"/>
      <c r="D169" s="235"/>
      <c r="E169" s="235"/>
      <c r="F169" s="235"/>
      <c r="G169" s="235"/>
      <c r="H169" s="235"/>
      <c r="I169" s="235"/>
      <c r="J169" s="235"/>
      <c r="K169" s="235"/>
      <c r="L169" s="270" t="str">
        <f>IF(B169="","",B169+IFERROR(INDEX(Config!B:B,MATCH("DDM appertisation standard (mois)",Config!A:A,0)),36)*30)</f>
        <v>#ERROR!</v>
      </c>
      <c r="M169" s="235"/>
      <c r="N169" s="235"/>
      <c r="O169" s="235"/>
      <c r="P169" s="235"/>
      <c r="Q169" s="267"/>
      <c r="R169" s="268" t="str">
        <f>IFERROR(IF(A169="","",COUNTIF(Ventes!B5:B504,A169)),"")</f>
        <v>#ERROR!</v>
      </c>
    </row>
    <row r="170">
      <c r="A170" s="265"/>
      <c r="B170" s="266"/>
      <c r="C170" s="227"/>
      <c r="D170" s="227"/>
      <c r="E170" s="227"/>
      <c r="F170" s="227"/>
      <c r="G170" s="227"/>
      <c r="H170" s="227"/>
      <c r="I170" s="227"/>
      <c r="J170" s="227"/>
      <c r="K170" s="227"/>
      <c r="L170" s="266" t="str">
        <f>IF(B170="","",B170+IFERROR(INDEX(Config!B:B,MATCH("DDM appertisation standard (mois)",Config!A:A,0)),36)*30)</f>
        <v>#ERROR!</v>
      </c>
      <c r="M170" s="227"/>
      <c r="N170" s="227"/>
      <c r="O170" s="227"/>
      <c r="P170" s="227"/>
      <c r="Q170" s="267"/>
      <c r="R170" s="268" t="str">
        <f>IFERROR(IF(A170="","",COUNTIF(Ventes!B5:B504,A170)),"")</f>
        <v>#ERROR!</v>
      </c>
    </row>
    <row r="171">
      <c r="A171" s="269"/>
      <c r="B171" s="270"/>
      <c r="C171" s="235"/>
      <c r="D171" s="235"/>
      <c r="E171" s="235"/>
      <c r="F171" s="235"/>
      <c r="G171" s="235"/>
      <c r="H171" s="235"/>
      <c r="I171" s="235"/>
      <c r="J171" s="235"/>
      <c r="K171" s="235"/>
      <c r="L171" s="270" t="str">
        <f>IF(B171="","",B171+IFERROR(INDEX(Config!B:B,MATCH("DDM appertisation standard (mois)",Config!A:A,0)),36)*30)</f>
        <v>#ERROR!</v>
      </c>
      <c r="M171" s="235"/>
      <c r="N171" s="235"/>
      <c r="O171" s="235"/>
      <c r="P171" s="235"/>
      <c r="Q171" s="267"/>
      <c r="R171" s="268" t="str">
        <f>IFERROR(IF(A171="","",COUNTIF(Ventes!B5:B504,A171)),"")</f>
        <v>#ERROR!</v>
      </c>
    </row>
    <row r="172">
      <c r="A172" s="265"/>
      <c r="B172" s="266"/>
      <c r="C172" s="227"/>
      <c r="D172" s="227"/>
      <c r="E172" s="227"/>
      <c r="F172" s="227"/>
      <c r="G172" s="227"/>
      <c r="H172" s="227"/>
      <c r="I172" s="227"/>
      <c r="J172" s="227"/>
      <c r="K172" s="227"/>
      <c r="L172" s="266" t="str">
        <f>IF(B172="","",B172+IFERROR(INDEX(Config!B:B,MATCH("DDM appertisation standard (mois)",Config!A:A,0)),36)*30)</f>
        <v>#ERROR!</v>
      </c>
      <c r="M172" s="227"/>
      <c r="N172" s="227"/>
      <c r="O172" s="227"/>
      <c r="P172" s="227"/>
      <c r="Q172" s="267"/>
      <c r="R172" s="268" t="str">
        <f>IFERROR(IF(A172="","",COUNTIF(Ventes!B5:B504,A172)),"")</f>
        <v>#ERROR!</v>
      </c>
    </row>
    <row r="173">
      <c r="A173" s="269"/>
      <c r="B173" s="270"/>
      <c r="C173" s="235"/>
      <c r="D173" s="235"/>
      <c r="E173" s="235"/>
      <c r="F173" s="235"/>
      <c r="G173" s="235"/>
      <c r="H173" s="235"/>
      <c r="I173" s="235"/>
      <c r="J173" s="235"/>
      <c r="K173" s="235"/>
      <c r="L173" s="270" t="str">
        <f>IF(B173="","",B173+IFERROR(INDEX(Config!B:B,MATCH("DDM appertisation standard (mois)",Config!A:A,0)),36)*30)</f>
        <v>#ERROR!</v>
      </c>
      <c r="M173" s="235"/>
      <c r="N173" s="235"/>
      <c r="O173" s="235"/>
      <c r="P173" s="235"/>
      <c r="Q173" s="267"/>
      <c r="R173" s="268" t="str">
        <f>IFERROR(IF(A173="","",COUNTIF(Ventes!B5:B504,A173)),"")</f>
        <v>#ERROR!</v>
      </c>
    </row>
    <row r="174">
      <c r="A174" s="265"/>
      <c r="B174" s="266"/>
      <c r="C174" s="227"/>
      <c r="D174" s="227"/>
      <c r="E174" s="227"/>
      <c r="F174" s="227"/>
      <c r="G174" s="227"/>
      <c r="H174" s="227"/>
      <c r="I174" s="227"/>
      <c r="J174" s="227"/>
      <c r="K174" s="227"/>
      <c r="L174" s="266" t="str">
        <f>IF(B174="","",B174+IFERROR(INDEX(Config!B:B,MATCH("DDM appertisation standard (mois)",Config!A:A,0)),36)*30)</f>
        <v>#ERROR!</v>
      </c>
      <c r="M174" s="227"/>
      <c r="N174" s="227"/>
      <c r="O174" s="227"/>
      <c r="P174" s="227"/>
      <c r="Q174" s="267"/>
      <c r="R174" s="268" t="str">
        <f>IFERROR(IF(A174="","",COUNTIF(Ventes!B5:B504,A174)),"")</f>
        <v>#ERROR!</v>
      </c>
    </row>
    <row r="175">
      <c r="A175" s="269"/>
      <c r="B175" s="270"/>
      <c r="C175" s="235"/>
      <c r="D175" s="235"/>
      <c r="E175" s="235"/>
      <c r="F175" s="235"/>
      <c r="G175" s="235"/>
      <c r="H175" s="235"/>
      <c r="I175" s="235"/>
      <c r="J175" s="235"/>
      <c r="K175" s="235"/>
      <c r="L175" s="270" t="str">
        <f>IF(B175="","",B175+IFERROR(INDEX(Config!B:B,MATCH("DDM appertisation standard (mois)",Config!A:A,0)),36)*30)</f>
        <v>#ERROR!</v>
      </c>
      <c r="M175" s="235"/>
      <c r="N175" s="235"/>
      <c r="O175" s="235"/>
      <c r="P175" s="235"/>
      <c r="Q175" s="267"/>
      <c r="R175" s="268" t="str">
        <f>IFERROR(IF(A175="","",COUNTIF(Ventes!B5:B504,A175)),"")</f>
        <v>#ERROR!</v>
      </c>
    </row>
    <row r="176">
      <c r="A176" s="265"/>
      <c r="B176" s="266"/>
      <c r="C176" s="227"/>
      <c r="D176" s="227"/>
      <c r="E176" s="227"/>
      <c r="F176" s="227"/>
      <c r="G176" s="227"/>
      <c r="H176" s="227"/>
      <c r="I176" s="227"/>
      <c r="J176" s="227"/>
      <c r="K176" s="227"/>
      <c r="L176" s="266" t="str">
        <f>IF(B176="","",B176+IFERROR(INDEX(Config!B:B,MATCH("DDM appertisation standard (mois)",Config!A:A,0)),36)*30)</f>
        <v>#ERROR!</v>
      </c>
      <c r="M176" s="227"/>
      <c r="N176" s="227"/>
      <c r="O176" s="227"/>
      <c r="P176" s="227"/>
      <c r="Q176" s="267"/>
      <c r="R176" s="268" t="str">
        <f>IFERROR(IF(A176="","",COUNTIF(Ventes!B5:B504,A176)),"")</f>
        <v>#ERROR!</v>
      </c>
    </row>
    <row r="177">
      <c r="A177" s="269"/>
      <c r="B177" s="270"/>
      <c r="C177" s="235"/>
      <c r="D177" s="235"/>
      <c r="E177" s="235"/>
      <c r="F177" s="235"/>
      <c r="G177" s="235"/>
      <c r="H177" s="235"/>
      <c r="I177" s="235"/>
      <c r="J177" s="235"/>
      <c r="K177" s="235"/>
      <c r="L177" s="270" t="str">
        <f>IF(B177="","",B177+IFERROR(INDEX(Config!B:B,MATCH("DDM appertisation standard (mois)",Config!A:A,0)),36)*30)</f>
        <v>#ERROR!</v>
      </c>
      <c r="M177" s="235"/>
      <c r="N177" s="235"/>
      <c r="O177" s="235"/>
      <c r="P177" s="235"/>
      <c r="Q177" s="267"/>
      <c r="R177" s="268" t="str">
        <f>IFERROR(IF(A177="","",COUNTIF(Ventes!B5:B504,A177)),"")</f>
        <v>#ERROR!</v>
      </c>
    </row>
    <row r="178">
      <c r="A178" s="265"/>
      <c r="B178" s="266"/>
      <c r="C178" s="227"/>
      <c r="D178" s="227"/>
      <c r="E178" s="227"/>
      <c r="F178" s="227"/>
      <c r="G178" s="227"/>
      <c r="H178" s="227"/>
      <c r="I178" s="227"/>
      <c r="J178" s="227"/>
      <c r="K178" s="227"/>
      <c r="L178" s="266" t="str">
        <f>IF(B178="","",B178+IFERROR(INDEX(Config!B:B,MATCH("DDM appertisation standard (mois)",Config!A:A,0)),36)*30)</f>
        <v>#ERROR!</v>
      </c>
      <c r="M178" s="227"/>
      <c r="N178" s="227"/>
      <c r="O178" s="227"/>
      <c r="P178" s="227"/>
      <c r="Q178" s="267"/>
      <c r="R178" s="268" t="str">
        <f>IFERROR(IF(A178="","",COUNTIF(Ventes!B5:B504,A178)),"")</f>
        <v>#ERROR!</v>
      </c>
    </row>
    <row r="179">
      <c r="A179" s="269"/>
      <c r="B179" s="270"/>
      <c r="C179" s="235"/>
      <c r="D179" s="235"/>
      <c r="E179" s="235"/>
      <c r="F179" s="235"/>
      <c r="G179" s="235"/>
      <c r="H179" s="235"/>
      <c r="I179" s="235"/>
      <c r="J179" s="235"/>
      <c r="K179" s="235"/>
      <c r="L179" s="270" t="str">
        <f>IF(B179="","",B179+IFERROR(INDEX(Config!B:B,MATCH("DDM appertisation standard (mois)",Config!A:A,0)),36)*30)</f>
        <v>#ERROR!</v>
      </c>
      <c r="M179" s="235"/>
      <c r="N179" s="235"/>
      <c r="O179" s="235"/>
      <c r="P179" s="235"/>
      <c r="Q179" s="267"/>
      <c r="R179" s="268" t="str">
        <f>IFERROR(IF(A179="","",COUNTIF(Ventes!B5:B504,A179)),"")</f>
        <v>#ERROR!</v>
      </c>
    </row>
    <row r="180">
      <c r="A180" s="265"/>
      <c r="B180" s="266"/>
      <c r="C180" s="227"/>
      <c r="D180" s="227"/>
      <c r="E180" s="227"/>
      <c r="F180" s="227"/>
      <c r="G180" s="227"/>
      <c r="H180" s="227"/>
      <c r="I180" s="227"/>
      <c r="J180" s="227"/>
      <c r="K180" s="227"/>
      <c r="L180" s="266" t="str">
        <f>IF(B180="","",B180+IFERROR(INDEX(Config!B:B,MATCH("DDM appertisation standard (mois)",Config!A:A,0)),36)*30)</f>
        <v>#ERROR!</v>
      </c>
      <c r="M180" s="227"/>
      <c r="N180" s="227"/>
      <c r="O180" s="227"/>
      <c r="P180" s="227"/>
      <c r="Q180" s="267"/>
      <c r="R180" s="268" t="str">
        <f>IFERROR(IF(A180="","",COUNTIF(Ventes!B5:B504,A180)),"")</f>
        <v>#ERROR!</v>
      </c>
    </row>
    <row r="181">
      <c r="A181" s="269"/>
      <c r="B181" s="270"/>
      <c r="C181" s="235"/>
      <c r="D181" s="235"/>
      <c r="E181" s="235"/>
      <c r="F181" s="235"/>
      <c r="G181" s="235"/>
      <c r="H181" s="235"/>
      <c r="I181" s="235"/>
      <c r="J181" s="235"/>
      <c r="K181" s="235"/>
      <c r="L181" s="270" t="str">
        <f>IF(B181="","",B181+IFERROR(INDEX(Config!B:B,MATCH("DDM appertisation standard (mois)",Config!A:A,0)),36)*30)</f>
        <v>#ERROR!</v>
      </c>
      <c r="M181" s="235"/>
      <c r="N181" s="235"/>
      <c r="O181" s="235"/>
      <c r="P181" s="235"/>
      <c r="Q181" s="267"/>
      <c r="R181" s="268" t="str">
        <f>IFERROR(IF(A181="","",COUNTIF(Ventes!B5:B504,A181)),"")</f>
        <v>#ERROR!</v>
      </c>
    </row>
    <row r="182">
      <c r="A182" s="265"/>
      <c r="B182" s="266"/>
      <c r="C182" s="227"/>
      <c r="D182" s="227"/>
      <c r="E182" s="227"/>
      <c r="F182" s="227"/>
      <c r="G182" s="227"/>
      <c r="H182" s="227"/>
      <c r="I182" s="227"/>
      <c r="J182" s="227"/>
      <c r="K182" s="227"/>
      <c r="L182" s="266" t="str">
        <f>IF(B182="","",B182+IFERROR(INDEX(Config!B:B,MATCH("DDM appertisation standard (mois)",Config!A:A,0)),36)*30)</f>
        <v>#ERROR!</v>
      </c>
      <c r="M182" s="227"/>
      <c r="N182" s="227"/>
      <c r="O182" s="227"/>
      <c r="P182" s="227"/>
      <c r="Q182" s="267"/>
      <c r="R182" s="268" t="str">
        <f>IFERROR(IF(A182="","",COUNTIF(Ventes!B5:B504,A182)),"")</f>
        <v>#ERROR!</v>
      </c>
    </row>
    <row r="183">
      <c r="A183" s="269"/>
      <c r="B183" s="270"/>
      <c r="C183" s="235"/>
      <c r="D183" s="235"/>
      <c r="E183" s="235"/>
      <c r="F183" s="235"/>
      <c r="G183" s="235"/>
      <c r="H183" s="235"/>
      <c r="I183" s="235"/>
      <c r="J183" s="235"/>
      <c r="K183" s="235"/>
      <c r="L183" s="270" t="str">
        <f>IF(B183="","",B183+IFERROR(INDEX(Config!B:B,MATCH("DDM appertisation standard (mois)",Config!A:A,0)),36)*30)</f>
        <v>#ERROR!</v>
      </c>
      <c r="M183" s="235"/>
      <c r="N183" s="235"/>
      <c r="O183" s="235"/>
      <c r="P183" s="235"/>
      <c r="Q183" s="267"/>
      <c r="R183" s="268" t="str">
        <f>IFERROR(IF(A183="","",COUNTIF(Ventes!B5:B504,A183)),"")</f>
        <v>#ERROR!</v>
      </c>
    </row>
    <row r="184">
      <c r="A184" s="265"/>
      <c r="B184" s="266"/>
      <c r="C184" s="227"/>
      <c r="D184" s="227"/>
      <c r="E184" s="227"/>
      <c r="F184" s="227"/>
      <c r="G184" s="227"/>
      <c r="H184" s="227"/>
      <c r="I184" s="227"/>
      <c r="J184" s="227"/>
      <c r="K184" s="227"/>
      <c r="L184" s="266" t="str">
        <f>IF(B184="","",B184+IFERROR(INDEX(Config!B:B,MATCH("DDM appertisation standard (mois)",Config!A:A,0)),36)*30)</f>
        <v>#ERROR!</v>
      </c>
      <c r="M184" s="227"/>
      <c r="N184" s="227"/>
      <c r="O184" s="227"/>
      <c r="P184" s="227"/>
      <c r="Q184" s="267"/>
      <c r="R184" s="268" t="str">
        <f>IFERROR(IF(A184="","",COUNTIF(Ventes!B5:B504,A184)),"")</f>
        <v>#ERROR!</v>
      </c>
    </row>
    <row r="185">
      <c r="A185" s="269"/>
      <c r="B185" s="270"/>
      <c r="C185" s="235"/>
      <c r="D185" s="235"/>
      <c r="E185" s="235"/>
      <c r="F185" s="235"/>
      <c r="G185" s="235"/>
      <c r="H185" s="235"/>
      <c r="I185" s="235"/>
      <c r="J185" s="235"/>
      <c r="K185" s="235"/>
      <c r="L185" s="270" t="str">
        <f>IF(B185="","",B185+IFERROR(INDEX(Config!B:B,MATCH("DDM appertisation standard (mois)",Config!A:A,0)),36)*30)</f>
        <v>#ERROR!</v>
      </c>
      <c r="M185" s="235"/>
      <c r="N185" s="235"/>
      <c r="O185" s="235"/>
      <c r="P185" s="235"/>
      <c r="Q185" s="267"/>
      <c r="R185" s="268" t="str">
        <f>IFERROR(IF(A185="","",COUNTIF(Ventes!B5:B504,A185)),"")</f>
        <v>#ERROR!</v>
      </c>
    </row>
    <row r="186">
      <c r="A186" s="265"/>
      <c r="B186" s="266"/>
      <c r="C186" s="227"/>
      <c r="D186" s="227"/>
      <c r="E186" s="227"/>
      <c r="F186" s="227"/>
      <c r="G186" s="227"/>
      <c r="H186" s="227"/>
      <c r="I186" s="227"/>
      <c r="J186" s="227"/>
      <c r="K186" s="227"/>
      <c r="L186" s="266" t="str">
        <f>IF(B186="","",B186+IFERROR(INDEX(Config!B:B,MATCH("DDM appertisation standard (mois)",Config!A:A,0)),36)*30)</f>
        <v>#ERROR!</v>
      </c>
      <c r="M186" s="227"/>
      <c r="N186" s="227"/>
      <c r="O186" s="227"/>
      <c r="P186" s="227"/>
      <c r="Q186" s="267"/>
      <c r="R186" s="268" t="str">
        <f>IFERROR(IF(A186="","",COUNTIF(Ventes!B5:B504,A186)),"")</f>
        <v>#ERROR!</v>
      </c>
    </row>
    <row r="187">
      <c r="A187" s="269"/>
      <c r="B187" s="270"/>
      <c r="C187" s="235"/>
      <c r="D187" s="235"/>
      <c r="E187" s="235"/>
      <c r="F187" s="235"/>
      <c r="G187" s="235"/>
      <c r="H187" s="235"/>
      <c r="I187" s="235"/>
      <c r="J187" s="235"/>
      <c r="K187" s="235"/>
      <c r="L187" s="270" t="str">
        <f>IF(B187="","",B187+IFERROR(INDEX(Config!B:B,MATCH("DDM appertisation standard (mois)",Config!A:A,0)),36)*30)</f>
        <v>#ERROR!</v>
      </c>
      <c r="M187" s="235"/>
      <c r="N187" s="235"/>
      <c r="O187" s="235"/>
      <c r="P187" s="235"/>
      <c r="Q187" s="267"/>
      <c r="R187" s="268" t="str">
        <f>IFERROR(IF(A187="","",COUNTIF(Ventes!B5:B504,A187)),"")</f>
        <v>#ERROR!</v>
      </c>
    </row>
    <row r="188">
      <c r="A188" s="265"/>
      <c r="B188" s="266"/>
      <c r="C188" s="227"/>
      <c r="D188" s="227"/>
      <c r="E188" s="227"/>
      <c r="F188" s="227"/>
      <c r="G188" s="227"/>
      <c r="H188" s="227"/>
      <c r="I188" s="227"/>
      <c r="J188" s="227"/>
      <c r="K188" s="227"/>
      <c r="L188" s="266" t="str">
        <f>IF(B188="","",B188+IFERROR(INDEX(Config!B:B,MATCH("DDM appertisation standard (mois)",Config!A:A,0)),36)*30)</f>
        <v>#ERROR!</v>
      </c>
      <c r="M188" s="227"/>
      <c r="N188" s="227"/>
      <c r="O188" s="227"/>
      <c r="P188" s="227"/>
      <c r="Q188" s="267"/>
      <c r="R188" s="268" t="str">
        <f>IFERROR(IF(A188="","",COUNTIF(Ventes!B5:B504,A188)),"")</f>
        <v>#ERROR!</v>
      </c>
    </row>
    <row r="189">
      <c r="A189" s="269"/>
      <c r="B189" s="270"/>
      <c r="C189" s="235"/>
      <c r="D189" s="235"/>
      <c r="E189" s="235"/>
      <c r="F189" s="235"/>
      <c r="G189" s="235"/>
      <c r="H189" s="235"/>
      <c r="I189" s="235"/>
      <c r="J189" s="235"/>
      <c r="K189" s="235"/>
      <c r="L189" s="270" t="str">
        <f>IF(B189="","",B189+IFERROR(INDEX(Config!B:B,MATCH("DDM appertisation standard (mois)",Config!A:A,0)),36)*30)</f>
        <v>#ERROR!</v>
      </c>
      <c r="M189" s="235"/>
      <c r="N189" s="235"/>
      <c r="O189" s="235"/>
      <c r="P189" s="235"/>
      <c r="Q189" s="267"/>
      <c r="R189" s="268" t="str">
        <f>IFERROR(IF(A189="","",COUNTIF(Ventes!B5:B504,A189)),"")</f>
        <v>#ERROR!</v>
      </c>
    </row>
    <row r="190">
      <c r="A190" s="265"/>
      <c r="B190" s="266"/>
      <c r="C190" s="227"/>
      <c r="D190" s="227"/>
      <c r="E190" s="227"/>
      <c r="F190" s="227"/>
      <c r="G190" s="227"/>
      <c r="H190" s="227"/>
      <c r="I190" s="227"/>
      <c r="J190" s="227"/>
      <c r="K190" s="227"/>
      <c r="L190" s="266" t="str">
        <f>IF(B190="","",B190+IFERROR(INDEX(Config!B:B,MATCH("DDM appertisation standard (mois)",Config!A:A,0)),36)*30)</f>
        <v>#ERROR!</v>
      </c>
      <c r="M190" s="227"/>
      <c r="N190" s="227"/>
      <c r="O190" s="227"/>
      <c r="P190" s="227"/>
      <c r="Q190" s="267"/>
      <c r="R190" s="268" t="str">
        <f>IFERROR(IF(A190="","",COUNTIF(Ventes!B5:B504,A190)),"")</f>
        <v>#ERROR!</v>
      </c>
    </row>
    <row r="191">
      <c r="A191" s="269"/>
      <c r="B191" s="270"/>
      <c r="C191" s="235"/>
      <c r="D191" s="235"/>
      <c r="E191" s="235"/>
      <c r="F191" s="235"/>
      <c r="G191" s="235"/>
      <c r="H191" s="235"/>
      <c r="I191" s="235"/>
      <c r="J191" s="235"/>
      <c r="K191" s="235"/>
      <c r="L191" s="270" t="str">
        <f>IF(B191="","",B191+IFERROR(INDEX(Config!B:B,MATCH("DDM appertisation standard (mois)",Config!A:A,0)),36)*30)</f>
        <v>#ERROR!</v>
      </c>
      <c r="M191" s="235"/>
      <c r="N191" s="235"/>
      <c r="O191" s="235"/>
      <c r="P191" s="235"/>
      <c r="Q191" s="267"/>
      <c r="R191" s="268" t="str">
        <f>IFERROR(IF(A191="","",COUNTIF(Ventes!B5:B504,A191)),"")</f>
        <v>#ERROR!</v>
      </c>
    </row>
    <row r="192">
      <c r="A192" s="265"/>
      <c r="B192" s="266"/>
      <c r="C192" s="227"/>
      <c r="D192" s="227"/>
      <c r="E192" s="227"/>
      <c r="F192" s="227"/>
      <c r="G192" s="227"/>
      <c r="H192" s="227"/>
      <c r="I192" s="227"/>
      <c r="J192" s="227"/>
      <c r="K192" s="227"/>
      <c r="L192" s="266" t="str">
        <f>IF(B192="","",B192+IFERROR(INDEX(Config!B:B,MATCH("DDM appertisation standard (mois)",Config!A:A,0)),36)*30)</f>
        <v>#ERROR!</v>
      </c>
      <c r="M192" s="227"/>
      <c r="N192" s="227"/>
      <c r="O192" s="227"/>
      <c r="P192" s="227"/>
      <c r="Q192" s="267"/>
      <c r="R192" s="268" t="str">
        <f>IFERROR(IF(A192="","",COUNTIF(Ventes!B5:B504,A192)),"")</f>
        <v>#ERROR!</v>
      </c>
    </row>
    <row r="193">
      <c r="A193" s="269"/>
      <c r="B193" s="270"/>
      <c r="C193" s="235"/>
      <c r="D193" s="235"/>
      <c r="E193" s="235"/>
      <c r="F193" s="235"/>
      <c r="G193" s="235"/>
      <c r="H193" s="235"/>
      <c r="I193" s="235"/>
      <c r="J193" s="235"/>
      <c r="K193" s="235"/>
      <c r="L193" s="270" t="str">
        <f>IF(B193="","",B193+IFERROR(INDEX(Config!B:B,MATCH("DDM appertisation standard (mois)",Config!A:A,0)),36)*30)</f>
        <v>#ERROR!</v>
      </c>
      <c r="M193" s="235"/>
      <c r="N193" s="235"/>
      <c r="O193" s="235"/>
      <c r="P193" s="235"/>
      <c r="Q193" s="267"/>
      <c r="R193" s="268" t="str">
        <f>IFERROR(IF(A193="","",COUNTIF(Ventes!B5:B504,A193)),"")</f>
        <v>#ERROR!</v>
      </c>
    </row>
    <row r="194">
      <c r="A194" s="265"/>
      <c r="B194" s="266"/>
      <c r="C194" s="227"/>
      <c r="D194" s="227"/>
      <c r="E194" s="227"/>
      <c r="F194" s="227"/>
      <c r="G194" s="227"/>
      <c r="H194" s="227"/>
      <c r="I194" s="227"/>
      <c r="J194" s="227"/>
      <c r="K194" s="227"/>
      <c r="L194" s="266" t="str">
        <f>IF(B194="","",B194+IFERROR(INDEX(Config!B:B,MATCH("DDM appertisation standard (mois)",Config!A:A,0)),36)*30)</f>
        <v>#ERROR!</v>
      </c>
      <c r="M194" s="227"/>
      <c r="N194" s="227"/>
      <c r="O194" s="227"/>
      <c r="P194" s="227"/>
      <c r="Q194" s="267"/>
      <c r="R194" s="268" t="str">
        <f>IFERROR(IF(A194="","",COUNTIF(Ventes!B5:B504,A194)),"")</f>
        <v>#ERROR!</v>
      </c>
    </row>
    <row r="195">
      <c r="A195" s="269"/>
      <c r="B195" s="270"/>
      <c r="C195" s="235"/>
      <c r="D195" s="235"/>
      <c r="E195" s="235"/>
      <c r="F195" s="235"/>
      <c r="G195" s="235"/>
      <c r="H195" s="235"/>
      <c r="I195" s="235"/>
      <c r="J195" s="235"/>
      <c r="K195" s="235"/>
      <c r="L195" s="270" t="str">
        <f>IF(B195="","",B195+IFERROR(INDEX(Config!B:B,MATCH("DDM appertisation standard (mois)",Config!A:A,0)),36)*30)</f>
        <v>#ERROR!</v>
      </c>
      <c r="M195" s="235"/>
      <c r="N195" s="235"/>
      <c r="O195" s="235"/>
      <c r="P195" s="235"/>
      <c r="Q195" s="267"/>
      <c r="R195" s="268" t="str">
        <f>IFERROR(IF(A195="","",COUNTIF(Ventes!B5:B504,A195)),"")</f>
        <v>#ERROR!</v>
      </c>
    </row>
    <row r="196">
      <c r="A196" s="265"/>
      <c r="B196" s="266"/>
      <c r="C196" s="227"/>
      <c r="D196" s="227"/>
      <c r="E196" s="227"/>
      <c r="F196" s="227"/>
      <c r="G196" s="227"/>
      <c r="H196" s="227"/>
      <c r="I196" s="227"/>
      <c r="J196" s="227"/>
      <c r="K196" s="227"/>
      <c r="L196" s="266" t="str">
        <f>IF(B196="","",B196+IFERROR(INDEX(Config!B:B,MATCH("DDM appertisation standard (mois)",Config!A:A,0)),36)*30)</f>
        <v>#ERROR!</v>
      </c>
      <c r="M196" s="227"/>
      <c r="N196" s="227"/>
      <c r="O196" s="227"/>
      <c r="P196" s="227"/>
      <c r="Q196" s="267"/>
      <c r="R196" s="268" t="str">
        <f>IFERROR(IF(A196="","",COUNTIF(Ventes!B5:B504,A196)),"")</f>
        <v>#ERROR!</v>
      </c>
    </row>
    <row r="197">
      <c r="A197" s="269"/>
      <c r="B197" s="270"/>
      <c r="C197" s="235"/>
      <c r="D197" s="235"/>
      <c r="E197" s="235"/>
      <c r="F197" s="235"/>
      <c r="G197" s="235"/>
      <c r="H197" s="235"/>
      <c r="I197" s="235"/>
      <c r="J197" s="235"/>
      <c r="K197" s="235"/>
      <c r="L197" s="270" t="str">
        <f>IF(B197="","",B197+IFERROR(INDEX(Config!B:B,MATCH("DDM appertisation standard (mois)",Config!A:A,0)),36)*30)</f>
        <v>#ERROR!</v>
      </c>
      <c r="M197" s="235"/>
      <c r="N197" s="235"/>
      <c r="O197" s="235"/>
      <c r="P197" s="235"/>
      <c r="Q197" s="267"/>
      <c r="R197" s="268" t="str">
        <f>IFERROR(IF(A197="","",COUNTIF(Ventes!B5:B504,A197)),"")</f>
        <v>#ERROR!</v>
      </c>
    </row>
    <row r="198">
      <c r="A198" s="265"/>
      <c r="B198" s="266"/>
      <c r="C198" s="227"/>
      <c r="D198" s="227"/>
      <c r="E198" s="227"/>
      <c r="F198" s="227"/>
      <c r="G198" s="227"/>
      <c r="H198" s="227"/>
      <c r="I198" s="227"/>
      <c r="J198" s="227"/>
      <c r="K198" s="227"/>
      <c r="L198" s="266" t="str">
        <f>IF(B198="","",B198+IFERROR(INDEX(Config!B:B,MATCH("DDM appertisation standard (mois)",Config!A:A,0)),36)*30)</f>
        <v>#ERROR!</v>
      </c>
      <c r="M198" s="227"/>
      <c r="N198" s="227"/>
      <c r="O198" s="227"/>
      <c r="P198" s="227"/>
      <c r="Q198" s="267"/>
      <c r="R198" s="268" t="str">
        <f>IFERROR(IF(A198="","",COUNTIF(Ventes!B5:B504,A198)),"")</f>
        <v>#ERROR!</v>
      </c>
    </row>
    <row r="199">
      <c r="A199" s="269"/>
      <c r="B199" s="270"/>
      <c r="C199" s="235"/>
      <c r="D199" s="235"/>
      <c r="E199" s="235"/>
      <c r="F199" s="235"/>
      <c r="G199" s="235"/>
      <c r="H199" s="235"/>
      <c r="I199" s="235"/>
      <c r="J199" s="235"/>
      <c r="K199" s="235"/>
      <c r="L199" s="270" t="str">
        <f>IF(B199="","",B199+IFERROR(INDEX(Config!B:B,MATCH("DDM appertisation standard (mois)",Config!A:A,0)),36)*30)</f>
        <v>#ERROR!</v>
      </c>
      <c r="M199" s="235"/>
      <c r="N199" s="235"/>
      <c r="O199" s="235"/>
      <c r="P199" s="235"/>
      <c r="Q199" s="267"/>
      <c r="R199" s="268" t="str">
        <f>IFERROR(IF(A199="","",COUNTIF(Ventes!B5:B504,A199)),"")</f>
        <v>#ERROR!</v>
      </c>
    </row>
    <row r="200">
      <c r="A200" s="265"/>
      <c r="B200" s="266"/>
      <c r="C200" s="227"/>
      <c r="D200" s="227"/>
      <c r="E200" s="227"/>
      <c r="F200" s="227"/>
      <c r="G200" s="227"/>
      <c r="H200" s="227"/>
      <c r="I200" s="227"/>
      <c r="J200" s="227"/>
      <c r="K200" s="227"/>
      <c r="L200" s="266" t="str">
        <f>IF(B200="","",B200+IFERROR(INDEX(Config!B:B,MATCH("DDM appertisation standard (mois)",Config!A:A,0)),36)*30)</f>
        <v>#ERROR!</v>
      </c>
      <c r="M200" s="227"/>
      <c r="N200" s="227"/>
      <c r="O200" s="227"/>
      <c r="P200" s="227"/>
      <c r="Q200" s="267"/>
      <c r="R200" s="268" t="str">
        <f>IFERROR(IF(A200="","",COUNTIF(Ventes!B5:B504,A200)),"")</f>
        <v>#ERROR!</v>
      </c>
    </row>
    <row r="201">
      <c r="A201" s="269"/>
      <c r="B201" s="270"/>
      <c r="C201" s="235"/>
      <c r="D201" s="235"/>
      <c r="E201" s="235"/>
      <c r="F201" s="235"/>
      <c r="G201" s="235"/>
      <c r="H201" s="235"/>
      <c r="I201" s="235"/>
      <c r="J201" s="235"/>
      <c r="K201" s="235"/>
      <c r="L201" s="270" t="str">
        <f>IF(B201="","",B201+IFERROR(INDEX(Config!B:B,MATCH("DDM appertisation standard (mois)",Config!A:A,0)),36)*30)</f>
        <v>#ERROR!</v>
      </c>
      <c r="M201" s="235"/>
      <c r="N201" s="235"/>
      <c r="O201" s="235"/>
      <c r="P201" s="235"/>
      <c r="Q201" s="267"/>
      <c r="R201" s="268" t="str">
        <f>IFERROR(IF(A201="","",COUNTIF(Ventes!B5:B504,A201)),"")</f>
        <v>#ERROR!</v>
      </c>
    </row>
    <row r="202">
      <c r="A202" s="265"/>
      <c r="B202" s="266"/>
      <c r="C202" s="227"/>
      <c r="D202" s="227"/>
      <c r="E202" s="227"/>
      <c r="F202" s="227"/>
      <c r="G202" s="227"/>
      <c r="H202" s="227"/>
      <c r="I202" s="227"/>
      <c r="J202" s="227"/>
      <c r="K202" s="227"/>
      <c r="L202" s="266" t="str">
        <f>IF(B202="","",B202+IFERROR(INDEX(Config!B:B,MATCH("DDM appertisation standard (mois)",Config!A:A,0)),36)*30)</f>
        <v>#ERROR!</v>
      </c>
      <c r="M202" s="227"/>
      <c r="N202" s="227"/>
      <c r="O202" s="227"/>
      <c r="P202" s="227"/>
      <c r="Q202" s="267"/>
      <c r="R202" s="268" t="str">
        <f>IFERROR(IF(A202="","",COUNTIF(Ventes!B5:B504,A202)),"")</f>
        <v>#ERROR!</v>
      </c>
    </row>
    <row r="203">
      <c r="A203" s="269"/>
      <c r="B203" s="270"/>
      <c r="C203" s="235"/>
      <c r="D203" s="235"/>
      <c r="E203" s="235"/>
      <c r="F203" s="235"/>
      <c r="G203" s="235"/>
      <c r="H203" s="235"/>
      <c r="I203" s="235"/>
      <c r="J203" s="235"/>
      <c r="K203" s="235"/>
      <c r="L203" s="270" t="str">
        <f>IF(B203="","",B203+IFERROR(INDEX(Config!B:B,MATCH("DDM appertisation standard (mois)",Config!A:A,0)),36)*30)</f>
        <v>#ERROR!</v>
      </c>
      <c r="M203" s="235"/>
      <c r="N203" s="235"/>
      <c r="O203" s="235"/>
      <c r="P203" s="235"/>
      <c r="Q203" s="267"/>
      <c r="R203" s="268" t="str">
        <f>IFERROR(IF(A203="","",COUNTIF(Ventes!B5:B504,A203)),"")</f>
        <v>#ERROR!</v>
      </c>
    </row>
    <row r="204">
      <c r="A204" s="265"/>
      <c r="B204" s="266"/>
      <c r="C204" s="227"/>
      <c r="D204" s="227"/>
      <c r="E204" s="227"/>
      <c r="F204" s="227"/>
      <c r="G204" s="227"/>
      <c r="H204" s="227"/>
      <c r="I204" s="227"/>
      <c r="J204" s="227"/>
      <c r="K204" s="227"/>
      <c r="L204" s="266" t="str">
        <f>IF(B204="","",B204+IFERROR(INDEX(Config!B:B,MATCH("DDM appertisation standard (mois)",Config!A:A,0)),36)*30)</f>
        <v>#ERROR!</v>
      </c>
      <c r="M204" s="227"/>
      <c r="N204" s="227"/>
      <c r="O204" s="227"/>
      <c r="P204" s="227"/>
      <c r="Q204" s="267"/>
      <c r="R204" s="268" t="str">
        <f>IFERROR(IF(A204="","",COUNTIF(Ventes!B5:B504,A204)),"")</f>
        <v>#ERROR!</v>
      </c>
    </row>
    <row r="205">
      <c r="A205" s="269"/>
      <c r="B205" s="270"/>
      <c r="C205" s="235"/>
      <c r="D205" s="235"/>
      <c r="E205" s="235"/>
      <c r="F205" s="235"/>
      <c r="G205" s="235"/>
      <c r="H205" s="235"/>
      <c r="I205" s="235"/>
      <c r="J205" s="235"/>
      <c r="K205" s="235"/>
      <c r="L205" s="270" t="str">
        <f>IF(B205="","",B205+IFERROR(INDEX(Config!B:B,MATCH("DDM appertisation standard (mois)",Config!A:A,0)),36)*30)</f>
        <v>#ERROR!</v>
      </c>
      <c r="M205" s="235"/>
      <c r="N205" s="235"/>
      <c r="O205" s="235"/>
      <c r="P205" s="235"/>
      <c r="Q205" s="267"/>
      <c r="R205" s="268" t="str">
        <f>IFERROR(IF(A205="","",COUNTIF(Ventes!B5:B504,A205)),"")</f>
        <v>#ERROR!</v>
      </c>
    </row>
    <row r="206">
      <c r="A206" s="265"/>
      <c r="B206" s="266"/>
      <c r="C206" s="227"/>
      <c r="D206" s="227"/>
      <c r="E206" s="227"/>
      <c r="F206" s="227"/>
      <c r="G206" s="227"/>
      <c r="H206" s="227"/>
      <c r="I206" s="227"/>
      <c r="J206" s="227"/>
      <c r="K206" s="227"/>
      <c r="L206" s="266" t="str">
        <f>IF(B206="","",B206+IFERROR(INDEX(Config!B:B,MATCH("DDM appertisation standard (mois)",Config!A:A,0)),36)*30)</f>
        <v>#ERROR!</v>
      </c>
      <c r="M206" s="227"/>
      <c r="N206" s="227"/>
      <c r="O206" s="227"/>
      <c r="P206" s="227"/>
      <c r="Q206" s="267"/>
      <c r="R206" s="268" t="str">
        <f>IFERROR(IF(A206="","",COUNTIF(Ventes!B5:B504,A206)),"")</f>
        <v>#ERROR!</v>
      </c>
    </row>
    <row r="207">
      <c r="A207" s="269"/>
      <c r="B207" s="270"/>
      <c r="C207" s="235"/>
      <c r="D207" s="235"/>
      <c r="E207" s="235"/>
      <c r="F207" s="235"/>
      <c r="G207" s="235"/>
      <c r="H207" s="235"/>
      <c r="I207" s="235"/>
      <c r="J207" s="235"/>
      <c r="K207" s="235"/>
      <c r="L207" s="270" t="str">
        <f>IF(B207="","",B207+IFERROR(INDEX(Config!B:B,MATCH("DDM appertisation standard (mois)",Config!A:A,0)),36)*30)</f>
        <v>#ERROR!</v>
      </c>
      <c r="M207" s="235"/>
      <c r="N207" s="235"/>
      <c r="O207" s="235"/>
      <c r="P207" s="235"/>
      <c r="Q207" s="267"/>
      <c r="R207" s="268" t="str">
        <f>IFERROR(IF(A207="","",COUNTIF(Ventes!B5:B504,A207)),"")</f>
        <v>#ERROR!</v>
      </c>
    </row>
    <row r="208">
      <c r="A208" s="265"/>
      <c r="B208" s="266"/>
      <c r="C208" s="227"/>
      <c r="D208" s="227"/>
      <c r="E208" s="227"/>
      <c r="F208" s="227"/>
      <c r="G208" s="227"/>
      <c r="H208" s="227"/>
      <c r="I208" s="227"/>
      <c r="J208" s="227"/>
      <c r="K208" s="227"/>
      <c r="L208" s="266" t="str">
        <f>IF(B208="","",B208+IFERROR(INDEX(Config!B:B,MATCH("DDM appertisation standard (mois)",Config!A:A,0)),36)*30)</f>
        <v>#ERROR!</v>
      </c>
      <c r="M208" s="227"/>
      <c r="N208" s="227"/>
      <c r="O208" s="227"/>
      <c r="P208" s="227"/>
      <c r="Q208" s="267"/>
      <c r="R208" s="268" t="str">
        <f>IFERROR(IF(A208="","",COUNTIF(Ventes!B5:B504,A208)),"")</f>
        <v>#ERROR!</v>
      </c>
    </row>
    <row r="209">
      <c r="A209" s="269"/>
      <c r="B209" s="270"/>
      <c r="C209" s="235"/>
      <c r="D209" s="235"/>
      <c r="E209" s="235"/>
      <c r="F209" s="235"/>
      <c r="G209" s="235"/>
      <c r="H209" s="235"/>
      <c r="I209" s="235"/>
      <c r="J209" s="235"/>
      <c r="K209" s="235"/>
      <c r="L209" s="270" t="str">
        <f>IF(B209="","",B209+IFERROR(INDEX(Config!B:B,MATCH("DDM appertisation standard (mois)",Config!A:A,0)),36)*30)</f>
        <v>#ERROR!</v>
      </c>
      <c r="M209" s="235"/>
      <c r="N209" s="235"/>
      <c r="O209" s="235"/>
      <c r="P209" s="235"/>
      <c r="Q209" s="267"/>
      <c r="R209" s="268" t="str">
        <f>IFERROR(IF(A209="","",COUNTIF(Ventes!B5:B504,A209)),"")</f>
        <v>#ERROR!</v>
      </c>
    </row>
    <row r="210">
      <c r="A210" s="265"/>
      <c r="B210" s="266"/>
      <c r="C210" s="227"/>
      <c r="D210" s="227"/>
      <c r="E210" s="227"/>
      <c r="F210" s="227"/>
      <c r="G210" s="227"/>
      <c r="H210" s="227"/>
      <c r="I210" s="227"/>
      <c r="J210" s="227"/>
      <c r="K210" s="227"/>
      <c r="L210" s="266" t="str">
        <f>IF(B210="","",B210+IFERROR(INDEX(Config!B:B,MATCH("DDM appertisation standard (mois)",Config!A:A,0)),36)*30)</f>
        <v>#ERROR!</v>
      </c>
      <c r="M210" s="227"/>
      <c r="N210" s="227"/>
      <c r="O210" s="227"/>
      <c r="P210" s="227"/>
      <c r="Q210" s="267"/>
      <c r="R210" s="268" t="str">
        <f>IFERROR(IF(A210="","",COUNTIF(Ventes!B5:B504,A210)),"")</f>
        <v>#ERROR!</v>
      </c>
    </row>
    <row r="211">
      <c r="A211" s="269"/>
      <c r="B211" s="270"/>
      <c r="C211" s="235"/>
      <c r="D211" s="235"/>
      <c r="E211" s="235"/>
      <c r="F211" s="235"/>
      <c r="G211" s="235"/>
      <c r="H211" s="235"/>
      <c r="I211" s="235"/>
      <c r="J211" s="235"/>
      <c r="K211" s="235"/>
      <c r="L211" s="270" t="str">
        <f>IF(B211="","",B211+IFERROR(INDEX(Config!B:B,MATCH("DDM appertisation standard (mois)",Config!A:A,0)),36)*30)</f>
        <v>#ERROR!</v>
      </c>
      <c r="M211" s="235"/>
      <c r="N211" s="235"/>
      <c r="O211" s="235"/>
      <c r="P211" s="235"/>
      <c r="Q211" s="267"/>
      <c r="R211" s="268" t="str">
        <f>IFERROR(IF(A211="","",COUNTIF(Ventes!B5:B504,A211)),"")</f>
        <v>#ERROR!</v>
      </c>
    </row>
    <row r="212">
      <c r="A212" s="265"/>
      <c r="B212" s="266"/>
      <c r="C212" s="227"/>
      <c r="D212" s="227"/>
      <c r="E212" s="227"/>
      <c r="F212" s="227"/>
      <c r="G212" s="227"/>
      <c r="H212" s="227"/>
      <c r="I212" s="227"/>
      <c r="J212" s="227"/>
      <c r="K212" s="227"/>
      <c r="L212" s="266" t="str">
        <f>IF(B212="","",B212+IFERROR(INDEX(Config!B:B,MATCH("DDM appertisation standard (mois)",Config!A:A,0)),36)*30)</f>
        <v>#ERROR!</v>
      </c>
      <c r="M212" s="227"/>
      <c r="N212" s="227"/>
      <c r="O212" s="227"/>
      <c r="P212" s="227"/>
      <c r="Q212" s="267"/>
      <c r="R212" s="268" t="str">
        <f>IFERROR(IF(A212="","",COUNTIF(Ventes!B5:B504,A212)),"")</f>
        <v>#ERROR!</v>
      </c>
    </row>
    <row r="213">
      <c r="A213" s="269"/>
      <c r="B213" s="270"/>
      <c r="C213" s="235"/>
      <c r="D213" s="235"/>
      <c r="E213" s="235"/>
      <c r="F213" s="235"/>
      <c r="G213" s="235"/>
      <c r="H213" s="235"/>
      <c r="I213" s="235"/>
      <c r="J213" s="235"/>
      <c r="K213" s="235"/>
      <c r="L213" s="270" t="str">
        <f>IF(B213="","",B213+IFERROR(INDEX(Config!B:B,MATCH("DDM appertisation standard (mois)",Config!A:A,0)),36)*30)</f>
        <v>#ERROR!</v>
      </c>
      <c r="M213" s="235"/>
      <c r="N213" s="235"/>
      <c r="O213" s="235"/>
      <c r="P213" s="235"/>
      <c r="Q213" s="267"/>
      <c r="R213" s="268" t="str">
        <f>IFERROR(IF(A213="","",COUNTIF(Ventes!B5:B504,A213)),"")</f>
        <v>#ERROR!</v>
      </c>
    </row>
    <row r="214">
      <c r="A214" s="265"/>
      <c r="B214" s="266"/>
      <c r="C214" s="227"/>
      <c r="D214" s="227"/>
      <c r="E214" s="227"/>
      <c r="F214" s="227"/>
      <c r="G214" s="227"/>
      <c r="H214" s="227"/>
      <c r="I214" s="227"/>
      <c r="J214" s="227"/>
      <c r="K214" s="227"/>
      <c r="L214" s="266" t="str">
        <f>IF(B214="","",B214+IFERROR(INDEX(Config!B:B,MATCH("DDM appertisation standard (mois)",Config!A:A,0)),36)*30)</f>
        <v>#ERROR!</v>
      </c>
      <c r="M214" s="227"/>
      <c r="N214" s="227"/>
      <c r="O214" s="227"/>
      <c r="P214" s="227"/>
      <c r="Q214" s="267"/>
      <c r="R214" s="268" t="str">
        <f>IFERROR(IF(A214="","",COUNTIF(Ventes!B5:B504,A214)),"")</f>
        <v>#ERROR!</v>
      </c>
    </row>
    <row r="215">
      <c r="A215" s="269"/>
      <c r="B215" s="270"/>
      <c r="C215" s="235"/>
      <c r="D215" s="235"/>
      <c r="E215" s="235"/>
      <c r="F215" s="235"/>
      <c r="G215" s="235"/>
      <c r="H215" s="235"/>
      <c r="I215" s="235"/>
      <c r="J215" s="235"/>
      <c r="K215" s="235"/>
      <c r="L215" s="270" t="str">
        <f>IF(B215="","",B215+IFERROR(INDEX(Config!B:B,MATCH("DDM appertisation standard (mois)",Config!A:A,0)),36)*30)</f>
        <v>#ERROR!</v>
      </c>
      <c r="M215" s="235"/>
      <c r="N215" s="235"/>
      <c r="O215" s="235"/>
      <c r="P215" s="235"/>
      <c r="Q215" s="267"/>
      <c r="R215" s="268" t="str">
        <f>IFERROR(IF(A215="","",COUNTIF(Ventes!B5:B504,A215)),"")</f>
        <v>#ERROR!</v>
      </c>
    </row>
    <row r="216">
      <c r="A216" s="265"/>
      <c r="B216" s="266"/>
      <c r="C216" s="227"/>
      <c r="D216" s="227"/>
      <c r="E216" s="227"/>
      <c r="F216" s="227"/>
      <c r="G216" s="227"/>
      <c r="H216" s="227"/>
      <c r="I216" s="227"/>
      <c r="J216" s="227"/>
      <c r="K216" s="227"/>
      <c r="L216" s="266" t="str">
        <f>IF(B216="","",B216+IFERROR(INDEX(Config!B:B,MATCH("DDM appertisation standard (mois)",Config!A:A,0)),36)*30)</f>
        <v>#ERROR!</v>
      </c>
      <c r="M216" s="227"/>
      <c r="N216" s="227"/>
      <c r="O216" s="227"/>
      <c r="P216" s="227"/>
      <c r="Q216" s="267"/>
      <c r="R216" s="268" t="str">
        <f>IFERROR(IF(A216="","",COUNTIF(Ventes!B5:B504,A216)),"")</f>
        <v>#ERROR!</v>
      </c>
    </row>
    <row r="217">
      <c r="A217" s="269"/>
      <c r="B217" s="270"/>
      <c r="C217" s="235"/>
      <c r="D217" s="235"/>
      <c r="E217" s="235"/>
      <c r="F217" s="235"/>
      <c r="G217" s="235"/>
      <c r="H217" s="235"/>
      <c r="I217" s="235"/>
      <c r="J217" s="235"/>
      <c r="K217" s="235"/>
      <c r="L217" s="270" t="str">
        <f>IF(B217="","",B217+IFERROR(INDEX(Config!B:B,MATCH("DDM appertisation standard (mois)",Config!A:A,0)),36)*30)</f>
        <v>#ERROR!</v>
      </c>
      <c r="M217" s="235"/>
      <c r="N217" s="235"/>
      <c r="O217" s="235"/>
      <c r="P217" s="235"/>
      <c r="Q217" s="267"/>
      <c r="R217" s="268" t="str">
        <f>IFERROR(IF(A217="","",COUNTIF(Ventes!B5:B504,A217)),"")</f>
        <v>#ERROR!</v>
      </c>
    </row>
    <row r="218">
      <c r="A218" s="265"/>
      <c r="B218" s="266"/>
      <c r="C218" s="227"/>
      <c r="D218" s="227"/>
      <c r="E218" s="227"/>
      <c r="F218" s="227"/>
      <c r="G218" s="227"/>
      <c r="H218" s="227"/>
      <c r="I218" s="227"/>
      <c r="J218" s="227"/>
      <c r="K218" s="227"/>
      <c r="L218" s="266" t="str">
        <f>IF(B218="","",B218+IFERROR(INDEX(Config!B:B,MATCH("DDM appertisation standard (mois)",Config!A:A,0)),36)*30)</f>
        <v>#ERROR!</v>
      </c>
      <c r="M218" s="227"/>
      <c r="N218" s="227"/>
      <c r="O218" s="227"/>
      <c r="P218" s="227"/>
      <c r="Q218" s="267"/>
      <c r="R218" s="268" t="str">
        <f>IFERROR(IF(A218="","",COUNTIF(Ventes!B5:B504,A218)),"")</f>
        <v>#ERROR!</v>
      </c>
    </row>
    <row r="219">
      <c r="A219" s="269"/>
      <c r="B219" s="270"/>
      <c r="C219" s="235"/>
      <c r="D219" s="235"/>
      <c r="E219" s="235"/>
      <c r="F219" s="235"/>
      <c r="G219" s="235"/>
      <c r="H219" s="235"/>
      <c r="I219" s="235"/>
      <c r="J219" s="235"/>
      <c r="K219" s="235"/>
      <c r="L219" s="270" t="str">
        <f>IF(B219="","",B219+IFERROR(INDEX(Config!B:B,MATCH("DDM appertisation standard (mois)",Config!A:A,0)),36)*30)</f>
        <v>#ERROR!</v>
      </c>
      <c r="M219" s="235"/>
      <c r="N219" s="235"/>
      <c r="O219" s="235"/>
      <c r="P219" s="235"/>
      <c r="Q219" s="267"/>
      <c r="R219" s="268" t="str">
        <f>IFERROR(IF(A219="","",COUNTIF(Ventes!B5:B504,A219)),"")</f>
        <v>#ERROR!</v>
      </c>
    </row>
    <row r="220">
      <c r="A220" s="265"/>
      <c r="B220" s="266"/>
      <c r="C220" s="227"/>
      <c r="D220" s="227"/>
      <c r="E220" s="227"/>
      <c r="F220" s="227"/>
      <c r="G220" s="227"/>
      <c r="H220" s="227"/>
      <c r="I220" s="227"/>
      <c r="J220" s="227"/>
      <c r="K220" s="227"/>
      <c r="L220" s="266" t="str">
        <f>IF(B220="","",B220+IFERROR(INDEX(Config!B:B,MATCH("DDM appertisation standard (mois)",Config!A:A,0)),36)*30)</f>
        <v>#ERROR!</v>
      </c>
      <c r="M220" s="227"/>
      <c r="N220" s="227"/>
      <c r="O220" s="227"/>
      <c r="P220" s="227"/>
      <c r="Q220" s="267"/>
      <c r="R220" s="268" t="str">
        <f>IFERROR(IF(A220="","",COUNTIF(Ventes!B5:B504,A220)),"")</f>
        <v>#ERROR!</v>
      </c>
    </row>
    <row r="221">
      <c r="A221" s="269"/>
      <c r="B221" s="270"/>
      <c r="C221" s="235"/>
      <c r="D221" s="235"/>
      <c r="E221" s="235"/>
      <c r="F221" s="235"/>
      <c r="G221" s="235"/>
      <c r="H221" s="235"/>
      <c r="I221" s="235"/>
      <c r="J221" s="235"/>
      <c r="K221" s="235"/>
      <c r="L221" s="270" t="str">
        <f>IF(B221="","",B221+IFERROR(INDEX(Config!B:B,MATCH("DDM appertisation standard (mois)",Config!A:A,0)),36)*30)</f>
        <v>#ERROR!</v>
      </c>
      <c r="M221" s="235"/>
      <c r="N221" s="235"/>
      <c r="O221" s="235"/>
      <c r="P221" s="235"/>
      <c r="Q221" s="267"/>
      <c r="R221" s="268" t="str">
        <f>IFERROR(IF(A221="","",COUNTIF(Ventes!B5:B504,A221)),"")</f>
        <v>#ERROR!</v>
      </c>
    </row>
    <row r="222">
      <c r="A222" s="265"/>
      <c r="B222" s="266"/>
      <c r="C222" s="227"/>
      <c r="D222" s="227"/>
      <c r="E222" s="227"/>
      <c r="F222" s="227"/>
      <c r="G222" s="227"/>
      <c r="H222" s="227"/>
      <c r="I222" s="227"/>
      <c r="J222" s="227"/>
      <c r="K222" s="227"/>
      <c r="L222" s="266" t="str">
        <f>IF(B222="","",B222+IFERROR(INDEX(Config!B:B,MATCH("DDM appertisation standard (mois)",Config!A:A,0)),36)*30)</f>
        <v>#ERROR!</v>
      </c>
      <c r="M222" s="227"/>
      <c r="N222" s="227"/>
      <c r="O222" s="227"/>
      <c r="P222" s="227"/>
      <c r="Q222" s="267"/>
      <c r="R222" s="268" t="str">
        <f>IFERROR(IF(A222="","",COUNTIF(Ventes!B5:B504,A222)),"")</f>
        <v>#ERROR!</v>
      </c>
    </row>
    <row r="223">
      <c r="A223" s="269"/>
      <c r="B223" s="270"/>
      <c r="C223" s="235"/>
      <c r="D223" s="235"/>
      <c r="E223" s="235"/>
      <c r="F223" s="235"/>
      <c r="G223" s="235"/>
      <c r="H223" s="235"/>
      <c r="I223" s="235"/>
      <c r="J223" s="235"/>
      <c r="K223" s="235"/>
      <c r="L223" s="270" t="str">
        <f>IF(B223="","",B223+IFERROR(INDEX(Config!B:B,MATCH("DDM appertisation standard (mois)",Config!A:A,0)),36)*30)</f>
        <v>#ERROR!</v>
      </c>
      <c r="M223" s="235"/>
      <c r="N223" s="235"/>
      <c r="O223" s="235"/>
      <c r="P223" s="235"/>
      <c r="Q223" s="267"/>
      <c r="R223" s="268" t="str">
        <f>IFERROR(IF(A223="","",COUNTIF(Ventes!B5:B504,A223)),"")</f>
        <v>#ERROR!</v>
      </c>
    </row>
    <row r="224">
      <c r="A224" s="265"/>
      <c r="B224" s="266"/>
      <c r="C224" s="227"/>
      <c r="D224" s="227"/>
      <c r="E224" s="227"/>
      <c r="F224" s="227"/>
      <c r="G224" s="227"/>
      <c r="H224" s="227"/>
      <c r="I224" s="227"/>
      <c r="J224" s="227"/>
      <c r="K224" s="227"/>
      <c r="L224" s="266" t="str">
        <f>IF(B224="","",B224+IFERROR(INDEX(Config!B:B,MATCH("DDM appertisation standard (mois)",Config!A:A,0)),36)*30)</f>
        <v>#ERROR!</v>
      </c>
      <c r="M224" s="227"/>
      <c r="N224" s="227"/>
      <c r="O224" s="227"/>
      <c r="P224" s="227"/>
      <c r="Q224" s="267"/>
      <c r="R224" s="268" t="str">
        <f>IFERROR(IF(A224="","",COUNTIF(Ventes!B5:B504,A224)),"")</f>
        <v>#ERROR!</v>
      </c>
    </row>
    <row r="225">
      <c r="A225" s="269"/>
      <c r="B225" s="270"/>
      <c r="C225" s="235"/>
      <c r="D225" s="235"/>
      <c r="E225" s="235"/>
      <c r="F225" s="235"/>
      <c r="G225" s="235"/>
      <c r="H225" s="235"/>
      <c r="I225" s="235"/>
      <c r="J225" s="235"/>
      <c r="K225" s="235"/>
      <c r="L225" s="270" t="str">
        <f>IF(B225="","",B225+IFERROR(INDEX(Config!B:B,MATCH("DDM appertisation standard (mois)",Config!A:A,0)),36)*30)</f>
        <v>#ERROR!</v>
      </c>
      <c r="M225" s="235"/>
      <c r="N225" s="235"/>
      <c r="O225" s="235"/>
      <c r="P225" s="235"/>
      <c r="Q225" s="267"/>
      <c r="R225" s="268" t="str">
        <f>IFERROR(IF(A225="","",COUNTIF(Ventes!B5:B504,A225)),"")</f>
        <v>#ERROR!</v>
      </c>
    </row>
    <row r="226">
      <c r="A226" s="265"/>
      <c r="B226" s="266"/>
      <c r="C226" s="227"/>
      <c r="D226" s="227"/>
      <c r="E226" s="227"/>
      <c r="F226" s="227"/>
      <c r="G226" s="227"/>
      <c r="H226" s="227"/>
      <c r="I226" s="227"/>
      <c r="J226" s="227"/>
      <c r="K226" s="227"/>
      <c r="L226" s="266" t="str">
        <f>IF(B226="","",B226+IFERROR(INDEX(Config!B:B,MATCH("DDM appertisation standard (mois)",Config!A:A,0)),36)*30)</f>
        <v>#ERROR!</v>
      </c>
      <c r="M226" s="227"/>
      <c r="N226" s="227"/>
      <c r="O226" s="227"/>
      <c r="P226" s="227"/>
      <c r="Q226" s="267"/>
      <c r="R226" s="268" t="str">
        <f>IFERROR(IF(A226="","",COUNTIF(Ventes!B5:B504,A226)),"")</f>
        <v>#ERROR!</v>
      </c>
    </row>
    <row r="227">
      <c r="A227" s="269"/>
      <c r="B227" s="270"/>
      <c r="C227" s="235"/>
      <c r="D227" s="235"/>
      <c r="E227" s="235"/>
      <c r="F227" s="235"/>
      <c r="G227" s="235"/>
      <c r="H227" s="235"/>
      <c r="I227" s="235"/>
      <c r="J227" s="235"/>
      <c r="K227" s="235"/>
      <c r="L227" s="270" t="str">
        <f>IF(B227="","",B227+IFERROR(INDEX(Config!B:B,MATCH("DDM appertisation standard (mois)",Config!A:A,0)),36)*30)</f>
        <v>#ERROR!</v>
      </c>
      <c r="M227" s="235"/>
      <c r="N227" s="235"/>
      <c r="O227" s="235"/>
      <c r="P227" s="235"/>
      <c r="Q227" s="267"/>
      <c r="R227" s="268" t="str">
        <f>IFERROR(IF(A227="","",COUNTIF(Ventes!B5:B504,A227)),"")</f>
        <v>#ERROR!</v>
      </c>
    </row>
    <row r="228">
      <c r="A228" s="265"/>
      <c r="B228" s="266"/>
      <c r="C228" s="227"/>
      <c r="D228" s="227"/>
      <c r="E228" s="227"/>
      <c r="F228" s="227"/>
      <c r="G228" s="227"/>
      <c r="H228" s="227"/>
      <c r="I228" s="227"/>
      <c r="J228" s="227"/>
      <c r="K228" s="227"/>
      <c r="L228" s="266" t="str">
        <f>IF(B228="","",B228+IFERROR(INDEX(Config!B:B,MATCH("DDM appertisation standard (mois)",Config!A:A,0)),36)*30)</f>
        <v>#ERROR!</v>
      </c>
      <c r="M228" s="227"/>
      <c r="N228" s="227"/>
      <c r="O228" s="227"/>
      <c r="P228" s="227"/>
      <c r="Q228" s="267"/>
      <c r="R228" s="268" t="str">
        <f>IFERROR(IF(A228="","",COUNTIF(Ventes!B5:B504,A228)),"")</f>
        <v>#ERROR!</v>
      </c>
    </row>
    <row r="229">
      <c r="A229" s="269"/>
      <c r="B229" s="270"/>
      <c r="C229" s="235"/>
      <c r="D229" s="235"/>
      <c r="E229" s="235"/>
      <c r="F229" s="235"/>
      <c r="G229" s="235"/>
      <c r="H229" s="235"/>
      <c r="I229" s="235"/>
      <c r="J229" s="235"/>
      <c r="K229" s="235"/>
      <c r="L229" s="270" t="str">
        <f>IF(B229="","",B229+IFERROR(INDEX(Config!B:B,MATCH("DDM appertisation standard (mois)",Config!A:A,0)),36)*30)</f>
        <v>#ERROR!</v>
      </c>
      <c r="M229" s="235"/>
      <c r="N229" s="235"/>
      <c r="O229" s="235"/>
      <c r="P229" s="235"/>
      <c r="Q229" s="267"/>
      <c r="R229" s="268" t="str">
        <f>IFERROR(IF(A229="","",COUNTIF(Ventes!B5:B504,A229)),"")</f>
        <v>#ERROR!</v>
      </c>
    </row>
    <row r="230">
      <c r="A230" s="265"/>
      <c r="B230" s="266"/>
      <c r="C230" s="227"/>
      <c r="D230" s="227"/>
      <c r="E230" s="227"/>
      <c r="F230" s="227"/>
      <c r="G230" s="227"/>
      <c r="H230" s="227"/>
      <c r="I230" s="227"/>
      <c r="J230" s="227"/>
      <c r="K230" s="227"/>
      <c r="L230" s="266" t="str">
        <f>IF(B230="","",B230+IFERROR(INDEX(Config!B:B,MATCH("DDM appertisation standard (mois)",Config!A:A,0)),36)*30)</f>
        <v>#ERROR!</v>
      </c>
      <c r="M230" s="227"/>
      <c r="N230" s="227"/>
      <c r="O230" s="227"/>
      <c r="P230" s="227"/>
      <c r="Q230" s="267"/>
      <c r="R230" s="268" t="str">
        <f>IFERROR(IF(A230="","",COUNTIF(Ventes!B5:B504,A230)),"")</f>
        <v>#ERROR!</v>
      </c>
    </row>
    <row r="231">
      <c r="A231" s="269"/>
      <c r="B231" s="270"/>
      <c r="C231" s="235"/>
      <c r="D231" s="235"/>
      <c r="E231" s="235"/>
      <c r="F231" s="235"/>
      <c r="G231" s="235"/>
      <c r="H231" s="235"/>
      <c r="I231" s="235"/>
      <c r="J231" s="235"/>
      <c r="K231" s="235"/>
      <c r="L231" s="270" t="str">
        <f>IF(B231="","",B231+IFERROR(INDEX(Config!B:B,MATCH("DDM appertisation standard (mois)",Config!A:A,0)),36)*30)</f>
        <v>#ERROR!</v>
      </c>
      <c r="M231" s="235"/>
      <c r="N231" s="235"/>
      <c r="O231" s="235"/>
      <c r="P231" s="235"/>
      <c r="Q231" s="267"/>
      <c r="R231" s="268" t="str">
        <f>IFERROR(IF(A231="","",COUNTIF(Ventes!B5:B504,A231)),"")</f>
        <v>#ERROR!</v>
      </c>
    </row>
    <row r="232">
      <c r="A232" s="265"/>
      <c r="B232" s="266"/>
      <c r="C232" s="227"/>
      <c r="D232" s="227"/>
      <c r="E232" s="227"/>
      <c r="F232" s="227"/>
      <c r="G232" s="227"/>
      <c r="H232" s="227"/>
      <c r="I232" s="227"/>
      <c r="J232" s="227"/>
      <c r="K232" s="227"/>
      <c r="L232" s="266" t="str">
        <f>IF(B232="","",B232+IFERROR(INDEX(Config!B:B,MATCH("DDM appertisation standard (mois)",Config!A:A,0)),36)*30)</f>
        <v>#ERROR!</v>
      </c>
      <c r="M232" s="227"/>
      <c r="N232" s="227"/>
      <c r="O232" s="227"/>
      <c r="P232" s="227"/>
      <c r="Q232" s="267"/>
      <c r="R232" s="268" t="str">
        <f>IFERROR(IF(A232="","",COUNTIF(Ventes!B5:B504,A232)),"")</f>
        <v>#ERROR!</v>
      </c>
    </row>
    <row r="233">
      <c r="A233" s="269"/>
      <c r="B233" s="270"/>
      <c r="C233" s="235"/>
      <c r="D233" s="235"/>
      <c r="E233" s="235"/>
      <c r="F233" s="235"/>
      <c r="G233" s="235"/>
      <c r="H233" s="235"/>
      <c r="I233" s="235"/>
      <c r="J233" s="235"/>
      <c r="K233" s="235"/>
      <c r="L233" s="270" t="str">
        <f>IF(B233="","",B233+IFERROR(INDEX(Config!B:B,MATCH("DDM appertisation standard (mois)",Config!A:A,0)),36)*30)</f>
        <v>#ERROR!</v>
      </c>
      <c r="M233" s="235"/>
      <c r="N233" s="235"/>
      <c r="O233" s="235"/>
      <c r="P233" s="235"/>
      <c r="Q233" s="267"/>
      <c r="R233" s="268" t="str">
        <f>IFERROR(IF(A233="","",COUNTIF(Ventes!B5:B504,A233)),"")</f>
        <v>#ERROR!</v>
      </c>
    </row>
    <row r="234">
      <c r="A234" s="265"/>
      <c r="B234" s="266"/>
      <c r="C234" s="227"/>
      <c r="D234" s="227"/>
      <c r="E234" s="227"/>
      <c r="F234" s="227"/>
      <c r="G234" s="227"/>
      <c r="H234" s="227"/>
      <c r="I234" s="227"/>
      <c r="J234" s="227"/>
      <c r="K234" s="227"/>
      <c r="L234" s="266" t="str">
        <f>IF(B234="","",B234+IFERROR(INDEX(Config!B:B,MATCH("DDM appertisation standard (mois)",Config!A:A,0)),36)*30)</f>
        <v>#ERROR!</v>
      </c>
      <c r="M234" s="227"/>
      <c r="N234" s="227"/>
      <c r="O234" s="227"/>
      <c r="P234" s="227"/>
      <c r="Q234" s="267"/>
      <c r="R234" s="268" t="str">
        <f>IFERROR(IF(A234="","",COUNTIF(Ventes!B5:B504,A234)),"")</f>
        <v>#ERROR!</v>
      </c>
    </row>
    <row r="235">
      <c r="A235" s="269"/>
      <c r="B235" s="270"/>
      <c r="C235" s="235"/>
      <c r="D235" s="235"/>
      <c r="E235" s="235"/>
      <c r="F235" s="235"/>
      <c r="G235" s="235"/>
      <c r="H235" s="235"/>
      <c r="I235" s="235"/>
      <c r="J235" s="235"/>
      <c r="K235" s="235"/>
      <c r="L235" s="270" t="str">
        <f>IF(B235="","",B235+IFERROR(INDEX(Config!B:B,MATCH("DDM appertisation standard (mois)",Config!A:A,0)),36)*30)</f>
        <v>#ERROR!</v>
      </c>
      <c r="M235" s="235"/>
      <c r="N235" s="235"/>
      <c r="O235" s="235"/>
      <c r="P235" s="235"/>
      <c r="Q235" s="267"/>
      <c r="R235" s="268" t="str">
        <f>IFERROR(IF(A235="","",COUNTIF(Ventes!B5:B504,A235)),"")</f>
        <v>#ERROR!</v>
      </c>
    </row>
    <row r="236">
      <c r="A236" s="265"/>
      <c r="B236" s="266"/>
      <c r="C236" s="227"/>
      <c r="D236" s="227"/>
      <c r="E236" s="227"/>
      <c r="F236" s="227"/>
      <c r="G236" s="227"/>
      <c r="H236" s="227"/>
      <c r="I236" s="227"/>
      <c r="J236" s="227"/>
      <c r="K236" s="227"/>
      <c r="L236" s="266" t="str">
        <f>IF(B236="","",B236+IFERROR(INDEX(Config!B:B,MATCH("DDM appertisation standard (mois)",Config!A:A,0)),36)*30)</f>
        <v>#ERROR!</v>
      </c>
      <c r="M236" s="227"/>
      <c r="N236" s="227"/>
      <c r="O236" s="227"/>
      <c r="P236" s="227"/>
      <c r="Q236" s="267"/>
      <c r="R236" s="268" t="str">
        <f>IFERROR(IF(A236="","",COUNTIF(Ventes!B5:B504,A236)),"")</f>
        <v>#ERROR!</v>
      </c>
    </row>
    <row r="237">
      <c r="A237" s="269"/>
      <c r="B237" s="270"/>
      <c r="C237" s="235"/>
      <c r="D237" s="235"/>
      <c r="E237" s="235"/>
      <c r="F237" s="235"/>
      <c r="G237" s="235"/>
      <c r="H237" s="235"/>
      <c r="I237" s="235"/>
      <c r="J237" s="235"/>
      <c r="K237" s="235"/>
      <c r="L237" s="270" t="str">
        <f>IF(B237="","",B237+IFERROR(INDEX(Config!B:B,MATCH("DDM appertisation standard (mois)",Config!A:A,0)),36)*30)</f>
        <v>#ERROR!</v>
      </c>
      <c r="M237" s="235"/>
      <c r="N237" s="235"/>
      <c r="O237" s="235"/>
      <c r="P237" s="235"/>
      <c r="Q237" s="267"/>
      <c r="R237" s="268" t="str">
        <f>IFERROR(IF(A237="","",COUNTIF(Ventes!B5:B504,A237)),"")</f>
        <v>#ERROR!</v>
      </c>
    </row>
    <row r="238">
      <c r="A238" s="265"/>
      <c r="B238" s="266"/>
      <c r="C238" s="227"/>
      <c r="D238" s="227"/>
      <c r="E238" s="227"/>
      <c r="F238" s="227"/>
      <c r="G238" s="227"/>
      <c r="H238" s="227"/>
      <c r="I238" s="227"/>
      <c r="J238" s="227"/>
      <c r="K238" s="227"/>
      <c r="L238" s="266" t="str">
        <f>IF(B238="","",B238+IFERROR(INDEX(Config!B:B,MATCH("DDM appertisation standard (mois)",Config!A:A,0)),36)*30)</f>
        <v>#ERROR!</v>
      </c>
      <c r="M238" s="227"/>
      <c r="N238" s="227"/>
      <c r="O238" s="227"/>
      <c r="P238" s="227"/>
      <c r="Q238" s="267"/>
      <c r="R238" s="268" t="str">
        <f>IFERROR(IF(A238="","",COUNTIF(Ventes!B5:B504,A238)),"")</f>
        <v>#ERROR!</v>
      </c>
    </row>
    <row r="239">
      <c r="A239" s="269"/>
      <c r="B239" s="270"/>
      <c r="C239" s="235"/>
      <c r="D239" s="235"/>
      <c r="E239" s="235"/>
      <c r="F239" s="235"/>
      <c r="G239" s="235"/>
      <c r="H239" s="235"/>
      <c r="I239" s="235"/>
      <c r="J239" s="235"/>
      <c r="K239" s="235"/>
      <c r="L239" s="270" t="str">
        <f>IF(B239="","",B239+IFERROR(INDEX(Config!B:B,MATCH("DDM appertisation standard (mois)",Config!A:A,0)),36)*30)</f>
        <v>#ERROR!</v>
      </c>
      <c r="M239" s="235"/>
      <c r="N239" s="235"/>
      <c r="O239" s="235"/>
      <c r="P239" s="235"/>
      <c r="Q239" s="267"/>
      <c r="R239" s="268" t="str">
        <f>IFERROR(IF(A239="","",COUNTIF(Ventes!B5:B504,A239)),"")</f>
        <v>#ERROR!</v>
      </c>
    </row>
    <row r="240">
      <c r="A240" s="265"/>
      <c r="B240" s="266"/>
      <c r="C240" s="227"/>
      <c r="D240" s="227"/>
      <c r="E240" s="227"/>
      <c r="F240" s="227"/>
      <c r="G240" s="227"/>
      <c r="H240" s="227"/>
      <c r="I240" s="227"/>
      <c r="J240" s="227"/>
      <c r="K240" s="227"/>
      <c r="L240" s="266" t="str">
        <f>IF(B240="","",B240+IFERROR(INDEX(Config!B:B,MATCH("DDM appertisation standard (mois)",Config!A:A,0)),36)*30)</f>
        <v>#ERROR!</v>
      </c>
      <c r="M240" s="227"/>
      <c r="N240" s="227"/>
      <c r="O240" s="227"/>
      <c r="P240" s="227"/>
      <c r="Q240" s="267"/>
      <c r="R240" s="268" t="str">
        <f>IFERROR(IF(A240="","",COUNTIF(Ventes!B5:B504,A240)),"")</f>
        <v>#ERROR!</v>
      </c>
    </row>
    <row r="241">
      <c r="A241" s="269"/>
      <c r="B241" s="270"/>
      <c r="C241" s="235"/>
      <c r="D241" s="235"/>
      <c r="E241" s="235"/>
      <c r="F241" s="235"/>
      <c r="G241" s="235"/>
      <c r="H241" s="235"/>
      <c r="I241" s="235"/>
      <c r="J241" s="235"/>
      <c r="K241" s="235"/>
      <c r="L241" s="270" t="str">
        <f>IF(B241="","",B241+IFERROR(INDEX(Config!B:B,MATCH("DDM appertisation standard (mois)",Config!A:A,0)),36)*30)</f>
        <v>#ERROR!</v>
      </c>
      <c r="M241" s="235"/>
      <c r="N241" s="235"/>
      <c r="O241" s="235"/>
      <c r="P241" s="235"/>
      <c r="Q241" s="267"/>
      <c r="R241" s="268" t="str">
        <f>IFERROR(IF(A241="","",COUNTIF(Ventes!B5:B504,A241)),"")</f>
        <v>#ERROR!</v>
      </c>
    </row>
    <row r="242">
      <c r="A242" s="265"/>
      <c r="B242" s="266"/>
      <c r="C242" s="227"/>
      <c r="D242" s="227"/>
      <c r="E242" s="227"/>
      <c r="F242" s="227"/>
      <c r="G242" s="227"/>
      <c r="H242" s="227"/>
      <c r="I242" s="227"/>
      <c r="J242" s="227"/>
      <c r="K242" s="227"/>
      <c r="L242" s="266" t="str">
        <f>IF(B242="","",B242+IFERROR(INDEX(Config!B:B,MATCH("DDM appertisation standard (mois)",Config!A:A,0)),36)*30)</f>
        <v>#ERROR!</v>
      </c>
      <c r="M242" s="227"/>
      <c r="N242" s="227"/>
      <c r="O242" s="227"/>
      <c r="P242" s="227"/>
      <c r="Q242" s="267"/>
      <c r="R242" s="268" t="str">
        <f>IFERROR(IF(A242="","",COUNTIF(Ventes!B5:B504,A242)),"")</f>
        <v>#ERROR!</v>
      </c>
    </row>
    <row r="243">
      <c r="A243" s="269"/>
      <c r="B243" s="270"/>
      <c r="C243" s="235"/>
      <c r="D243" s="235"/>
      <c r="E243" s="235"/>
      <c r="F243" s="235"/>
      <c r="G243" s="235"/>
      <c r="H243" s="235"/>
      <c r="I243" s="235"/>
      <c r="J243" s="235"/>
      <c r="K243" s="235"/>
      <c r="L243" s="270" t="str">
        <f>IF(B243="","",B243+IFERROR(INDEX(Config!B:B,MATCH("DDM appertisation standard (mois)",Config!A:A,0)),36)*30)</f>
        <v>#ERROR!</v>
      </c>
      <c r="M243" s="235"/>
      <c r="N243" s="235"/>
      <c r="O243" s="235"/>
      <c r="P243" s="235"/>
      <c r="Q243" s="267"/>
      <c r="R243" s="268" t="str">
        <f>IFERROR(IF(A243="","",COUNTIF(Ventes!B5:B504,A243)),"")</f>
        <v>#ERROR!</v>
      </c>
    </row>
    <row r="244">
      <c r="A244" s="265"/>
      <c r="B244" s="266"/>
      <c r="C244" s="227"/>
      <c r="D244" s="227"/>
      <c r="E244" s="227"/>
      <c r="F244" s="227"/>
      <c r="G244" s="227"/>
      <c r="H244" s="227"/>
      <c r="I244" s="227"/>
      <c r="J244" s="227"/>
      <c r="K244" s="227"/>
      <c r="L244" s="266" t="str">
        <f>IF(B244="","",B244+IFERROR(INDEX(Config!B:B,MATCH("DDM appertisation standard (mois)",Config!A:A,0)),36)*30)</f>
        <v>#ERROR!</v>
      </c>
      <c r="M244" s="227"/>
      <c r="N244" s="227"/>
      <c r="O244" s="227"/>
      <c r="P244" s="227"/>
      <c r="Q244" s="267"/>
      <c r="R244" s="268" t="str">
        <f>IFERROR(IF(A244="","",COUNTIF(Ventes!B5:B504,A244)),"")</f>
        <v>#ERROR!</v>
      </c>
    </row>
    <row r="245">
      <c r="A245" s="269"/>
      <c r="B245" s="270"/>
      <c r="C245" s="235"/>
      <c r="D245" s="235"/>
      <c r="E245" s="235"/>
      <c r="F245" s="235"/>
      <c r="G245" s="235"/>
      <c r="H245" s="235"/>
      <c r="I245" s="235"/>
      <c r="J245" s="235"/>
      <c r="K245" s="235"/>
      <c r="L245" s="270" t="str">
        <f>IF(B245="","",B245+IFERROR(INDEX(Config!B:B,MATCH("DDM appertisation standard (mois)",Config!A:A,0)),36)*30)</f>
        <v>#ERROR!</v>
      </c>
      <c r="M245" s="235"/>
      <c r="N245" s="235"/>
      <c r="O245" s="235"/>
      <c r="P245" s="235"/>
      <c r="Q245" s="267"/>
      <c r="R245" s="268" t="str">
        <f>IFERROR(IF(A245="","",COUNTIF(Ventes!B5:B504,A245)),"")</f>
        <v>#ERROR!</v>
      </c>
    </row>
    <row r="246">
      <c r="A246" s="265"/>
      <c r="B246" s="266"/>
      <c r="C246" s="227"/>
      <c r="D246" s="227"/>
      <c r="E246" s="227"/>
      <c r="F246" s="227"/>
      <c r="G246" s="227"/>
      <c r="H246" s="227"/>
      <c r="I246" s="227"/>
      <c r="J246" s="227"/>
      <c r="K246" s="227"/>
      <c r="L246" s="266" t="str">
        <f>IF(B246="","",B246+IFERROR(INDEX(Config!B:B,MATCH("DDM appertisation standard (mois)",Config!A:A,0)),36)*30)</f>
        <v>#ERROR!</v>
      </c>
      <c r="M246" s="227"/>
      <c r="N246" s="227"/>
      <c r="O246" s="227"/>
      <c r="P246" s="227"/>
      <c r="Q246" s="267"/>
      <c r="R246" s="268" t="str">
        <f>IFERROR(IF(A246="","",COUNTIF(Ventes!B5:B504,A246)),"")</f>
        <v>#ERROR!</v>
      </c>
    </row>
    <row r="247">
      <c r="A247" s="269"/>
      <c r="B247" s="270"/>
      <c r="C247" s="235"/>
      <c r="D247" s="235"/>
      <c r="E247" s="235"/>
      <c r="F247" s="235"/>
      <c r="G247" s="235"/>
      <c r="H247" s="235"/>
      <c r="I247" s="235"/>
      <c r="J247" s="235"/>
      <c r="K247" s="235"/>
      <c r="L247" s="270" t="str">
        <f>IF(B247="","",B247+IFERROR(INDEX(Config!B:B,MATCH("DDM appertisation standard (mois)",Config!A:A,0)),36)*30)</f>
        <v>#ERROR!</v>
      </c>
      <c r="M247" s="235"/>
      <c r="N247" s="235"/>
      <c r="O247" s="235"/>
      <c r="P247" s="235"/>
      <c r="Q247" s="267"/>
      <c r="R247" s="268" t="str">
        <f>IFERROR(IF(A247="","",COUNTIF(Ventes!B5:B504,A247)),"")</f>
        <v>#ERROR!</v>
      </c>
    </row>
    <row r="248">
      <c r="A248" s="265"/>
      <c r="B248" s="266"/>
      <c r="C248" s="227"/>
      <c r="D248" s="227"/>
      <c r="E248" s="227"/>
      <c r="F248" s="227"/>
      <c r="G248" s="227"/>
      <c r="H248" s="227"/>
      <c r="I248" s="227"/>
      <c r="J248" s="227"/>
      <c r="K248" s="227"/>
      <c r="L248" s="266" t="str">
        <f>IF(B248="","",B248+IFERROR(INDEX(Config!B:B,MATCH("DDM appertisation standard (mois)",Config!A:A,0)),36)*30)</f>
        <v>#ERROR!</v>
      </c>
      <c r="M248" s="227"/>
      <c r="N248" s="227"/>
      <c r="O248" s="227"/>
      <c r="P248" s="227"/>
      <c r="Q248" s="267"/>
      <c r="R248" s="268" t="str">
        <f>IFERROR(IF(A248="","",COUNTIF(Ventes!B5:B504,A248)),"")</f>
        <v>#ERROR!</v>
      </c>
    </row>
    <row r="249">
      <c r="A249" s="269"/>
      <c r="B249" s="270"/>
      <c r="C249" s="235"/>
      <c r="D249" s="235"/>
      <c r="E249" s="235"/>
      <c r="F249" s="235"/>
      <c r="G249" s="235"/>
      <c r="H249" s="235"/>
      <c r="I249" s="235"/>
      <c r="J249" s="235"/>
      <c r="K249" s="235"/>
      <c r="L249" s="270" t="str">
        <f>IF(B249="","",B249+IFERROR(INDEX(Config!B:B,MATCH("DDM appertisation standard (mois)",Config!A:A,0)),36)*30)</f>
        <v>#ERROR!</v>
      </c>
      <c r="M249" s="235"/>
      <c r="N249" s="235"/>
      <c r="O249" s="235"/>
      <c r="P249" s="235"/>
      <c r="Q249" s="267"/>
      <c r="R249" s="268" t="str">
        <f>IFERROR(IF(A249="","",COUNTIF(Ventes!B5:B504,A249)),"")</f>
        <v>#ERROR!</v>
      </c>
    </row>
    <row r="250">
      <c r="A250" s="265"/>
      <c r="B250" s="266"/>
      <c r="C250" s="227"/>
      <c r="D250" s="227"/>
      <c r="E250" s="227"/>
      <c r="F250" s="227"/>
      <c r="G250" s="227"/>
      <c r="H250" s="227"/>
      <c r="I250" s="227"/>
      <c r="J250" s="227"/>
      <c r="K250" s="227"/>
      <c r="L250" s="266" t="str">
        <f>IF(B250="","",B250+IFERROR(INDEX(Config!B:B,MATCH("DDM appertisation standard (mois)",Config!A:A,0)),36)*30)</f>
        <v>#ERROR!</v>
      </c>
      <c r="M250" s="227"/>
      <c r="N250" s="227"/>
      <c r="O250" s="227"/>
      <c r="P250" s="227"/>
      <c r="Q250" s="267"/>
      <c r="R250" s="268" t="str">
        <f>IFERROR(IF(A250="","",COUNTIF(Ventes!B5:B504,A250)),"")</f>
        <v>#ERROR!</v>
      </c>
    </row>
    <row r="251">
      <c r="A251" s="269"/>
      <c r="B251" s="270"/>
      <c r="C251" s="235"/>
      <c r="D251" s="235"/>
      <c r="E251" s="235"/>
      <c r="F251" s="235"/>
      <c r="G251" s="235"/>
      <c r="H251" s="235"/>
      <c r="I251" s="235"/>
      <c r="J251" s="235"/>
      <c r="K251" s="235"/>
      <c r="L251" s="270" t="str">
        <f>IF(B251="","",B251+IFERROR(INDEX(Config!B:B,MATCH("DDM appertisation standard (mois)",Config!A:A,0)),36)*30)</f>
        <v>#ERROR!</v>
      </c>
      <c r="M251" s="235"/>
      <c r="N251" s="235"/>
      <c r="O251" s="235"/>
      <c r="P251" s="235"/>
      <c r="Q251" s="267"/>
      <c r="R251" s="268" t="str">
        <f>IFERROR(IF(A251="","",COUNTIF(Ventes!B5:B504,A251)),"")</f>
        <v>#ERROR!</v>
      </c>
    </row>
    <row r="252">
      <c r="A252" s="265"/>
      <c r="B252" s="266"/>
      <c r="C252" s="227"/>
      <c r="D252" s="227"/>
      <c r="E252" s="227"/>
      <c r="F252" s="227"/>
      <c r="G252" s="227"/>
      <c r="H252" s="227"/>
      <c r="I252" s="227"/>
      <c r="J252" s="227"/>
      <c r="K252" s="227"/>
      <c r="L252" s="266" t="str">
        <f>IF(B252="","",B252+IFERROR(INDEX(Config!B:B,MATCH("DDM appertisation standard (mois)",Config!A:A,0)),36)*30)</f>
        <v>#ERROR!</v>
      </c>
      <c r="M252" s="227"/>
      <c r="N252" s="227"/>
      <c r="O252" s="227"/>
      <c r="P252" s="227"/>
      <c r="Q252" s="267"/>
      <c r="R252" s="268" t="str">
        <f>IFERROR(IF(A252="","",COUNTIF(Ventes!B5:B504,A252)),"")</f>
        <v>#ERROR!</v>
      </c>
    </row>
    <row r="253">
      <c r="A253" s="269"/>
      <c r="B253" s="270"/>
      <c r="C253" s="235"/>
      <c r="D253" s="235"/>
      <c r="E253" s="235"/>
      <c r="F253" s="235"/>
      <c r="G253" s="235"/>
      <c r="H253" s="235"/>
      <c r="I253" s="235"/>
      <c r="J253" s="235"/>
      <c r="K253" s="235"/>
      <c r="L253" s="270" t="str">
        <f>IF(B253="","",B253+IFERROR(INDEX(Config!B:B,MATCH("DDM appertisation standard (mois)",Config!A:A,0)),36)*30)</f>
        <v>#ERROR!</v>
      </c>
      <c r="M253" s="235"/>
      <c r="N253" s="235"/>
      <c r="O253" s="235"/>
      <c r="P253" s="235"/>
      <c r="Q253" s="267"/>
      <c r="R253" s="268" t="str">
        <f>IFERROR(IF(A253="","",COUNTIF(Ventes!B5:B504,A253)),"")</f>
        <v>#ERROR!</v>
      </c>
    </row>
    <row r="254">
      <c r="A254" s="265"/>
      <c r="B254" s="266"/>
      <c r="C254" s="227"/>
      <c r="D254" s="227"/>
      <c r="E254" s="227"/>
      <c r="F254" s="227"/>
      <c r="G254" s="227"/>
      <c r="H254" s="227"/>
      <c r="I254" s="227"/>
      <c r="J254" s="227"/>
      <c r="K254" s="227"/>
      <c r="L254" s="266" t="str">
        <f>IF(B254="","",B254+IFERROR(INDEX(Config!B:B,MATCH("DDM appertisation standard (mois)",Config!A:A,0)),36)*30)</f>
        <v>#ERROR!</v>
      </c>
      <c r="M254" s="227"/>
      <c r="N254" s="227"/>
      <c r="O254" s="227"/>
      <c r="P254" s="227"/>
      <c r="Q254" s="267"/>
      <c r="R254" s="268" t="str">
        <f>IFERROR(IF(A254="","",COUNTIF(Ventes!B5:B504,A254)),"")</f>
        <v>#ERROR!</v>
      </c>
    </row>
    <row r="255">
      <c r="A255" s="269"/>
      <c r="B255" s="270"/>
      <c r="C255" s="235"/>
      <c r="D255" s="235"/>
      <c r="E255" s="235"/>
      <c r="F255" s="235"/>
      <c r="G255" s="235"/>
      <c r="H255" s="235"/>
      <c r="I255" s="235"/>
      <c r="J255" s="235"/>
      <c r="K255" s="235"/>
      <c r="L255" s="270" t="str">
        <f>IF(B255="","",B255+IFERROR(INDEX(Config!B:B,MATCH("DDM appertisation standard (mois)",Config!A:A,0)),36)*30)</f>
        <v>#ERROR!</v>
      </c>
      <c r="M255" s="235"/>
      <c r="N255" s="235"/>
      <c r="O255" s="235"/>
      <c r="P255" s="235"/>
      <c r="Q255" s="267"/>
      <c r="R255" s="268" t="str">
        <f>IFERROR(IF(A255="","",COUNTIF(Ventes!B5:B504,A255)),"")</f>
        <v>#ERROR!</v>
      </c>
    </row>
    <row r="256">
      <c r="A256" s="265"/>
      <c r="B256" s="266"/>
      <c r="C256" s="227"/>
      <c r="D256" s="227"/>
      <c r="E256" s="227"/>
      <c r="F256" s="227"/>
      <c r="G256" s="227"/>
      <c r="H256" s="227"/>
      <c r="I256" s="227"/>
      <c r="J256" s="227"/>
      <c r="K256" s="227"/>
      <c r="L256" s="266" t="str">
        <f>IF(B256="","",B256+IFERROR(INDEX(Config!B:B,MATCH("DDM appertisation standard (mois)",Config!A:A,0)),36)*30)</f>
        <v>#ERROR!</v>
      </c>
      <c r="M256" s="227"/>
      <c r="N256" s="227"/>
      <c r="O256" s="227"/>
      <c r="P256" s="227"/>
      <c r="Q256" s="267"/>
      <c r="R256" s="268" t="str">
        <f>IFERROR(IF(A256="","",COUNTIF(Ventes!B5:B504,A256)),"")</f>
        <v>#ERROR!</v>
      </c>
    </row>
    <row r="257">
      <c r="A257" s="269"/>
      <c r="B257" s="270"/>
      <c r="C257" s="235"/>
      <c r="D257" s="235"/>
      <c r="E257" s="235"/>
      <c r="F257" s="235"/>
      <c r="G257" s="235"/>
      <c r="H257" s="235"/>
      <c r="I257" s="235"/>
      <c r="J257" s="235"/>
      <c r="K257" s="235"/>
      <c r="L257" s="270" t="str">
        <f>IF(B257="","",B257+IFERROR(INDEX(Config!B:B,MATCH("DDM appertisation standard (mois)",Config!A:A,0)),36)*30)</f>
        <v>#ERROR!</v>
      </c>
      <c r="M257" s="235"/>
      <c r="N257" s="235"/>
      <c r="O257" s="235"/>
      <c r="P257" s="235"/>
      <c r="Q257" s="267"/>
      <c r="R257" s="268" t="str">
        <f>IFERROR(IF(A257="","",COUNTIF(Ventes!B5:B504,A257)),"")</f>
        <v>#ERROR!</v>
      </c>
    </row>
    <row r="258">
      <c r="A258" s="265"/>
      <c r="B258" s="266"/>
      <c r="C258" s="227"/>
      <c r="D258" s="227"/>
      <c r="E258" s="227"/>
      <c r="F258" s="227"/>
      <c r="G258" s="227"/>
      <c r="H258" s="227"/>
      <c r="I258" s="227"/>
      <c r="J258" s="227"/>
      <c r="K258" s="227"/>
      <c r="L258" s="266" t="str">
        <f>IF(B258="","",B258+IFERROR(INDEX(Config!B:B,MATCH("DDM appertisation standard (mois)",Config!A:A,0)),36)*30)</f>
        <v>#ERROR!</v>
      </c>
      <c r="M258" s="227"/>
      <c r="N258" s="227"/>
      <c r="O258" s="227"/>
      <c r="P258" s="227"/>
      <c r="Q258" s="267"/>
      <c r="R258" s="268" t="str">
        <f>IFERROR(IF(A258="","",COUNTIF(Ventes!B5:B504,A258)),"")</f>
        <v>#ERROR!</v>
      </c>
    </row>
    <row r="259">
      <c r="A259" s="269"/>
      <c r="B259" s="270"/>
      <c r="C259" s="235"/>
      <c r="D259" s="235"/>
      <c r="E259" s="235"/>
      <c r="F259" s="235"/>
      <c r="G259" s="235"/>
      <c r="H259" s="235"/>
      <c r="I259" s="235"/>
      <c r="J259" s="235"/>
      <c r="K259" s="235"/>
      <c r="L259" s="270" t="str">
        <f>IF(B259="","",B259+IFERROR(INDEX(Config!B:B,MATCH("DDM appertisation standard (mois)",Config!A:A,0)),36)*30)</f>
        <v>#ERROR!</v>
      </c>
      <c r="M259" s="235"/>
      <c r="N259" s="235"/>
      <c r="O259" s="235"/>
      <c r="P259" s="235"/>
      <c r="Q259" s="267"/>
      <c r="R259" s="268" t="str">
        <f>IFERROR(IF(A259="","",COUNTIF(Ventes!B5:B504,A259)),"")</f>
        <v>#ERROR!</v>
      </c>
    </row>
    <row r="260">
      <c r="A260" s="265"/>
      <c r="B260" s="266"/>
      <c r="C260" s="227"/>
      <c r="D260" s="227"/>
      <c r="E260" s="227"/>
      <c r="F260" s="227"/>
      <c r="G260" s="227"/>
      <c r="H260" s="227"/>
      <c r="I260" s="227"/>
      <c r="J260" s="227"/>
      <c r="K260" s="227"/>
      <c r="L260" s="266" t="str">
        <f>IF(B260="","",B260+IFERROR(INDEX(Config!B:B,MATCH("DDM appertisation standard (mois)",Config!A:A,0)),36)*30)</f>
        <v>#ERROR!</v>
      </c>
      <c r="M260" s="227"/>
      <c r="N260" s="227"/>
      <c r="O260" s="227"/>
      <c r="P260" s="227"/>
      <c r="Q260" s="267"/>
      <c r="R260" s="268" t="str">
        <f>IFERROR(IF(A260="","",COUNTIF(Ventes!B5:B504,A260)),"")</f>
        <v>#ERROR!</v>
      </c>
    </row>
    <row r="261">
      <c r="A261" s="269"/>
      <c r="B261" s="270"/>
      <c r="C261" s="235"/>
      <c r="D261" s="235"/>
      <c r="E261" s="235"/>
      <c r="F261" s="235"/>
      <c r="G261" s="235"/>
      <c r="H261" s="235"/>
      <c r="I261" s="235"/>
      <c r="J261" s="235"/>
      <c r="K261" s="235"/>
      <c r="L261" s="270" t="str">
        <f>IF(B261="","",B261+IFERROR(INDEX(Config!B:B,MATCH("DDM appertisation standard (mois)",Config!A:A,0)),36)*30)</f>
        <v>#ERROR!</v>
      </c>
      <c r="M261" s="235"/>
      <c r="N261" s="235"/>
      <c r="O261" s="235"/>
      <c r="P261" s="235"/>
      <c r="Q261" s="267"/>
      <c r="R261" s="268" t="str">
        <f>IFERROR(IF(A261="","",COUNTIF(Ventes!B5:B504,A261)),"")</f>
        <v>#ERROR!</v>
      </c>
    </row>
    <row r="262">
      <c r="A262" s="265"/>
      <c r="B262" s="266"/>
      <c r="C262" s="227"/>
      <c r="D262" s="227"/>
      <c r="E262" s="227"/>
      <c r="F262" s="227"/>
      <c r="G262" s="227"/>
      <c r="H262" s="227"/>
      <c r="I262" s="227"/>
      <c r="J262" s="227"/>
      <c r="K262" s="227"/>
      <c r="L262" s="266" t="str">
        <f>IF(B262="","",B262+IFERROR(INDEX(Config!B:B,MATCH("DDM appertisation standard (mois)",Config!A:A,0)),36)*30)</f>
        <v>#ERROR!</v>
      </c>
      <c r="M262" s="227"/>
      <c r="N262" s="227"/>
      <c r="O262" s="227"/>
      <c r="P262" s="227"/>
      <c r="Q262" s="267"/>
      <c r="R262" s="268" t="str">
        <f>IFERROR(IF(A262="","",COUNTIF(Ventes!B5:B504,A262)),"")</f>
        <v>#ERROR!</v>
      </c>
    </row>
    <row r="263">
      <c r="A263" s="269"/>
      <c r="B263" s="270"/>
      <c r="C263" s="235"/>
      <c r="D263" s="235"/>
      <c r="E263" s="235"/>
      <c r="F263" s="235"/>
      <c r="G263" s="235"/>
      <c r="H263" s="235"/>
      <c r="I263" s="235"/>
      <c r="J263" s="235"/>
      <c r="K263" s="235"/>
      <c r="L263" s="270" t="str">
        <f>IF(B263="","",B263+IFERROR(INDEX(Config!B:B,MATCH("DDM appertisation standard (mois)",Config!A:A,0)),36)*30)</f>
        <v>#ERROR!</v>
      </c>
      <c r="M263" s="235"/>
      <c r="N263" s="235"/>
      <c r="O263" s="235"/>
      <c r="P263" s="235"/>
      <c r="Q263" s="267"/>
      <c r="R263" s="268" t="str">
        <f>IFERROR(IF(A263="","",COUNTIF(Ventes!B5:B504,A263)),"")</f>
        <v>#ERROR!</v>
      </c>
    </row>
    <row r="264">
      <c r="A264" s="265"/>
      <c r="B264" s="266"/>
      <c r="C264" s="227"/>
      <c r="D264" s="227"/>
      <c r="E264" s="227"/>
      <c r="F264" s="227"/>
      <c r="G264" s="227"/>
      <c r="H264" s="227"/>
      <c r="I264" s="227"/>
      <c r="J264" s="227"/>
      <c r="K264" s="227"/>
      <c r="L264" s="266" t="str">
        <f>IF(B264="","",B264+IFERROR(INDEX(Config!B:B,MATCH("DDM appertisation standard (mois)",Config!A:A,0)),36)*30)</f>
        <v>#ERROR!</v>
      </c>
      <c r="M264" s="227"/>
      <c r="N264" s="227"/>
      <c r="O264" s="227"/>
      <c r="P264" s="227"/>
      <c r="Q264" s="267"/>
      <c r="R264" s="268" t="str">
        <f>IFERROR(IF(A264="","",COUNTIF(Ventes!B5:B504,A264)),"")</f>
        <v>#ERROR!</v>
      </c>
    </row>
    <row r="265">
      <c r="A265" s="269"/>
      <c r="B265" s="270"/>
      <c r="C265" s="235"/>
      <c r="D265" s="235"/>
      <c r="E265" s="235"/>
      <c r="F265" s="235"/>
      <c r="G265" s="235"/>
      <c r="H265" s="235"/>
      <c r="I265" s="235"/>
      <c r="J265" s="235"/>
      <c r="K265" s="235"/>
      <c r="L265" s="270" t="str">
        <f>IF(B265="","",B265+IFERROR(INDEX(Config!B:B,MATCH("DDM appertisation standard (mois)",Config!A:A,0)),36)*30)</f>
        <v>#ERROR!</v>
      </c>
      <c r="M265" s="235"/>
      <c r="N265" s="235"/>
      <c r="O265" s="235"/>
      <c r="P265" s="235"/>
      <c r="Q265" s="267"/>
      <c r="R265" s="268" t="str">
        <f>IFERROR(IF(A265="","",COUNTIF(Ventes!B5:B504,A265)),"")</f>
        <v>#ERROR!</v>
      </c>
    </row>
    <row r="266">
      <c r="A266" s="265"/>
      <c r="B266" s="266"/>
      <c r="C266" s="227"/>
      <c r="D266" s="227"/>
      <c r="E266" s="227"/>
      <c r="F266" s="227"/>
      <c r="G266" s="227"/>
      <c r="H266" s="227"/>
      <c r="I266" s="227"/>
      <c r="J266" s="227"/>
      <c r="K266" s="227"/>
      <c r="L266" s="266" t="str">
        <f>IF(B266="","",B266+IFERROR(INDEX(Config!B:B,MATCH("DDM appertisation standard (mois)",Config!A:A,0)),36)*30)</f>
        <v>#ERROR!</v>
      </c>
      <c r="M266" s="227"/>
      <c r="N266" s="227"/>
      <c r="O266" s="227"/>
      <c r="P266" s="227"/>
      <c r="Q266" s="267"/>
      <c r="R266" s="268" t="str">
        <f>IFERROR(IF(A266="","",COUNTIF(Ventes!B5:B504,A266)),"")</f>
        <v>#ERROR!</v>
      </c>
    </row>
    <row r="267">
      <c r="A267" s="269"/>
      <c r="B267" s="270"/>
      <c r="C267" s="235"/>
      <c r="D267" s="235"/>
      <c r="E267" s="235"/>
      <c r="F267" s="235"/>
      <c r="G267" s="235"/>
      <c r="H267" s="235"/>
      <c r="I267" s="235"/>
      <c r="J267" s="235"/>
      <c r="K267" s="235"/>
      <c r="L267" s="270" t="str">
        <f>IF(B267="","",B267+IFERROR(INDEX(Config!B:B,MATCH("DDM appertisation standard (mois)",Config!A:A,0)),36)*30)</f>
        <v>#ERROR!</v>
      </c>
      <c r="M267" s="235"/>
      <c r="N267" s="235"/>
      <c r="O267" s="235"/>
      <c r="P267" s="235"/>
      <c r="Q267" s="267"/>
      <c r="R267" s="268" t="str">
        <f>IFERROR(IF(A267="","",COUNTIF(Ventes!B5:B504,A267)),"")</f>
        <v>#ERROR!</v>
      </c>
    </row>
    <row r="268">
      <c r="A268" s="265"/>
      <c r="B268" s="266"/>
      <c r="C268" s="227"/>
      <c r="D268" s="227"/>
      <c r="E268" s="227"/>
      <c r="F268" s="227"/>
      <c r="G268" s="227"/>
      <c r="H268" s="227"/>
      <c r="I268" s="227"/>
      <c r="J268" s="227"/>
      <c r="K268" s="227"/>
      <c r="L268" s="266" t="str">
        <f>IF(B268="","",B268+IFERROR(INDEX(Config!B:B,MATCH("DDM appertisation standard (mois)",Config!A:A,0)),36)*30)</f>
        <v>#ERROR!</v>
      </c>
      <c r="M268" s="227"/>
      <c r="N268" s="227"/>
      <c r="O268" s="227"/>
      <c r="P268" s="227"/>
      <c r="Q268" s="267"/>
      <c r="R268" s="268" t="str">
        <f>IFERROR(IF(A268="","",COUNTIF(Ventes!B5:B504,A268)),"")</f>
        <v>#ERROR!</v>
      </c>
    </row>
    <row r="269">
      <c r="A269" s="269"/>
      <c r="B269" s="270"/>
      <c r="C269" s="235"/>
      <c r="D269" s="235"/>
      <c r="E269" s="235"/>
      <c r="F269" s="235"/>
      <c r="G269" s="235"/>
      <c r="H269" s="235"/>
      <c r="I269" s="235"/>
      <c r="J269" s="235"/>
      <c r="K269" s="235"/>
      <c r="L269" s="270" t="str">
        <f>IF(B269="","",B269+IFERROR(INDEX(Config!B:B,MATCH("DDM appertisation standard (mois)",Config!A:A,0)),36)*30)</f>
        <v>#ERROR!</v>
      </c>
      <c r="M269" s="235"/>
      <c r="N269" s="235"/>
      <c r="O269" s="235"/>
      <c r="P269" s="235"/>
      <c r="Q269" s="267"/>
      <c r="R269" s="268" t="str">
        <f>IFERROR(IF(A269="","",COUNTIF(Ventes!B5:B504,A269)),"")</f>
        <v>#ERROR!</v>
      </c>
    </row>
    <row r="270">
      <c r="A270" s="265"/>
      <c r="B270" s="266"/>
      <c r="C270" s="227"/>
      <c r="D270" s="227"/>
      <c r="E270" s="227"/>
      <c r="F270" s="227"/>
      <c r="G270" s="227"/>
      <c r="H270" s="227"/>
      <c r="I270" s="227"/>
      <c r="J270" s="227"/>
      <c r="K270" s="227"/>
      <c r="L270" s="266" t="str">
        <f>IF(B270="","",B270+IFERROR(INDEX(Config!B:B,MATCH("DDM appertisation standard (mois)",Config!A:A,0)),36)*30)</f>
        <v>#ERROR!</v>
      </c>
      <c r="M270" s="227"/>
      <c r="N270" s="227"/>
      <c r="O270" s="227"/>
      <c r="P270" s="227"/>
      <c r="Q270" s="267"/>
      <c r="R270" s="268" t="str">
        <f>IFERROR(IF(A270="","",COUNTIF(Ventes!B5:B504,A270)),"")</f>
        <v>#ERROR!</v>
      </c>
    </row>
    <row r="271">
      <c r="A271" s="269"/>
      <c r="B271" s="270"/>
      <c r="C271" s="235"/>
      <c r="D271" s="235"/>
      <c r="E271" s="235"/>
      <c r="F271" s="235"/>
      <c r="G271" s="235"/>
      <c r="H271" s="235"/>
      <c r="I271" s="235"/>
      <c r="J271" s="235"/>
      <c r="K271" s="235"/>
      <c r="L271" s="270" t="str">
        <f>IF(B271="","",B271+IFERROR(INDEX(Config!B:B,MATCH("DDM appertisation standard (mois)",Config!A:A,0)),36)*30)</f>
        <v>#ERROR!</v>
      </c>
      <c r="M271" s="235"/>
      <c r="N271" s="235"/>
      <c r="O271" s="235"/>
      <c r="P271" s="235"/>
      <c r="Q271" s="267"/>
      <c r="R271" s="268" t="str">
        <f>IFERROR(IF(A271="","",COUNTIF(Ventes!B5:B504,A271)),"")</f>
        <v>#ERROR!</v>
      </c>
    </row>
    <row r="272">
      <c r="A272" s="265"/>
      <c r="B272" s="266"/>
      <c r="C272" s="227"/>
      <c r="D272" s="227"/>
      <c r="E272" s="227"/>
      <c r="F272" s="227"/>
      <c r="G272" s="227"/>
      <c r="H272" s="227"/>
      <c r="I272" s="227"/>
      <c r="J272" s="227"/>
      <c r="K272" s="227"/>
      <c r="L272" s="266" t="str">
        <f>IF(B272="","",B272+IFERROR(INDEX(Config!B:B,MATCH("DDM appertisation standard (mois)",Config!A:A,0)),36)*30)</f>
        <v>#ERROR!</v>
      </c>
      <c r="M272" s="227"/>
      <c r="N272" s="227"/>
      <c r="O272" s="227"/>
      <c r="P272" s="227"/>
      <c r="Q272" s="267"/>
      <c r="R272" s="268" t="str">
        <f>IFERROR(IF(A272="","",COUNTIF(Ventes!B5:B504,A272)),"")</f>
        <v>#ERROR!</v>
      </c>
    </row>
    <row r="273">
      <c r="A273" s="269"/>
      <c r="B273" s="270"/>
      <c r="C273" s="235"/>
      <c r="D273" s="235"/>
      <c r="E273" s="235"/>
      <c r="F273" s="235"/>
      <c r="G273" s="235"/>
      <c r="H273" s="235"/>
      <c r="I273" s="235"/>
      <c r="J273" s="235"/>
      <c r="K273" s="235"/>
      <c r="L273" s="270" t="str">
        <f>IF(B273="","",B273+IFERROR(INDEX(Config!B:B,MATCH("DDM appertisation standard (mois)",Config!A:A,0)),36)*30)</f>
        <v>#ERROR!</v>
      </c>
      <c r="M273" s="235"/>
      <c r="N273" s="235"/>
      <c r="O273" s="235"/>
      <c r="P273" s="235"/>
      <c r="Q273" s="267"/>
      <c r="R273" s="268" t="str">
        <f>IFERROR(IF(A273="","",COUNTIF(Ventes!B5:B504,A273)),"")</f>
        <v>#ERROR!</v>
      </c>
    </row>
    <row r="274">
      <c r="A274" s="265"/>
      <c r="B274" s="266"/>
      <c r="C274" s="227"/>
      <c r="D274" s="227"/>
      <c r="E274" s="227"/>
      <c r="F274" s="227"/>
      <c r="G274" s="227"/>
      <c r="H274" s="227"/>
      <c r="I274" s="227"/>
      <c r="J274" s="227"/>
      <c r="K274" s="227"/>
      <c r="L274" s="266" t="str">
        <f>IF(B274="","",B274+IFERROR(INDEX(Config!B:B,MATCH("DDM appertisation standard (mois)",Config!A:A,0)),36)*30)</f>
        <v>#ERROR!</v>
      </c>
      <c r="M274" s="227"/>
      <c r="N274" s="227"/>
      <c r="O274" s="227"/>
      <c r="P274" s="227"/>
      <c r="Q274" s="267"/>
      <c r="R274" s="268" t="str">
        <f>IFERROR(IF(A274="","",COUNTIF(Ventes!B5:B504,A274)),"")</f>
        <v>#ERROR!</v>
      </c>
    </row>
    <row r="275">
      <c r="A275" s="269"/>
      <c r="B275" s="270"/>
      <c r="C275" s="235"/>
      <c r="D275" s="235"/>
      <c r="E275" s="235"/>
      <c r="F275" s="235"/>
      <c r="G275" s="235"/>
      <c r="H275" s="235"/>
      <c r="I275" s="235"/>
      <c r="J275" s="235"/>
      <c r="K275" s="235"/>
      <c r="L275" s="270" t="str">
        <f>IF(B275="","",B275+IFERROR(INDEX(Config!B:B,MATCH("DDM appertisation standard (mois)",Config!A:A,0)),36)*30)</f>
        <v>#ERROR!</v>
      </c>
      <c r="M275" s="235"/>
      <c r="N275" s="235"/>
      <c r="O275" s="235"/>
      <c r="P275" s="235"/>
      <c r="Q275" s="267"/>
      <c r="R275" s="268" t="str">
        <f>IFERROR(IF(A275="","",COUNTIF(Ventes!B5:B504,A275)),"")</f>
        <v>#ERROR!</v>
      </c>
    </row>
    <row r="276">
      <c r="A276" s="265"/>
      <c r="B276" s="266"/>
      <c r="C276" s="227"/>
      <c r="D276" s="227"/>
      <c r="E276" s="227"/>
      <c r="F276" s="227"/>
      <c r="G276" s="227"/>
      <c r="H276" s="227"/>
      <c r="I276" s="227"/>
      <c r="J276" s="227"/>
      <c r="K276" s="227"/>
      <c r="L276" s="266" t="str">
        <f>IF(B276="","",B276+IFERROR(INDEX(Config!B:B,MATCH("DDM appertisation standard (mois)",Config!A:A,0)),36)*30)</f>
        <v>#ERROR!</v>
      </c>
      <c r="M276" s="227"/>
      <c r="N276" s="227"/>
      <c r="O276" s="227"/>
      <c r="P276" s="227"/>
      <c r="Q276" s="267"/>
      <c r="R276" s="268" t="str">
        <f>IFERROR(IF(A276="","",COUNTIF(Ventes!B5:B504,A276)),"")</f>
        <v>#ERROR!</v>
      </c>
    </row>
    <row r="277">
      <c r="A277" s="269"/>
      <c r="B277" s="270"/>
      <c r="C277" s="235"/>
      <c r="D277" s="235"/>
      <c r="E277" s="235"/>
      <c r="F277" s="235"/>
      <c r="G277" s="235"/>
      <c r="H277" s="235"/>
      <c r="I277" s="235"/>
      <c r="J277" s="235"/>
      <c r="K277" s="235"/>
      <c r="L277" s="270" t="str">
        <f>IF(B277="","",B277+IFERROR(INDEX(Config!B:B,MATCH("DDM appertisation standard (mois)",Config!A:A,0)),36)*30)</f>
        <v>#ERROR!</v>
      </c>
      <c r="M277" s="235"/>
      <c r="N277" s="235"/>
      <c r="O277" s="235"/>
      <c r="P277" s="235"/>
      <c r="Q277" s="267"/>
      <c r="R277" s="268" t="str">
        <f>IFERROR(IF(A277="","",COUNTIF(Ventes!B5:B504,A277)),"")</f>
        <v>#ERROR!</v>
      </c>
    </row>
    <row r="278">
      <c r="A278" s="265"/>
      <c r="B278" s="266"/>
      <c r="C278" s="227"/>
      <c r="D278" s="227"/>
      <c r="E278" s="227"/>
      <c r="F278" s="227"/>
      <c r="G278" s="227"/>
      <c r="H278" s="227"/>
      <c r="I278" s="227"/>
      <c r="J278" s="227"/>
      <c r="K278" s="227"/>
      <c r="L278" s="266" t="str">
        <f>IF(B278="","",B278+IFERROR(INDEX(Config!B:B,MATCH("DDM appertisation standard (mois)",Config!A:A,0)),36)*30)</f>
        <v>#ERROR!</v>
      </c>
      <c r="M278" s="227"/>
      <c r="N278" s="227"/>
      <c r="O278" s="227"/>
      <c r="P278" s="227"/>
      <c r="Q278" s="267"/>
      <c r="R278" s="268" t="str">
        <f>IFERROR(IF(A278="","",COUNTIF(Ventes!B5:B504,A278)),"")</f>
        <v>#ERROR!</v>
      </c>
    </row>
    <row r="279">
      <c r="A279" s="269"/>
      <c r="B279" s="270"/>
      <c r="C279" s="235"/>
      <c r="D279" s="235"/>
      <c r="E279" s="235"/>
      <c r="F279" s="235"/>
      <c r="G279" s="235"/>
      <c r="H279" s="235"/>
      <c r="I279" s="235"/>
      <c r="J279" s="235"/>
      <c r="K279" s="235"/>
      <c r="L279" s="270" t="str">
        <f>IF(B279="","",B279+IFERROR(INDEX(Config!B:B,MATCH("DDM appertisation standard (mois)",Config!A:A,0)),36)*30)</f>
        <v>#ERROR!</v>
      </c>
      <c r="M279" s="235"/>
      <c r="N279" s="235"/>
      <c r="O279" s="235"/>
      <c r="P279" s="235"/>
      <c r="Q279" s="267"/>
      <c r="R279" s="268" t="str">
        <f>IFERROR(IF(A279="","",COUNTIF(Ventes!B5:B504,A279)),"")</f>
        <v>#ERROR!</v>
      </c>
    </row>
    <row r="280">
      <c r="A280" s="265"/>
      <c r="B280" s="266"/>
      <c r="C280" s="227"/>
      <c r="D280" s="227"/>
      <c r="E280" s="227"/>
      <c r="F280" s="227"/>
      <c r="G280" s="227"/>
      <c r="H280" s="227"/>
      <c r="I280" s="227"/>
      <c r="J280" s="227"/>
      <c r="K280" s="227"/>
      <c r="L280" s="266" t="str">
        <f>IF(B280="","",B280+IFERROR(INDEX(Config!B:B,MATCH("DDM appertisation standard (mois)",Config!A:A,0)),36)*30)</f>
        <v>#ERROR!</v>
      </c>
      <c r="M280" s="227"/>
      <c r="N280" s="227"/>
      <c r="O280" s="227"/>
      <c r="P280" s="227"/>
      <c r="Q280" s="267"/>
      <c r="R280" s="268" t="str">
        <f>IFERROR(IF(A280="","",COUNTIF(Ventes!B5:B504,A280)),"")</f>
        <v>#ERROR!</v>
      </c>
    </row>
    <row r="281">
      <c r="A281" s="269"/>
      <c r="B281" s="270"/>
      <c r="C281" s="235"/>
      <c r="D281" s="235"/>
      <c r="E281" s="235"/>
      <c r="F281" s="235"/>
      <c r="G281" s="235"/>
      <c r="H281" s="235"/>
      <c r="I281" s="235"/>
      <c r="J281" s="235"/>
      <c r="K281" s="235"/>
      <c r="L281" s="270" t="str">
        <f>IF(B281="","",B281+IFERROR(INDEX(Config!B:B,MATCH("DDM appertisation standard (mois)",Config!A:A,0)),36)*30)</f>
        <v>#ERROR!</v>
      </c>
      <c r="M281" s="235"/>
      <c r="N281" s="235"/>
      <c r="O281" s="235"/>
      <c r="P281" s="235"/>
      <c r="Q281" s="267"/>
      <c r="R281" s="268" t="str">
        <f>IFERROR(IF(A281="","",COUNTIF(Ventes!B5:B504,A281)),"")</f>
        <v>#ERROR!</v>
      </c>
    </row>
    <row r="282">
      <c r="A282" s="265"/>
      <c r="B282" s="266"/>
      <c r="C282" s="227"/>
      <c r="D282" s="227"/>
      <c r="E282" s="227"/>
      <c r="F282" s="227"/>
      <c r="G282" s="227"/>
      <c r="H282" s="227"/>
      <c r="I282" s="227"/>
      <c r="J282" s="227"/>
      <c r="K282" s="227"/>
      <c r="L282" s="266" t="str">
        <f>IF(B282="","",B282+IFERROR(INDEX(Config!B:B,MATCH("DDM appertisation standard (mois)",Config!A:A,0)),36)*30)</f>
        <v>#ERROR!</v>
      </c>
      <c r="M282" s="227"/>
      <c r="N282" s="227"/>
      <c r="O282" s="227"/>
      <c r="P282" s="227"/>
      <c r="Q282" s="267"/>
      <c r="R282" s="268" t="str">
        <f>IFERROR(IF(A282="","",COUNTIF(Ventes!B5:B504,A282)),"")</f>
        <v>#ERROR!</v>
      </c>
    </row>
    <row r="283">
      <c r="A283" s="269"/>
      <c r="B283" s="270"/>
      <c r="C283" s="235"/>
      <c r="D283" s="235"/>
      <c r="E283" s="235"/>
      <c r="F283" s="235"/>
      <c r="G283" s="235"/>
      <c r="H283" s="235"/>
      <c r="I283" s="235"/>
      <c r="J283" s="235"/>
      <c r="K283" s="235"/>
      <c r="L283" s="270" t="str">
        <f>IF(B283="","",B283+IFERROR(INDEX(Config!B:B,MATCH("DDM appertisation standard (mois)",Config!A:A,0)),36)*30)</f>
        <v>#ERROR!</v>
      </c>
      <c r="M283" s="235"/>
      <c r="N283" s="235"/>
      <c r="O283" s="235"/>
      <c r="P283" s="235"/>
      <c r="Q283" s="267"/>
      <c r="R283" s="268" t="str">
        <f>IFERROR(IF(A283="","",COUNTIF(Ventes!B5:B504,A283)),"")</f>
        <v>#ERROR!</v>
      </c>
    </row>
    <row r="284">
      <c r="A284" s="265"/>
      <c r="B284" s="266"/>
      <c r="C284" s="227"/>
      <c r="D284" s="227"/>
      <c r="E284" s="227"/>
      <c r="F284" s="227"/>
      <c r="G284" s="227"/>
      <c r="H284" s="227"/>
      <c r="I284" s="227"/>
      <c r="J284" s="227"/>
      <c r="K284" s="227"/>
      <c r="L284" s="266" t="str">
        <f>IF(B284="","",B284+IFERROR(INDEX(Config!B:B,MATCH("DDM appertisation standard (mois)",Config!A:A,0)),36)*30)</f>
        <v>#ERROR!</v>
      </c>
      <c r="M284" s="227"/>
      <c r="N284" s="227"/>
      <c r="O284" s="227"/>
      <c r="P284" s="227"/>
      <c r="Q284" s="267"/>
      <c r="R284" s="268" t="str">
        <f>IFERROR(IF(A284="","",COUNTIF(Ventes!B5:B504,A284)),"")</f>
        <v>#ERROR!</v>
      </c>
    </row>
    <row r="285">
      <c r="A285" s="269"/>
      <c r="B285" s="270"/>
      <c r="C285" s="235"/>
      <c r="D285" s="235"/>
      <c r="E285" s="235"/>
      <c r="F285" s="235"/>
      <c r="G285" s="235"/>
      <c r="H285" s="235"/>
      <c r="I285" s="235"/>
      <c r="J285" s="235"/>
      <c r="K285" s="235"/>
      <c r="L285" s="270" t="str">
        <f>IF(B285="","",B285+IFERROR(INDEX(Config!B:B,MATCH("DDM appertisation standard (mois)",Config!A:A,0)),36)*30)</f>
        <v>#ERROR!</v>
      </c>
      <c r="M285" s="235"/>
      <c r="N285" s="235"/>
      <c r="O285" s="235"/>
      <c r="P285" s="235"/>
      <c r="Q285" s="267"/>
      <c r="R285" s="268" t="str">
        <f>IFERROR(IF(A285="","",COUNTIF(Ventes!B5:B504,A285)),"")</f>
        <v>#ERROR!</v>
      </c>
    </row>
    <row r="286">
      <c r="A286" s="265"/>
      <c r="B286" s="266"/>
      <c r="C286" s="227"/>
      <c r="D286" s="227"/>
      <c r="E286" s="227"/>
      <c r="F286" s="227"/>
      <c r="G286" s="227"/>
      <c r="H286" s="227"/>
      <c r="I286" s="227"/>
      <c r="J286" s="227"/>
      <c r="K286" s="227"/>
      <c r="L286" s="266" t="str">
        <f>IF(B286="","",B286+IFERROR(INDEX(Config!B:B,MATCH("DDM appertisation standard (mois)",Config!A:A,0)),36)*30)</f>
        <v>#ERROR!</v>
      </c>
      <c r="M286" s="227"/>
      <c r="N286" s="227"/>
      <c r="O286" s="227"/>
      <c r="P286" s="227"/>
      <c r="Q286" s="267"/>
      <c r="R286" s="268" t="str">
        <f>IFERROR(IF(A286="","",COUNTIF(Ventes!B5:B504,A286)),"")</f>
        <v>#ERROR!</v>
      </c>
    </row>
    <row r="287">
      <c r="A287" s="269"/>
      <c r="B287" s="270"/>
      <c r="C287" s="235"/>
      <c r="D287" s="235"/>
      <c r="E287" s="235"/>
      <c r="F287" s="235"/>
      <c r="G287" s="235"/>
      <c r="H287" s="235"/>
      <c r="I287" s="235"/>
      <c r="J287" s="235"/>
      <c r="K287" s="235"/>
      <c r="L287" s="270" t="str">
        <f>IF(B287="","",B287+IFERROR(INDEX(Config!B:B,MATCH("DDM appertisation standard (mois)",Config!A:A,0)),36)*30)</f>
        <v>#ERROR!</v>
      </c>
      <c r="M287" s="235"/>
      <c r="N287" s="235"/>
      <c r="O287" s="235"/>
      <c r="P287" s="235"/>
      <c r="Q287" s="267"/>
      <c r="R287" s="268" t="str">
        <f>IFERROR(IF(A287="","",COUNTIF(Ventes!B5:B504,A287)),"")</f>
        <v>#ERROR!</v>
      </c>
    </row>
    <row r="288">
      <c r="A288" s="265"/>
      <c r="B288" s="266"/>
      <c r="C288" s="227"/>
      <c r="D288" s="227"/>
      <c r="E288" s="227"/>
      <c r="F288" s="227"/>
      <c r="G288" s="227"/>
      <c r="H288" s="227"/>
      <c r="I288" s="227"/>
      <c r="J288" s="227"/>
      <c r="K288" s="227"/>
      <c r="L288" s="266" t="str">
        <f>IF(B288="","",B288+IFERROR(INDEX(Config!B:B,MATCH("DDM appertisation standard (mois)",Config!A:A,0)),36)*30)</f>
        <v>#ERROR!</v>
      </c>
      <c r="M288" s="227"/>
      <c r="N288" s="227"/>
      <c r="O288" s="227"/>
      <c r="P288" s="227"/>
      <c r="Q288" s="267"/>
      <c r="R288" s="268" t="str">
        <f>IFERROR(IF(A288="","",COUNTIF(Ventes!B5:B504,A288)),"")</f>
        <v>#ERROR!</v>
      </c>
    </row>
    <row r="289">
      <c r="A289" s="269"/>
      <c r="B289" s="270"/>
      <c r="C289" s="235"/>
      <c r="D289" s="235"/>
      <c r="E289" s="235"/>
      <c r="F289" s="235"/>
      <c r="G289" s="235"/>
      <c r="H289" s="235"/>
      <c r="I289" s="235"/>
      <c r="J289" s="235"/>
      <c r="K289" s="235"/>
      <c r="L289" s="270" t="str">
        <f>IF(B289="","",B289+IFERROR(INDEX(Config!B:B,MATCH("DDM appertisation standard (mois)",Config!A:A,0)),36)*30)</f>
        <v>#ERROR!</v>
      </c>
      <c r="M289" s="235"/>
      <c r="N289" s="235"/>
      <c r="O289" s="235"/>
      <c r="P289" s="235"/>
      <c r="Q289" s="267"/>
      <c r="R289" s="268" t="str">
        <f>IFERROR(IF(A289="","",COUNTIF(Ventes!B5:B504,A289)),"")</f>
        <v>#ERROR!</v>
      </c>
    </row>
    <row r="290">
      <c r="A290" s="265"/>
      <c r="B290" s="266"/>
      <c r="C290" s="227"/>
      <c r="D290" s="227"/>
      <c r="E290" s="227"/>
      <c r="F290" s="227"/>
      <c r="G290" s="227"/>
      <c r="H290" s="227"/>
      <c r="I290" s="227"/>
      <c r="J290" s="227"/>
      <c r="K290" s="227"/>
      <c r="L290" s="266" t="str">
        <f>IF(B290="","",B290+IFERROR(INDEX(Config!B:B,MATCH("DDM appertisation standard (mois)",Config!A:A,0)),36)*30)</f>
        <v>#ERROR!</v>
      </c>
      <c r="M290" s="227"/>
      <c r="N290" s="227"/>
      <c r="O290" s="227"/>
      <c r="P290" s="227"/>
      <c r="Q290" s="267"/>
      <c r="R290" s="268" t="str">
        <f>IFERROR(IF(A290="","",COUNTIF(Ventes!B5:B504,A290)),"")</f>
        <v>#ERROR!</v>
      </c>
    </row>
    <row r="291">
      <c r="A291" s="269"/>
      <c r="B291" s="270"/>
      <c r="C291" s="235"/>
      <c r="D291" s="235"/>
      <c r="E291" s="235"/>
      <c r="F291" s="235"/>
      <c r="G291" s="235"/>
      <c r="H291" s="235"/>
      <c r="I291" s="235"/>
      <c r="J291" s="235"/>
      <c r="K291" s="235"/>
      <c r="L291" s="270" t="str">
        <f>IF(B291="","",B291+IFERROR(INDEX(Config!B:B,MATCH("DDM appertisation standard (mois)",Config!A:A,0)),36)*30)</f>
        <v>#ERROR!</v>
      </c>
      <c r="M291" s="235"/>
      <c r="N291" s="235"/>
      <c r="O291" s="235"/>
      <c r="P291" s="235"/>
      <c r="Q291" s="267"/>
      <c r="R291" s="268" t="str">
        <f>IFERROR(IF(A291="","",COUNTIF(Ventes!B5:B504,A291)),"")</f>
        <v>#ERROR!</v>
      </c>
    </row>
    <row r="292">
      <c r="A292" s="265"/>
      <c r="B292" s="266"/>
      <c r="C292" s="227"/>
      <c r="D292" s="227"/>
      <c r="E292" s="227"/>
      <c r="F292" s="227"/>
      <c r="G292" s="227"/>
      <c r="H292" s="227"/>
      <c r="I292" s="227"/>
      <c r="J292" s="227"/>
      <c r="K292" s="227"/>
      <c r="L292" s="266" t="str">
        <f>IF(B292="","",B292+IFERROR(INDEX(Config!B:B,MATCH("DDM appertisation standard (mois)",Config!A:A,0)),36)*30)</f>
        <v>#ERROR!</v>
      </c>
      <c r="M292" s="227"/>
      <c r="N292" s="227"/>
      <c r="O292" s="227"/>
      <c r="P292" s="227"/>
      <c r="Q292" s="267"/>
      <c r="R292" s="268" t="str">
        <f>IFERROR(IF(A292="","",COUNTIF(Ventes!B5:B504,A292)),"")</f>
        <v>#ERROR!</v>
      </c>
    </row>
    <row r="293">
      <c r="A293" s="269"/>
      <c r="B293" s="270"/>
      <c r="C293" s="235"/>
      <c r="D293" s="235"/>
      <c r="E293" s="235"/>
      <c r="F293" s="235"/>
      <c r="G293" s="235"/>
      <c r="H293" s="235"/>
      <c r="I293" s="235"/>
      <c r="J293" s="235"/>
      <c r="K293" s="235"/>
      <c r="L293" s="270" t="str">
        <f>IF(B293="","",B293+IFERROR(INDEX(Config!B:B,MATCH("DDM appertisation standard (mois)",Config!A:A,0)),36)*30)</f>
        <v>#ERROR!</v>
      </c>
      <c r="M293" s="235"/>
      <c r="N293" s="235"/>
      <c r="O293" s="235"/>
      <c r="P293" s="235"/>
      <c r="Q293" s="267"/>
      <c r="R293" s="268" t="str">
        <f>IFERROR(IF(A293="","",COUNTIF(Ventes!B5:B504,A293)),"")</f>
        <v>#ERROR!</v>
      </c>
    </row>
    <row r="294">
      <c r="A294" s="265"/>
      <c r="B294" s="266"/>
      <c r="C294" s="227"/>
      <c r="D294" s="227"/>
      <c r="E294" s="227"/>
      <c r="F294" s="227"/>
      <c r="G294" s="227"/>
      <c r="H294" s="227"/>
      <c r="I294" s="227"/>
      <c r="J294" s="227"/>
      <c r="K294" s="227"/>
      <c r="L294" s="266" t="str">
        <f>IF(B294="","",B294+IFERROR(INDEX(Config!B:B,MATCH("DDM appertisation standard (mois)",Config!A:A,0)),36)*30)</f>
        <v>#ERROR!</v>
      </c>
      <c r="M294" s="227"/>
      <c r="N294" s="227"/>
      <c r="O294" s="227"/>
      <c r="P294" s="227"/>
      <c r="Q294" s="267"/>
      <c r="R294" s="268" t="str">
        <f>IFERROR(IF(A294="","",COUNTIF(Ventes!B5:B504,A294)),"")</f>
        <v>#ERROR!</v>
      </c>
    </row>
    <row r="295">
      <c r="A295" s="269"/>
      <c r="B295" s="270"/>
      <c r="C295" s="235"/>
      <c r="D295" s="235"/>
      <c r="E295" s="235"/>
      <c r="F295" s="235"/>
      <c r="G295" s="235"/>
      <c r="H295" s="235"/>
      <c r="I295" s="235"/>
      <c r="J295" s="235"/>
      <c r="K295" s="235"/>
      <c r="L295" s="270" t="str">
        <f>IF(B295="","",B295+IFERROR(INDEX(Config!B:B,MATCH("DDM appertisation standard (mois)",Config!A:A,0)),36)*30)</f>
        <v>#ERROR!</v>
      </c>
      <c r="M295" s="235"/>
      <c r="N295" s="235"/>
      <c r="O295" s="235"/>
      <c r="P295" s="235"/>
      <c r="Q295" s="267"/>
      <c r="R295" s="268" t="str">
        <f>IFERROR(IF(A295="","",COUNTIF(Ventes!B5:B504,A295)),"")</f>
        <v>#ERROR!</v>
      </c>
    </row>
    <row r="296">
      <c r="A296" s="265"/>
      <c r="B296" s="266"/>
      <c r="C296" s="227"/>
      <c r="D296" s="227"/>
      <c r="E296" s="227"/>
      <c r="F296" s="227"/>
      <c r="G296" s="227"/>
      <c r="H296" s="227"/>
      <c r="I296" s="227"/>
      <c r="J296" s="227"/>
      <c r="K296" s="227"/>
      <c r="L296" s="266" t="str">
        <f>IF(B296="","",B296+IFERROR(INDEX(Config!B:B,MATCH("DDM appertisation standard (mois)",Config!A:A,0)),36)*30)</f>
        <v>#ERROR!</v>
      </c>
      <c r="M296" s="227"/>
      <c r="N296" s="227"/>
      <c r="O296" s="227"/>
      <c r="P296" s="227"/>
      <c r="Q296" s="267"/>
      <c r="R296" s="268" t="str">
        <f>IFERROR(IF(A296="","",COUNTIF(Ventes!B5:B504,A296)),"")</f>
        <v>#ERROR!</v>
      </c>
    </row>
    <row r="297">
      <c r="A297" s="269"/>
      <c r="B297" s="270"/>
      <c r="C297" s="235"/>
      <c r="D297" s="235"/>
      <c r="E297" s="235"/>
      <c r="F297" s="235"/>
      <c r="G297" s="235"/>
      <c r="H297" s="235"/>
      <c r="I297" s="235"/>
      <c r="J297" s="235"/>
      <c r="K297" s="235"/>
      <c r="L297" s="270" t="str">
        <f>IF(B297="","",B297+IFERROR(INDEX(Config!B:B,MATCH("DDM appertisation standard (mois)",Config!A:A,0)),36)*30)</f>
        <v>#ERROR!</v>
      </c>
      <c r="M297" s="235"/>
      <c r="N297" s="235"/>
      <c r="O297" s="235"/>
      <c r="P297" s="235"/>
      <c r="Q297" s="267"/>
      <c r="R297" s="268" t="str">
        <f>IFERROR(IF(A297="","",COUNTIF(Ventes!B5:B504,A297)),"")</f>
        <v>#ERROR!</v>
      </c>
    </row>
    <row r="298">
      <c r="A298" s="265"/>
      <c r="B298" s="266"/>
      <c r="C298" s="227"/>
      <c r="D298" s="227"/>
      <c r="E298" s="227"/>
      <c r="F298" s="227"/>
      <c r="G298" s="227"/>
      <c r="H298" s="227"/>
      <c r="I298" s="227"/>
      <c r="J298" s="227"/>
      <c r="K298" s="227"/>
      <c r="L298" s="266" t="str">
        <f>IF(B298="","",B298+IFERROR(INDEX(Config!B:B,MATCH("DDM appertisation standard (mois)",Config!A:A,0)),36)*30)</f>
        <v>#ERROR!</v>
      </c>
      <c r="M298" s="227"/>
      <c r="N298" s="227"/>
      <c r="O298" s="227"/>
      <c r="P298" s="227"/>
      <c r="Q298" s="267"/>
      <c r="R298" s="268" t="str">
        <f>IFERROR(IF(A298="","",COUNTIF(Ventes!B5:B504,A298)),"")</f>
        <v>#ERROR!</v>
      </c>
    </row>
    <row r="299">
      <c r="A299" s="269"/>
      <c r="B299" s="270"/>
      <c r="C299" s="235"/>
      <c r="D299" s="235"/>
      <c r="E299" s="235"/>
      <c r="F299" s="235"/>
      <c r="G299" s="235"/>
      <c r="H299" s="235"/>
      <c r="I299" s="235"/>
      <c r="J299" s="235"/>
      <c r="K299" s="235"/>
      <c r="L299" s="270" t="str">
        <f>IF(B299="","",B299+IFERROR(INDEX(Config!B:B,MATCH("DDM appertisation standard (mois)",Config!A:A,0)),36)*30)</f>
        <v>#ERROR!</v>
      </c>
      <c r="M299" s="235"/>
      <c r="N299" s="235"/>
      <c r="O299" s="235"/>
      <c r="P299" s="235"/>
      <c r="Q299" s="267"/>
      <c r="R299" s="268" t="str">
        <f>IFERROR(IF(A299="","",COUNTIF(Ventes!B5:B504,A299)),"")</f>
        <v>#ERROR!</v>
      </c>
    </row>
    <row r="300">
      <c r="A300" s="265"/>
      <c r="B300" s="266"/>
      <c r="C300" s="227"/>
      <c r="D300" s="227"/>
      <c r="E300" s="227"/>
      <c r="F300" s="227"/>
      <c r="G300" s="227"/>
      <c r="H300" s="227"/>
      <c r="I300" s="227"/>
      <c r="J300" s="227"/>
      <c r="K300" s="227"/>
      <c r="L300" s="266" t="str">
        <f>IF(B300="","",B300+IFERROR(INDEX(Config!B:B,MATCH("DDM appertisation standard (mois)",Config!A:A,0)),36)*30)</f>
        <v>#ERROR!</v>
      </c>
      <c r="M300" s="227"/>
      <c r="N300" s="227"/>
      <c r="O300" s="227"/>
      <c r="P300" s="227"/>
      <c r="Q300" s="267"/>
      <c r="R300" s="268" t="str">
        <f>IFERROR(IF(A300="","",COUNTIF(Ventes!B5:B504,A300)),"")</f>
        <v>#ERROR!</v>
      </c>
    </row>
    <row r="301">
      <c r="A301" s="269"/>
      <c r="B301" s="270"/>
      <c r="C301" s="235"/>
      <c r="D301" s="235"/>
      <c r="E301" s="235"/>
      <c r="F301" s="235"/>
      <c r="G301" s="235"/>
      <c r="H301" s="235"/>
      <c r="I301" s="235"/>
      <c r="J301" s="235"/>
      <c r="K301" s="235"/>
      <c r="L301" s="270" t="str">
        <f>IF(B301="","",B301+IFERROR(INDEX(Config!B:B,MATCH("DDM appertisation standard (mois)",Config!A:A,0)),36)*30)</f>
        <v>#ERROR!</v>
      </c>
      <c r="M301" s="235"/>
      <c r="N301" s="235"/>
      <c r="O301" s="235"/>
      <c r="P301" s="235"/>
      <c r="Q301" s="267"/>
      <c r="R301" s="268" t="str">
        <f>IFERROR(IF(A301="","",COUNTIF(Ventes!B5:B504,A301)),"")</f>
        <v>#ERROR!</v>
      </c>
    </row>
    <row r="302">
      <c r="A302" s="265"/>
      <c r="B302" s="266"/>
      <c r="C302" s="227"/>
      <c r="D302" s="227"/>
      <c r="E302" s="227"/>
      <c r="F302" s="227"/>
      <c r="G302" s="227"/>
      <c r="H302" s="227"/>
      <c r="I302" s="227"/>
      <c r="J302" s="227"/>
      <c r="K302" s="227"/>
      <c r="L302" s="266" t="str">
        <f>IF(B302="","",B302+IFERROR(INDEX(Config!B:B,MATCH("DDM appertisation standard (mois)",Config!A:A,0)),36)*30)</f>
        <v>#ERROR!</v>
      </c>
      <c r="M302" s="227"/>
      <c r="N302" s="227"/>
      <c r="O302" s="227"/>
      <c r="P302" s="227"/>
      <c r="Q302" s="267"/>
      <c r="R302" s="268" t="str">
        <f>IFERROR(IF(A302="","",COUNTIF(Ventes!B5:B504,A302)),"")</f>
        <v>#ERROR!</v>
      </c>
    </row>
    <row r="303">
      <c r="A303" s="269"/>
      <c r="B303" s="270"/>
      <c r="C303" s="235"/>
      <c r="D303" s="235"/>
      <c r="E303" s="235"/>
      <c r="F303" s="235"/>
      <c r="G303" s="235"/>
      <c r="H303" s="235"/>
      <c r="I303" s="235"/>
      <c r="J303" s="235"/>
      <c r="K303" s="235"/>
      <c r="L303" s="270" t="str">
        <f>IF(B303="","",B303+IFERROR(INDEX(Config!B:B,MATCH("DDM appertisation standard (mois)",Config!A:A,0)),36)*30)</f>
        <v>#ERROR!</v>
      </c>
      <c r="M303" s="235"/>
      <c r="N303" s="235"/>
      <c r="O303" s="235"/>
      <c r="P303" s="235"/>
      <c r="Q303" s="267"/>
      <c r="R303" s="268" t="str">
        <f>IFERROR(IF(A303="","",COUNTIF(Ventes!B5:B504,A303)),"")</f>
        <v>#ERROR!</v>
      </c>
    </row>
    <row r="304">
      <c r="A304" s="265"/>
      <c r="B304" s="266"/>
      <c r="C304" s="227"/>
      <c r="D304" s="227"/>
      <c r="E304" s="227"/>
      <c r="F304" s="227"/>
      <c r="G304" s="227"/>
      <c r="H304" s="227"/>
      <c r="I304" s="227"/>
      <c r="J304" s="227"/>
      <c r="K304" s="227"/>
      <c r="L304" s="266" t="str">
        <f>IF(B304="","",B304+IFERROR(INDEX(Config!B:B,MATCH("DDM appertisation standard (mois)",Config!A:A,0)),36)*30)</f>
        <v>#ERROR!</v>
      </c>
      <c r="M304" s="227"/>
      <c r="N304" s="227"/>
      <c r="O304" s="227"/>
      <c r="P304" s="227"/>
      <c r="Q304" s="267"/>
      <c r="R304" s="268" t="str">
        <f>IFERROR(IF(A304="","",COUNTIF(Ventes!B5:B504,A304)),"")</f>
        <v>#ERROR!</v>
      </c>
    </row>
    <row r="305">
      <c r="A305" s="269"/>
      <c r="B305" s="270"/>
      <c r="C305" s="235"/>
      <c r="D305" s="235"/>
      <c r="E305" s="235"/>
      <c r="F305" s="235"/>
      <c r="G305" s="235"/>
      <c r="H305" s="235"/>
      <c r="I305" s="235"/>
      <c r="J305" s="235"/>
      <c r="K305" s="235"/>
      <c r="L305" s="270" t="str">
        <f>IF(B305="","",B305+IFERROR(INDEX(Config!B:B,MATCH("DDM appertisation standard (mois)",Config!A:A,0)),36)*30)</f>
        <v>#ERROR!</v>
      </c>
      <c r="M305" s="235"/>
      <c r="N305" s="235"/>
      <c r="O305" s="235"/>
      <c r="P305" s="235"/>
      <c r="Q305" s="267"/>
      <c r="R305" s="268" t="str">
        <f>IFERROR(IF(A305="","",COUNTIF(Ventes!B5:B504,A305)),"")</f>
        <v>#ERROR!</v>
      </c>
    </row>
    <row r="306">
      <c r="A306" s="265"/>
      <c r="B306" s="266"/>
      <c r="C306" s="227"/>
      <c r="D306" s="227"/>
      <c r="E306" s="227"/>
      <c r="F306" s="227"/>
      <c r="G306" s="227"/>
      <c r="H306" s="227"/>
      <c r="I306" s="227"/>
      <c r="J306" s="227"/>
      <c r="K306" s="227"/>
      <c r="L306" s="266" t="str">
        <f>IF(B306="","",B306+IFERROR(INDEX(Config!B:B,MATCH("DDM appertisation standard (mois)",Config!A:A,0)),36)*30)</f>
        <v>#ERROR!</v>
      </c>
      <c r="M306" s="227"/>
      <c r="N306" s="227"/>
      <c r="O306" s="227"/>
      <c r="P306" s="227"/>
      <c r="Q306" s="267"/>
      <c r="R306" s="268" t="str">
        <f>IFERROR(IF(A306="","",COUNTIF(Ventes!B5:B504,A306)),"")</f>
        <v>#ERROR!</v>
      </c>
    </row>
    <row r="307">
      <c r="A307" s="269"/>
      <c r="B307" s="270"/>
      <c r="C307" s="235"/>
      <c r="D307" s="235"/>
      <c r="E307" s="235"/>
      <c r="F307" s="235"/>
      <c r="G307" s="235"/>
      <c r="H307" s="235"/>
      <c r="I307" s="235"/>
      <c r="J307" s="235"/>
      <c r="K307" s="235"/>
      <c r="L307" s="270" t="str">
        <f>IF(B307="","",B307+IFERROR(INDEX(Config!B:B,MATCH("DDM appertisation standard (mois)",Config!A:A,0)),36)*30)</f>
        <v>#ERROR!</v>
      </c>
      <c r="M307" s="235"/>
      <c r="N307" s="235"/>
      <c r="O307" s="235"/>
      <c r="P307" s="235"/>
      <c r="Q307" s="267"/>
      <c r="R307" s="268" t="str">
        <f>IFERROR(IF(A307="","",COUNTIF(Ventes!B5:B504,A307)),"")</f>
        <v>#ERROR!</v>
      </c>
    </row>
    <row r="308">
      <c r="A308" s="265"/>
      <c r="B308" s="266"/>
      <c r="C308" s="227"/>
      <c r="D308" s="227"/>
      <c r="E308" s="227"/>
      <c r="F308" s="227"/>
      <c r="G308" s="227"/>
      <c r="H308" s="227"/>
      <c r="I308" s="227"/>
      <c r="J308" s="227"/>
      <c r="K308" s="227"/>
      <c r="L308" s="266" t="str">
        <f>IF(B308="","",B308+IFERROR(INDEX(Config!B:B,MATCH("DDM appertisation standard (mois)",Config!A:A,0)),36)*30)</f>
        <v>#ERROR!</v>
      </c>
      <c r="M308" s="227"/>
      <c r="N308" s="227"/>
      <c r="O308" s="227"/>
      <c r="P308" s="227"/>
      <c r="Q308" s="267"/>
      <c r="R308" s="268" t="str">
        <f>IFERROR(IF(A308="","",COUNTIF(Ventes!B5:B504,A308)),"")</f>
        <v>#ERROR!</v>
      </c>
    </row>
    <row r="309">
      <c r="A309" s="269"/>
      <c r="B309" s="270"/>
      <c r="C309" s="235"/>
      <c r="D309" s="235"/>
      <c r="E309" s="235"/>
      <c r="F309" s="235"/>
      <c r="G309" s="235"/>
      <c r="H309" s="235"/>
      <c r="I309" s="235"/>
      <c r="J309" s="235"/>
      <c r="K309" s="235"/>
      <c r="L309" s="270" t="str">
        <f>IF(B309="","",B309+IFERROR(INDEX(Config!B:B,MATCH("DDM appertisation standard (mois)",Config!A:A,0)),36)*30)</f>
        <v>#ERROR!</v>
      </c>
      <c r="M309" s="235"/>
      <c r="N309" s="235"/>
      <c r="O309" s="235"/>
      <c r="P309" s="235"/>
      <c r="Q309" s="267"/>
      <c r="R309" s="268" t="str">
        <f>IFERROR(IF(A309="","",COUNTIF(Ventes!B5:B504,A309)),"")</f>
        <v>#ERROR!</v>
      </c>
    </row>
    <row r="310">
      <c r="A310" s="265"/>
      <c r="B310" s="266"/>
      <c r="C310" s="227"/>
      <c r="D310" s="227"/>
      <c r="E310" s="227"/>
      <c r="F310" s="227"/>
      <c r="G310" s="227"/>
      <c r="H310" s="227"/>
      <c r="I310" s="227"/>
      <c r="J310" s="227"/>
      <c r="K310" s="227"/>
      <c r="L310" s="266" t="str">
        <f>IF(B310="","",B310+IFERROR(INDEX(Config!B:B,MATCH("DDM appertisation standard (mois)",Config!A:A,0)),36)*30)</f>
        <v>#ERROR!</v>
      </c>
      <c r="M310" s="227"/>
      <c r="N310" s="227"/>
      <c r="O310" s="227"/>
      <c r="P310" s="227"/>
      <c r="Q310" s="267"/>
      <c r="R310" s="268" t="str">
        <f>IFERROR(IF(A310="","",COUNTIF(Ventes!B5:B504,A310)),"")</f>
        <v>#ERROR!</v>
      </c>
    </row>
    <row r="311">
      <c r="A311" s="269"/>
      <c r="B311" s="270"/>
      <c r="C311" s="235"/>
      <c r="D311" s="235"/>
      <c r="E311" s="235"/>
      <c r="F311" s="235"/>
      <c r="G311" s="235"/>
      <c r="H311" s="235"/>
      <c r="I311" s="235"/>
      <c r="J311" s="235"/>
      <c r="K311" s="235"/>
      <c r="L311" s="270" t="str">
        <f>IF(B311="","",B311+IFERROR(INDEX(Config!B:B,MATCH("DDM appertisation standard (mois)",Config!A:A,0)),36)*30)</f>
        <v>#ERROR!</v>
      </c>
      <c r="M311" s="235"/>
      <c r="N311" s="235"/>
      <c r="O311" s="235"/>
      <c r="P311" s="235"/>
      <c r="Q311" s="267"/>
      <c r="R311" s="268" t="str">
        <f>IFERROR(IF(A311="","",COUNTIF(Ventes!B5:B504,A311)),"")</f>
        <v>#ERROR!</v>
      </c>
    </row>
    <row r="312">
      <c r="A312" s="265"/>
      <c r="B312" s="266"/>
      <c r="C312" s="227"/>
      <c r="D312" s="227"/>
      <c r="E312" s="227"/>
      <c r="F312" s="227"/>
      <c r="G312" s="227"/>
      <c r="H312" s="227"/>
      <c r="I312" s="227"/>
      <c r="J312" s="227"/>
      <c r="K312" s="227"/>
      <c r="L312" s="266" t="str">
        <f>IF(B312="","",B312+IFERROR(INDEX(Config!B:B,MATCH("DDM appertisation standard (mois)",Config!A:A,0)),36)*30)</f>
        <v>#ERROR!</v>
      </c>
      <c r="M312" s="227"/>
      <c r="N312" s="227"/>
      <c r="O312" s="227"/>
      <c r="P312" s="227"/>
      <c r="Q312" s="267"/>
      <c r="R312" s="268" t="str">
        <f>IFERROR(IF(A312="","",COUNTIF(Ventes!B5:B504,A312)),"")</f>
        <v>#ERROR!</v>
      </c>
    </row>
    <row r="313">
      <c r="A313" s="269"/>
      <c r="B313" s="270"/>
      <c r="C313" s="235"/>
      <c r="D313" s="235"/>
      <c r="E313" s="235"/>
      <c r="F313" s="235"/>
      <c r="G313" s="235"/>
      <c r="H313" s="235"/>
      <c r="I313" s="235"/>
      <c r="J313" s="235"/>
      <c r="K313" s="235"/>
      <c r="L313" s="270" t="str">
        <f>IF(B313="","",B313+IFERROR(INDEX(Config!B:B,MATCH("DDM appertisation standard (mois)",Config!A:A,0)),36)*30)</f>
        <v>#ERROR!</v>
      </c>
      <c r="M313" s="235"/>
      <c r="N313" s="235"/>
      <c r="O313" s="235"/>
      <c r="P313" s="235"/>
      <c r="Q313" s="267"/>
      <c r="R313" s="268" t="str">
        <f>IFERROR(IF(A313="","",COUNTIF(Ventes!B5:B504,A313)),"")</f>
        <v>#ERROR!</v>
      </c>
    </row>
    <row r="314">
      <c r="A314" s="265"/>
      <c r="B314" s="266"/>
      <c r="C314" s="227"/>
      <c r="D314" s="227"/>
      <c r="E314" s="227"/>
      <c r="F314" s="227"/>
      <c r="G314" s="227"/>
      <c r="H314" s="227"/>
      <c r="I314" s="227"/>
      <c r="J314" s="227"/>
      <c r="K314" s="227"/>
      <c r="L314" s="266" t="str">
        <f>IF(B314="","",B314+IFERROR(INDEX(Config!B:B,MATCH("DDM appertisation standard (mois)",Config!A:A,0)),36)*30)</f>
        <v>#ERROR!</v>
      </c>
      <c r="M314" s="227"/>
      <c r="N314" s="227"/>
      <c r="O314" s="227"/>
      <c r="P314" s="227"/>
      <c r="Q314" s="267"/>
      <c r="R314" s="268" t="str">
        <f>IFERROR(IF(A314="","",COUNTIF(Ventes!B5:B504,A314)),"")</f>
        <v>#ERROR!</v>
      </c>
    </row>
    <row r="315">
      <c r="A315" s="269"/>
      <c r="B315" s="270"/>
      <c r="C315" s="235"/>
      <c r="D315" s="235"/>
      <c r="E315" s="235"/>
      <c r="F315" s="235"/>
      <c r="G315" s="235"/>
      <c r="H315" s="235"/>
      <c r="I315" s="235"/>
      <c r="J315" s="235"/>
      <c r="K315" s="235"/>
      <c r="L315" s="270" t="str">
        <f>IF(B315="","",B315+IFERROR(INDEX(Config!B:B,MATCH("DDM appertisation standard (mois)",Config!A:A,0)),36)*30)</f>
        <v>#ERROR!</v>
      </c>
      <c r="M315" s="235"/>
      <c r="N315" s="235"/>
      <c r="O315" s="235"/>
      <c r="P315" s="235"/>
      <c r="Q315" s="267"/>
      <c r="R315" s="268" t="str">
        <f>IFERROR(IF(A315="","",COUNTIF(Ventes!B5:B504,A315)),"")</f>
        <v>#ERROR!</v>
      </c>
    </row>
    <row r="316">
      <c r="A316" s="265"/>
      <c r="B316" s="266"/>
      <c r="C316" s="227"/>
      <c r="D316" s="227"/>
      <c r="E316" s="227"/>
      <c r="F316" s="227"/>
      <c r="G316" s="227"/>
      <c r="H316" s="227"/>
      <c r="I316" s="227"/>
      <c r="J316" s="227"/>
      <c r="K316" s="227"/>
      <c r="L316" s="266" t="str">
        <f>IF(B316="","",B316+IFERROR(INDEX(Config!B:B,MATCH("DDM appertisation standard (mois)",Config!A:A,0)),36)*30)</f>
        <v>#ERROR!</v>
      </c>
      <c r="M316" s="227"/>
      <c r="N316" s="227"/>
      <c r="O316" s="227"/>
      <c r="P316" s="227"/>
      <c r="Q316" s="267"/>
      <c r="R316" s="268" t="str">
        <f>IFERROR(IF(A316="","",COUNTIF(Ventes!B5:B504,A316)),"")</f>
        <v>#ERROR!</v>
      </c>
    </row>
    <row r="317">
      <c r="A317" s="269"/>
      <c r="B317" s="270"/>
      <c r="C317" s="235"/>
      <c r="D317" s="235"/>
      <c r="E317" s="235"/>
      <c r="F317" s="235"/>
      <c r="G317" s="235"/>
      <c r="H317" s="235"/>
      <c r="I317" s="235"/>
      <c r="J317" s="235"/>
      <c r="K317" s="235"/>
      <c r="L317" s="270" t="str">
        <f>IF(B317="","",B317+IFERROR(INDEX(Config!B:B,MATCH("DDM appertisation standard (mois)",Config!A:A,0)),36)*30)</f>
        <v>#ERROR!</v>
      </c>
      <c r="M317" s="235"/>
      <c r="N317" s="235"/>
      <c r="O317" s="235"/>
      <c r="P317" s="235"/>
      <c r="Q317" s="267"/>
      <c r="R317" s="268" t="str">
        <f>IFERROR(IF(A317="","",COUNTIF(Ventes!B5:B504,A317)),"")</f>
        <v>#ERROR!</v>
      </c>
    </row>
    <row r="318">
      <c r="A318" s="265"/>
      <c r="B318" s="266"/>
      <c r="C318" s="227"/>
      <c r="D318" s="227"/>
      <c r="E318" s="227"/>
      <c r="F318" s="227"/>
      <c r="G318" s="227"/>
      <c r="H318" s="227"/>
      <c r="I318" s="227"/>
      <c r="J318" s="227"/>
      <c r="K318" s="227"/>
      <c r="L318" s="266" t="str">
        <f>IF(B318="","",B318+IFERROR(INDEX(Config!B:B,MATCH("DDM appertisation standard (mois)",Config!A:A,0)),36)*30)</f>
        <v>#ERROR!</v>
      </c>
      <c r="M318" s="227"/>
      <c r="N318" s="227"/>
      <c r="O318" s="227"/>
      <c r="P318" s="227"/>
      <c r="Q318" s="267"/>
      <c r="R318" s="268" t="str">
        <f>IFERROR(IF(A318="","",COUNTIF(Ventes!B5:B504,A318)),"")</f>
        <v>#ERROR!</v>
      </c>
    </row>
    <row r="319">
      <c r="A319" s="269"/>
      <c r="B319" s="270"/>
      <c r="C319" s="235"/>
      <c r="D319" s="235"/>
      <c r="E319" s="235"/>
      <c r="F319" s="235"/>
      <c r="G319" s="235"/>
      <c r="H319" s="235"/>
      <c r="I319" s="235"/>
      <c r="J319" s="235"/>
      <c r="K319" s="235"/>
      <c r="L319" s="270" t="str">
        <f>IF(B319="","",B319+IFERROR(INDEX(Config!B:B,MATCH("DDM appertisation standard (mois)",Config!A:A,0)),36)*30)</f>
        <v>#ERROR!</v>
      </c>
      <c r="M319" s="235"/>
      <c r="N319" s="235"/>
      <c r="O319" s="235"/>
      <c r="P319" s="235"/>
      <c r="Q319" s="267"/>
      <c r="R319" s="268" t="str">
        <f>IFERROR(IF(A319="","",COUNTIF(Ventes!B5:B504,A319)),"")</f>
        <v>#ERROR!</v>
      </c>
    </row>
    <row r="320">
      <c r="A320" s="265"/>
      <c r="B320" s="266"/>
      <c r="C320" s="227"/>
      <c r="D320" s="227"/>
      <c r="E320" s="227"/>
      <c r="F320" s="227"/>
      <c r="G320" s="227"/>
      <c r="H320" s="227"/>
      <c r="I320" s="227"/>
      <c r="J320" s="227"/>
      <c r="K320" s="227"/>
      <c r="L320" s="266" t="str">
        <f>IF(B320="","",B320+IFERROR(INDEX(Config!B:B,MATCH("DDM appertisation standard (mois)",Config!A:A,0)),36)*30)</f>
        <v>#ERROR!</v>
      </c>
      <c r="M320" s="227"/>
      <c r="N320" s="227"/>
      <c r="O320" s="227"/>
      <c r="P320" s="227"/>
      <c r="Q320" s="267"/>
      <c r="R320" s="268" t="str">
        <f>IFERROR(IF(A320="","",COUNTIF(Ventes!B5:B504,A320)),"")</f>
        <v>#ERROR!</v>
      </c>
    </row>
    <row r="321">
      <c r="A321" s="269"/>
      <c r="B321" s="270"/>
      <c r="C321" s="235"/>
      <c r="D321" s="235"/>
      <c r="E321" s="235"/>
      <c r="F321" s="235"/>
      <c r="G321" s="235"/>
      <c r="H321" s="235"/>
      <c r="I321" s="235"/>
      <c r="J321" s="235"/>
      <c r="K321" s="235"/>
      <c r="L321" s="270" t="str">
        <f>IF(B321="","",B321+IFERROR(INDEX(Config!B:B,MATCH("DDM appertisation standard (mois)",Config!A:A,0)),36)*30)</f>
        <v>#ERROR!</v>
      </c>
      <c r="M321" s="235"/>
      <c r="N321" s="235"/>
      <c r="O321" s="235"/>
      <c r="P321" s="235"/>
      <c r="Q321" s="267"/>
      <c r="R321" s="268" t="str">
        <f>IFERROR(IF(A321="","",COUNTIF(Ventes!B5:B504,A321)),"")</f>
        <v>#ERROR!</v>
      </c>
    </row>
    <row r="322">
      <c r="A322" s="265"/>
      <c r="B322" s="266"/>
      <c r="C322" s="227"/>
      <c r="D322" s="227"/>
      <c r="E322" s="227"/>
      <c r="F322" s="227"/>
      <c r="G322" s="227"/>
      <c r="H322" s="227"/>
      <c r="I322" s="227"/>
      <c r="J322" s="227"/>
      <c r="K322" s="227"/>
      <c r="L322" s="266" t="str">
        <f>IF(B322="","",B322+IFERROR(INDEX(Config!B:B,MATCH("DDM appertisation standard (mois)",Config!A:A,0)),36)*30)</f>
        <v>#ERROR!</v>
      </c>
      <c r="M322" s="227"/>
      <c r="N322" s="227"/>
      <c r="O322" s="227"/>
      <c r="P322" s="227"/>
      <c r="Q322" s="267"/>
      <c r="R322" s="268" t="str">
        <f>IFERROR(IF(A322="","",COUNTIF(Ventes!B5:B504,A322)),"")</f>
        <v>#ERROR!</v>
      </c>
    </row>
    <row r="323">
      <c r="A323" s="269"/>
      <c r="B323" s="270"/>
      <c r="C323" s="235"/>
      <c r="D323" s="235"/>
      <c r="E323" s="235"/>
      <c r="F323" s="235"/>
      <c r="G323" s="235"/>
      <c r="H323" s="235"/>
      <c r="I323" s="235"/>
      <c r="J323" s="235"/>
      <c r="K323" s="235"/>
      <c r="L323" s="270" t="str">
        <f>IF(B323="","",B323+IFERROR(INDEX(Config!B:B,MATCH("DDM appertisation standard (mois)",Config!A:A,0)),36)*30)</f>
        <v>#ERROR!</v>
      </c>
      <c r="M323" s="235"/>
      <c r="N323" s="235"/>
      <c r="O323" s="235"/>
      <c r="P323" s="235"/>
      <c r="Q323" s="267"/>
      <c r="R323" s="268" t="str">
        <f>IFERROR(IF(A323="","",COUNTIF(Ventes!B5:B504,A323)),"")</f>
        <v>#ERROR!</v>
      </c>
    </row>
    <row r="324">
      <c r="A324" s="265"/>
      <c r="B324" s="266"/>
      <c r="C324" s="227"/>
      <c r="D324" s="227"/>
      <c r="E324" s="227"/>
      <c r="F324" s="227"/>
      <c r="G324" s="227"/>
      <c r="H324" s="227"/>
      <c r="I324" s="227"/>
      <c r="J324" s="227"/>
      <c r="K324" s="227"/>
      <c r="L324" s="266" t="str">
        <f>IF(B324="","",B324+IFERROR(INDEX(Config!B:B,MATCH("DDM appertisation standard (mois)",Config!A:A,0)),36)*30)</f>
        <v>#ERROR!</v>
      </c>
      <c r="M324" s="227"/>
      <c r="N324" s="227"/>
      <c r="O324" s="227"/>
      <c r="P324" s="227"/>
      <c r="Q324" s="267"/>
      <c r="R324" s="268" t="str">
        <f>IFERROR(IF(A324="","",COUNTIF(Ventes!B5:B504,A324)),"")</f>
        <v>#ERROR!</v>
      </c>
    </row>
    <row r="325">
      <c r="A325" s="269"/>
      <c r="B325" s="270"/>
      <c r="C325" s="235"/>
      <c r="D325" s="235"/>
      <c r="E325" s="235"/>
      <c r="F325" s="235"/>
      <c r="G325" s="235"/>
      <c r="H325" s="235"/>
      <c r="I325" s="235"/>
      <c r="J325" s="235"/>
      <c r="K325" s="235"/>
      <c r="L325" s="270" t="str">
        <f>IF(B325="","",B325+IFERROR(INDEX(Config!B:B,MATCH("DDM appertisation standard (mois)",Config!A:A,0)),36)*30)</f>
        <v>#ERROR!</v>
      </c>
      <c r="M325" s="235"/>
      <c r="N325" s="235"/>
      <c r="O325" s="235"/>
      <c r="P325" s="235"/>
      <c r="Q325" s="267"/>
      <c r="R325" s="268" t="str">
        <f>IFERROR(IF(A325="","",COUNTIF(Ventes!B5:B504,A325)),"")</f>
        <v>#ERROR!</v>
      </c>
    </row>
    <row r="326">
      <c r="A326" s="265"/>
      <c r="B326" s="266"/>
      <c r="C326" s="227"/>
      <c r="D326" s="227"/>
      <c r="E326" s="227"/>
      <c r="F326" s="227"/>
      <c r="G326" s="227"/>
      <c r="H326" s="227"/>
      <c r="I326" s="227"/>
      <c r="J326" s="227"/>
      <c r="K326" s="227"/>
      <c r="L326" s="266" t="str">
        <f>IF(B326="","",B326+IFERROR(INDEX(Config!B:B,MATCH("DDM appertisation standard (mois)",Config!A:A,0)),36)*30)</f>
        <v>#ERROR!</v>
      </c>
      <c r="M326" s="227"/>
      <c r="N326" s="227"/>
      <c r="O326" s="227"/>
      <c r="P326" s="227"/>
      <c r="Q326" s="267"/>
      <c r="R326" s="268" t="str">
        <f>IFERROR(IF(A326="","",COUNTIF(Ventes!B5:B504,A326)),"")</f>
        <v>#ERROR!</v>
      </c>
    </row>
    <row r="327">
      <c r="A327" s="269"/>
      <c r="B327" s="270"/>
      <c r="C327" s="235"/>
      <c r="D327" s="235"/>
      <c r="E327" s="235"/>
      <c r="F327" s="235"/>
      <c r="G327" s="235"/>
      <c r="H327" s="235"/>
      <c r="I327" s="235"/>
      <c r="J327" s="235"/>
      <c r="K327" s="235"/>
      <c r="L327" s="270" t="str">
        <f>IF(B327="","",B327+IFERROR(INDEX(Config!B:B,MATCH("DDM appertisation standard (mois)",Config!A:A,0)),36)*30)</f>
        <v>#ERROR!</v>
      </c>
      <c r="M327" s="235"/>
      <c r="N327" s="235"/>
      <c r="O327" s="235"/>
      <c r="P327" s="235"/>
      <c r="Q327" s="267"/>
      <c r="R327" s="268" t="str">
        <f>IFERROR(IF(A327="","",COUNTIF(Ventes!B5:B504,A327)),"")</f>
        <v>#ERROR!</v>
      </c>
    </row>
    <row r="328">
      <c r="A328" s="265"/>
      <c r="B328" s="266"/>
      <c r="C328" s="227"/>
      <c r="D328" s="227"/>
      <c r="E328" s="227"/>
      <c r="F328" s="227"/>
      <c r="G328" s="227"/>
      <c r="H328" s="227"/>
      <c r="I328" s="227"/>
      <c r="J328" s="227"/>
      <c r="K328" s="227"/>
      <c r="L328" s="266" t="str">
        <f>IF(B328="","",B328+IFERROR(INDEX(Config!B:B,MATCH("DDM appertisation standard (mois)",Config!A:A,0)),36)*30)</f>
        <v>#ERROR!</v>
      </c>
      <c r="M328" s="227"/>
      <c r="N328" s="227"/>
      <c r="O328" s="227"/>
      <c r="P328" s="227"/>
      <c r="Q328" s="267"/>
      <c r="R328" s="268" t="str">
        <f>IFERROR(IF(A328="","",COUNTIF(Ventes!B5:B504,A328)),"")</f>
        <v>#ERROR!</v>
      </c>
    </row>
    <row r="329">
      <c r="A329" s="269"/>
      <c r="B329" s="270"/>
      <c r="C329" s="235"/>
      <c r="D329" s="235"/>
      <c r="E329" s="235"/>
      <c r="F329" s="235"/>
      <c r="G329" s="235"/>
      <c r="H329" s="235"/>
      <c r="I329" s="235"/>
      <c r="J329" s="235"/>
      <c r="K329" s="235"/>
      <c r="L329" s="270" t="str">
        <f>IF(B329="","",B329+IFERROR(INDEX(Config!B:B,MATCH("DDM appertisation standard (mois)",Config!A:A,0)),36)*30)</f>
        <v>#ERROR!</v>
      </c>
      <c r="M329" s="235"/>
      <c r="N329" s="235"/>
      <c r="O329" s="235"/>
      <c r="P329" s="235"/>
      <c r="Q329" s="267"/>
      <c r="R329" s="268" t="str">
        <f>IFERROR(IF(A329="","",COUNTIF(Ventes!B5:B504,A329)),"")</f>
        <v>#ERROR!</v>
      </c>
    </row>
    <row r="330">
      <c r="A330" s="265"/>
      <c r="B330" s="266"/>
      <c r="C330" s="227"/>
      <c r="D330" s="227"/>
      <c r="E330" s="227"/>
      <c r="F330" s="227"/>
      <c r="G330" s="227"/>
      <c r="H330" s="227"/>
      <c r="I330" s="227"/>
      <c r="J330" s="227"/>
      <c r="K330" s="227"/>
      <c r="L330" s="266" t="str">
        <f>IF(B330="","",B330+IFERROR(INDEX(Config!B:B,MATCH("DDM appertisation standard (mois)",Config!A:A,0)),36)*30)</f>
        <v>#ERROR!</v>
      </c>
      <c r="M330" s="227"/>
      <c r="N330" s="227"/>
      <c r="O330" s="227"/>
      <c r="P330" s="227"/>
      <c r="Q330" s="267"/>
      <c r="R330" s="268" t="str">
        <f>IFERROR(IF(A330="","",COUNTIF(Ventes!B5:B504,A330)),"")</f>
        <v>#ERROR!</v>
      </c>
    </row>
    <row r="331">
      <c r="A331" s="269"/>
      <c r="B331" s="270"/>
      <c r="C331" s="235"/>
      <c r="D331" s="235"/>
      <c r="E331" s="235"/>
      <c r="F331" s="235"/>
      <c r="G331" s="235"/>
      <c r="H331" s="235"/>
      <c r="I331" s="235"/>
      <c r="J331" s="235"/>
      <c r="K331" s="235"/>
      <c r="L331" s="270" t="str">
        <f>IF(B331="","",B331+IFERROR(INDEX(Config!B:B,MATCH("DDM appertisation standard (mois)",Config!A:A,0)),36)*30)</f>
        <v>#ERROR!</v>
      </c>
      <c r="M331" s="235"/>
      <c r="N331" s="235"/>
      <c r="O331" s="235"/>
      <c r="P331" s="235"/>
      <c r="Q331" s="267"/>
      <c r="R331" s="268" t="str">
        <f>IFERROR(IF(A331="","",COUNTIF(Ventes!B5:B504,A331)),"")</f>
        <v>#ERROR!</v>
      </c>
    </row>
    <row r="332">
      <c r="A332" s="265"/>
      <c r="B332" s="266"/>
      <c r="C332" s="227"/>
      <c r="D332" s="227"/>
      <c r="E332" s="227"/>
      <c r="F332" s="227"/>
      <c r="G332" s="227"/>
      <c r="H332" s="227"/>
      <c r="I332" s="227"/>
      <c r="J332" s="227"/>
      <c r="K332" s="227"/>
      <c r="L332" s="266" t="str">
        <f>IF(B332="","",B332+IFERROR(INDEX(Config!B:B,MATCH("DDM appertisation standard (mois)",Config!A:A,0)),36)*30)</f>
        <v>#ERROR!</v>
      </c>
      <c r="M332" s="227"/>
      <c r="N332" s="227"/>
      <c r="O332" s="227"/>
      <c r="P332" s="227"/>
      <c r="Q332" s="267"/>
      <c r="R332" s="268" t="str">
        <f>IFERROR(IF(A332="","",COUNTIF(Ventes!B5:B504,A332)),"")</f>
        <v>#ERROR!</v>
      </c>
    </row>
    <row r="333">
      <c r="A333" s="269"/>
      <c r="B333" s="270"/>
      <c r="C333" s="235"/>
      <c r="D333" s="235"/>
      <c r="E333" s="235"/>
      <c r="F333" s="235"/>
      <c r="G333" s="235"/>
      <c r="H333" s="235"/>
      <c r="I333" s="235"/>
      <c r="J333" s="235"/>
      <c r="K333" s="235"/>
      <c r="L333" s="270" t="str">
        <f>IF(B333="","",B333+IFERROR(INDEX(Config!B:B,MATCH("DDM appertisation standard (mois)",Config!A:A,0)),36)*30)</f>
        <v>#ERROR!</v>
      </c>
      <c r="M333" s="235"/>
      <c r="N333" s="235"/>
      <c r="O333" s="235"/>
      <c r="P333" s="235"/>
      <c r="Q333" s="267"/>
      <c r="R333" s="268" t="str">
        <f>IFERROR(IF(A333="","",COUNTIF(Ventes!B5:B504,A333)),"")</f>
        <v>#ERROR!</v>
      </c>
    </row>
    <row r="334">
      <c r="A334" s="265"/>
      <c r="B334" s="266"/>
      <c r="C334" s="227"/>
      <c r="D334" s="227"/>
      <c r="E334" s="227"/>
      <c r="F334" s="227"/>
      <c r="G334" s="227"/>
      <c r="H334" s="227"/>
      <c r="I334" s="227"/>
      <c r="J334" s="227"/>
      <c r="K334" s="227"/>
      <c r="L334" s="266" t="str">
        <f>IF(B334="","",B334+IFERROR(INDEX(Config!B:B,MATCH("DDM appertisation standard (mois)",Config!A:A,0)),36)*30)</f>
        <v>#ERROR!</v>
      </c>
      <c r="M334" s="227"/>
      <c r="N334" s="227"/>
      <c r="O334" s="227"/>
      <c r="P334" s="227"/>
      <c r="Q334" s="267"/>
      <c r="R334" s="268" t="str">
        <f>IFERROR(IF(A334="","",COUNTIF(Ventes!B5:B504,A334)),"")</f>
        <v>#ERROR!</v>
      </c>
    </row>
    <row r="335">
      <c r="A335" s="269"/>
      <c r="B335" s="270"/>
      <c r="C335" s="235"/>
      <c r="D335" s="235"/>
      <c r="E335" s="235"/>
      <c r="F335" s="235"/>
      <c r="G335" s="235"/>
      <c r="H335" s="235"/>
      <c r="I335" s="235"/>
      <c r="J335" s="235"/>
      <c r="K335" s="235"/>
      <c r="L335" s="270" t="str">
        <f>IF(B335="","",B335+IFERROR(INDEX(Config!B:B,MATCH("DDM appertisation standard (mois)",Config!A:A,0)),36)*30)</f>
        <v>#ERROR!</v>
      </c>
      <c r="M335" s="235"/>
      <c r="N335" s="235"/>
      <c r="O335" s="235"/>
      <c r="P335" s="235"/>
      <c r="Q335" s="267"/>
      <c r="R335" s="268" t="str">
        <f>IFERROR(IF(A335="","",COUNTIF(Ventes!B5:B504,A335)),"")</f>
        <v>#ERROR!</v>
      </c>
    </row>
    <row r="336">
      <c r="A336" s="265"/>
      <c r="B336" s="266"/>
      <c r="C336" s="227"/>
      <c r="D336" s="227"/>
      <c r="E336" s="227"/>
      <c r="F336" s="227"/>
      <c r="G336" s="227"/>
      <c r="H336" s="227"/>
      <c r="I336" s="227"/>
      <c r="J336" s="227"/>
      <c r="K336" s="227"/>
      <c r="L336" s="266" t="str">
        <f>IF(B336="","",B336+IFERROR(INDEX(Config!B:B,MATCH("DDM appertisation standard (mois)",Config!A:A,0)),36)*30)</f>
        <v>#ERROR!</v>
      </c>
      <c r="M336" s="227"/>
      <c r="N336" s="227"/>
      <c r="O336" s="227"/>
      <c r="P336" s="227"/>
      <c r="Q336" s="267"/>
      <c r="R336" s="268" t="str">
        <f>IFERROR(IF(A336="","",COUNTIF(Ventes!B5:B504,A336)),"")</f>
        <v>#ERROR!</v>
      </c>
    </row>
    <row r="337">
      <c r="A337" s="269"/>
      <c r="B337" s="270"/>
      <c r="C337" s="235"/>
      <c r="D337" s="235"/>
      <c r="E337" s="235"/>
      <c r="F337" s="235"/>
      <c r="G337" s="235"/>
      <c r="H337" s="235"/>
      <c r="I337" s="235"/>
      <c r="J337" s="235"/>
      <c r="K337" s="235"/>
      <c r="L337" s="270" t="str">
        <f>IF(B337="","",B337+IFERROR(INDEX(Config!B:B,MATCH("DDM appertisation standard (mois)",Config!A:A,0)),36)*30)</f>
        <v>#ERROR!</v>
      </c>
      <c r="M337" s="235"/>
      <c r="N337" s="235"/>
      <c r="O337" s="235"/>
      <c r="P337" s="235"/>
      <c r="Q337" s="267"/>
      <c r="R337" s="268" t="str">
        <f>IFERROR(IF(A337="","",COUNTIF(Ventes!B5:B504,A337)),"")</f>
        <v>#ERROR!</v>
      </c>
    </row>
    <row r="338">
      <c r="A338" s="265"/>
      <c r="B338" s="266"/>
      <c r="C338" s="227"/>
      <c r="D338" s="227"/>
      <c r="E338" s="227"/>
      <c r="F338" s="227"/>
      <c r="G338" s="227"/>
      <c r="H338" s="227"/>
      <c r="I338" s="227"/>
      <c r="J338" s="227"/>
      <c r="K338" s="227"/>
      <c r="L338" s="266" t="str">
        <f>IF(B338="","",B338+IFERROR(INDEX(Config!B:B,MATCH("DDM appertisation standard (mois)",Config!A:A,0)),36)*30)</f>
        <v>#ERROR!</v>
      </c>
      <c r="M338" s="227"/>
      <c r="N338" s="227"/>
      <c r="O338" s="227"/>
      <c r="P338" s="227"/>
      <c r="Q338" s="267"/>
      <c r="R338" s="268" t="str">
        <f>IFERROR(IF(A338="","",COUNTIF(Ventes!B5:B504,A338)),"")</f>
        <v>#ERROR!</v>
      </c>
    </row>
    <row r="339">
      <c r="A339" s="269"/>
      <c r="B339" s="270"/>
      <c r="C339" s="235"/>
      <c r="D339" s="235"/>
      <c r="E339" s="235"/>
      <c r="F339" s="235"/>
      <c r="G339" s="235"/>
      <c r="H339" s="235"/>
      <c r="I339" s="235"/>
      <c r="J339" s="235"/>
      <c r="K339" s="235"/>
      <c r="L339" s="270" t="str">
        <f>IF(B339="","",B339+IFERROR(INDEX(Config!B:B,MATCH("DDM appertisation standard (mois)",Config!A:A,0)),36)*30)</f>
        <v>#ERROR!</v>
      </c>
      <c r="M339" s="235"/>
      <c r="N339" s="235"/>
      <c r="O339" s="235"/>
      <c r="P339" s="235"/>
      <c r="Q339" s="267"/>
      <c r="R339" s="268" t="str">
        <f>IFERROR(IF(A339="","",COUNTIF(Ventes!B5:B504,A339)),"")</f>
        <v>#ERROR!</v>
      </c>
    </row>
    <row r="340">
      <c r="A340" s="265"/>
      <c r="B340" s="266"/>
      <c r="C340" s="227"/>
      <c r="D340" s="227"/>
      <c r="E340" s="227"/>
      <c r="F340" s="227"/>
      <c r="G340" s="227"/>
      <c r="H340" s="227"/>
      <c r="I340" s="227"/>
      <c r="J340" s="227"/>
      <c r="K340" s="227"/>
      <c r="L340" s="266" t="str">
        <f>IF(B340="","",B340+IFERROR(INDEX(Config!B:B,MATCH("DDM appertisation standard (mois)",Config!A:A,0)),36)*30)</f>
        <v>#ERROR!</v>
      </c>
      <c r="M340" s="227"/>
      <c r="N340" s="227"/>
      <c r="O340" s="227"/>
      <c r="P340" s="227"/>
      <c r="Q340" s="267"/>
      <c r="R340" s="268" t="str">
        <f>IFERROR(IF(A340="","",COUNTIF(Ventes!B5:B504,A340)),"")</f>
        <v>#ERROR!</v>
      </c>
    </row>
    <row r="341">
      <c r="A341" s="269"/>
      <c r="B341" s="270"/>
      <c r="C341" s="235"/>
      <c r="D341" s="235"/>
      <c r="E341" s="235"/>
      <c r="F341" s="235"/>
      <c r="G341" s="235"/>
      <c r="H341" s="235"/>
      <c r="I341" s="235"/>
      <c r="J341" s="235"/>
      <c r="K341" s="235"/>
      <c r="L341" s="270" t="str">
        <f>IF(B341="","",B341+IFERROR(INDEX(Config!B:B,MATCH("DDM appertisation standard (mois)",Config!A:A,0)),36)*30)</f>
        <v>#ERROR!</v>
      </c>
      <c r="M341" s="235"/>
      <c r="N341" s="235"/>
      <c r="O341" s="235"/>
      <c r="P341" s="235"/>
      <c r="Q341" s="267"/>
      <c r="R341" s="268" t="str">
        <f>IFERROR(IF(A341="","",COUNTIF(Ventes!B5:B504,A341)),"")</f>
        <v>#ERROR!</v>
      </c>
    </row>
    <row r="342">
      <c r="A342" s="265"/>
      <c r="B342" s="266"/>
      <c r="C342" s="227"/>
      <c r="D342" s="227"/>
      <c r="E342" s="227"/>
      <c r="F342" s="227"/>
      <c r="G342" s="227"/>
      <c r="H342" s="227"/>
      <c r="I342" s="227"/>
      <c r="J342" s="227"/>
      <c r="K342" s="227"/>
      <c r="L342" s="266" t="str">
        <f>IF(B342="","",B342+IFERROR(INDEX(Config!B:B,MATCH("DDM appertisation standard (mois)",Config!A:A,0)),36)*30)</f>
        <v>#ERROR!</v>
      </c>
      <c r="M342" s="227"/>
      <c r="N342" s="227"/>
      <c r="O342" s="227"/>
      <c r="P342" s="227"/>
      <c r="Q342" s="267"/>
      <c r="R342" s="268" t="str">
        <f>IFERROR(IF(A342="","",COUNTIF(Ventes!B5:B504,A342)),"")</f>
        <v>#ERROR!</v>
      </c>
    </row>
    <row r="343">
      <c r="A343" s="269"/>
      <c r="B343" s="270"/>
      <c r="C343" s="235"/>
      <c r="D343" s="235"/>
      <c r="E343" s="235"/>
      <c r="F343" s="235"/>
      <c r="G343" s="235"/>
      <c r="H343" s="235"/>
      <c r="I343" s="235"/>
      <c r="J343" s="235"/>
      <c r="K343" s="235"/>
      <c r="L343" s="270" t="str">
        <f>IF(B343="","",B343+IFERROR(INDEX(Config!B:B,MATCH("DDM appertisation standard (mois)",Config!A:A,0)),36)*30)</f>
        <v>#ERROR!</v>
      </c>
      <c r="M343" s="235"/>
      <c r="N343" s="235"/>
      <c r="O343" s="235"/>
      <c r="P343" s="235"/>
      <c r="Q343" s="267"/>
      <c r="R343" s="268" t="str">
        <f>IFERROR(IF(A343="","",COUNTIF(Ventes!B5:B504,A343)),"")</f>
        <v>#ERROR!</v>
      </c>
    </row>
    <row r="344">
      <c r="A344" s="265"/>
      <c r="B344" s="266"/>
      <c r="C344" s="227"/>
      <c r="D344" s="227"/>
      <c r="E344" s="227"/>
      <c r="F344" s="227"/>
      <c r="G344" s="227"/>
      <c r="H344" s="227"/>
      <c r="I344" s="227"/>
      <c r="J344" s="227"/>
      <c r="K344" s="227"/>
      <c r="L344" s="266" t="str">
        <f>IF(B344="","",B344+IFERROR(INDEX(Config!B:B,MATCH("DDM appertisation standard (mois)",Config!A:A,0)),36)*30)</f>
        <v>#ERROR!</v>
      </c>
      <c r="M344" s="227"/>
      <c r="N344" s="227"/>
      <c r="O344" s="227"/>
      <c r="P344" s="227"/>
      <c r="Q344" s="267"/>
      <c r="R344" s="268" t="str">
        <f>IFERROR(IF(A344="","",COUNTIF(Ventes!B5:B504,A344)),"")</f>
        <v>#ERROR!</v>
      </c>
    </row>
    <row r="345">
      <c r="A345" s="269"/>
      <c r="B345" s="270"/>
      <c r="C345" s="235"/>
      <c r="D345" s="235"/>
      <c r="E345" s="235"/>
      <c r="F345" s="235"/>
      <c r="G345" s="235"/>
      <c r="H345" s="235"/>
      <c r="I345" s="235"/>
      <c r="J345" s="235"/>
      <c r="K345" s="235"/>
      <c r="L345" s="270" t="str">
        <f>IF(B345="","",B345+IFERROR(INDEX(Config!B:B,MATCH("DDM appertisation standard (mois)",Config!A:A,0)),36)*30)</f>
        <v>#ERROR!</v>
      </c>
      <c r="M345" s="235"/>
      <c r="N345" s="235"/>
      <c r="O345" s="235"/>
      <c r="P345" s="235"/>
      <c r="Q345" s="267"/>
      <c r="R345" s="268" t="str">
        <f>IFERROR(IF(A345="","",COUNTIF(Ventes!B5:B504,A345)),"")</f>
        <v>#ERROR!</v>
      </c>
    </row>
    <row r="346">
      <c r="A346" s="265"/>
      <c r="B346" s="266"/>
      <c r="C346" s="227"/>
      <c r="D346" s="227"/>
      <c r="E346" s="227"/>
      <c r="F346" s="227"/>
      <c r="G346" s="227"/>
      <c r="H346" s="227"/>
      <c r="I346" s="227"/>
      <c r="J346" s="227"/>
      <c r="K346" s="227"/>
      <c r="L346" s="266" t="str">
        <f>IF(B346="","",B346+IFERROR(INDEX(Config!B:B,MATCH("DDM appertisation standard (mois)",Config!A:A,0)),36)*30)</f>
        <v>#ERROR!</v>
      </c>
      <c r="M346" s="227"/>
      <c r="N346" s="227"/>
      <c r="O346" s="227"/>
      <c r="P346" s="227"/>
      <c r="Q346" s="267"/>
      <c r="R346" s="268" t="str">
        <f>IFERROR(IF(A346="","",COUNTIF(Ventes!B5:B504,A346)),"")</f>
        <v>#ERROR!</v>
      </c>
    </row>
    <row r="347">
      <c r="A347" s="269"/>
      <c r="B347" s="270"/>
      <c r="C347" s="235"/>
      <c r="D347" s="235"/>
      <c r="E347" s="235"/>
      <c r="F347" s="235"/>
      <c r="G347" s="235"/>
      <c r="H347" s="235"/>
      <c r="I347" s="235"/>
      <c r="J347" s="235"/>
      <c r="K347" s="235"/>
      <c r="L347" s="270" t="str">
        <f>IF(B347="","",B347+IFERROR(INDEX(Config!B:B,MATCH("DDM appertisation standard (mois)",Config!A:A,0)),36)*30)</f>
        <v>#ERROR!</v>
      </c>
      <c r="M347" s="235"/>
      <c r="N347" s="235"/>
      <c r="O347" s="235"/>
      <c r="P347" s="235"/>
      <c r="Q347" s="267"/>
      <c r="R347" s="268" t="str">
        <f>IFERROR(IF(A347="","",COUNTIF(Ventes!B5:B504,A347)),"")</f>
        <v>#ERROR!</v>
      </c>
    </row>
    <row r="348">
      <c r="A348" s="265"/>
      <c r="B348" s="266"/>
      <c r="C348" s="227"/>
      <c r="D348" s="227"/>
      <c r="E348" s="227"/>
      <c r="F348" s="227"/>
      <c r="G348" s="227"/>
      <c r="H348" s="227"/>
      <c r="I348" s="227"/>
      <c r="J348" s="227"/>
      <c r="K348" s="227"/>
      <c r="L348" s="266" t="str">
        <f>IF(B348="","",B348+IFERROR(INDEX(Config!B:B,MATCH("DDM appertisation standard (mois)",Config!A:A,0)),36)*30)</f>
        <v>#ERROR!</v>
      </c>
      <c r="M348" s="227"/>
      <c r="N348" s="227"/>
      <c r="O348" s="227"/>
      <c r="P348" s="227"/>
      <c r="Q348" s="267"/>
      <c r="R348" s="268" t="str">
        <f>IFERROR(IF(A348="","",COUNTIF(Ventes!B5:B504,A348)),"")</f>
        <v>#ERROR!</v>
      </c>
    </row>
    <row r="349">
      <c r="A349" s="269"/>
      <c r="B349" s="270"/>
      <c r="C349" s="235"/>
      <c r="D349" s="235"/>
      <c r="E349" s="235"/>
      <c r="F349" s="235"/>
      <c r="G349" s="235"/>
      <c r="H349" s="235"/>
      <c r="I349" s="235"/>
      <c r="J349" s="235"/>
      <c r="K349" s="235"/>
      <c r="L349" s="270" t="str">
        <f>IF(B349="","",B349+IFERROR(INDEX(Config!B:B,MATCH("DDM appertisation standard (mois)",Config!A:A,0)),36)*30)</f>
        <v>#ERROR!</v>
      </c>
      <c r="M349" s="235"/>
      <c r="N349" s="235"/>
      <c r="O349" s="235"/>
      <c r="P349" s="235"/>
      <c r="Q349" s="267"/>
      <c r="R349" s="268" t="str">
        <f>IFERROR(IF(A349="","",COUNTIF(Ventes!B5:B504,A349)),"")</f>
        <v>#ERROR!</v>
      </c>
    </row>
    <row r="350">
      <c r="A350" s="265"/>
      <c r="B350" s="266"/>
      <c r="C350" s="227"/>
      <c r="D350" s="227"/>
      <c r="E350" s="227"/>
      <c r="F350" s="227"/>
      <c r="G350" s="227"/>
      <c r="H350" s="227"/>
      <c r="I350" s="227"/>
      <c r="J350" s="227"/>
      <c r="K350" s="227"/>
      <c r="L350" s="266" t="str">
        <f>IF(B350="","",B350+IFERROR(INDEX(Config!B:B,MATCH("DDM appertisation standard (mois)",Config!A:A,0)),36)*30)</f>
        <v>#ERROR!</v>
      </c>
      <c r="M350" s="227"/>
      <c r="N350" s="227"/>
      <c r="O350" s="227"/>
      <c r="P350" s="227"/>
      <c r="Q350" s="267"/>
      <c r="R350" s="268" t="str">
        <f>IFERROR(IF(A350="","",COUNTIF(Ventes!B5:B504,A350)),"")</f>
        <v>#ERROR!</v>
      </c>
    </row>
    <row r="351">
      <c r="A351" s="269"/>
      <c r="B351" s="270"/>
      <c r="C351" s="235"/>
      <c r="D351" s="235"/>
      <c r="E351" s="235"/>
      <c r="F351" s="235"/>
      <c r="G351" s="235"/>
      <c r="H351" s="235"/>
      <c r="I351" s="235"/>
      <c r="J351" s="235"/>
      <c r="K351" s="235"/>
      <c r="L351" s="270" t="str">
        <f>IF(B351="","",B351+IFERROR(INDEX(Config!B:B,MATCH("DDM appertisation standard (mois)",Config!A:A,0)),36)*30)</f>
        <v>#ERROR!</v>
      </c>
      <c r="M351" s="235"/>
      <c r="N351" s="235"/>
      <c r="O351" s="235"/>
      <c r="P351" s="235"/>
      <c r="Q351" s="267"/>
      <c r="R351" s="268" t="str">
        <f>IFERROR(IF(A351="","",COUNTIF(Ventes!B5:B504,A351)),"")</f>
        <v>#ERROR!</v>
      </c>
    </row>
    <row r="352">
      <c r="A352" s="265"/>
      <c r="B352" s="266"/>
      <c r="C352" s="227"/>
      <c r="D352" s="227"/>
      <c r="E352" s="227"/>
      <c r="F352" s="227"/>
      <c r="G352" s="227"/>
      <c r="H352" s="227"/>
      <c r="I352" s="227"/>
      <c r="J352" s="227"/>
      <c r="K352" s="227"/>
      <c r="L352" s="266" t="str">
        <f>IF(B352="","",B352+IFERROR(INDEX(Config!B:B,MATCH("DDM appertisation standard (mois)",Config!A:A,0)),36)*30)</f>
        <v>#ERROR!</v>
      </c>
      <c r="M352" s="227"/>
      <c r="N352" s="227"/>
      <c r="O352" s="227"/>
      <c r="P352" s="227"/>
      <c r="Q352" s="267"/>
      <c r="R352" s="268" t="str">
        <f>IFERROR(IF(A352="","",COUNTIF(Ventes!B5:B504,A352)),"")</f>
        <v>#ERROR!</v>
      </c>
    </row>
    <row r="353">
      <c r="A353" s="269"/>
      <c r="B353" s="270"/>
      <c r="C353" s="235"/>
      <c r="D353" s="235"/>
      <c r="E353" s="235"/>
      <c r="F353" s="235"/>
      <c r="G353" s="235"/>
      <c r="H353" s="235"/>
      <c r="I353" s="235"/>
      <c r="J353" s="235"/>
      <c r="K353" s="235"/>
      <c r="L353" s="270" t="str">
        <f>IF(B353="","",B353+IFERROR(INDEX(Config!B:B,MATCH("DDM appertisation standard (mois)",Config!A:A,0)),36)*30)</f>
        <v>#ERROR!</v>
      </c>
      <c r="M353" s="235"/>
      <c r="N353" s="235"/>
      <c r="O353" s="235"/>
      <c r="P353" s="235"/>
      <c r="Q353" s="267"/>
      <c r="R353" s="268" t="str">
        <f>IFERROR(IF(A353="","",COUNTIF(Ventes!B5:B504,A353)),"")</f>
        <v>#ERROR!</v>
      </c>
    </row>
    <row r="354">
      <c r="A354" s="265"/>
      <c r="B354" s="266"/>
      <c r="C354" s="227"/>
      <c r="D354" s="227"/>
      <c r="E354" s="227"/>
      <c r="F354" s="227"/>
      <c r="G354" s="227"/>
      <c r="H354" s="227"/>
      <c r="I354" s="227"/>
      <c r="J354" s="227"/>
      <c r="K354" s="227"/>
      <c r="L354" s="266" t="str">
        <f>IF(B354="","",B354+IFERROR(INDEX(Config!B:B,MATCH("DDM appertisation standard (mois)",Config!A:A,0)),36)*30)</f>
        <v>#ERROR!</v>
      </c>
      <c r="M354" s="227"/>
      <c r="N354" s="227"/>
      <c r="O354" s="227"/>
      <c r="P354" s="227"/>
      <c r="Q354" s="267"/>
      <c r="R354" s="268" t="str">
        <f>IFERROR(IF(A354="","",COUNTIF(Ventes!B5:B504,A354)),"")</f>
        <v>#ERROR!</v>
      </c>
    </row>
    <row r="355">
      <c r="A355" s="269"/>
      <c r="B355" s="270"/>
      <c r="C355" s="235"/>
      <c r="D355" s="235"/>
      <c r="E355" s="235"/>
      <c r="F355" s="235"/>
      <c r="G355" s="235"/>
      <c r="H355" s="235"/>
      <c r="I355" s="235"/>
      <c r="J355" s="235"/>
      <c r="K355" s="235"/>
      <c r="L355" s="270" t="str">
        <f>IF(B355="","",B355+IFERROR(INDEX(Config!B:B,MATCH("DDM appertisation standard (mois)",Config!A:A,0)),36)*30)</f>
        <v>#ERROR!</v>
      </c>
      <c r="M355" s="235"/>
      <c r="N355" s="235"/>
      <c r="O355" s="235"/>
      <c r="P355" s="235"/>
      <c r="Q355" s="267"/>
      <c r="R355" s="268" t="str">
        <f>IFERROR(IF(A355="","",COUNTIF(Ventes!B5:B504,A355)),"")</f>
        <v>#ERROR!</v>
      </c>
    </row>
    <row r="356">
      <c r="A356" s="265"/>
      <c r="B356" s="266"/>
      <c r="C356" s="227"/>
      <c r="D356" s="227"/>
      <c r="E356" s="227"/>
      <c r="F356" s="227"/>
      <c r="G356" s="227"/>
      <c r="H356" s="227"/>
      <c r="I356" s="227"/>
      <c r="J356" s="227"/>
      <c r="K356" s="227"/>
      <c r="L356" s="266" t="str">
        <f>IF(B356="","",B356+IFERROR(INDEX(Config!B:B,MATCH("DDM appertisation standard (mois)",Config!A:A,0)),36)*30)</f>
        <v>#ERROR!</v>
      </c>
      <c r="M356" s="227"/>
      <c r="N356" s="227"/>
      <c r="O356" s="227"/>
      <c r="P356" s="227"/>
      <c r="Q356" s="267"/>
      <c r="R356" s="268" t="str">
        <f>IFERROR(IF(A356="","",COUNTIF(Ventes!B5:B504,A356)),"")</f>
        <v>#ERROR!</v>
      </c>
    </row>
    <row r="357">
      <c r="A357" s="269"/>
      <c r="B357" s="270"/>
      <c r="C357" s="235"/>
      <c r="D357" s="235"/>
      <c r="E357" s="235"/>
      <c r="F357" s="235"/>
      <c r="G357" s="235"/>
      <c r="H357" s="235"/>
      <c r="I357" s="235"/>
      <c r="J357" s="235"/>
      <c r="K357" s="235"/>
      <c r="L357" s="270" t="str">
        <f>IF(B357="","",B357+IFERROR(INDEX(Config!B:B,MATCH("DDM appertisation standard (mois)",Config!A:A,0)),36)*30)</f>
        <v>#ERROR!</v>
      </c>
      <c r="M357" s="235"/>
      <c r="N357" s="235"/>
      <c r="O357" s="235"/>
      <c r="P357" s="235"/>
      <c r="Q357" s="267"/>
      <c r="R357" s="268" t="str">
        <f>IFERROR(IF(A357="","",COUNTIF(Ventes!B5:B504,A357)),"")</f>
        <v>#ERROR!</v>
      </c>
    </row>
    <row r="358">
      <c r="A358" s="265"/>
      <c r="B358" s="266"/>
      <c r="C358" s="227"/>
      <c r="D358" s="227"/>
      <c r="E358" s="227"/>
      <c r="F358" s="227"/>
      <c r="G358" s="227"/>
      <c r="H358" s="227"/>
      <c r="I358" s="227"/>
      <c r="J358" s="227"/>
      <c r="K358" s="227"/>
      <c r="L358" s="266" t="str">
        <f>IF(B358="","",B358+IFERROR(INDEX(Config!B:B,MATCH("DDM appertisation standard (mois)",Config!A:A,0)),36)*30)</f>
        <v>#ERROR!</v>
      </c>
      <c r="M358" s="227"/>
      <c r="N358" s="227"/>
      <c r="O358" s="227"/>
      <c r="P358" s="227"/>
      <c r="Q358" s="267"/>
      <c r="R358" s="268" t="str">
        <f>IFERROR(IF(A358="","",COUNTIF(Ventes!B5:B504,A358)),"")</f>
        <v>#ERROR!</v>
      </c>
    </row>
    <row r="359">
      <c r="A359" s="269"/>
      <c r="B359" s="270"/>
      <c r="C359" s="235"/>
      <c r="D359" s="235"/>
      <c r="E359" s="235"/>
      <c r="F359" s="235"/>
      <c r="G359" s="235"/>
      <c r="H359" s="235"/>
      <c r="I359" s="235"/>
      <c r="J359" s="235"/>
      <c r="K359" s="235"/>
      <c r="L359" s="270" t="str">
        <f>IF(B359="","",B359+IFERROR(INDEX(Config!B:B,MATCH("DDM appertisation standard (mois)",Config!A:A,0)),36)*30)</f>
        <v>#ERROR!</v>
      </c>
      <c r="M359" s="235"/>
      <c r="N359" s="235"/>
      <c r="O359" s="235"/>
      <c r="P359" s="235"/>
      <c r="Q359" s="267"/>
      <c r="R359" s="268" t="str">
        <f>IFERROR(IF(A359="","",COUNTIF(Ventes!B5:B504,A359)),"")</f>
        <v>#ERROR!</v>
      </c>
    </row>
    <row r="360">
      <c r="A360" s="265"/>
      <c r="B360" s="266"/>
      <c r="C360" s="227"/>
      <c r="D360" s="227"/>
      <c r="E360" s="227"/>
      <c r="F360" s="227"/>
      <c r="G360" s="227"/>
      <c r="H360" s="227"/>
      <c r="I360" s="227"/>
      <c r="J360" s="227"/>
      <c r="K360" s="227"/>
      <c r="L360" s="266" t="str">
        <f>IF(B360="","",B360+IFERROR(INDEX(Config!B:B,MATCH("DDM appertisation standard (mois)",Config!A:A,0)),36)*30)</f>
        <v>#ERROR!</v>
      </c>
      <c r="M360" s="227"/>
      <c r="N360" s="227"/>
      <c r="O360" s="227"/>
      <c r="P360" s="227"/>
      <c r="Q360" s="267"/>
      <c r="R360" s="268" t="str">
        <f>IFERROR(IF(A360="","",COUNTIF(Ventes!B5:B504,A360)),"")</f>
        <v>#ERROR!</v>
      </c>
    </row>
    <row r="361">
      <c r="A361" s="269"/>
      <c r="B361" s="270"/>
      <c r="C361" s="235"/>
      <c r="D361" s="235"/>
      <c r="E361" s="235"/>
      <c r="F361" s="235"/>
      <c r="G361" s="235"/>
      <c r="H361" s="235"/>
      <c r="I361" s="235"/>
      <c r="J361" s="235"/>
      <c r="K361" s="235"/>
      <c r="L361" s="270" t="str">
        <f>IF(B361="","",B361+IFERROR(INDEX(Config!B:B,MATCH("DDM appertisation standard (mois)",Config!A:A,0)),36)*30)</f>
        <v>#ERROR!</v>
      </c>
      <c r="M361" s="235"/>
      <c r="N361" s="235"/>
      <c r="O361" s="235"/>
      <c r="P361" s="235"/>
      <c r="Q361" s="267"/>
      <c r="R361" s="268" t="str">
        <f>IFERROR(IF(A361="","",COUNTIF(Ventes!B5:B504,A361)),"")</f>
        <v>#ERROR!</v>
      </c>
    </row>
    <row r="362">
      <c r="A362" s="265"/>
      <c r="B362" s="266"/>
      <c r="C362" s="227"/>
      <c r="D362" s="227"/>
      <c r="E362" s="227"/>
      <c r="F362" s="227"/>
      <c r="G362" s="227"/>
      <c r="H362" s="227"/>
      <c r="I362" s="227"/>
      <c r="J362" s="227"/>
      <c r="K362" s="227"/>
      <c r="L362" s="266" t="str">
        <f>IF(B362="","",B362+IFERROR(INDEX(Config!B:B,MATCH("DDM appertisation standard (mois)",Config!A:A,0)),36)*30)</f>
        <v>#ERROR!</v>
      </c>
      <c r="M362" s="227"/>
      <c r="N362" s="227"/>
      <c r="O362" s="227"/>
      <c r="P362" s="227"/>
      <c r="Q362" s="267"/>
      <c r="R362" s="268" t="str">
        <f>IFERROR(IF(A362="","",COUNTIF(Ventes!B5:B504,A362)),"")</f>
        <v>#ERROR!</v>
      </c>
    </row>
    <row r="363">
      <c r="A363" s="269"/>
      <c r="B363" s="270"/>
      <c r="C363" s="235"/>
      <c r="D363" s="235"/>
      <c r="E363" s="235"/>
      <c r="F363" s="235"/>
      <c r="G363" s="235"/>
      <c r="H363" s="235"/>
      <c r="I363" s="235"/>
      <c r="J363" s="235"/>
      <c r="K363" s="235"/>
      <c r="L363" s="270" t="str">
        <f>IF(B363="","",B363+IFERROR(INDEX(Config!B:B,MATCH("DDM appertisation standard (mois)",Config!A:A,0)),36)*30)</f>
        <v>#ERROR!</v>
      </c>
      <c r="M363" s="235"/>
      <c r="N363" s="235"/>
      <c r="O363" s="235"/>
      <c r="P363" s="235"/>
      <c r="Q363" s="267"/>
      <c r="R363" s="268" t="str">
        <f>IFERROR(IF(A363="","",COUNTIF(Ventes!B5:B504,A363)),"")</f>
        <v>#ERROR!</v>
      </c>
    </row>
    <row r="364">
      <c r="A364" s="265"/>
      <c r="B364" s="266"/>
      <c r="C364" s="227"/>
      <c r="D364" s="227"/>
      <c r="E364" s="227"/>
      <c r="F364" s="227"/>
      <c r="G364" s="227"/>
      <c r="H364" s="227"/>
      <c r="I364" s="227"/>
      <c r="J364" s="227"/>
      <c r="K364" s="227"/>
      <c r="L364" s="266" t="str">
        <f>IF(B364="","",B364+IFERROR(INDEX(Config!B:B,MATCH("DDM appertisation standard (mois)",Config!A:A,0)),36)*30)</f>
        <v>#ERROR!</v>
      </c>
      <c r="M364" s="227"/>
      <c r="N364" s="227"/>
      <c r="O364" s="227"/>
      <c r="P364" s="227"/>
      <c r="Q364" s="267"/>
      <c r="R364" s="268" t="str">
        <f>IFERROR(IF(A364="","",COUNTIF(Ventes!B5:B504,A364)),"")</f>
        <v>#ERROR!</v>
      </c>
    </row>
    <row r="365">
      <c r="A365" s="269"/>
      <c r="B365" s="270"/>
      <c r="C365" s="235"/>
      <c r="D365" s="235"/>
      <c r="E365" s="235"/>
      <c r="F365" s="235"/>
      <c r="G365" s="235"/>
      <c r="H365" s="235"/>
      <c r="I365" s="235"/>
      <c r="J365" s="235"/>
      <c r="K365" s="235"/>
      <c r="L365" s="270" t="str">
        <f>IF(B365="","",B365+IFERROR(INDEX(Config!B:B,MATCH("DDM appertisation standard (mois)",Config!A:A,0)),36)*30)</f>
        <v>#ERROR!</v>
      </c>
      <c r="M365" s="235"/>
      <c r="N365" s="235"/>
      <c r="O365" s="235"/>
      <c r="P365" s="235"/>
      <c r="Q365" s="267"/>
      <c r="R365" s="268" t="str">
        <f>IFERROR(IF(A365="","",COUNTIF(Ventes!B5:B504,A365)),"")</f>
        <v>#ERROR!</v>
      </c>
    </row>
    <row r="366">
      <c r="A366" s="265"/>
      <c r="B366" s="266"/>
      <c r="C366" s="227"/>
      <c r="D366" s="227"/>
      <c r="E366" s="227"/>
      <c r="F366" s="227"/>
      <c r="G366" s="227"/>
      <c r="H366" s="227"/>
      <c r="I366" s="227"/>
      <c r="J366" s="227"/>
      <c r="K366" s="227"/>
      <c r="L366" s="266" t="str">
        <f>IF(B366="","",B366+IFERROR(INDEX(Config!B:B,MATCH("DDM appertisation standard (mois)",Config!A:A,0)),36)*30)</f>
        <v>#ERROR!</v>
      </c>
      <c r="M366" s="227"/>
      <c r="N366" s="227"/>
      <c r="O366" s="227"/>
      <c r="P366" s="227"/>
      <c r="Q366" s="267"/>
      <c r="R366" s="268" t="str">
        <f>IFERROR(IF(A366="","",COUNTIF(Ventes!B5:B504,A366)),"")</f>
        <v>#ERROR!</v>
      </c>
    </row>
    <row r="367">
      <c r="A367" s="269"/>
      <c r="B367" s="270"/>
      <c r="C367" s="235"/>
      <c r="D367" s="235"/>
      <c r="E367" s="235"/>
      <c r="F367" s="235"/>
      <c r="G367" s="235"/>
      <c r="H367" s="235"/>
      <c r="I367" s="235"/>
      <c r="J367" s="235"/>
      <c r="K367" s="235"/>
      <c r="L367" s="270" t="str">
        <f>IF(B367="","",B367+IFERROR(INDEX(Config!B:B,MATCH("DDM appertisation standard (mois)",Config!A:A,0)),36)*30)</f>
        <v>#ERROR!</v>
      </c>
      <c r="M367" s="235"/>
      <c r="N367" s="235"/>
      <c r="O367" s="235"/>
      <c r="P367" s="235"/>
      <c r="Q367" s="267"/>
      <c r="R367" s="268" t="str">
        <f>IFERROR(IF(A367="","",COUNTIF(Ventes!B5:B504,A367)),"")</f>
        <v>#ERROR!</v>
      </c>
    </row>
    <row r="368">
      <c r="A368" s="265"/>
      <c r="B368" s="266"/>
      <c r="C368" s="227"/>
      <c r="D368" s="227"/>
      <c r="E368" s="227"/>
      <c r="F368" s="227"/>
      <c r="G368" s="227"/>
      <c r="H368" s="227"/>
      <c r="I368" s="227"/>
      <c r="J368" s="227"/>
      <c r="K368" s="227"/>
      <c r="L368" s="266" t="str">
        <f>IF(B368="","",B368+IFERROR(INDEX(Config!B:B,MATCH("DDM appertisation standard (mois)",Config!A:A,0)),36)*30)</f>
        <v>#ERROR!</v>
      </c>
      <c r="M368" s="227"/>
      <c r="N368" s="227"/>
      <c r="O368" s="227"/>
      <c r="P368" s="227"/>
      <c r="Q368" s="267"/>
      <c r="R368" s="268" t="str">
        <f>IFERROR(IF(A368="","",COUNTIF(Ventes!B5:B504,A368)),"")</f>
        <v>#ERROR!</v>
      </c>
    </row>
    <row r="369">
      <c r="A369" s="269"/>
      <c r="B369" s="270"/>
      <c r="C369" s="235"/>
      <c r="D369" s="235"/>
      <c r="E369" s="235"/>
      <c r="F369" s="235"/>
      <c r="G369" s="235"/>
      <c r="H369" s="235"/>
      <c r="I369" s="235"/>
      <c r="J369" s="235"/>
      <c r="K369" s="235"/>
      <c r="L369" s="270" t="str">
        <f>IF(B369="","",B369+IFERROR(INDEX(Config!B:B,MATCH("DDM appertisation standard (mois)",Config!A:A,0)),36)*30)</f>
        <v>#ERROR!</v>
      </c>
      <c r="M369" s="235"/>
      <c r="N369" s="235"/>
      <c r="O369" s="235"/>
      <c r="P369" s="235"/>
      <c r="Q369" s="267"/>
      <c r="R369" s="268" t="str">
        <f>IFERROR(IF(A369="","",COUNTIF(Ventes!B5:B504,A369)),"")</f>
        <v>#ERROR!</v>
      </c>
    </row>
    <row r="370">
      <c r="A370" s="265"/>
      <c r="B370" s="266"/>
      <c r="C370" s="227"/>
      <c r="D370" s="227"/>
      <c r="E370" s="227"/>
      <c r="F370" s="227"/>
      <c r="G370" s="227"/>
      <c r="H370" s="227"/>
      <c r="I370" s="227"/>
      <c r="J370" s="227"/>
      <c r="K370" s="227"/>
      <c r="L370" s="266" t="str">
        <f>IF(B370="","",B370+IFERROR(INDEX(Config!B:B,MATCH("DDM appertisation standard (mois)",Config!A:A,0)),36)*30)</f>
        <v>#ERROR!</v>
      </c>
      <c r="M370" s="227"/>
      <c r="N370" s="227"/>
      <c r="O370" s="227"/>
      <c r="P370" s="227"/>
      <c r="Q370" s="267"/>
      <c r="R370" s="268" t="str">
        <f>IFERROR(IF(A370="","",COUNTIF(Ventes!B5:B504,A370)),"")</f>
        <v>#ERROR!</v>
      </c>
    </row>
    <row r="371">
      <c r="A371" s="269"/>
      <c r="B371" s="270"/>
      <c r="C371" s="235"/>
      <c r="D371" s="235"/>
      <c r="E371" s="235"/>
      <c r="F371" s="235"/>
      <c r="G371" s="235"/>
      <c r="H371" s="235"/>
      <c r="I371" s="235"/>
      <c r="J371" s="235"/>
      <c r="K371" s="235"/>
      <c r="L371" s="270" t="str">
        <f>IF(B371="","",B371+IFERROR(INDEX(Config!B:B,MATCH("DDM appertisation standard (mois)",Config!A:A,0)),36)*30)</f>
        <v>#ERROR!</v>
      </c>
      <c r="M371" s="235"/>
      <c r="N371" s="235"/>
      <c r="O371" s="235"/>
      <c r="P371" s="235"/>
      <c r="Q371" s="267"/>
      <c r="R371" s="268" t="str">
        <f>IFERROR(IF(A371="","",COUNTIF(Ventes!B5:B504,A371)),"")</f>
        <v>#ERROR!</v>
      </c>
    </row>
    <row r="372">
      <c r="A372" s="265"/>
      <c r="B372" s="266"/>
      <c r="C372" s="227"/>
      <c r="D372" s="227"/>
      <c r="E372" s="227"/>
      <c r="F372" s="227"/>
      <c r="G372" s="227"/>
      <c r="H372" s="227"/>
      <c r="I372" s="227"/>
      <c r="J372" s="227"/>
      <c r="K372" s="227"/>
      <c r="L372" s="266" t="str">
        <f>IF(B372="","",B372+IFERROR(INDEX(Config!B:B,MATCH("DDM appertisation standard (mois)",Config!A:A,0)),36)*30)</f>
        <v>#ERROR!</v>
      </c>
      <c r="M372" s="227"/>
      <c r="N372" s="227"/>
      <c r="O372" s="227"/>
      <c r="P372" s="227"/>
      <c r="Q372" s="267"/>
      <c r="R372" s="268" t="str">
        <f>IFERROR(IF(A372="","",COUNTIF(Ventes!B5:B504,A372)),"")</f>
        <v>#ERROR!</v>
      </c>
    </row>
    <row r="373">
      <c r="A373" s="269"/>
      <c r="B373" s="270"/>
      <c r="C373" s="235"/>
      <c r="D373" s="235"/>
      <c r="E373" s="235"/>
      <c r="F373" s="235"/>
      <c r="G373" s="235"/>
      <c r="H373" s="235"/>
      <c r="I373" s="235"/>
      <c r="J373" s="235"/>
      <c r="K373" s="235"/>
      <c r="L373" s="270" t="str">
        <f>IF(B373="","",B373+IFERROR(INDEX(Config!B:B,MATCH("DDM appertisation standard (mois)",Config!A:A,0)),36)*30)</f>
        <v>#ERROR!</v>
      </c>
      <c r="M373" s="235"/>
      <c r="N373" s="235"/>
      <c r="O373" s="235"/>
      <c r="P373" s="235"/>
      <c r="Q373" s="267"/>
      <c r="R373" s="268" t="str">
        <f>IFERROR(IF(A373="","",COUNTIF(Ventes!B5:B504,A373)),"")</f>
        <v>#ERROR!</v>
      </c>
    </row>
    <row r="374">
      <c r="A374" s="265"/>
      <c r="B374" s="266"/>
      <c r="C374" s="227"/>
      <c r="D374" s="227"/>
      <c r="E374" s="227"/>
      <c r="F374" s="227"/>
      <c r="G374" s="227"/>
      <c r="H374" s="227"/>
      <c r="I374" s="227"/>
      <c r="J374" s="227"/>
      <c r="K374" s="227"/>
      <c r="L374" s="266" t="str">
        <f>IF(B374="","",B374+IFERROR(INDEX(Config!B:B,MATCH("DDM appertisation standard (mois)",Config!A:A,0)),36)*30)</f>
        <v>#ERROR!</v>
      </c>
      <c r="M374" s="227"/>
      <c r="N374" s="227"/>
      <c r="O374" s="227"/>
      <c r="P374" s="227"/>
      <c r="Q374" s="267"/>
      <c r="R374" s="268" t="str">
        <f>IFERROR(IF(A374="","",COUNTIF(Ventes!B5:B504,A374)),"")</f>
        <v>#ERROR!</v>
      </c>
    </row>
    <row r="375">
      <c r="A375" s="269"/>
      <c r="B375" s="270"/>
      <c r="C375" s="235"/>
      <c r="D375" s="235"/>
      <c r="E375" s="235"/>
      <c r="F375" s="235"/>
      <c r="G375" s="235"/>
      <c r="H375" s="235"/>
      <c r="I375" s="235"/>
      <c r="J375" s="235"/>
      <c r="K375" s="235"/>
      <c r="L375" s="270" t="str">
        <f>IF(B375="","",B375+IFERROR(INDEX(Config!B:B,MATCH("DDM appertisation standard (mois)",Config!A:A,0)),36)*30)</f>
        <v>#ERROR!</v>
      </c>
      <c r="M375" s="235"/>
      <c r="N375" s="235"/>
      <c r="O375" s="235"/>
      <c r="P375" s="235"/>
      <c r="Q375" s="267"/>
      <c r="R375" s="268" t="str">
        <f>IFERROR(IF(A375="","",COUNTIF(Ventes!B5:B504,A375)),"")</f>
        <v>#ERROR!</v>
      </c>
    </row>
    <row r="376">
      <c r="A376" s="265"/>
      <c r="B376" s="266"/>
      <c r="C376" s="227"/>
      <c r="D376" s="227"/>
      <c r="E376" s="227"/>
      <c r="F376" s="227"/>
      <c r="G376" s="227"/>
      <c r="H376" s="227"/>
      <c r="I376" s="227"/>
      <c r="J376" s="227"/>
      <c r="K376" s="227"/>
      <c r="L376" s="266" t="str">
        <f>IF(B376="","",B376+IFERROR(INDEX(Config!B:B,MATCH("DDM appertisation standard (mois)",Config!A:A,0)),36)*30)</f>
        <v>#ERROR!</v>
      </c>
      <c r="M376" s="227"/>
      <c r="N376" s="227"/>
      <c r="O376" s="227"/>
      <c r="P376" s="227"/>
      <c r="Q376" s="267"/>
      <c r="R376" s="268" t="str">
        <f>IFERROR(IF(A376="","",COUNTIF(Ventes!B5:B504,A376)),"")</f>
        <v>#ERROR!</v>
      </c>
    </row>
    <row r="377">
      <c r="A377" s="269"/>
      <c r="B377" s="270"/>
      <c r="C377" s="235"/>
      <c r="D377" s="235"/>
      <c r="E377" s="235"/>
      <c r="F377" s="235"/>
      <c r="G377" s="235"/>
      <c r="H377" s="235"/>
      <c r="I377" s="235"/>
      <c r="J377" s="235"/>
      <c r="K377" s="235"/>
      <c r="L377" s="270" t="str">
        <f>IF(B377="","",B377+IFERROR(INDEX(Config!B:B,MATCH("DDM appertisation standard (mois)",Config!A:A,0)),36)*30)</f>
        <v>#ERROR!</v>
      </c>
      <c r="M377" s="235"/>
      <c r="N377" s="235"/>
      <c r="O377" s="235"/>
      <c r="P377" s="235"/>
      <c r="Q377" s="267"/>
      <c r="R377" s="268" t="str">
        <f>IFERROR(IF(A377="","",COUNTIF(Ventes!B5:B504,A377)),"")</f>
        <v>#ERROR!</v>
      </c>
    </row>
    <row r="378">
      <c r="A378" s="265"/>
      <c r="B378" s="266"/>
      <c r="C378" s="227"/>
      <c r="D378" s="227"/>
      <c r="E378" s="227"/>
      <c r="F378" s="227"/>
      <c r="G378" s="227"/>
      <c r="H378" s="227"/>
      <c r="I378" s="227"/>
      <c r="J378" s="227"/>
      <c r="K378" s="227"/>
      <c r="L378" s="266" t="str">
        <f>IF(B378="","",B378+IFERROR(INDEX(Config!B:B,MATCH("DDM appertisation standard (mois)",Config!A:A,0)),36)*30)</f>
        <v>#ERROR!</v>
      </c>
      <c r="M378" s="227"/>
      <c r="N378" s="227"/>
      <c r="O378" s="227"/>
      <c r="P378" s="227"/>
      <c r="Q378" s="267"/>
      <c r="R378" s="268" t="str">
        <f>IFERROR(IF(A378="","",COUNTIF(Ventes!B5:B504,A378)),"")</f>
        <v>#ERROR!</v>
      </c>
    </row>
    <row r="379">
      <c r="A379" s="269"/>
      <c r="B379" s="270"/>
      <c r="C379" s="235"/>
      <c r="D379" s="235"/>
      <c r="E379" s="235"/>
      <c r="F379" s="235"/>
      <c r="G379" s="235"/>
      <c r="H379" s="235"/>
      <c r="I379" s="235"/>
      <c r="J379" s="235"/>
      <c r="K379" s="235"/>
      <c r="L379" s="270" t="str">
        <f>IF(B379="","",B379+IFERROR(INDEX(Config!B:B,MATCH("DDM appertisation standard (mois)",Config!A:A,0)),36)*30)</f>
        <v>#ERROR!</v>
      </c>
      <c r="M379" s="235"/>
      <c r="N379" s="235"/>
      <c r="O379" s="235"/>
      <c r="P379" s="235"/>
      <c r="Q379" s="267"/>
      <c r="R379" s="268" t="str">
        <f>IFERROR(IF(A379="","",COUNTIF(Ventes!B5:B504,A379)),"")</f>
        <v>#ERROR!</v>
      </c>
    </row>
    <row r="380">
      <c r="A380" s="265"/>
      <c r="B380" s="266"/>
      <c r="C380" s="227"/>
      <c r="D380" s="227"/>
      <c r="E380" s="227"/>
      <c r="F380" s="227"/>
      <c r="G380" s="227"/>
      <c r="H380" s="227"/>
      <c r="I380" s="227"/>
      <c r="J380" s="227"/>
      <c r="K380" s="227"/>
      <c r="L380" s="266" t="str">
        <f>IF(B380="","",B380+IFERROR(INDEX(Config!B:B,MATCH("DDM appertisation standard (mois)",Config!A:A,0)),36)*30)</f>
        <v>#ERROR!</v>
      </c>
      <c r="M380" s="227"/>
      <c r="N380" s="227"/>
      <c r="O380" s="227"/>
      <c r="P380" s="227"/>
      <c r="Q380" s="267"/>
      <c r="R380" s="268" t="str">
        <f>IFERROR(IF(A380="","",COUNTIF(Ventes!B5:B504,A380)),"")</f>
        <v>#ERROR!</v>
      </c>
    </row>
    <row r="381">
      <c r="A381" s="269"/>
      <c r="B381" s="270"/>
      <c r="C381" s="235"/>
      <c r="D381" s="235"/>
      <c r="E381" s="235"/>
      <c r="F381" s="235"/>
      <c r="G381" s="235"/>
      <c r="H381" s="235"/>
      <c r="I381" s="235"/>
      <c r="J381" s="235"/>
      <c r="K381" s="235"/>
      <c r="L381" s="270" t="str">
        <f>IF(B381="","",B381+IFERROR(INDEX(Config!B:B,MATCH("DDM appertisation standard (mois)",Config!A:A,0)),36)*30)</f>
        <v>#ERROR!</v>
      </c>
      <c r="M381" s="235"/>
      <c r="N381" s="235"/>
      <c r="O381" s="235"/>
      <c r="P381" s="235"/>
      <c r="Q381" s="267"/>
      <c r="R381" s="268" t="str">
        <f>IFERROR(IF(A381="","",COUNTIF(Ventes!B5:B504,A381)),"")</f>
        <v>#ERROR!</v>
      </c>
    </row>
    <row r="382">
      <c r="A382" s="265"/>
      <c r="B382" s="266"/>
      <c r="C382" s="227"/>
      <c r="D382" s="227"/>
      <c r="E382" s="227"/>
      <c r="F382" s="227"/>
      <c r="G382" s="227"/>
      <c r="H382" s="227"/>
      <c r="I382" s="227"/>
      <c r="J382" s="227"/>
      <c r="K382" s="227"/>
      <c r="L382" s="266" t="str">
        <f>IF(B382="","",B382+IFERROR(INDEX(Config!B:B,MATCH("DDM appertisation standard (mois)",Config!A:A,0)),36)*30)</f>
        <v>#ERROR!</v>
      </c>
      <c r="M382" s="227"/>
      <c r="N382" s="227"/>
      <c r="O382" s="227"/>
      <c r="P382" s="227"/>
      <c r="Q382" s="267"/>
      <c r="R382" s="268" t="str">
        <f>IFERROR(IF(A382="","",COUNTIF(Ventes!B5:B504,A382)),"")</f>
        <v>#ERROR!</v>
      </c>
    </row>
    <row r="383">
      <c r="A383" s="269"/>
      <c r="B383" s="270"/>
      <c r="C383" s="235"/>
      <c r="D383" s="235"/>
      <c r="E383" s="235"/>
      <c r="F383" s="235"/>
      <c r="G383" s="235"/>
      <c r="H383" s="235"/>
      <c r="I383" s="235"/>
      <c r="J383" s="235"/>
      <c r="K383" s="235"/>
      <c r="L383" s="270" t="str">
        <f>IF(B383="","",B383+IFERROR(INDEX(Config!B:B,MATCH("DDM appertisation standard (mois)",Config!A:A,0)),36)*30)</f>
        <v>#ERROR!</v>
      </c>
      <c r="M383" s="235"/>
      <c r="N383" s="235"/>
      <c r="O383" s="235"/>
      <c r="P383" s="235"/>
      <c r="Q383" s="267"/>
      <c r="R383" s="268" t="str">
        <f>IFERROR(IF(A383="","",COUNTIF(Ventes!B5:B504,A383)),"")</f>
        <v>#ERROR!</v>
      </c>
    </row>
    <row r="384">
      <c r="A384" s="265"/>
      <c r="B384" s="266"/>
      <c r="C384" s="227"/>
      <c r="D384" s="227"/>
      <c r="E384" s="227"/>
      <c r="F384" s="227"/>
      <c r="G384" s="227"/>
      <c r="H384" s="227"/>
      <c r="I384" s="227"/>
      <c r="J384" s="227"/>
      <c r="K384" s="227"/>
      <c r="L384" s="266" t="str">
        <f>IF(B384="","",B384+IFERROR(INDEX(Config!B:B,MATCH("DDM appertisation standard (mois)",Config!A:A,0)),36)*30)</f>
        <v>#ERROR!</v>
      </c>
      <c r="M384" s="227"/>
      <c r="N384" s="227"/>
      <c r="O384" s="227"/>
      <c r="P384" s="227"/>
      <c r="Q384" s="267"/>
      <c r="R384" s="268" t="str">
        <f>IFERROR(IF(A384="","",COUNTIF(Ventes!B5:B504,A384)),"")</f>
        <v>#ERROR!</v>
      </c>
    </row>
    <row r="385">
      <c r="A385" s="269"/>
      <c r="B385" s="270"/>
      <c r="C385" s="235"/>
      <c r="D385" s="235"/>
      <c r="E385" s="235"/>
      <c r="F385" s="235"/>
      <c r="G385" s="235"/>
      <c r="H385" s="235"/>
      <c r="I385" s="235"/>
      <c r="J385" s="235"/>
      <c r="K385" s="235"/>
      <c r="L385" s="270" t="str">
        <f>IF(B385="","",B385+IFERROR(INDEX(Config!B:B,MATCH("DDM appertisation standard (mois)",Config!A:A,0)),36)*30)</f>
        <v>#ERROR!</v>
      </c>
      <c r="M385" s="235"/>
      <c r="N385" s="235"/>
      <c r="O385" s="235"/>
      <c r="P385" s="235"/>
      <c r="Q385" s="267"/>
      <c r="R385" s="268" t="str">
        <f>IFERROR(IF(A385="","",COUNTIF(Ventes!B5:B504,A385)),"")</f>
        <v>#ERROR!</v>
      </c>
    </row>
    <row r="386">
      <c r="A386" s="265"/>
      <c r="B386" s="266"/>
      <c r="C386" s="227"/>
      <c r="D386" s="227"/>
      <c r="E386" s="227"/>
      <c r="F386" s="227"/>
      <c r="G386" s="227"/>
      <c r="H386" s="227"/>
      <c r="I386" s="227"/>
      <c r="J386" s="227"/>
      <c r="K386" s="227"/>
      <c r="L386" s="266" t="str">
        <f>IF(B386="","",B386+IFERROR(INDEX(Config!B:B,MATCH("DDM appertisation standard (mois)",Config!A:A,0)),36)*30)</f>
        <v>#ERROR!</v>
      </c>
      <c r="M386" s="227"/>
      <c r="N386" s="227"/>
      <c r="O386" s="227"/>
      <c r="P386" s="227"/>
      <c r="Q386" s="267"/>
      <c r="R386" s="268" t="str">
        <f>IFERROR(IF(A386="","",COUNTIF(Ventes!B5:B504,A386)),"")</f>
        <v>#ERROR!</v>
      </c>
    </row>
    <row r="387">
      <c r="A387" s="269"/>
      <c r="B387" s="270"/>
      <c r="C387" s="235"/>
      <c r="D387" s="235"/>
      <c r="E387" s="235"/>
      <c r="F387" s="235"/>
      <c r="G387" s="235"/>
      <c r="H387" s="235"/>
      <c r="I387" s="235"/>
      <c r="J387" s="235"/>
      <c r="K387" s="235"/>
      <c r="L387" s="270" t="str">
        <f>IF(B387="","",B387+IFERROR(INDEX(Config!B:B,MATCH("DDM appertisation standard (mois)",Config!A:A,0)),36)*30)</f>
        <v>#ERROR!</v>
      </c>
      <c r="M387" s="235"/>
      <c r="N387" s="235"/>
      <c r="O387" s="235"/>
      <c r="P387" s="235"/>
      <c r="Q387" s="267"/>
      <c r="R387" s="268" t="str">
        <f>IFERROR(IF(A387="","",COUNTIF(Ventes!B5:B504,A387)),"")</f>
        <v>#ERROR!</v>
      </c>
    </row>
    <row r="388">
      <c r="A388" s="265"/>
      <c r="B388" s="266"/>
      <c r="C388" s="227"/>
      <c r="D388" s="227"/>
      <c r="E388" s="227"/>
      <c r="F388" s="227"/>
      <c r="G388" s="227"/>
      <c r="H388" s="227"/>
      <c r="I388" s="227"/>
      <c r="J388" s="227"/>
      <c r="K388" s="227"/>
      <c r="L388" s="266" t="str">
        <f>IF(B388="","",B388+IFERROR(INDEX(Config!B:B,MATCH("DDM appertisation standard (mois)",Config!A:A,0)),36)*30)</f>
        <v>#ERROR!</v>
      </c>
      <c r="M388" s="227"/>
      <c r="N388" s="227"/>
      <c r="O388" s="227"/>
      <c r="P388" s="227"/>
      <c r="Q388" s="267"/>
      <c r="R388" s="268" t="str">
        <f>IFERROR(IF(A388="","",COUNTIF(Ventes!B5:B504,A388)),"")</f>
        <v>#ERROR!</v>
      </c>
    </row>
    <row r="389">
      <c r="A389" s="269"/>
      <c r="B389" s="270"/>
      <c r="C389" s="235"/>
      <c r="D389" s="235"/>
      <c r="E389" s="235"/>
      <c r="F389" s="235"/>
      <c r="G389" s="235"/>
      <c r="H389" s="235"/>
      <c r="I389" s="235"/>
      <c r="J389" s="235"/>
      <c r="K389" s="235"/>
      <c r="L389" s="270" t="str">
        <f>IF(B389="","",B389+IFERROR(INDEX(Config!B:B,MATCH("DDM appertisation standard (mois)",Config!A:A,0)),36)*30)</f>
        <v>#ERROR!</v>
      </c>
      <c r="M389" s="235"/>
      <c r="N389" s="235"/>
      <c r="O389" s="235"/>
      <c r="P389" s="235"/>
      <c r="Q389" s="267"/>
      <c r="R389" s="268" t="str">
        <f>IFERROR(IF(A389="","",COUNTIF(Ventes!B5:B504,A389)),"")</f>
        <v>#ERROR!</v>
      </c>
    </row>
    <row r="390">
      <c r="A390" s="265"/>
      <c r="B390" s="266"/>
      <c r="C390" s="227"/>
      <c r="D390" s="227"/>
      <c r="E390" s="227"/>
      <c r="F390" s="227"/>
      <c r="G390" s="227"/>
      <c r="H390" s="227"/>
      <c r="I390" s="227"/>
      <c r="J390" s="227"/>
      <c r="K390" s="227"/>
      <c r="L390" s="266" t="str">
        <f>IF(B390="","",B390+IFERROR(INDEX(Config!B:B,MATCH("DDM appertisation standard (mois)",Config!A:A,0)),36)*30)</f>
        <v>#ERROR!</v>
      </c>
      <c r="M390" s="227"/>
      <c r="N390" s="227"/>
      <c r="O390" s="227"/>
      <c r="P390" s="227"/>
      <c r="Q390" s="267"/>
      <c r="R390" s="268" t="str">
        <f>IFERROR(IF(A390="","",COUNTIF(Ventes!B5:B504,A390)),"")</f>
        <v>#ERROR!</v>
      </c>
    </row>
    <row r="391">
      <c r="A391" s="269"/>
      <c r="B391" s="270"/>
      <c r="C391" s="235"/>
      <c r="D391" s="235"/>
      <c r="E391" s="235"/>
      <c r="F391" s="235"/>
      <c r="G391" s="235"/>
      <c r="H391" s="235"/>
      <c r="I391" s="235"/>
      <c r="J391" s="235"/>
      <c r="K391" s="235"/>
      <c r="L391" s="270" t="str">
        <f>IF(B391="","",B391+IFERROR(INDEX(Config!B:B,MATCH("DDM appertisation standard (mois)",Config!A:A,0)),36)*30)</f>
        <v>#ERROR!</v>
      </c>
      <c r="M391" s="235"/>
      <c r="N391" s="235"/>
      <c r="O391" s="235"/>
      <c r="P391" s="235"/>
      <c r="Q391" s="267"/>
      <c r="R391" s="268" t="str">
        <f>IFERROR(IF(A391="","",COUNTIF(Ventes!B5:B504,A391)),"")</f>
        <v>#ERROR!</v>
      </c>
    </row>
    <row r="392">
      <c r="A392" s="265"/>
      <c r="B392" s="266"/>
      <c r="C392" s="227"/>
      <c r="D392" s="227"/>
      <c r="E392" s="227"/>
      <c r="F392" s="227"/>
      <c r="G392" s="227"/>
      <c r="H392" s="227"/>
      <c r="I392" s="227"/>
      <c r="J392" s="227"/>
      <c r="K392" s="227"/>
      <c r="L392" s="266" t="str">
        <f>IF(B392="","",B392+IFERROR(INDEX(Config!B:B,MATCH("DDM appertisation standard (mois)",Config!A:A,0)),36)*30)</f>
        <v>#ERROR!</v>
      </c>
      <c r="M392" s="227"/>
      <c r="N392" s="227"/>
      <c r="O392" s="227"/>
      <c r="P392" s="227"/>
      <c r="Q392" s="267"/>
      <c r="R392" s="268" t="str">
        <f>IFERROR(IF(A392="","",COUNTIF(Ventes!B5:B504,A392)),"")</f>
        <v>#ERROR!</v>
      </c>
    </row>
    <row r="393">
      <c r="A393" s="269"/>
      <c r="B393" s="270"/>
      <c r="C393" s="235"/>
      <c r="D393" s="235"/>
      <c r="E393" s="235"/>
      <c r="F393" s="235"/>
      <c r="G393" s="235"/>
      <c r="H393" s="235"/>
      <c r="I393" s="235"/>
      <c r="J393" s="235"/>
      <c r="K393" s="235"/>
      <c r="L393" s="270" t="str">
        <f>IF(B393="","",B393+IFERROR(INDEX(Config!B:B,MATCH("DDM appertisation standard (mois)",Config!A:A,0)),36)*30)</f>
        <v>#ERROR!</v>
      </c>
      <c r="M393" s="235"/>
      <c r="N393" s="235"/>
      <c r="O393" s="235"/>
      <c r="P393" s="235"/>
      <c r="Q393" s="267"/>
      <c r="R393" s="268" t="str">
        <f>IFERROR(IF(A393="","",COUNTIF(Ventes!B5:B504,A393)),"")</f>
        <v>#ERROR!</v>
      </c>
    </row>
    <row r="394">
      <c r="A394" s="265"/>
      <c r="B394" s="266"/>
      <c r="C394" s="227"/>
      <c r="D394" s="227"/>
      <c r="E394" s="227"/>
      <c r="F394" s="227"/>
      <c r="G394" s="227"/>
      <c r="H394" s="227"/>
      <c r="I394" s="227"/>
      <c r="J394" s="227"/>
      <c r="K394" s="227"/>
      <c r="L394" s="266" t="str">
        <f>IF(B394="","",B394+IFERROR(INDEX(Config!B:B,MATCH("DDM appertisation standard (mois)",Config!A:A,0)),36)*30)</f>
        <v>#ERROR!</v>
      </c>
      <c r="M394" s="227"/>
      <c r="N394" s="227"/>
      <c r="O394" s="227"/>
      <c r="P394" s="227"/>
      <c r="Q394" s="267"/>
      <c r="R394" s="268" t="str">
        <f>IFERROR(IF(A394="","",COUNTIF(Ventes!B5:B504,A394)),"")</f>
        <v>#ERROR!</v>
      </c>
    </row>
    <row r="395">
      <c r="A395" s="269"/>
      <c r="B395" s="270"/>
      <c r="C395" s="235"/>
      <c r="D395" s="235"/>
      <c r="E395" s="235"/>
      <c r="F395" s="235"/>
      <c r="G395" s="235"/>
      <c r="H395" s="235"/>
      <c r="I395" s="235"/>
      <c r="J395" s="235"/>
      <c r="K395" s="235"/>
      <c r="L395" s="270" t="str">
        <f>IF(B395="","",B395+IFERROR(INDEX(Config!B:B,MATCH("DDM appertisation standard (mois)",Config!A:A,0)),36)*30)</f>
        <v>#ERROR!</v>
      </c>
      <c r="M395" s="235"/>
      <c r="N395" s="235"/>
      <c r="O395" s="235"/>
      <c r="P395" s="235"/>
      <c r="Q395" s="267"/>
      <c r="R395" s="268" t="str">
        <f>IFERROR(IF(A395="","",COUNTIF(Ventes!B5:B504,A395)),"")</f>
        <v>#ERROR!</v>
      </c>
    </row>
    <row r="396">
      <c r="A396" s="265"/>
      <c r="B396" s="266"/>
      <c r="C396" s="227"/>
      <c r="D396" s="227"/>
      <c r="E396" s="227"/>
      <c r="F396" s="227"/>
      <c r="G396" s="227"/>
      <c r="H396" s="227"/>
      <c r="I396" s="227"/>
      <c r="J396" s="227"/>
      <c r="K396" s="227"/>
      <c r="L396" s="266" t="str">
        <f>IF(B396="","",B396+IFERROR(INDEX(Config!B:B,MATCH("DDM appertisation standard (mois)",Config!A:A,0)),36)*30)</f>
        <v>#ERROR!</v>
      </c>
      <c r="M396" s="227"/>
      <c r="N396" s="227"/>
      <c r="O396" s="227"/>
      <c r="P396" s="227"/>
      <c r="Q396" s="267"/>
      <c r="R396" s="268" t="str">
        <f>IFERROR(IF(A396="","",COUNTIF(Ventes!B5:B504,A396)),"")</f>
        <v>#ERROR!</v>
      </c>
    </row>
    <row r="397">
      <c r="A397" s="269"/>
      <c r="B397" s="270"/>
      <c r="C397" s="235"/>
      <c r="D397" s="235"/>
      <c r="E397" s="235"/>
      <c r="F397" s="235"/>
      <c r="G397" s="235"/>
      <c r="H397" s="235"/>
      <c r="I397" s="235"/>
      <c r="J397" s="235"/>
      <c r="K397" s="235"/>
      <c r="L397" s="270" t="str">
        <f>IF(B397="","",B397+IFERROR(INDEX(Config!B:B,MATCH("DDM appertisation standard (mois)",Config!A:A,0)),36)*30)</f>
        <v>#ERROR!</v>
      </c>
      <c r="M397" s="235"/>
      <c r="N397" s="235"/>
      <c r="O397" s="235"/>
      <c r="P397" s="235"/>
      <c r="Q397" s="267"/>
      <c r="R397" s="268" t="str">
        <f>IFERROR(IF(A397="","",COUNTIF(Ventes!B5:B504,A397)),"")</f>
        <v>#ERROR!</v>
      </c>
    </row>
    <row r="398">
      <c r="A398" s="265"/>
      <c r="B398" s="266"/>
      <c r="C398" s="227"/>
      <c r="D398" s="227"/>
      <c r="E398" s="227"/>
      <c r="F398" s="227"/>
      <c r="G398" s="227"/>
      <c r="H398" s="227"/>
      <c r="I398" s="227"/>
      <c r="J398" s="227"/>
      <c r="K398" s="227"/>
      <c r="L398" s="266" t="str">
        <f>IF(B398="","",B398+IFERROR(INDEX(Config!B:B,MATCH("DDM appertisation standard (mois)",Config!A:A,0)),36)*30)</f>
        <v>#ERROR!</v>
      </c>
      <c r="M398" s="227"/>
      <c r="N398" s="227"/>
      <c r="O398" s="227"/>
      <c r="P398" s="227"/>
      <c r="Q398" s="267"/>
      <c r="R398" s="268" t="str">
        <f>IFERROR(IF(A398="","",COUNTIF(Ventes!B5:B504,A398)),"")</f>
        <v>#ERROR!</v>
      </c>
    </row>
    <row r="399">
      <c r="A399" s="269"/>
      <c r="B399" s="270"/>
      <c r="C399" s="235"/>
      <c r="D399" s="235"/>
      <c r="E399" s="235"/>
      <c r="F399" s="235"/>
      <c r="G399" s="235"/>
      <c r="H399" s="235"/>
      <c r="I399" s="235"/>
      <c r="J399" s="235"/>
      <c r="K399" s="235"/>
      <c r="L399" s="270" t="str">
        <f>IF(B399="","",B399+IFERROR(INDEX(Config!B:B,MATCH("DDM appertisation standard (mois)",Config!A:A,0)),36)*30)</f>
        <v>#ERROR!</v>
      </c>
      <c r="M399" s="235"/>
      <c r="N399" s="235"/>
      <c r="O399" s="235"/>
      <c r="P399" s="235"/>
      <c r="Q399" s="267"/>
      <c r="R399" s="268" t="str">
        <f>IFERROR(IF(A399="","",COUNTIF(Ventes!B5:B504,A399)),"")</f>
        <v>#ERROR!</v>
      </c>
    </row>
    <row r="400">
      <c r="A400" s="265"/>
      <c r="B400" s="266"/>
      <c r="C400" s="227"/>
      <c r="D400" s="227"/>
      <c r="E400" s="227"/>
      <c r="F400" s="227"/>
      <c r="G400" s="227"/>
      <c r="H400" s="227"/>
      <c r="I400" s="227"/>
      <c r="J400" s="227"/>
      <c r="K400" s="227"/>
      <c r="L400" s="266" t="str">
        <f>IF(B400="","",B400+IFERROR(INDEX(Config!B:B,MATCH("DDM appertisation standard (mois)",Config!A:A,0)),36)*30)</f>
        <v>#ERROR!</v>
      </c>
      <c r="M400" s="227"/>
      <c r="N400" s="227"/>
      <c r="O400" s="227"/>
      <c r="P400" s="227"/>
      <c r="Q400" s="267"/>
      <c r="R400" s="268" t="str">
        <f>IFERROR(IF(A400="","",COUNTIF(Ventes!B5:B504,A400)),"")</f>
        <v>#ERROR!</v>
      </c>
    </row>
    <row r="401">
      <c r="A401" s="269"/>
      <c r="B401" s="270"/>
      <c r="C401" s="235"/>
      <c r="D401" s="235"/>
      <c r="E401" s="235"/>
      <c r="F401" s="235"/>
      <c r="G401" s="235"/>
      <c r="H401" s="235"/>
      <c r="I401" s="235"/>
      <c r="J401" s="235"/>
      <c r="K401" s="235"/>
      <c r="L401" s="270" t="str">
        <f>IF(B401="","",B401+IFERROR(INDEX(Config!B:B,MATCH("DDM appertisation standard (mois)",Config!A:A,0)),36)*30)</f>
        <v>#ERROR!</v>
      </c>
      <c r="M401" s="235"/>
      <c r="N401" s="235"/>
      <c r="O401" s="235"/>
      <c r="P401" s="235"/>
      <c r="Q401" s="267"/>
      <c r="R401" s="268" t="str">
        <f>IFERROR(IF(A401="","",COUNTIF(Ventes!B5:B504,A401)),"")</f>
        <v>#ERROR!</v>
      </c>
    </row>
    <row r="402">
      <c r="A402" s="265"/>
      <c r="B402" s="266"/>
      <c r="C402" s="227"/>
      <c r="D402" s="227"/>
      <c r="E402" s="227"/>
      <c r="F402" s="227"/>
      <c r="G402" s="227"/>
      <c r="H402" s="227"/>
      <c r="I402" s="227"/>
      <c r="J402" s="227"/>
      <c r="K402" s="227"/>
      <c r="L402" s="266" t="str">
        <f>IF(B402="","",B402+IFERROR(INDEX(Config!B:B,MATCH("DDM appertisation standard (mois)",Config!A:A,0)),36)*30)</f>
        <v>#ERROR!</v>
      </c>
      <c r="M402" s="227"/>
      <c r="N402" s="227"/>
      <c r="O402" s="227"/>
      <c r="P402" s="227"/>
      <c r="Q402" s="267"/>
      <c r="R402" s="268" t="str">
        <f>IFERROR(IF(A402="","",COUNTIF(Ventes!B5:B504,A402)),"")</f>
        <v>#ERROR!</v>
      </c>
    </row>
    <row r="403">
      <c r="A403" s="269"/>
      <c r="B403" s="270"/>
      <c r="C403" s="235"/>
      <c r="D403" s="235"/>
      <c r="E403" s="235"/>
      <c r="F403" s="235"/>
      <c r="G403" s="235"/>
      <c r="H403" s="235"/>
      <c r="I403" s="235"/>
      <c r="J403" s="235"/>
      <c r="K403" s="235"/>
      <c r="L403" s="270" t="str">
        <f>IF(B403="","",B403+IFERROR(INDEX(Config!B:B,MATCH("DDM appertisation standard (mois)",Config!A:A,0)),36)*30)</f>
        <v>#ERROR!</v>
      </c>
      <c r="M403" s="235"/>
      <c r="N403" s="235"/>
      <c r="O403" s="235"/>
      <c r="P403" s="235"/>
      <c r="Q403" s="267"/>
      <c r="R403" s="268" t="str">
        <f>IFERROR(IF(A403="","",COUNTIF(Ventes!B5:B504,A403)),"")</f>
        <v>#ERROR!</v>
      </c>
    </row>
    <row r="404">
      <c r="A404" s="265"/>
      <c r="B404" s="266"/>
      <c r="C404" s="227"/>
      <c r="D404" s="227"/>
      <c r="E404" s="227"/>
      <c r="F404" s="227"/>
      <c r="G404" s="227"/>
      <c r="H404" s="227"/>
      <c r="I404" s="227"/>
      <c r="J404" s="227"/>
      <c r="K404" s="227"/>
      <c r="L404" s="266" t="str">
        <f>IF(B404="","",B404+IFERROR(INDEX(Config!B:B,MATCH("DDM appertisation standard (mois)",Config!A:A,0)),36)*30)</f>
        <v>#ERROR!</v>
      </c>
      <c r="M404" s="227"/>
      <c r="N404" s="227"/>
      <c r="O404" s="227"/>
      <c r="P404" s="227"/>
      <c r="Q404" s="267"/>
      <c r="R404" s="268" t="str">
        <f>IFERROR(IF(A404="","",COUNTIF(Ventes!B5:B504,A404)),"")</f>
        <v>#ERROR!</v>
      </c>
    </row>
    <row r="405">
      <c r="A405" s="269"/>
      <c r="B405" s="270"/>
      <c r="C405" s="235"/>
      <c r="D405" s="235"/>
      <c r="E405" s="235"/>
      <c r="F405" s="235"/>
      <c r="G405" s="235"/>
      <c r="H405" s="235"/>
      <c r="I405" s="235"/>
      <c r="J405" s="235"/>
      <c r="K405" s="235"/>
      <c r="L405" s="270" t="str">
        <f>IF(B405="","",B405+IFERROR(INDEX(Config!B:B,MATCH("DDM appertisation standard (mois)",Config!A:A,0)),36)*30)</f>
        <v>#ERROR!</v>
      </c>
      <c r="M405" s="235"/>
      <c r="N405" s="235"/>
      <c r="O405" s="235"/>
      <c r="P405" s="235"/>
      <c r="Q405" s="267"/>
      <c r="R405" s="268" t="str">
        <f>IFERROR(IF(A405="","",COUNTIF(Ventes!B5:B504,A405)),"")</f>
        <v>#ERROR!</v>
      </c>
    </row>
    <row r="406">
      <c r="A406" s="265"/>
      <c r="B406" s="266"/>
      <c r="C406" s="227"/>
      <c r="D406" s="227"/>
      <c r="E406" s="227"/>
      <c r="F406" s="227"/>
      <c r="G406" s="227"/>
      <c r="H406" s="227"/>
      <c r="I406" s="227"/>
      <c r="J406" s="227"/>
      <c r="K406" s="227"/>
      <c r="L406" s="266" t="str">
        <f>IF(B406="","",B406+IFERROR(INDEX(Config!B:B,MATCH("DDM appertisation standard (mois)",Config!A:A,0)),36)*30)</f>
        <v>#ERROR!</v>
      </c>
      <c r="M406" s="227"/>
      <c r="N406" s="227"/>
      <c r="O406" s="227"/>
      <c r="P406" s="227"/>
      <c r="Q406" s="267"/>
      <c r="R406" s="268" t="str">
        <f>IFERROR(IF(A406="","",COUNTIF(Ventes!B5:B504,A406)),"")</f>
        <v>#ERROR!</v>
      </c>
    </row>
    <row r="407">
      <c r="A407" s="269"/>
      <c r="B407" s="270"/>
      <c r="C407" s="235"/>
      <c r="D407" s="235"/>
      <c r="E407" s="235"/>
      <c r="F407" s="235"/>
      <c r="G407" s="235"/>
      <c r="H407" s="235"/>
      <c r="I407" s="235"/>
      <c r="J407" s="235"/>
      <c r="K407" s="235"/>
      <c r="L407" s="270" t="str">
        <f>IF(B407="","",B407+IFERROR(INDEX(Config!B:B,MATCH("DDM appertisation standard (mois)",Config!A:A,0)),36)*30)</f>
        <v>#ERROR!</v>
      </c>
      <c r="M407" s="235"/>
      <c r="N407" s="235"/>
      <c r="O407" s="235"/>
      <c r="P407" s="235"/>
      <c r="Q407" s="267"/>
      <c r="R407" s="268" t="str">
        <f>IFERROR(IF(A407="","",COUNTIF(Ventes!B5:B504,A407)),"")</f>
        <v>#ERROR!</v>
      </c>
    </row>
    <row r="408">
      <c r="A408" s="265"/>
      <c r="B408" s="266"/>
      <c r="C408" s="227"/>
      <c r="D408" s="227"/>
      <c r="E408" s="227"/>
      <c r="F408" s="227"/>
      <c r="G408" s="227"/>
      <c r="H408" s="227"/>
      <c r="I408" s="227"/>
      <c r="J408" s="227"/>
      <c r="K408" s="227"/>
      <c r="L408" s="266" t="str">
        <f>IF(B408="","",B408+IFERROR(INDEX(Config!B:B,MATCH("DDM appertisation standard (mois)",Config!A:A,0)),36)*30)</f>
        <v>#ERROR!</v>
      </c>
      <c r="M408" s="227"/>
      <c r="N408" s="227"/>
      <c r="O408" s="227"/>
      <c r="P408" s="227"/>
      <c r="Q408" s="267"/>
      <c r="R408" s="268" t="str">
        <f>IFERROR(IF(A408="","",COUNTIF(Ventes!B5:B504,A408)),"")</f>
        <v>#ERROR!</v>
      </c>
    </row>
    <row r="409">
      <c r="A409" s="269"/>
      <c r="B409" s="270"/>
      <c r="C409" s="235"/>
      <c r="D409" s="235"/>
      <c r="E409" s="235"/>
      <c r="F409" s="235"/>
      <c r="G409" s="235"/>
      <c r="H409" s="235"/>
      <c r="I409" s="235"/>
      <c r="J409" s="235"/>
      <c r="K409" s="235"/>
      <c r="L409" s="270" t="str">
        <f>IF(B409="","",B409+IFERROR(INDEX(Config!B:B,MATCH("DDM appertisation standard (mois)",Config!A:A,0)),36)*30)</f>
        <v>#ERROR!</v>
      </c>
      <c r="M409" s="235"/>
      <c r="N409" s="235"/>
      <c r="O409" s="235"/>
      <c r="P409" s="235"/>
      <c r="Q409" s="267"/>
      <c r="R409" s="268" t="str">
        <f>IFERROR(IF(A409="","",COUNTIF(Ventes!B5:B504,A409)),"")</f>
        <v>#ERROR!</v>
      </c>
    </row>
    <row r="410">
      <c r="A410" s="265"/>
      <c r="B410" s="266"/>
      <c r="C410" s="227"/>
      <c r="D410" s="227"/>
      <c r="E410" s="227"/>
      <c r="F410" s="227"/>
      <c r="G410" s="227"/>
      <c r="H410" s="227"/>
      <c r="I410" s="227"/>
      <c r="J410" s="227"/>
      <c r="K410" s="227"/>
      <c r="L410" s="266" t="str">
        <f>IF(B410="","",B410+IFERROR(INDEX(Config!B:B,MATCH("DDM appertisation standard (mois)",Config!A:A,0)),36)*30)</f>
        <v>#ERROR!</v>
      </c>
      <c r="M410" s="227"/>
      <c r="N410" s="227"/>
      <c r="O410" s="227"/>
      <c r="P410" s="227"/>
      <c r="Q410" s="267"/>
      <c r="R410" s="268" t="str">
        <f>IFERROR(IF(A410="","",COUNTIF(Ventes!B5:B504,A410)),"")</f>
        <v>#ERROR!</v>
      </c>
    </row>
    <row r="411">
      <c r="A411" s="269"/>
      <c r="B411" s="270"/>
      <c r="C411" s="235"/>
      <c r="D411" s="235"/>
      <c r="E411" s="235"/>
      <c r="F411" s="235"/>
      <c r="G411" s="235"/>
      <c r="H411" s="235"/>
      <c r="I411" s="235"/>
      <c r="J411" s="235"/>
      <c r="K411" s="235"/>
      <c r="L411" s="270" t="str">
        <f>IF(B411="","",B411+IFERROR(INDEX(Config!B:B,MATCH("DDM appertisation standard (mois)",Config!A:A,0)),36)*30)</f>
        <v>#ERROR!</v>
      </c>
      <c r="M411" s="235"/>
      <c r="N411" s="235"/>
      <c r="O411" s="235"/>
      <c r="P411" s="235"/>
      <c r="Q411" s="267"/>
      <c r="R411" s="268" t="str">
        <f>IFERROR(IF(A411="","",COUNTIF(Ventes!B5:B504,A411)),"")</f>
        <v>#ERROR!</v>
      </c>
    </row>
    <row r="412">
      <c r="A412" s="265"/>
      <c r="B412" s="266"/>
      <c r="C412" s="227"/>
      <c r="D412" s="227"/>
      <c r="E412" s="227"/>
      <c r="F412" s="227"/>
      <c r="G412" s="227"/>
      <c r="H412" s="227"/>
      <c r="I412" s="227"/>
      <c r="J412" s="227"/>
      <c r="K412" s="227"/>
      <c r="L412" s="266" t="str">
        <f>IF(B412="","",B412+IFERROR(INDEX(Config!B:B,MATCH("DDM appertisation standard (mois)",Config!A:A,0)),36)*30)</f>
        <v>#ERROR!</v>
      </c>
      <c r="M412" s="227"/>
      <c r="N412" s="227"/>
      <c r="O412" s="227"/>
      <c r="P412" s="227"/>
      <c r="Q412" s="267"/>
      <c r="R412" s="268" t="str">
        <f>IFERROR(IF(A412="","",COUNTIF(Ventes!B5:B504,A412)),"")</f>
        <v>#ERROR!</v>
      </c>
    </row>
    <row r="413">
      <c r="A413" s="269"/>
      <c r="B413" s="270"/>
      <c r="C413" s="235"/>
      <c r="D413" s="235"/>
      <c r="E413" s="235"/>
      <c r="F413" s="235"/>
      <c r="G413" s="235"/>
      <c r="H413" s="235"/>
      <c r="I413" s="235"/>
      <c r="J413" s="235"/>
      <c r="K413" s="235"/>
      <c r="L413" s="270" t="str">
        <f>IF(B413="","",B413+IFERROR(INDEX(Config!B:B,MATCH("DDM appertisation standard (mois)",Config!A:A,0)),36)*30)</f>
        <v>#ERROR!</v>
      </c>
      <c r="M413" s="235"/>
      <c r="N413" s="235"/>
      <c r="O413" s="235"/>
      <c r="P413" s="235"/>
      <c r="Q413" s="267"/>
      <c r="R413" s="268" t="str">
        <f>IFERROR(IF(A413="","",COUNTIF(Ventes!B5:B504,A413)),"")</f>
        <v>#ERROR!</v>
      </c>
    </row>
    <row r="414">
      <c r="A414" s="265"/>
      <c r="B414" s="266"/>
      <c r="C414" s="227"/>
      <c r="D414" s="227"/>
      <c r="E414" s="227"/>
      <c r="F414" s="227"/>
      <c r="G414" s="227"/>
      <c r="H414" s="227"/>
      <c r="I414" s="227"/>
      <c r="J414" s="227"/>
      <c r="K414" s="227"/>
      <c r="L414" s="266" t="str">
        <f>IF(B414="","",B414+IFERROR(INDEX(Config!B:B,MATCH("DDM appertisation standard (mois)",Config!A:A,0)),36)*30)</f>
        <v>#ERROR!</v>
      </c>
      <c r="M414" s="227"/>
      <c r="N414" s="227"/>
      <c r="O414" s="227"/>
      <c r="P414" s="227"/>
      <c r="Q414" s="267"/>
      <c r="R414" s="268" t="str">
        <f>IFERROR(IF(A414="","",COUNTIF(Ventes!B5:B504,A414)),"")</f>
        <v>#ERROR!</v>
      </c>
    </row>
    <row r="415">
      <c r="A415" s="269"/>
      <c r="B415" s="270"/>
      <c r="C415" s="235"/>
      <c r="D415" s="235"/>
      <c r="E415" s="235"/>
      <c r="F415" s="235"/>
      <c r="G415" s="235"/>
      <c r="H415" s="235"/>
      <c r="I415" s="235"/>
      <c r="J415" s="235"/>
      <c r="K415" s="235"/>
      <c r="L415" s="270" t="str">
        <f>IF(B415="","",B415+IFERROR(INDEX(Config!B:B,MATCH("DDM appertisation standard (mois)",Config!A:A,0)),36)*30)</f>
        <v>#ERROR!</v>
      </c>
      <c r="M415" s="235"/>
      <c r="N415" s="235"/>
      <c r="O415" s="235"/>
      <c r="P415" s="235"/>
      <c r="Q415" s="267"/>
      <c r="R415" s="268" t="str">
        <f>IFERROR(IF(A415="","",COUNTIF(Ventes!B5:B504,A415)),"")</f>
        <v>#ERROR!</v>
      </c>
    </row>
    <row r="416">
      <c r="A416" s="265"/>
      <c r="B416" s="266"/>
      <c r="C416" s="227"/>
      <c r="D416" s="227"/>
      <c r="E416" s="227"/>
      <c r="F416" s="227"/>
      <c r="G416" s="227"/>
      <c r="H416" s="227"/>
      <c r="I416" s="227"/>
      <c r="J416" s="227"/>
      <c r="K416" s="227"/>
      <c r="L416" s="266" t="str">
        <f>IF(B416="","",B416+IFERROR(INDEX(Config!B:B,MATCH("DDM appertisation standard (mois)",Config!A:A,0)),36)*30)</f>
        <v>#ERROR!</v>
      </c>
      <c r="M416" s="227"/>
      <c r="N416" s="227"/>
      <c r="O416" s="227"/>
      <c r="P416" s="227"/>
      <c r="Q416" s="267"/>
      <c r="R416" s="268" t="str">
        <f>IFERROR(IF(A416="","",COUNTIF(Ventes!B5:B504,A416)),"")</f>
        <v>#ERROR!</v>
      </c>
    </row>
    <row r="417">
      <c r="A417" s="269"/>
      <c r="B417" s="270"/>
      <c r="C417" s="235"/>
      <c r="D417" s="235"/>
      <c r="E417" s="235"/>
      <c r="F417" s="235"/>
      <c r="G417" s="235"/>
      <c r="H417" s="235"/>
      <c r="I417" s="235"/>
      <c r="J417" s="235"/>
      <c r="K417" s="235"/>
      <c r="L417" s="270" t="str">
        <f>IF(B417="","",B417+IFERROR(INDEX(Config!B:B,MATCH("DDM appertisation standard (mois)",Config!A:A,0)),36)*30)</f>
        <v>#ERROR!</v>
      </c>
      <c r="M417" s="235"/>
      <c r="N417" s="235"/>
      <c r="O417" s="235"/>
      <c r="P417" s="235"/>
      <c r="Q417" s="267"/>
      <c r="R417" s="268" t="str">
        <f>IFERROR(IF(A417="","",COUNTIF(Ventes!B5:B504,A417)),"")</f>
        <v>#ERROR!</v>
      </c>
    </row>
    <row r="418">
      <c r="A418" s="265"/>
      <c r="B418" s="266"/>
      <c r="C418" s="227"/>
      <c r="D418" s="227"/>
      <c r="E418" s="227"/>
      <c r="F418" s="227"/>
      <c r="G418" s="227"/>
      <c r="H418" s="227"/>
      <c r="I418" s="227"/>
      <c r="J418" s="227"/>
      <c r="K418" s="227"/>
      <c r="L418" s="266" t="str">
        <f>IF(B418="","",B418+IFERROR(INDEX(Config!B:B,MATCH("DDM appertisation standard (mois)",Config!A:A,0)),36)*30)</f>
        <v>#ERROR!</v>
      </c>
      <c r="M418" s="227"/>
      <c r="N418" s="227"/>
      <c r="O418" s="227"/>
      <c r="P418" s="227"/>
      <c r="Q418" s="267"/>
      <c r="R418" s="268" t="str">
        <f>IFERROR(IF(A418="","",COUNTIF(Ventes!B5:B504,A418)),"")</f>
        <v>#ERROR!</v>
      </c>
    </row>
    <row r="419">
      <c r="A419" s="269"/>
      <c r="B419" s="270"/>
      <c r="C419" s="235"/>
      <c r="D419" s="235"/>
      <c r="E419" s="235"/>
      <c r="F419" s="235"/>
      <c r="G419" s="235"/>
      <c r="H419" s="235"/>
      <c r="I419" s="235"/>
      <c r="J419" s="235"/>
      <c r="K419" s="235"/>
      <c r="L419" s="270" t="str">
        <f>IF(B419="","",B419+IFERROR(INDEX(Config!B:B,MATCH("DDM appertisation standard (mois)",Config!A:A,0)),36)*30)</f>
        <v>#ERROR!</v>
      </c>
      <c r="M419" s="235"/>
      <c r="N419" s="235"/>
      <c r="O419" s="235"/>
      <c r="P419" s="235"/>
      <c r="Q419" s="267"/>
      <c r="R419" s="268" t="str">
        <f>IFERROR(IF(A419="","",COUNTIF(Ventes!B5:B504,A419)),"")</f>
        <v>#ERROR!</v>
      </c>
    </row>
    <row r="420">
      <c r="A420" s="265"/>
      <c r="B420" s="266"/>
      <c r="C420" s="227"/>
      <c r="D420" s="227"/>
      <c r="E420" s="227"/>
      <c r="F420" s="227"/>
      <c r="G420" s="227"/>
      <c r="H420" s="227"/>
      <c r="I420" s="227"/>
      <c r="J420" s="227"/>
      <c r="K420" s="227"/>
      <c r="L420" s="266" t="str">
        <f>IF(B420="","",B420+IFERROR(INDEX(Config!B:B,MATCH("DDM appertisation standard (mois)",Config!A:A,0)),36)*30)</f>
        <v>#ERROR!</v>
      </c>
      <c r="M420" s="227"/>
      <c r="N420" s="227"/>
      <c r="O420" s="227"/>
      <c r="P420" s="227"/>
      <c r="Q420" s="267"/>
      <c r="R420" s="268" t="str">
        <f>IFERROR(IF(A420="","",COUNTIF(Ventes!B5:B504,A420)),"")</f>
        <v>#ERROR!</v>
      </c>
    </row>
    <row r="421">
      <c r="A421" s="269"/>
      <c r="B421" s="270"/>
      <c r="C421" s="235"/>
      <c r="D421" s="235"/>
      <c r="E421" s="235"/>
      <c r="F421" s="235"/>
      <c r="G421" s="235"/>
      <c r="H421" s="235"/>
      <c r="I421" s="235"/>
      <c r="J421" s="235"/>
      <c r="K421" s="235"/>
      <c r="L421" s="270" t="str">
        <f>IF(B421="","",B421+IFERROR(INDEX(Config!B:B,MATCH("DDM appertisation standard (mois)",Config!A:A,0)),36)*30)</f>
        <v>#ERROR!</v>
      </c>
      <c r="M421" s="235"/>
      <c r="N421" s="235"/>
      <c r="O421" s="235"/>
      <c r="P421" s="235"/>
      <c r="Q421" s="267"/>
      <c r="R421" s="268" t="str">
        <f>IFERROR(IF(A421="","",COUNTIF(Ventes!B5:B504,A421)),"")</f>
        <v>#ERROR!</v>
      </c>
    </row>
    <row r="422">
      <c r="A422" s="265"/>
      <c r="B422" s="266"/>
      <c r="C422" s="227"/>
      <c r="D422" s="227"/>
      <c r="E422" s="227"/>
      <c r="F422" s="227"/>
      <c r="G422" s="227"/>
      <c r="H422" s="227"/>
      <c r="I422" s="227"/>
      <c r="J422" s="227"/>
      <c r="K422" s="227"/>
      <c r="L422" s="266" t="str">
        <f>IF(B422="","",B422+IFERROR(INDEX(Config!B:B,MATCH("DDM appertisation standard (mois)",Config!A:A,0)),36)*30)</f>
        <v>#ERROR!</v>
      </c>
      <c r="M422" s="227"/>
      <c r="N422" s="227"/>
      <c r="O422" s="227"/>
      <c r="P422" s="227"/>
      <c r="Q422" s="267"/>
      <c r="R422" s="268" t="str">
        <f>IFERROR(IF(A422="","",COUNTIF(Ventes!B5:B504,A422)),"")</f>
        <v>#ERROR!</v>
      </c>
    </row>
    <row r="423">
      <c r="A423" s="269"/>
      <c r="B423" s="270"/>
      <c r="C423" s="235"/>
      <c r="D423" s="235"/>
      <c r="E423" s="235"/>
      <c r="F423" s="235"/>
      <c r="G423" s="235"/>
      <c r="H423" s="235"/>
      <c r="I423" s="235"/>
      <c r="J423" s="235"/>
      <c r="K423" s="235"/>
      <c r="L423" s="270" t="str">
        <f>IF(B423="","",B423+IFERROR(INDEX(Config!B:B,MATCH("DDM appertisation standard (mois)",Config!A:A,0)),36)*30)</f>
        <v>#ERROR!</v>
      </c>
      <c r="M423" s="235"/>
      <c r="N423" s="235"/>
      <c r="O423" s="235"/>
      <c r="P423" s="235"/>
      <c r="Q423" s="267"/>
      <c r="R423" s="268" t="str">
        <f>IFERROR(IF(A423="","",COUNTIF(Ventes!B5:B504,A423)),"")</f>
        <v>#ERROR!</v>
      </c>
    </row>
    <row r="424">
      <c r="A424" s="265"/>
      <c r="B424" s="266"/>
      <c r="C424" s="227"/>
      <c r="D424" s="227"/>
      <c r="E424" s="227"/>
      <c r="F424" s="227"/>
      <c r="G424" s="227"/>
      <c r="H424" s="227"/>
      <c r="I424" s="227"/>
      <c r="J424" s="227"/>
      <c r="K424" s="227"/>
      <c r="L424" s="266" t="str">
        <f>IF(B424="","",B424+IFERROR(INDEX(Config!B:B,MATCH("DDM appertisation standard (mois)",Config!A:A,0)),36)*30)</f>
        <v>#ERROR!</v>
      </c>
      <c r="M424" s="227"/>
      <c r="N424" s="227"/>
      <c r="O424" s="227"/>
      <c r="P424" s="227"/>
      <c r="Q424" s="267"/>
      <c r="R424" s="268" t="str">
        <f>IFERROR(IF(A424="","",COUNTIF(Ventes!B5:B504,A424)),"")</f>
        <v>#ERROR!</v>
      </c>
    </row>
    <row r="425">
      <c r="A425" s="269"/>
      <c r="B425" s="270"/>
      <c r="C425" s="235"/>
      <c r="D425" s="235"/>
      <c r="E425" s="235"/>
      <c r="F425" s="235"/>
      <c r="G425" s="235"/>
      <c r="H425" s="235"/>
      <c r="I425" s="235"/>
      <c r="J425" s="235"/>
      <c r="K425" s="235"/>
      <c r="L425" s="270" t="str">
        <f>IF(B425="","",B425+IFERROR(INDEX(Config!B:B,MATCH("DDM appertisation standard (mois)",Config!A:A,0)),36)*30)</f>
        <v>#ERROR!</v>
      </c>
      <c r="M425" s="235"/>
      <c r="N425" s="235"/>
      <c r="O425" s="235"/>
      <c r="P425" s="235"/>
      <c r="Q425" s="267"/>
      <c r="R425" s="268" t="str">
        <f>IFERROR(IF(A425="","",COUNTIF(Ventes!B5:B504,A425)),"")</f>
        <v>#ERROR!</v>
      </c>
    </row>
    <row r="426">
      <c r="A426" s="265"/>
      <c r="B426" s="266"/>
      <c r="C426" s="227"/>
      <c r="D426" s="227"/>
      <c r="E426" s="227"/>
      <c r="F426" s="227"/>
      <c r="G426" s="227"/>
      <c r="H426" s="227"/>
      <c r="I426" s="227"/>
      <c r="J426" s="227"/>
      <c r="K426" s="227"/>
      <c r="L426" s="266" t="str">
        <f>IF(B426="","",B426+IFERROR(INDEX(Config!B:B,MATCH("DDM appertisation standard (mois)",Config!A:A,0)),36)*30)</f>
        <v>#ERROR!</v>
      </c>
      <c r="M426" s="227"/>
      <c r="N426" s="227"/>
      <c r="O426" s="227"/>
      <c r="P426" s="227"/>
      <c r="Q426" s="267"/>
      <c r="R426" s="268" t="str">
        <f>IFERROR(IF(A426="","",COUNTIF(Ventes!B5:B504,A426)),"")</f>
        <v>#ERROR!</v>
      </c>
    </row>
    <row r="427">
      <c r="A427" s="269"/>
      <c r="B427" s="270"/>
      <c r="C427" s="235"/>
      <c r="D427" s="235"/>
      <c r="E427" s="235"/>
      <c r="F427" s="235"/>
      <c r="G427" s="235"/>
      <c r="H427" s="235"/>
      <c r="I427" s="235"/>
      <c r="J427" s="235"/>
      <c r="K427" s="235"/>
      <c r="L427" s="270" t="str">
        <f>IF(B427="","",B427+IFERROR(INDEX(Config!B:B,MATCH("DDM appertisation standard (mois)",Config!A:A,0)),36)*30)</f>
        <v>#ERROR!</v>
      </c>
      <c r="M427" s="235"/>
      <c r="N427" s="235"/>
      <c r="O427" s="235"/>
      <c r="P427" s="235"/>
      <c r="Q427" s="267"/>
      <c r="R427" s="268" t="str">
        <f>IFERROR(IF(A427="","",COUNTIF(Ventes!B5:B504,A427)),"")</f>
        <v>#ERROR!</v>
      </c>
    </row>
    <row r="428">
      <c r="A428" s="265"/>
      <c r="B428" s="266"/>
      <c r="C428" s="227"/>
      <c r="D428" s="227"/>
      <c r="E428" s="227"/>
      <c r="F428" s="227"/>
      <c r="G428" s="227"/>
      <c r="H428" s="227"/>
      <c r="I428" s="227"/>
      <c r="J428" s="227"/>
      <c r="K428" s="227"/>
      <c r="L428" s="266" t="str">
        <f>IF(B428="","",B428+IFERROR(INDEX(Config!B:B,MATCH("DDM appertisation standard (mois)",Config!A:A,0)),36)*30)</f>
        <v>#ERROR!</v>
      </c>
      <c r="M428" s="227"/>
      <c r="N428" s="227"/>
      <c r="O428" s="227"/>
      <c r="P428" s="227"/>
      <c r="Q428" s="267"/>
      <c r="R428" s="268" t="str">
        <f>IFERROR(IF(A428="","",COUNTIF(Ventes!B5:B504,A428)),"")</f>
        <v>#ERROR!</v>
      </c>
    </row>
    <row r="429">
      <c r="A429" s="269"/>
      <c r="B429" s="270"/>
      <c r="C429" s="235"/>
      <c r="D429" s="235"/>
      <c r="E429" s="235"/>
      <c r="F429" s="235"/>
      <c r="G429" s="235"/>
      <c r="H429" s="235"/>
      <c r="I429" s="235"/>
      <c r="J429" s="235"/>
      <c r="K429" s="235"/>
      <c r="L429" s="270" t="str">
        <f>IF(B429="","",B429+IFERROR(INDEX(Config!B:B,MATCH("DDM appertisation standard (mois)",Config!A:A,0)),36)*30)</f>
        <v>#ERROR!</v>
      </c>
      <c r="M429" s="235"/>
      <c r="N429" s="235"/>
      <c r="O429" s="235"/>
      <c r="P429" s="235"/>
      <c r="Q429" s="267"/>
      <c r="R429" s="268" t="str">
        <f>IFERROR(IF(A429="","",COUNTIF(Ventes!B5:B504,A429)),"")</f>
        <v>#ERROR!</v>
      </c>
    </row>
    <row r="430">
      <c r="A430" s="265"/>
      <c r="B430" s="266"/>
      <c r="C430" s="227"/>
      <c r="D430" s="227"/>
      <c r="E430" s="227"/>
      <c r="F430" s="227"/>
      <c r="G430" s="227"/>
      <c r="H430" s="227"/>
      <c r="I430" s="227"/>
      <c r="J430" s="227"/>
      <c r="K430" s="227"/>
      <c r="L430" s="266" t="str">
        <f>IF(B430="","",B430+IFERROR(INDEX(Config!B:B,MATCH("DDM appertisation standard (mois)",Config!A:A,0)),36)*30)</f>
        <v>#ERROR!</v>
      </c>
      <c r="M430" s="227"/>
      <c r="N430" s="227"/>
      <c r="O430" s="227"/>
      <c r="P430" s="227"/>
      <c r="Q430" s="267"/>
      <c r="R430" s="268" t="str">
        <f>IFERROR(IF(A430="","",COUNTIF(Ventes!B5:B504,A430)),"")</f>
        <v>#ERROR!</v>
      </c>
    </row>
    <row r="431">
      <c r="A431" s="269"/>
      <c r="B431" s="270"/>
      <c r="C431" s="235"/>
      <c r="D431" s="235"/>
      <c r="E431" s="235"/>
      <c r="F431" s="235"/>
      <c r="G431" s="235"/>
      <c r="H431" s="235"/>
      <c r="I431" s="235"/>
      <c r="J431" s="235"/>
      <c r="K431" s="235"/>
      <c r="L431" s="270" t="str">
        <f>IF(B431="","",B431+IFERROR(INDEX(Config!B:B,MATCH("DDM appertisation standard (mois)",Config!A:A,0)),36)*30)</f>
        <v>#ERROR!</v>
      </c>
      <c r="M431" s="235"/>
      <c r="N431" s="235"/>
      <c r="O431" s="235"/>
      <c r="P431" s="235"/>
      <c r="Q431" s="267"/>
      <c r="R431" s="268" t="str">
        <f>IFERROR(IF(A431="","",COUNTIF(Ventes!B5:B504,A431)),"")</f>
        <v>#ERROR!</v>
      </c>
    </row>
    <row r="432">
      <c r="A432" s="265"/>
      <c r="B432" s="266"/>
      <c r="C432" s="227"/>
      <c r="D432" s="227"/>
      <c r="E432" s="227"/>
      <c r="F432" s="227"/>
      <c r="G432" s="227"/>
      <c r="H432" s="227"/>
      <c r="I432" s="227"/>
      <c r="J432" s="227"/>
      <c r="K432" s="227"/>
      <c r="L432" s="266" t="str">
        <f>IF(B432="","",B432+IFERROR(INDEX(Config!B:B,MATCH("DDM appertisation standard (mois)",Config!A:A,0)),36)*30)</f>
        <v>#ERROR!</v>
      </c>
      <c r="M432" s="227"/>
      <c r="N432" s="227"/>
      <c r="O432" s="227"/>
      <c r="P432" s="227"/>
      <c r="Q432" s="267"/>
      <c r="R432" s="268" t="str">
        <f>IFERROR(IF(A432="","",COUNTIF(Ventes!B5:B504,A432)),"")</f>
        <v>#ERROR!</v>
      </c>
    </row>
    <row r="433">
      <c r="A433" s="269"/>
      <c r="B433" s="270"/>
      <c r="C433" s="235"/>
      <c r="D433" s="235"/>
      <c r="E433" s="235"/>
      <c r="F433" s="235"/>
      <c r="G433" s="235"/>
      <c r="H433" s="235"/>
      <c r="I433" s="235"/>
      <c r="J433" s="235"/>
      <c r="K433" s="235"/>
      <c r="L433" s="270" t="str">
        <f>IF(B433="","",B433+IFERROR(INDEX(Config!B:B,MATCH("DDM appertisation standard (mois)",Config!A:A,0)),36)*30)</f>
        <v>#ERROR!</v>
      </c>
      <c r="M433" s="235"/>
      <c r="N433" s="235"/>
      <c r="O433" s="235"/>
      <c r="P433" s="235"/>
      <c r="Q433" s="267"/>
      <c r="R433" s="268" t="str">
        <f>IFERROR(IF(A433="","",COUNTIF(Ventes!B5:B504,A433)),"")</f>
        <v>#ERROR!</v>
      </c>
    </row>
    <row r="434">
      <c r="A434" s="265"/>
      <c r="B434" s="266"/>
      <c r="C434" s="227"/>
      <c r="D434" s="227"/>
      <c r="E434" s="227"/>
      <c r="F434" s="227"/>
      <c r="G434" s="227"/>
      <c r="H434" s="227"/>
      <c r="I434" s="227"/>
      <c r="J434" s="227"/>
      <c r="K434" s="227"/>
      <c r="L434" s="266" t="str">
        <f>IF(B434="","",B434+IFERROR(INDEX(Config!B:B,MATCH("DDM appertisation standard (mois)",Config!A:A,0)),36)*30)</f>
        <v>#ERROR!</v>
      </c>
      <c r="M434" s="227"/>
      <c r="N434" s="227"/>
      <c r="O434" s="227"/>
      <c r="P434" s="227"/>
      <c r="Q434" s="267"/>
      <c r="R434" s="268" t="str">
        <f>IFERROR(IF(A434="","",COUNTIF(Ventes!B5:B504,A434)),"")</f>
        <v>#ERROR!</v>
      </c>
    </row>
    <row r="435">
      <c r="A435" s="269"/>
      <c r="B435" s="270"/>
      <c r="C435" s="235"/>
      <c r="D435" s="235"/>
      <c r="E435" s="235"/>
      <c r="F435" s="235"/>
      <c r="G435" s="235"/>
      <c r="H435" s="235"/>
      <c r="I435" s="235"/>
      <c r="J435" s="235"/>
      <c r="K435" s="235"/>
      <c r="L435" s="270" t="str">
        <f>IF(B435="","",B435+IFERROR(INDEX(Config!B:B,MATCH("DDM appertisation standard (mois)",Config!A:A,0)),36)*30)</f>
        <v>#ERROR!</v>
      </c>
      <c r="M435" s="235"/>
      <c r="N435" s="235"/>
      <c r="O435" s="235"/>
      <c r="P435" s="235"/>
      <c r="Q435" s="267"/>
      <c r="R435" s="268" t="str">
        <f>IFERROR(IF(A435="","",COUNTIF(Ventes!B5:B504,A435)),"")</f>
        <v>#ERROR!</v>
      </c>
    </row>
    <row r="436">
      <c r="A436" s="265"/>
      <c r="B436" s="266"/>
      <c r="C436" s="227"/>
      <c r="D436" s="227"/>
      <c r="E436" s="227"/>
      <c r="F436" s="227"/>
      <c r="G436" s="227"/>
      <c r="H436" s="227"/>
      <c r="I436" s="227"/>
      <c r="J436" s="227"/>
      <c r="K436" s="227"/>
      <c r="L436" s="266" t="str">
        <f>IF(B436="","",B436+IFERROR(INDEX(Config!B:B,MATCH("DDM appertisation standard (mois)",Config!A:A,0)),36)*30)</f>
        <v>#ERROR!</v>
      </c>
      <c r="M436" s="227"/>
      <c r="N436" s="227"/>
      <c r="O436" s="227"/>
      <c r="P436" s="227"/>
      <c r="Q436" s="267"/>
      <c r="R436" s="268" t="str">
        <f>IFERROR(IF(A436="","",COUNTIF(Ventes!B5:B504,A436)),"")</f>
        <v>#ERROR!</v>
      </c>
    </row>
    <row r="437">
      <c r="A437" s="269"/>
      <c r="B437" s="270"/>
      <c r="C437" s="235"/>
      <c r="D437" s="235"/>
      <c r="E437" s="235"/>
      <c r="F437" s="235"/>
      <c r="G437" s="235"/>
      <c r="H437" s="235"/>
      <c r="I437" s="235"/>
      <c r="J437" s="235"/>
      <c r="K437" s="235"/>
      <c r="L437" s="270" t="str">
        <f>IF(B437="","",B437+IFERROR(INDEX(Config!B:B,MATCH("DDM appertisation standard (mois)",Config!A:A,0)),36)*30)</f>
        <v>#ERROR!</v>
      </c>
      <c r="M437" s="235"/>
      <c r="N437" s="235"/>
      <c r="O437" s="235"/>
      <c r="P437" s="235"/>
      <c r="Q437" s="267"/>
      <c r="R437" s="268" t="str">
        <f>IFERROR(IF(A437="","",COUNTIF(Ventes!B5:B504,A437)),"")</f>
        <v>#ERROR!</v>
      </c>
    </row>
    <row r="438">
      <c r="A438" s="265"/>
      <c r="B438" s="266"/>
      <c r="C438" s="227"/>
      <c r="D438" s="227"/>
      <c r="E438" s="227"/>
      <c r="F438" s="227"/>
      <c r="G438" s="227"/>
      <c r="H438" s="227"/>
      <c r="I438" s="227"/>
      <c r="J438" s="227"/>
      <c r="K438" s="227"/>
      <c r="L438" s="266" t="str">
        <f>IF(B438="","",B438+IFERROR(INDEX(Config!B:B,MATCH("DDM appertisation standard (mois)",Config!A:A,0)),36)*30)</f>
        <v>#ERROR!</v>
      </c>
      <c r="M438" s="227"/>
      <c r="N438" s="227"/>
      <c r="O438" s="227"/>
      <c r="P438" s="227"/>
      <c r="Q438" s="267"/>
      <c r="R438" s="268" t="str">
        <f>IFERROR(IF(A438="","",COUNTIF(Ventes!B5:B504,A438)),"")</f>
        <v>#ERROR!</v>
      </c>
    </row>
    <row r="439">
      <c r="A439" s="269"/>
      <c r="B439" s="270"/>
      <c r="C439" s="235"/>
      <c r="D439" s="235"/>
      <c r="E439" s="235"/>
      <c r="F439" s="235"/>
      <c r="G439" s="235"/>
      <c r="H439" s="235"/>
      <c r="I439" s="235"/>
      <c r="J439" s="235"/>
      <c r="K439" s="235"/>
      <c r="L439" s="270" t="str">
        <f>IF(B439="","",B439+IFERROR(INDEX(Config!B:B,MATCH("DDM appertisation standard (mois)",Config!A:A,0)),36)*30)</f>
        <v>#ERROR!</v>
      </c>
      <c r="M439" s="235"/>
      <c r="N439" s="235"/>
      <c r="O439" s="235"/>
      <c r="P439" s="235"/>
      <c r="Q439" s="267"/>
      <c r="R439" s="268" t="str">
        <f>IFERROR(IF(A439="","",COUNTIF(Ventes!B5:B504,A439)),"")</f>
        <v>#ERROR!</v>
      </c>
    </row>
    <row r="440">
      <c r="A440" s="265"/>
      <c r="B440" s="266"/>
      <c r="C440" s="227"/>
      <c r="D440" s="227"/>
      <c r="E440" s="227"/>
      <c r="F440" s="227"/>
      <c r="G440" s="227"/>
      <c r="H440" s="227"/>
      <c r="I440" s="227"/>
      <c r="J440" s="227"/>
      <c r="K440" s="227"/>
      <c r="L440" s="266" t="str">
        <f>IF(B440="","",B440+IFERROR(INDEX(Config!B:B,MATCH("DDM appertisation standard (mois)",Config!A:A,0)),36)*30)</f>
        <v>#ERROR!</v>
      </c>
      <c r="M440" s="227"/>
      <c r="N440" s="227"/>
      <c r="O440" s="227"/>
      <c r="P440" s="227"/>
      <c r="Q440" s="267"/>
      <c r="R440" s="268" t="str">
        <f>IFERROR(IF(A440="","",COUNTIF(Ventes!B5:B504,A440)),"")</f>
        <v>#ERROR!</v>
      </c>
    </row>
    <row r="441">
      <c r="A441" s="269"/>
      <c r="B441" s="270"/>
      <c r="C441" s="235"/>
      <c r="D441" s="235"/>
      <c r="E441" s="235"/>
      <c r="F441" s="235"/>
      <c r="G441" s="235"/>
      <c r="H441" s="235"/>
      <c r="I441" s="235"/>
      <c r="J441" s="235"/>
      <c r="K441" s="235"/>
      <c r="L441" s="270" t="str">
        <f>IF(B441="","",B441+IFERROR(INDEX(Config!B:B,MATCH("DDM appertisation standard (mois)",Config!A:A,0)),36)*30)</f>
        <v>#ERROR!</v>
      </c>
      <c r="M441" s="235"/>
      <c r="N441" s="235"/>
      <c r="O441" s="235"/>
      <c r="P441" s="235"/>
      <c r="Q441" s="267"/>
      <c r="R441" s="268" t="str">
        <f>IFERROR(IF(A441="","",COUNTIF(Ventes!B5:B504,A441)),"")</f>
        <v>#ERROR!</v>
      </c>
    </row>
    <row r="442">
      <c r="A442" s="265"/>
      <c r="B442" s="266"/>
      <c r="C442" s="227"/>
      <c r="D442" s="227"/>
      <c r="E442" s="227"/>
      <c r="F442" s="227"/>
      <c r="G442" s="227"/>
      <c r="H442" s="227"/>
      <c r="I442" s="227"/>
      <c r="J442" s="227"/>
      <c r="K442" s="227"/>
      <c r="L442" s="266" t="str">
        <f>IF(B442="","",B442+IFERROR(INDEX(Config!B:B,MATCH("DDM appertisation standard (mois)",Config!A:A,0)),36)*30)</f>
        <v>#ERROR!</v>
      </c>
      <c r="M442" s="227"/>
      <c r="N442" s="227"/>
      <c r="O442" s="227"/>
      <c r="P442" s="227"/>
      <c r="Q442" s="267"/>
      <c r="R442" s="268" t="str">
        <f>IFERROR(IF(A442="","",COUNTIF(Ventes!B5:B504,A442)),"")</f>
        <v>#ERROR!</v>
      </c>
    </row>
    <row r="443">
      <c r="A443" s="269"/>
      <c r="B443" s="270"/>
      <c r="C443" s="235"/>
      <c r="D443" s="235"/>
      <c r="E443" s="235"/>
      <c r="F443" s="235"/>
      <c r="G443" s="235"/>
      <c r="H443" s="235"/>
      <c r="I443" s="235"/>
      <c r="J443" s="235"/>
      <c r="K443" s="235"/>
      <c r="L443" s="270" t="str">
        <f>IF(B443="","",B443+IFERROR(INDEX(Config!B:B,MATCH("DDM appertisation standard (mois)",Config!A:A,0)),36)*30)</f>
        <v>#ERROR!</v>
      </c>
      <c r="M443" s="235"/>
      <c r="N443" s="235"/>
      <c r="O443" s="235"/>
      <c r="P443" s="235"/>
      <c r="Q443" s="267"/>
      <c r="R443" s="268" t="str">
        <f>IFERROR(IF(A443="","",COUNTIF(Ventes!B5:B504,A443)),"")</f>
        <v>#ERROR!</v>
      </c>
    </row>
    <row r="444">
      <c r="A444" s="265"/>
      <c r="B444" s="266"/>
      <c r="C444" s="227"/>
      <c r="D444" s="227"/>
      <c r="E444" s="227"/>
      <c r="F444" s="227"/>
      <c r="G444" s="227"/>
      <c r="H444" s="227"/>
      <c r="I444" s="227"/>
      <c r="J444" s="227"/>
      <c r="K444" s="227"/>
      <c r="L444" s="266" t="str">
        <f>IF(B444="","",B444+IFERROR(INDEX(Config!B:B,MATCH("DDM appertisation standard (mois)",Config!A:A,0)),36)*30)</f>
        <v>#ERROR!</v>
      </c>
      <c r="M444" s="227"/>
      <c r="N444" s="227"/>
      <c r="O444" s="227"/>
      <c r="P444" s="227"/>
      <c r="Q444" s="267"/>
      <c r="R444" s="268" t="str">
        <f>IFERROR(IF(A444="","",COUNTIF(Ventes!B5:B504,A444)),"")</f>
        <v>#ERROR!</v>
      </c>
    </row>
    <row r="445">
      <c r="A445" s="269"/>
      <c r="B445" s="270"/>
      <c r="C445" s="235"/>
      <c r="D445" s="235"/>
      <c r="E445" s="235"/>
      <c r="F445" s="235"/>
      <c r="G445" s="235"/>
      <c r="H445" s="235"/>
      <c r="I445" s="235"/>
      <c r="J445" s="235"/>
      <c r="K445" s="235"/>
      <c r="L445" s="270" t="str">
        <f>IF(B445="","",B445+IFERROR(INDEX(Config!B:B,MATCH("DDM appertisation standard (mois)",Config!A:A,0)),36)*30)</f>
        <v>#ERROR!</v>
      </c>
      <c r="M445" s="235"/>
      <c r="N445" s="235"/>
      <c r="O445" s="235"/>
      <c r="P445" s="235"/>
      <c r="Q445" s="267"/>
      <c r="R445" s="268" t="str">
        <f>IFERROR(IF(A445="","",COUNTIF(Ventes!B5:B504,A445)),"")</f>
        <v>#ERROR!</v>
      </c>
    </row>
    <row r="446">
      <c r="A446" s="265"/>
      <c r="B446" s="266"/>
      <c r="C446" s="227"/>
      <c r="D446" s="227"/>
      <c r="E446" s="227"/>
      <c r="F446" s="227"/>
      <c r="G446" s="227"/>
      <c r="H446" s="227"/>
      <c r="I446" s="227"/>
      <c r="J446" s="227"/>
      <c r="K446" s="227"/>
      <c r="L446" s="266" t="str">
        <f>IF(B446="","",B446+IFERROR(INDEX(Config!B:B,MATCH("DDM appertisation standard (mois)",Config!A:A,0)),36)*30)</f>
        <v>#ERROR!</v>
      </c>
      <c r="M446" s="227"/>
      <c r="N446" s="227"/>
      <c r="O446" s="227"/>
      <c r="P446" s="227"/>
      <c r="Q446" s="267"/>
      <c r="R446" s="268" t="str">
        <f>IFERROR(IF(A446="","",COUNTIF(Ventes!B5:B504,A446)),"")</f>
        <v>#ERROR!</v>
      </c>
    </row>
    <row r="447">
      <c r="A447" s="269"/>
      <c r="B447" s="270"/>
      <c r="C447" s="235"/>
      <c r="D447" s="235"/>
      <c r="E447" s="235"/>
      <c r="F447" s="235"/>
      <c r="G447" s="235"/>
      <c r="H447" s="235"/>
      <c r="I447" s="235"/>
      <c r="J447" s="235"/>
      <c r="K447" s="235"/>
      <c r="L447" s="270" t="str">
        <f>IF(B447="","",B447+IFERROR(INDEX(Config!B:B,MATCH("DDM appertisation standard (mois)",Config!A:A,0)),36)*30)</f>
        <v>#ERROR!</v>
      </c>
      <c r="M447" s="235"/>
      <c r="N447" s="235"/>
      <c r="O447" s="235"/>
      <c r="P447" s="235"/>
      <c r="Q447" s="267"/>
      <c r="R447" s="268" t="str">
        <f>IFERROR(IF(A447="","",COUNTIF(Ventes!B5:B504,A447)),"")</f>
        <v>#ERROR!</v>
      </c>
    </row>
    <row r="448">
      <c r="A448" s="265"/>
      <c r="B448" s="266"/>
      <c r="C448" s="227"/>
      <c r="D448" s="227"/>
      <c r="E448" s="227"/>
      <c r="F448" s="227"/>
      <c r="G448" s="227"/>
      <c r="H448" s="227"/>
      <c r="I448" s="227"/>
      <c r="J448" s="227"/>
      <c r="K448" s="227"/>
      <c r="L448" s="266" t="str">
        <f>IF(B448="","",B448+IFERROR(INDEX(Config!B:B,MATCH("DDM appertisation standard (mois)",Config!A:A,0)),36)*30)</f>
        <v>#ERROR!</v>
      </c>
      <c r="M448" s="227"/>
      <c r="N448" s="227"/>
      <c r="O448" s="227"/>
      <c r="P448" s="227"/>
      <c r="Q448" s="267"/>
      <c r="R448" s="268" t="str">
        <f>IFERROR(IF(A448="","",COUNTIF(Ventes!B5:B504,A448)),"")</f>
        <v>#ERROR!</v>
      </c>
    </row>
    <row r="449">
      <c r="A449" s="269"/>
      <c r="B449" s="270"/>
      <c r="C449" s="235"/>
      <c r="D449" s="235"/>
      <c r="E449" s="235"/>
      <c r="F449" s="235"/>
      <c r="G449" s="235"/>
      <c r="H449" s="235"/>
      <c r="I449" s="235"/>
      <c r="J449" s="235"/>
      <c r="K449" s="235"/>
      <c r="L449" s="270" t="str">
        <f>IF(B449="","",B449+IFERROR(INDEX(Config!B:B,MATCH("DDM appertisation standard (mois)",Config!A:A,0)),36)*30)</f>
        <v>#ERROR!</v>
      </c>
      <c r="M449" s="235"/>
      <c r="N449" s="235"/>
      <c r="O449" s="235"/>
      <c r="P449" s="235"/>
      <c r="Q449" s="267"/>
      <c r="R449" s="268" t="str">
        <f>IFERROR(IF(A449="","",COUNTIF(Ventes!B5:B504,A449)),"")</f>
        <v>#ERROR!</v>
      </c>
    </row>
    <row r="450">
      <c r="A450" s="265"/>
      <c r="B450" s="266"/>
      <c r="C450" s="227"/>
      <c r="D450" s="227"/>
      <c r="E450" s="227"/>
      <c r="F450" s="227"/>
      <c r="G450" s="227"/>
      <c r="H450" s="227"/>
      <c r="I450" s="227"/>
      <c r="J450" s="227"/>
      <c r="K450" s="227"/>
      <c r="L450" s="266" t="str">
        <f>IF(B450="","",B450+IFERROR(INDEX(Config!B:B,MATCH("DDM appertisation standard (mois)",Config!A:A,0)),36)*30)</f>
        <v>#ERROR!</v>
      </c>
      <c r="M450" s="227"/>
      <c r="N450" s="227"/>
      <c r="O450" s="227"/>
      <c r="P450" s="227"/>
      <c r="Q450" s="267"/>
      <c r="R450" s="268" t="str">
        <f>IFERROR(IF(A450="","",COUNTIF(Ventes!B5:B504,A450)),"")</f>
        <v>#ERROR!</v>
      </c>
    </row>
    <row r="451">
      <c r="A451" s="269"/>
      <c r="B451" s="270"/>
      <c r="C451" s="235"/>
      <c r="D451" s="235"/>
      <c r="E451" s="235"/>
      <c r="F451" s="235"/>
      <c r="G451" s="235"/>
      <c r="H451" s="235"/>
      <c r="I451" s="235"/>
      <c r="J451" s="235"/>
      <c r="K451" s="235"/>
      <c r="L451" s="270" t="str">
        <f>IF(B451="","",B451+IFERROR(INDEX(Config!B:B,MATCH("DDM appertisation standard (mois)",Config!A:A,0)),36)*30)</f>
        <v>#ERROR!</v>
      </c>
      <c r="M451" s="235"/>
      <c r="N451" s="235"/>
      <c r="O451" s="235"/>
      <c r="P451" s="235"/>
      <c r="Q451" s="267"/>
      <c r="R451" s="268" t="str">
        <f>IFERROR(IF(A451="","",COUNTIF(Ventes!B5:B504,A451)),"")</f>
        <v>#ERROR!</v>
      </c>
    </row>
    <row r="452">
      <c r="A452" s="265"/>
      <c r="B452" s="266"/>
      <c r="C452" s="227"/>
      <c r="D452" s="227"/>
      <c r="E452" s="227"/>
      <c r="F452" s="227"/>
      <c r="G452" s="227"/>
      <c r="H452" s="227"/>
      <c r="I452" s="227"/>
      <c r="J452" s="227"/>
      <c r="K452" s="227"/>
      <c r="L452" s="266" t="str">
        <f>IF(B452="","",B452+IFERROR(INDEX(Config!B:B,MATCH("DDM appertisation standard (mois)",Config!A:A,0)),36)*30)</f>
        <v>#ERROR!</v>
      </c>
      <c r="M452" s="227"/>
      <c r="N452" s="227"/>
      <c r="O452" s="227"/>
      <c r="P452" s="227"/>
      <c r="Q452" s="267"/>
      <c r="R452" s="268" t="str">
        <f>IFERROR(IF(A452="","",COUNTIF(Ventes!B5:B504,A452)),"")</f>
        <v>#ERROR!</v>
      </c>
    </row>
    <row r="453">
      <c r="A453" s="269"/>
      <c r="B453" s="270"/>
      <c r="C453" s="235"/>
      <c r="D453" s="235"/>
      <c r="E453" s="235"/>
      <c r="F453" s="235"/>
      <c r="G453" s="235"/>
      <c r="H453" s="235"/>
      <c r="I453" s="235"/>
      <c r="J453" s="235"/>
      <c r="K453" s="235"/>
      <c r="L453" s="270" t="str">
        <f>IF(B453="","",B453+IFERROR(INDEX(Config!B:B,MATCH("DDM appertisation standard (mois)",Config!A:A,0)),36)*30)</f>
        <v>#ERROR!</v>
      </c>
      <c r="M453" s="235"/>
      <c r="N453" s="235"/>
      <c r="O453" s="235"/>
      <c r="P453" s="235"/>
      <c r="Q453" s="267"/>
      <c r="R453" s="268" t="str">
        <f>IFERROR(IF(A453="","",COUNTIF(Ventes!B5:B504,A453)),"")</f>
        <v>#ERROR!</v>
      </c>
    </row>
    <row r="454">
      <c r="A454" s="265"/>
      <c r="B454" s="266"/>
      <c r="C454" s="227"/>
      <c r="D454" s="227"/>
      <c r="E454" s="227"/>
      <c r="F454" s="227"/>
      <c r="G454" s="227"/>
      <c r="H454" s="227"/>
      <c r="I454" s="227"/>
      <c r="J454" s="227"/>
      <c r="K454" s="227"/>
      <c r="L454" s="266" t="str">
        <f>IF(B454="","",B454+IFERROR(INDEX(Config!B:B,MATCH("DDM appertisation standard (mois)",Config!A:A,0)),36)*30)</f>
        <v>#ERROR!</v>
      </c>
      <c r="M454" s="227"/>
      <c r="N454" s="227"/>
      <c r="O454" s="227"/>
      <c r="P454" s="227"/>
      <c r="Q454" s="267"/>
      <c r="R454" s="268" t="str">
        <f>IFERROR(IF(A454="","",COUNTIF(Ventes!B5:B504,A454)),"")</f>
        <v>#ERROR!</v>
      </c>
    </row>
    <row r="455">
      <c r="A455" s="269"/>
      <c r="B455" s="270"/>
      <c r="C455" s="235"/>
      <c r="D455" s="235"/>
      <c r="E455" s="235"/>
      <c r="F455" s="235"/>
      <c r="G455" s="235"/>
      <c r="H455" s="235"/>
      <c r="I455" s="235"/>
      <c r="J455" s="235"/>
      <c r="K455" s="235"/>
      <c r="L455" s="270" t="str">
        <f>IF(B455="","",B455+IFERROR(INDEX(Config!B:B,MATCH("DDM appertisation standard (mois)",Config!A:A,0)),36)*30)</f>
        <v>#ERROR!</v>
      </c>
      <c r="M455" s="235"/>
      <c r="N455" s="235"/>
      <c r="O455" s="235"/>
      <c r="P455" s="235"/>
      <c r="Q455" s="267"/>
      <c r="R455" s="268" t="str">
        <f>IFERROR(IF(A455="","",COUNTIF(Ventes!B5:B504,A455)),"")</f>
        <v>#ERROR!</v>
      </c>
    </row>
    <row r="456">
      <c r="A456" s="265"/>
      <c r="B456" s="266"/>
      <c r="C456" s="227"/>
      <c r="D456" s="227"/>
      <c r="E456" s="227"/>
      <c r="F456" s="227"/>
      <c r="G456" s="227"/>
      <c r="H456" s="227"/>
      <c r="I456" s="227"/>
      <c r="J456" s="227"/>
      <c r="K456" s="227"/>
      <c r="L456" s="266" t="str">
        <f>IF(B456="","",B456+IFERROR(INDEX(Config!B:B,MATCH("DDM appertisation standard (mois)",Config!A:A,0)),36)*30)</f>
        <v>#ERROR!</v>
      </c>
      <c r="M456" s="227"/>
      <c r="N456" s="227"/>
      <c r="O456" s="227"/>
      <c r="P456" s="227"/>
      <c r="Q456" s="267"/>
      <c r="R456" s="268" t="str">
        <f>IFERROR(IF(A456="","",COUNTIF(Ventes!B5:B504,A456)),"")</f>
        <v>#ERROR!</v>
      </c>
    </row>
    <row r="457">
      <c r="A457" s="269"/>
      <c r="B457" s="270"/>
      <c r="C457" s="235"/>
      <c r="D457" s="235"/>
      <c r="E457" s="235"/>
      <c r="F457" s="235"/>
      <c r="G457" s="235"/>
      <c r="H457" s="235"/>
      <c r="I457" s="235"/>
      <c r="J457" s="235"/>
      <c r="K457" s="235"/>
      <c r="L457" s="270" t="str">
        <f>IF(B457="","",B457+IFERROR(INDEX(Config!B:B,MATCH("DDM appertisation standard (mois)",Config!A:A,0)),36)*30)</f>
        <v>#ERROR!</v>
      </c>
      <c r="M457" s="235"/>
      <c r="N457" s="235"/>
      <c r="O457" s="235"/>
      <c r="P457" s="235"/>
      <c r="Q457" s="267"/>
      <c r="R457" s="268" t="str">
        <f>IFERROR(IF(A457="","",COUNTIF(Ventes!B5:B504,A457)),"")</f>
        <v>#ERROR!</v>
      </c>
    </row>
    <row r="458">
      <c r="A458" s="265"/>
      <c r="B458" s="266"/>
      <c r="C458" s="227"/>
      <c r="D458" s="227"/>
      <c r="E458" s="227"/>
      <c r="F458" s="227"/>
      <c r="G458" s="227"/>
      <c r="H458" s="227"/>
      <c r="I458" s="227"/>
      <c r="J458" s="227"/>
      <c r="K458" s="227"/>
      <c r="L458" s="266" t="str">
        <f>IF(B458="","",B458+IFERROR(INDEX(Config!B:B,MATCH("DDM appertisation standard (mois)",Config!A:A,0)),36)*30)</f>
        <v>#ERROR!</v>
      </c>
      <c r="M458" s="227"/>
      <c r="N458" s="227"/>
      <c r="O458" s="227"/>
      <c r="P458" s="227"/>
      <c r="Q458" s="267"/>
      <c r="R458" s="268" t="str">
        <f>IFERROR(IF(A458="","",COUNTIF(Ventes!B5:B504,A458)),"")</f>
        <v>#ERROR!</v>
      </c>
    </row>
    <row r="459">
      <c r="A459" s="269"/>
      <c r="B459" s="270"/>
      <c r="C459" s="235"/>
      <c r="D459" s="235"/>
      <c r="E459" s="235"/>
      <c r="F459" s="235"/>
      <c r="G459" s="235"/>
      <c r="H459" s="235"/>
      <c r="I459" s="235"/>
      <c r="J459" s="235"/>
      <c r="K459" s="235"/>
      <c r="L459" s="270" t="str">
        <f>IF(B459="","",B459+IFERROR(INDEX(Config!B:B,MATCH("DDM appertisation standard (mois)",Config!A:A,0)),36)*30)</f>
        <v>#ERROR!</v>
      </c>
      <c r="M459" s="235"/>
      <c r="N459" s="235"/>
      <c r="O459" s="235"/>
      <c r="P459" s="235"/>
      <c r="Q459" s="267"/>
      <c r="R459" s="268" t="str">
        <f>IFERROR(IF(A459="","",COUNTIF(Ventes!B5:B504,A459)),"")</f>
        <v>#ERROR!</v>
      </c>
    </row>
    <row r="460">
      <c r="A460" s="265"/>
      <c r="B460" s="266"/>
      <c r="C460" s="227"/>
      <c r="D460" s="227"/>
      <c r="E460" s="227"/>
      <c r="F460" s="227"/>
      <c r="G460" s="227"/>
      <c r="H460" s="227"/>
      <c r="I460" s="227"/>
      <c r="J460" s="227"/>
      <c r="K460" s="227"/>
      <c r="L460" s="266" t="str">
        <f>IF(B460="","",B460+IFERROR(INDEX(Config!B:B,MATCH("DDM appertisation standard (mois)",Config!A:A,0)),36)*30)</f>
        <v>#ERROR!</v>
      </c>
      <c r="M460" s="227"/>
      <c r="N460" s="227"/>
      <c r="O460" s="227"/>
      <c r="P460" s="227"/>
      <c r="Q460" s="267"/>
      <c r="R460" s="268" t="str">
        <f>IFERROR(IF(A460="","",COUNTIF(Ventes!B5:B504,A460)),"")</f>
        <v>#ERROR!</v>
      </c>
    </row>
    <row r="461">
      <c r="A461" s="269"/>
      <c r="B461" s="270"/>
      <c r="C461" s="235"/>
      <c r="D461" s="235"/>
      <c r="E461" s="235"/>
      <c r="F461" s="235"/>
      <c r="G461" s="235"/>
      <c r="H461" s="235"/>
      <c r="I461" s="235"/>
      <c r="J461" s="235"/>
      <c r="K461" s="235"/>
      <c r="L461" s="270" t="str">
        <f>IF(B461="","",B461+IFERROR(INDEX(Config!B:B,MATCH("DDM appertisation standard (mois)",Config!A:A,0)),36)*30)</f>
        <v>#ERROR!</v>
      </c>
      <c r="M461" s="235"/>
      <c r="N461" s="235"/>
      <c r="O461" s="235"/>
      <c r="P461" s="235"/>
      <c r="Q461" s="267"/>
      <c r="R461" s="268" t="str">
        <f>IFERROR(IF(A461="","",COUNTIF(Ventes!B5:B504,A461)),"")</f>
        <v>#ERROR!</v>
      </c>
    </row>
    <row r="462">
      <c r="A462" s="265"/>
      <c r="B462" s="266"/>
      <c r="C462" s="227"/>
      <c r="D462" s="227"/>
      <c r="E462" s="227"/>
      <c r="F462" s="227"/>
      <c r="G462" s="227"/>
      <c r="H462" s="227"/>
      <c r="I462" s="227"/>
      <c r="J462" s="227"/>
      <c r="K462" s="227"/>
      <c r="L462" s="266" t="str">
        <f>IF(B462="","",B462+IFERROR(INDEX(Config!B:B,MATCH("DDM appertisation standard (mois)",Config!A:A,0)),36)*30)</f>
        <v>#ERROR!</v>
      </c>
      <c r="M462" s="227"/>
      <c r="N462" s="227"/>
      <c r="O462" s="227"/>
      <c r="P462" s="227"/>
      <c r="Q462" s="267"/>
      <c r="R462" s="268" t="str">
        <f>IFERROR(IF(A462="","",COUNTIF(Ventes!B5:B504,A462)),"")</f>
        <v>#ERROR!</v>
      </c>
    </row>
    <row r="463">
      <c r="A463" s="269"/>
      <c r="B463" s="270"/>
      <c r="C463" s="235"/>
      <c r="D463" s="235"/>
      <c r="E463" s="235"/>
      <c r="F463" s="235"/>
      <c r="G463" s="235"/>
      <c r="H463" s="235"/>
      <c r="I463" s="235"/>
      <c r="J463" s="235"/>
      <c r="K463" s="235"/>
      <c r="L463" s="270" t="str">
        <f>IF(B463="","",B463+IFERROR(INDEX(Config!B:B,MATCH("DDM appertisation standard (mois)",Config!A:A,0)),36)*30)</f>
        <v>#ERROR!</v>
      </c>
      <c r="M463" s="235"/>
      <c r="N463" s="235"/>
      <c r="O463" s="235"/>
      <c r="P463" s="235"/>
      <c r="Q463" s="267"/>
      <c r="R463" s="268" t="str">
        <f>IFERROR(IF(A463="","",COUNTIF(Ventes!B5:B504,A463)),"")</f>
        <v>#ERROR!</v>
      </c>
    </row>
    <row r="464">
      <c r="A464" s="265"/>
      <c r="B464" s="266"/>
      <c r="C464" s="227"/>
      <c r="D464" s="227"/>
      <c r="E464" s="227"/>
      <c r="F464" s="227"/>
      <c r="G464" s="227"/>
      <c r="H464" s="227"/>
      <c r="I464" s="227"/>
      <c r="J464" s="227"/>
      <c r="K464" s="227"/>
      <c r="L464" s="266" t="str">
        <f>IF(B464="","",B464+IFERROR(INDEX(Config!B:B,MATCH("DDM appertisation standard (mois)",Config!A:A,0)),36)*30)</f>
        <v>#ERROR!</v>
      </c>
      <c r="M464" s="227"/>
      <c r="N464" s="227"/>
      <c r="O464" s="227"/>
      <c r="P464" s="227"/>
      <c r="Q464" s="267"/>
      <c r="R464" s="268" t="str">
        <f>IFERROR(IF(A464="","",COUNTIF(Ventes!B5:B504,A464)),"")</f>
        <v>#ERROR!</v>
      </c>
    </row>
    <row r="465">
      <c r="A465" s="269"/>
      <c r="B465" s="270"/>
      <c r="C465" s="235"/>
      <c r="D465" s="235"/>
      <c r="E465" s="235"/>
      <c r="F465" s="235"/>
      <c r="G465" s="235"/>
      <c r="H465" s="235"/>
      <c r="I465" s="235"/>
      <c r="J465" s="235"/>
      <c r="K465" s="235"/>
      <c r="L465" s="270" t="str">
        <f>IF(B465="","",B465+IFERROR(INDEX(Config!B:B,MATCH("DDM appertisation standard (mois)",Config!A:A,0)),36)*30)</f>
        <v>#ERROR!</v>
      </c>
      <c r="M465" s="235"/>
      <c r="N465" s="235"/>
      <c r="O465" s="235"/>
      <c r="P465" s="235"/>
      <c r="Q465" s="267"/>
      <c r="R465" s="268" t="str">
        <f>IFERROR(IF(A465="","",COUNTIF(Ventes!B5:B504,A465)),"")</f>
        <v>#ERROR!</v>
      </c>
    </row>
    <row r="466">
      <c r="A466" s="265"/>
      <c r="B466" s="266"/>
      <c r="C466" s="227"/>
      <c r="D466" s="227"/>
      <c r="E466" s="227"/>
      <c r="F466" s="227"/>
      <c r="G466" s="227"/>
      <c r="H466" s="227"/>
      <c r="I466" s="227"/>
      <c r="J466" s="227"/>
      <c r="K466" s="227"/>
      <c r="L466" s="266" t="str">
        <f>IF(B466="","",B466+IFERROR(INDEX(Config!B:B,MATCH("DDM appertisation standard (mois)",Config!A:A,0)),36)*30)</f>
        <v>#ERROR!</v>
      </c>
      <c r="M466" s="227"/>
      <c r="N466" s="227"/>
      <c r="O466" s="227"/>
      <c r="P466" s="227"/>
      <c r="Q466" s="267"/>
      <c r="R466" s="268" t="str">
        <f>IFERROR(IF(A466="","",COUNTIF(Ventes!B5:B504,A466)),"")</f>
        <v>#ERROR!</v>
      </c>
    </row>
    <row r="467">
      <c r="A467" s="269"/>
      <c r="B467" s="270"/>
      <c r="C467" s="235"/>
      <c r="D467" s="235"/>
      <c r="E467" s="235"/>
      <c r="F467" s="235"/>
      <c r="G467" s="235"/>
      <c r="H467" s="235"/>
      <c r="I467" s="235"/>
      <c r="J467" s="235"/>
      <c r="K467" s="235"/>
      <c r="L467" s="270" t="str">
        <f>IF(B467="","",B467+IFERROR(INDEX(Config!B:B,MATCH("DDM appertisation standard (mois)",Config!A:A,0)),36)*30)</f>
        <v>#ERROR!</v>
      </c>
      <c r="M467" s="235"/>
      <c r="N467" s="235"/>
      <c r="O467" s="235"/>
      <c r="P467" s="235"/>
      <c r="Q467" s="267"/>
      <c r="R467" s="268" t="str">
        <f>IFERROR(IF(A467="","",COUNTIF(Ventes!B5:B504,A467)),"")</f>
        <v>#ERROR!</v>
      </c>
    </row>
    <row r="468">
      <c r="A468" s="265"/>
      <c r="B468" s="266"/>
      <c r="C468" s="227"/>
      <c r="D468" s="227"/>
      <c r="E468" s="227"/>
      <c r="F468" s="227"/>
      <c r="G468" s="227"/>
      <c r="H468" s="227"/>
      <c r="I468" s="227"/>
      <c r="J468" s="227"/>
      <c r="K468" s="227"/>
      <c r="L468" s="266" t="str">
        <f>IF(B468="","",B468+IFERROR(INDEX(Config!B:B,MATCH("DDM appertisation standard (mois)",Config!A:A,0)),36)*30)</f>
        <v>#ERROR!</v>
      </c>
      <c r="M468" s="227"/>
      <c r="N468" s="227"/>
      <c r="O468" s="227"/>
      <c r="P468" s="227"/>
      <c r="Q468" s="267"/>
      <c r="R468" s="268" t="str">
        <f>IFERROR(IF(A468="","",COUNTIF(Ventes!B5:B504,A468)),"")</f>
        <v>#ERROR!</v>
      </c>
    </row>
    <row r="469">
      <c r="A469" s="269"/>
      <c r="B469" s="270"/>
      <c r="C469" s="235"/>
      <c r="D469" s="235"/>
      <c r="E469" s="235"/>
      <c r="F469" s="235"/>
      <c r="G469" s="235"/>
      <c r="H469" s="235"/>
      <c r="I469" s="235"/>
      <c r="J469" s="235"/>
      <c r="K469" s="235"/>
      <c r="L469" s="270" t="str">
        <f>IF(B469="","",B469+IFERROR(INDEX(Config!B:B,MATCH("DDM appertisation standard (mois)",Config!A:A,0)),36)*30)</f>
        <v>#ERROR!</v>
      </c>
      <c r="M469" s="235"/>
      <c r="N469" s="235"/>
      <c r="O469" s="235"/>
      <c r="P469" s="235"/>
      <c r="Q469" s="267"/>
      <c r="R469" s="268" t="str">
        <f>IFERROR(IF(A469="","",COUNTIF(Ventes!B5:B504,A469)),"")</f>
        <v>#ERROR!</v>
      </c>
    </row>
    <row r="470">
      <c r="A470" s="265"/>
      <c r="B470" s="266"/>
      <c r="C470" s="227"/>
      <c r="D470" s="227"/>
      <c r="E470" s="227"/>
      <c r="F470" s="227"/>
      <c r="G470" s="227"/>
      <c r="H470" s="227"/>
      <c r="I470" s="227"/>
      <c r="J470" s="227"/>
      <c r="K470" s="227"/>
      <c r="L470" s="266" t="str">
        <f>IF(B470="","",B470+IFERROR(INDEX(Config!B:B,MATCH("DDM appertisation standard (mois)",Config!A:A,0)),36)*30)</f>
        <v>#ERROR!</v>
      </c>
      <c r="M470" s="227"/>
      <c r="N470" s="227"/>
      <c r="O470" s="227"/>
      <c r="P470" s="227"/>
      <c r="Q470" s="267"/>
      <c r="R470" s="268" t="str">
        <f>IFERROR(IF(A470="","",COUNTIF(Ventes!B5:B504,A470)),"")</f>
        <v>#ERROR!</v>
      </c>
    </row>
    <row r="471">
      <c r="A471" s="269"/>
      <c r="B471" s="270"/>
      <c r="C471" s="235"/>
      <c r="D471" s="235"/>
      <c r="E471" s="235"/>
      <c r="F471" s="235"/>
      <c r="G471" s="235"/>
      <c r="H471" s="235"/>
      <c r="I471" s="235"/>
      <c r="J471" s="235"/>
      <c r="K471" s="235"/>
      <c r="L471" s="270" t="str">
        <f>IF(B471="","",B471+IFERROR(INDEX(Config!B:B,MATCH("DDM appertisation standard (mois)",Config!A:A,0)),36)*30)</f>
        <v>#ERROR!</v>
      </c>
      <c r="M471" s="235"/>
      <c r="N471" s="235"/>
      <c r="O471" s="235"/>
      <c r="P471" s="235"/>
      <c r="Q471" s="267"/>
      <c r="R471" s="268" t="str">
        <f>IFERROR(IF(A471="","",COUNTIF(Ventes!B5:B504,A471)),"")</f>
        <v>#ERROR!</v>
      </c>
    </row>
    <row r="472">
      <c r="A472" s="265"/>
      <c r="B472" s="266"/>
      <c r="C472" s="227"/>
      <c r="D472" s="227"/>
      <c r="E472" s="227"/>
      <c r="F472" s="227"/>
      <c r="G472" s="227"/>
      <c r="H472" s="227"/>
      <c r="I472" s="227"/>
      <c r="J472" s="227"/>
      <c r="K472" s="227"/>
      <c r="L472" s="266" t="str">
        <f>IF(B472="","",B472+IFERROR(INDEX(Config!B:B,MATCH("DDM appertisation standard (mois)",Config!A:A,0)),36)*30)</f>
        <v>#ERROR!</v>
      </c>
      <c r="M472" s="227"/>
      <c r="N472" s="227"/>
      <c r="O472" s="227"/>
      <c r="P472" s="227"/>
      <c r="Q472" s="267"/>
      <c r="R472" s="268" t="str">
        <f>IFERROR(IF(A472="","",COUNTIF(Ventes!B5:B504,A472)),"")</f>
        <v>#ERROR!</v>
      </c>
    </row>
    <row r="473">
      <c r="A473" s="269"/>
      <c r="B473" s="270"/>
      <c r="C473" s="235"/>
      <c r="D473" s="235"/>
      <c r="E473" s="235"/>
      <c r="F473" s="235"/>
      <c r="G473" s="235"/>
      <c r="H473" s="235"/>
      <c r="I473" s="235"/>
      <c r="J473" s="235"/>
      <c r="K473" s="235"/>
      <c r="L473" s="270" t="str">
        <f>IF(B473="","",B473+IFERROR(INDEX(Config!B:B,MATCH("DDM appertisation standard (mois)",Config!A:A,0)),36)*30)</f>
        <v>#ERROR!</v>
      </c>
      <c r="M473" s="235"/>
      <c r="N473" s="235"/>
      <c r="O473" s="235"/>
      <c r="P473" s="235"/>
      <c r="Q473" s="267"/>
      <c r="R473" s="268" t="str">
        <f>IFERROR(IF(A473="","",COUNTIF(Ventes!B5:B504,A473)),"")</f>
        <v>#ERROR!</v>
      </c>
    </row>
    <row r="474">
      <c r="A474" s="265"/>
      <c r="B474" s="266"/>
      <c r="C474" s="227"/>
      <c r="D474" s="227"/>
      <c r="E474" s="227"/>
      <c r="F474" s="227"/>
      <c r="G474" s="227"/>
      <c r="H474" s="227"/>
      <c r="I474" s="227"/>
      <c r="J474" s="227"/>
      <c r="K474" s="227"/>
      <c r="L474" s="266" t="str">
        <f>IF(B474="","",B474+IFERROR(INDEX(Config!B:B,MATCH("DDM appertisation standard (mois)",Config!A:A,0)),36)*30)</f>
        <v>#ERROR!</v>
      </c>
      <c r="M474" s="227"/>
      <c r="N474" s="227"/>
      <c r="O474" s="227"/>
      <c r="P474" s="227"/>
      <c r="Q474" s="267"/>
      <c r="R474" s="268" t="str">
        <f>IFERROR(IF(A474="","",COUNTIF(Ventes!B5:B504,A474)),"")</f>
        <v>#ERROR!</v>
      </c>
    </row>
    <row r="475">
      <c r="A475" s="269"/>
      <c r="B475" s="270"/>
      <c r="C475" s="235"/>
      <c r="D475" s="235"/>
      <c r="E475" s="235"/>
      <c r="F475" s="235"/>
      <c r="G475" s="235"/>
      <c r="H475" s="235"/>
      <c r="I475" s="235"/>
      <c r="J475" s="235"/>
      <c r="K475" s="235"/>
      <c r="L475" s="270" t="str">
        <f>IF(B475="","",B475+IFERROR(INDEX(Config!B:B,MATCH("DDM appertisation standard (mois)",Config!A:A,0)),36)*30)</f>
        <v>#ERROR!</v>
      </c>
      <c r="M475" s="235"/>
      <c r="N475" s="235"/>
      <c r="O475" s="235"/>
      <c r="P475" s="235"/>
      <c r="Q475" s="267"/>
      <c r="R475" s="268" t="str">
        <f>IFERROR(IF(A475="","",COUNTIF(Ventes!B5:B504,A475)),"")</f>
        <v>#ERROR!</v>
      </c>
    </row>
    <row r="476">
      <c r="A476" s="265"/>
      <c r="B476" s="266"/>
      <c r="C476" s="227"/>
      <c r="D476" s="227"/>
      <c r="E476" s="227"/>
      <c r="F476" s="227"/>
      <c r="G476" s="227"/>
      <c r="H476" s="227"/>
      <c r="I476" s="227"/>
      <c r="J476" s="227"/>
      <c r="K476" s="227"/>
      <c r="L476" s="266" t="str">
        <f>IF(B476="","",B476+IFERROR(INDEX(Config!B:B,MATCH("DDM appertisation standard (mois)",Config!A:A,0)),36)*30)</f>
        <v>#ERROR!</v>
      </c>
      <c r="M476" s="227"/>
      <c r="N476" s="227"/>
      <c r="O476" s="227"/>
      <c r="P476" s="227"/>
      <c r="Q476" s="267"/>
      <c r="R476" s="268" t="str">
        <f>IFERROR(IF(A476="","",COUNTIF(Ventes!B5:B504,A476)),"")</f>
        <v>#ERROR!</v>
      </c>
    </row>
    <row r="477">
      <c r="A477" s="269"/>
      <c r="B477" s="270"/>
      <c r="C477" s="235"/>
      <c r="D477" s="235"/>
      <c r="E477" s="235"/>
      <c r="F477" s="235"/>
      <c r="G477" s="235"/>
      <c r="H477" s="235"/>
      <c r="I477" s="235"/>
      <c r="J477" s="235"/>
      <c r="K477" s="235"/>
      <c r="L477" s="270" t="str">
        <f>IF(B477="","",B477+IFERROR(INDEX(Config!B:B,MATCH("DDM appertisation standard (mois)",Config!A:A,0)),36)*30)</f>
        <v>#ERROR!</v>
      </c>
      <c r="M477" s="235"/>
      <c r="N477" s="235"/>
      <c r="O477" s="235"/>
      <c r="P477" s="235"/>
      <c r="Q477" s="267"/>
      <c r="R477" s="268" t="str">
        <f>IFERROR(IF(A477="","",COUNTIF(Ventes!B5:B504,A477)),"")</f>
        <v>#ERROR!</v>
      </c>
    </row>
    <row r="478">
      <c r="A478" s="265"/>
      <c r="B478" s="266"/>
      <c r="C478" s="227"/>
      <c r="D478" s="227"/>
      <c r="E478" s="227"/>
      <c r="F478" s="227"/>
      <c r="G478" s="227"/>
      <c r="H478" s="227"/>
      <c r="I478" s="227"/>
      <c r="J478" s="227"/>
      <c r="K478" s="227"/>
      <c r="L478" s="266" t="str">
        <f>IF(B478="","",B478+IFERROR(INDEX(Config!B:B,MATCH("DDM appertisation standard (mois)",Config!A:A,0)),36)*30)</f>
        <v>#ERROR!</v>
      </c>
      <c r="M478" s="227"/>
      <c r="N478" s="227"/>
      <c r="O478" s="227"/>
      <c r="P478" s="227"/>
      <c r="Q478" s="267"/>
      <c r="R478" s="268" t="str">
        <f>IFERROR(IF(A478="","",COUNTIF(Ventes!B5:B504,A478)),"")</f>
        <v>#ERROR!</v>
      </c>
    </row>
    <row r="479">
      <c r="A479" s="269"/>
      <c r="B479" s="270"/>
      <c r="C479" s="235"/>
      <c r="D479" s="235"/>
      <c r="E479" s="235"/>
      <c r="F479" s="235"/>
      <c r="G479" s="235"/>
      <c r="H479" s="235"/>
      <c r="I479" s="235"/>
      <c r="J479" s="235"/>
      <c r="K479" s="235"/>
      <c r="L479" s="270" t="str">
        <f>IF(B479="","",B479+IFERROR(INDEX(Config!B:B,MATCH("DDM appertisation standard (mois)",Config!A:A,0)),36)*30)</f>
        <v>#ERROR!</v>
      </c>
      <c r="M479" s="235"/>
      <c r="N479" s="235"/>
      <c r="O479" s="235"/>
      <c r="P479" s="235"/>
      <c r="Q479" s="267"/>
      <c r="R479" s="268" t="str">
        <f>IFERROR(IF(A479="","",COUNTIF(Ventes!B5:B504,A479)),"")</f>
        <v>#ERROR!</v>
      </c>
    </row>
    <row r="480">
      <c r="A480" s="265"/>
      <c r="B480" s="266"/>
      <c r="C480" s="227"/>
      <c r="D480" s="227"/>
      <c r="E480" s="227"/>
      <c r="F480" s="227"/>
      <c r="G480" s="227"/>
      <c r="H480" s="227"/>
      <c r="I480" s="227"/>
      <c r="J480" s="227"/>
      <c r="K480" s="227"/>
      <c r="L480" s="266" t="str">
        <f>IF(B480="","",B480+IFERROR(INDEX(Config!B:B,MATCH("DDM appertisation standard (mois)",Config!A:A,0)),36)*30)</f>
        <v>#ERROR!</v>
      </c>
      <c r="M480" s="227"/>
      <c r="N480" s="227"/>
      <c r="O480" s="227"/>
      <c r="P480" s="227"/>
      <c r="Q480" s="267"/>
      <c r="R480" s="268" t="str">
        <f>IFERROR(IF(A480="","",COUNTIF(Ventes!B5:B504,A480)),"")</f>
        <v>#ERROR!</v>
      </c>
    </row>
    <row r="481">
      <c r="A481" s="269"/>
      <c r="B481" s="270"/>
      <c r="C481" s="235"/>
      <c r="D481" s="235"/>
      <c r="E481" s="235"/>
      <c r="F481" s="235"/>
      <c r="G481" s="235"/>
      <c r="H481" s="235"/>
      <c r="I481" s="235"/>
      <c r="J481" s="235"/>
      <c r="K481" s="235"/>
      <c r="L481" s="270" t="str">
        <f>IF(B481="","",B481+IFERROR(INDEX(Config!B:B,MATCH("DDM appertisation standard (mois)",Config!A:A,0)),36)*30)</f>
        <v>#ERROR!</v>
      </c>
      <c r="M481" s="235"/>
      <c r="N481" s="235"/>
      <c r="O481" s="235"/>
      <c r="P481" s="235"/>
      <c r="Q481" s="267"/>
      <c r="R481" s="268" t="str">
        <f>IFERROR(IF(A481="","",COUNTIF(Ventes!B5:B504,A481)),"")</f>
        <v>#ERROR!</v>
      </c>
    </row>
    <row r="482">
      <c r="A482" s="265"/>
      <c r="B482" s="266"/>
      <c r="C482" s="227"/>
      <c r="D482" s="227"/>
      <c r="E482" s="227"/>
      <c r="F482" s="227"/>
      <c r="G482" s="227"/>
      <c r="H482" s="227"/>
      <c r="I482" s="227"/>
      <c r="J482" s="227"/>
      <c r="K482" s="227"/>
      <c r="L482" s="266" t="str">
        <f>IF(B482="","",B482+IFERROR(INDEX(Config!B:B,MATCH("DDM appertisation standard (mois)",Config!A:A,0)),36)*30)</f>
        <v>#ERROR!</v>
      </c>
      <c r="M482" s="227"/>
      <c r="N482" s="227"/>
      <c r="O482" s="227"/>
      <c r="P482" s="227"/>
      <c r="Q482" s="267"/>
      <c r="R482" s="268" t="str">
        <f>IFERROR(IF(A482="","",COUNTIF(Ventes!B5:B504,A482)),"")</f>
        <v>#ERROR!</v>
      </c>
    </row>
    <row r="483">
      <c r="A483" s="269"/>
      <c r="B483" s="270"/>
      <c r="C483" s="235"/>
      <c r="D483" s="235"/>
      <c r="E483" s="235"/>
      <c r="F483" s="235"/>
      <c r="G483" s="235"/>
      <c r="H483" s="235"/>
      <c r="I483" s="235"/>
      <c r="J483" s="235"/>
      <c r="K483" s="235"/>
      <c r="L483" s="270" t="str">
        <f>IF(B483="","",B483+IFERROR(INDEX(Config!B:B,MATCH("DDM appertisation standard (mois)",Config!A:A,0)),36)*30)</f>
        <v>#ERROR!</v>
      </c>
      <c r="M483" s="235"/>
      <c r="N483" s="235"/>
      <c r="O483" s="235"/>
      <c r="P483" s="235"/>
      <c r="Q483" s="267"/>
      <c r="R483" s="268" t="str">
        <f>IFERROR(IF(A483="","",COUNTIF(Ventes!B5:B504,A483)),"")</f>
        <v>#ERROR!</v>
      </c>
    </row>
    <row r="484">
      <c r="A484" s="265"/>
      <c r="B484" s="266"/>
      <c r="C484" s="227"/>
      <c r="D484" s="227"/>
      <c r="E484" s="227"/>
      <c r="F484" s="227"/>
      <c r="G484" s="227"/>
      <c r="H484" s="227"/>
      <c r="I484" s="227"/>
      <c r="J484" s="227"/>
      <c r="K484" s="227"/>
      <c r="L484" s="266" t="str">
        <f>IF(B484="","",B484+IFERROR(INDEX(Config!B:B,MATCH("DDM appertisation standard (mois)",Config!A:A,0)),36)*30)</f>
        <v>#ERROR!</v>
      </c>
      <c r="M484" s="227"/>
      <c r="N484" s="227"/>
      <c r="O484" s="227"/>
      <c r="P484" s="227"/>
      <c r="Q484" s="267"/>
      <c r="R484" s="268" t="str">
        <f>IFERROR(IF(A484="","",COUNTIF(Ventes!B5:B504,A484)),"")</f>
        <v>#ERROR!</v>
      </c>
    </row>
    <row r="485">
      <c r="A485" s="269"/>
      <c r="B485" s="270"/>
      <c r="C485" s="235"/>
      <c r="D485" s="235"/>
      <c r="E485" s="235"/>
      <c r="F485" s="235"/>
      <c r="G485" s="235"/>
      <c r="H485" s="235"/>
      <c r="I485" s="235"/>
      <c r="J485" s="235"/>
      <c r="K485" s="235"/>
      <c r="L485" s="270" t="str">
        <f>IF(B485="","",B485+IFERROR(INDEX(Config!B:B,MATCH("DDM appertisation standard (mois)",Config!A:A,0)),36)*30)</f>
        <v>#ERROR!</v>
      </c>
      <c r="M485" s="235"/>
      <c r="N485" s="235"/>
      <c r="O485" s="235"/>
      <c r="P485" s="235"/>
      <c r="Q485" s="267"/>
      <c r="R485" s="268" t="str">
        <f>IFERROR(IF(A485="","",COUNTIF(Ventes!B5:B504,A485)),"")</f>
        <v>#ERROR!</v>
      </c>
    </row>
    <row r="486">
      <c r="A486" s="265"/>
      <c r="B486" s="266"/>
      <c r="C486" s="227"/>
      <c r="D486" s="227"/>
      <c r="E486" s="227"/>
      <c r="F486" s="227"/>
      <c r="G486" s="227"/>
      <c r="H486" s="227"/>
      <c r="I486" s="227"/>
      <c r="J486" s="227"/>
      <c r="K486" s="227"/>
      <c r="L486" s="266" t="str">
        <f>IF(B486="","",B486+IFERROR(INDEX(Config!B:B,MATCH("DDM appertisation standard (mois)",Config!A:A,0)),36)*30)</f>
        <v>#ERROR!</v>
      </c>
      <c r="M486" s="227"/>
      <c r="N486" s="227"/>
      <c r="O486" s="227"/>
      <c r="P486" s="227"/>
      <c r="Q486" s="267"/>
      <c r="R486" s="268" t="str">
        <f>IFERROR(IF(A486="","",COUNTIF(Ventes!B5:B504,A486)),"")</f>
        <v>#ERROR!</v>
      </c>
    </row>
    <row r="487">
      <c r="A487" s="269"/>
      <c r="B487" s="270"/>
      <c r="C487" s="235"/>
      <c r="D487" s="235"/>
      <c r="E487" s="235"/>
      <c r="F487" s="235"/>
      <c r="G487" s="235"/>
      <c r="H487" s="235"/>
      <c r="I487" s="235"/>
      <c r="J487" s="235"/>
      <c r="K487" s="235"/>
      <c r="L487" s="270" t="str">
        <f>IF(B487="","",B487+IFERROR(INDEX(Config!B:B,MATCH("DDM appertisation standard (mois)",Config!A:A,0)),36)*30)</f>
        <v>#ERROR!</v>
      </c>
      <c r="M487" s="235"/>
      <c r="N487" s="235"/>
      <c r="O487" s="235"/>
      <c r="P487" s="235"/>
      <c r="Q487" s="267"/>
      <c r="R487" s="268" t="str">
        <f>IFERROR(IF(A487="","",COUNTIF(Ventes!B5:B504,A487)),"")</f>
        <v>#ERROR!</v>
      </c>
    </row>
    <row r="488">
      <c r="A488" s="265"/>
      <c r="B488" s="266"/>
      <c r="C488" s="227"/>
      <c r="D488" s="227"/>
      <c r="E488" s="227"/>
      <c r="F488" s="227"/>
      <c r="G488" s="227"/>
      <c r="H488" s="227"/>
      <c r="I488" s="227"/>
      <c r="J488" s="227"/>
      <c r="K488" s="227"/>
      <c r="L488" s="266" t="str">
        <f>IF(B488="","",B488+IFERROR(INDEX(Config!B:B,MATCH("DDM appertisation standard (mois)",Config!A:A,0)),36)*30)</f>
        <v>#ERROR!</v>
      </c>
      <c r="M488" s="227"/>
      <c r="N488" s="227"/>
      <c r="O488" s="227"/>
      <c r="P488" s="227"/>
      <c r="Q488" s="267"/>
      <c r="R488" s="268" t="str">
        <f>IFERROR(IF(A488="","",COUNTIF(Ventes!B5:B504,A488)),"")</f>
        <v>#ERROR!</v>
      </c>
    </row>
    <row r="489">
      <c r="A489" s="269"/>
      <c r="B489" s="270"/>
      <c r="C489" s="235"/>
      <c r="D489" s="235"/>
      <c r="E489" s="235"/>
      <c r="F489" s="235"/>
      <c r="G489" s="235"/>
      <c r="H489" s="235"/>
      <c r="I489" s="235"/>
      <c r="J489" s="235"/>
      <c r="K489" s="235"/>
      <c r="L489" s="270" t="str">
        <f>IF(B489="","",B489+IFERROR(INDEX(Config!B:B,MATCH("DDM appertisation standard (mois)",Config!A:A,0)),36)*30)</f>
        <v>#ERROR!</v>
      </c>
      <c r="M489" s="235"/>
      <c r="N489" s="235"/>
      <c r="O489" s="235"/>
      <c r="P489" s="235"/>
      <c r="Q489" s="267"/>
      <c r="R489" s="268" t="str">
        <f>IFERROR(IF(A489="","",COUNTIF(Ventes!B5:B504,A489)),"")</f>
        <v>#ERROR!</v>
      </c>
    </row>
    <row r="490">
      <c r="A490" s="265"/>
      <c r="B490" s="266"/>
      <c r="C490" s="227"/>
      <c r="D490" s="227"/>
      <c r="E490" s="227"/>
      <c r="F490" s="227"/>
      <c r="G490" s="227"/>
      <c r="H490" s="227"/>
      <c r="I490" s="227"/>
      <c r="J490" s="227"/>
      <c r="K490" s="227"/>
      <c r="L490" s="266" t="str">
        <f>IF(B490="","",B490+IFERROR(INDEX(Config!B:B,MATCH("DDM appertisation standard (mois)",Config!A:A,0)),36)*30)</f>
        <v>#ERROR!</v>
      </c>
      <c r="M490" s="227"/>
      <c r="N490" s="227"/>
      <c r="O490" s="227"/>
      <c r="P490" s="227"/>
      <c r="Q490" s="267"/>
      <c r="R490" s="268" t="str">
        <f>IFERROR(IF(A490="","",COUNTIF(Ventes!B5:B504,A490)),"")</f>
        <v>#ERROR!</v>
      </c>
    </row>
    <row r="491">
      <c r="A491" s="269"/>
      <c r="B491" s="270"/>
      <c r="C491" s="235"/>
      <c r="D491" s="235"/>
      <c r="E491" s="235"/>
      <c r="F491" s="235"/>
      <c r="G491" s="235"/>
      <c r="H491" s="235"/>
      <c r="I491" s="235"/>
      <c r="J491" s="235"/>
      <c r="K491" s="235"/>
      <c r="L491" s="270" t="str">
        <f>IF(B491="","",B491+IFERROR(INDEX(Config!B:B,MATCH("DDM appertisation standard (mois)",Config!A:A,0)),36)*30)</f>
        <v>#ERROR!</v>
      </c>
      <c r="M491" s="235"/>
      <c r="N491" s="235"/>
      <c r="O491" s="235"/>
      <c r="P491" s="235"/>
      <c r="Q491" s="267"/>
      <c r="R491" s="268" t="str">
        <f>IFERROR(IF(A491="","",COUNTIF(Ventes!B5:B504,A491)),"")</f>
        <v>#ERROR!</v>
      </c>
    </row>
    <row r="492">
      <c r="A492" s="265"/>
      <c r="B492" s="266"/>
      <c r="C492" s="227"/>
      <c r="D492" s="227"/>
      <c r="E492" s="227"/>
      <c r="F492" s="227"/>
      <c r="G492" s="227"/>
      <c r="H492" s="227"/>
      <c r="I492" s="227"/>
      <c r="J492" s="227"/>
      <c r="K492" s="227"/>
      <c r="L492" s="266" t="str">
        <f>IF(B492="","",B492+IFERROR(INDEX(Config!B:B,MATCH("DDM appertisation standard (mois)",Config!A:A,0)),36)*30)</f>
        <v>#ERROR!</v>
      </c>
      <c r="M492" s="227"/>
      <c r="N492" s="227"/>
      <c r="O492" s="227"/>
      <c r="P492" s="227"/>
      <c r="Q492" s="267"/>
      <c r="R492" s="268" t="str">
        <f>IFERROR(IF(A492="","",COUNTIF(Ventes!B5:B504,A492)),"")</f>
        <v>#ERROR!</v>
      </c>
    </row>
    <row r="493">
      <c r="A493" s="269"/>
      <c r="B493" s="270"/>
      <c r="C493" s="235"/>
      <c r="D493" s="235"/>
      <c r="E493" s="235"/>
      <c r="F493" s="235"/>
      <c r="G493" s="235"/>
      <c r="H493" s="235"/>
      <c r="I493" s="235"/>
      <c r="J493" s="235"/>
      <c r="K493" s="235"/>
      <c r="L493" s="270" t="str">
        <f>IF(B493="","",B493+IFERROR(INDEX(Config!B:B,MATCH("DDM appertisation standard (mois)",Config!A:A,0)),36)*30)</f>
        <v>#ERROR!</v>
      </c>
      <c r="M493" s="235"/>
      <c r="N493" s="235"/>
      <c r="O493" s="235"/>
      <c r="P493" s="235"/>
      <c r="Q493" s="267"/>
      <c r="R493" s="268" t="str">
        <f>IFERROR(IF(A493="","",COUNTIF(Ventes!B5:B504,A493)),"")</f>
        <v>#ERROR!</v>
      </c>
    </row>
    <row r="494">
      <c r="A494" s="265"/>
      <c r="B494" s="266"/>
      <c r="C494" s="227"/>
      <c r="D494" s="227"/>
      <c r="E494" s="227"/>
      <c r="F494" s="227"/>
      <c r="G494" s="227"/>
      <c r="H494" s="227"/>
      <c r="I494" s="227"/>
      <c r="J494" s="227"/>
      <c r="K494" s="227"/>
      <c r="L494" s="266" t="str">
        <f>IF(B494="","",B494+IFERROR(INDEX(Config!B:B,MATCH("DDM appertisation standard (mois)",Config!A:A,0)),36)*30)</f>
        <v>#ERROR!</v>
      </c>
      <c r="M494" s="227"/>
      <c r="N494" s="227"/>
      <c r="O494" s="227"/>
      <c r="P494" s="227"/>
      <c r="Q494" s="267"/>
      <c r="R494" s="268" t="str">
        <f>IFERROR(IF(A494="","",COUNTIF(Ventes!B5:B504,A494)),"")</f>
        <v>#ERROR!</v>
      </c>
    </row>
    <row r="495">
      <c r="A495" s="269"/>
      <c r="B495" s="270"/>
      <c r="C495" s="235"/>
      <c r="D495" s="235"/>
      <c r="E495" s="235"/>
      <c r="F495" s="235"/>
      <c r="G495" s="235"/>
      <c r="H495" s="235"/>
      <c r="I495" s="235"/>
      <c r="J495" s="235"/>
      <c r="K495" s="235"/>
      <c r="L495" s="270" t="str">
        <f>IF(B495="","",B495+IFERROR(INDEX(Config!B:B,MATCH("DDM appertisation standard (mois)",Config!A:A,0)),36)*30)</f>
        <v>#ERROR!</v>
      </c>
      <c r="M495" s="235"/>
      <c r="N495" s="235"/>
      <c r="O495" s="235"/>
      <c r="P495" s="235"/>
      <c r="Q495" s="267"/>
      <c r="R495" s="268" t="str">
        <f>IFERROR(IF(A495="","",COUNTIF(Ventes!B5:B504,A495)),"")</f>
        <v>#ERROR!</v>
      </c>
    </row>
    <row r="496">
      <c r="A496" s="265"/>
      <c r="B496" s="266"/>
      <c r="C496" s="227"/>
      <c r="D496" s="227"/>
      <c r="E496" s="227"/>
      <c r="F496" s="227"/>
      <c r="G496" s="227"/>
      <c r="H496" s="227"/>
      <c r="I496" s="227"/>
      <c r="J496" s="227"/>
      <c r="K496" s="227"/>
      <c r="L496" s="266" t="str">
        <f>IF(B496="","",B496+IFERROR(INDEX(Config!B:B,MATCH("DDM appertisation standard (mois)",Config!A:A,0)),36)*30)</f>
        <v>#ERROR!</v>
      </c>
      <c r="M496" s="227"/>
      <c r="N496" s="227"/>
      <c r="O496" s="227"/>
      <c r="P496" s="227"/>
      <c r="Q496" s="267"/>
      <c r="R496" s="268" t="str">
        <f>IFERROR(IF(A496="","",COUNTIF(Ventes!B5:B504,A496)),"")</f>
        <v>#ERROR!</v>
      </c>
    </row>
    <row r="497">
      <c r="A497" s="269"/>
      <c r="B497" s="270"/>
      <c r="C497" s="235"/>
      <c r="D497" s="235"/>
      <c r="E497" s="235"/>
      <c r="F497" s="235"/>
      <c r="G497" s="235"/>
      <c r="H497" s="235"/>
      <c r="I497" s="235"/>
      <c r="J497" s="235"/>
      <c r="K497" s="235"/>
      <c r="L497" s="270" t="str">
        <f>IF(B497="","",B497+IFERROR(INDEX(Config!B:B,MATCH("DDM appertisation standard (mois)",Config!A:A,0)),36)*30)</f>
        <v>#ERROR!</v>
      </c>
      <c r="M497" s="235"/>
      <c r="N497" s="235"/>
      <c r="O497" s="235"/>
      <c r="P497" s="235"/>
      <c r="Q497" s="267"/>
      <c r="R497" s="268" t="str">
        <f>IFERROR(IF(A497="","",COUNTIF(Ventes!B5:B504,A497)),"")</f>
        <v>#ERROR!</v>
      </c>
    </row>
    <row r="498">
      <c r="A498" s="265"/>
      <c r="B498" s="266"/>
      <c r="C498" s="227"/>
      <c r="D498" s="227"/>
      <c r="E498" s="227"/>
      <c r="F498" s="227"/>
      <c r="G498" s="227"/>
      <c r="H498" s="227"/>
      <c r="I498" s="227"/>
      <c r="J498" s="227"/>
      <c r="K498" s="227"/>
      <c r="L498" s="266" t="str">
        <f>IF(B498="","",B498+IFERROR(INDEX(Config!B:B,MATCH("DDM appertisation standard (mois)",Config!A:A,0)),36)*30)</f>
        <v>#ERROR!</v>
      </c>
      <c r="M498" s="227"/>
      <c r="N498" s="227"/>
      <c r="O498" s="227"/>
      <c r="P498" s="227"/>
      <c r="Q498" s="267"/>
      <c r="R498" s="268" t="str">
        <f>IFERROR(IF(A498="","",COUNTIF(Ventes!B5:B504,A498)),"")</f>
        <v>#ERROR!</v>
      </c>
    </row>
    <row r="499">
      <c r="A499" s="269"/>
      <c r="B499" s="270"/>
      <c r="C499" s="235"/>
      <c r="D499" s="235"/>
      <c r="E499" s="235"/>
      <c r="F499" s="235"/>
      <c r="G499" s="235"/>
      <c r="H499" s="235"/>
      <c r="I499" s="235"/>
      <c r="J499" s="235"/>
      <c r="K499" s="235"/>
      <c r="L499" s="270" t="str">
        <f>IF(B499="","",B499+IFERROR(INDEX(Config!B:B,MATCH("DDM appertisation standard (mois)",Config!A:A,0)),36)*30)</f>
        <v>#ERROR!</v>
      </c>
      <c r="M499" s="235"/>
      <c r="N499" s="235"/>
      <c r="O499" s="235"/>
      <c r="P499" s="235"/>
      <c r="Q499" s="267"/>
      <c r="R499" s="268" t="str">
        <f>IFERROR(IF(A499="","",COUNTIF(Ventes!B5:B504,A499)),"")</f>
        <v>#ERROR!</v>
      </c>
    </row>
    <row r="500">
      <c r="A500" s="265"/>
      <c r="B500" s="266"/>
      <c r="C500" s="227"/>
      <c r="D500" s="227"/>
      <c r="E500" s="227"/>
      <c r="F500" s="227"/>
      <c r="G500" s="227"/>
      <c r="H500" s="227"/>
      <c r="I500" s="227"/>
      <c r="J500" s="227"/>
      <c r="K500" s="227"/>
      <c r="L500" s="266" t="str">
        <f>IF(B500="","",B500+IFERROR(INDEX(Config!B:B,MATCH("DDM appertisation standard (mois)",Config!A:A,0)),36)*30)</f>
        <v>#ERROR!</v>
      </c>
      <c r="M500" s="227"/>
      <c r="N500" s="227"/>
      <c r="O500" s="227"/>
      <c r="P500" s="227"/>
      <c r="Q500" s="267"/>
      <c r="R500" s="268" t="str">
        <f>IFERROR(IF(A500="","",COUNTIF(Ventes!B5:B504,A500)),"")</f>
        <v>#ERROR!</v>
      </c>
    </row>
    <row r="501">
      <c r="A501" s="269"/>
      <c r="B501" s="270"/>
      <c r="C501" s="235"/>
      <c r="D501" s="235"/>
      <c r="E501" s="235"/>
      <c r="F501" s="235"/>
      <c r="G501" s="235"/>
      <c r="H501" s="235"/>
      <c r="I501" s="235"/>
      <c r="J501" s="235"/>
      <c r="K501" s="235"/>
      <c r="L501" s="270" t="str">
        <f>IF(B501="","",B501+IFERROR(INDEX(Config!B:B,MATCH("DDM appertisation standard (mois)",Config!A:A,0)),36)*30)</f>
        <v>#ERROR!</v>
      </c>
      <c r="M501" s="235"/>
      <c r="N501" s="235"/>
      <c r="O501" s="235"/>
      <c r="P501" s="235"/>
      <c r="Q501" s="267"/>
      <c r="R501" s="268" t="str">
        <f>IFERROR(IF(A501="","",COUNTIF(Ventes!B5:B504,A501)),"")</f>
        <v>#ERROR!</v>
      </c>
    </row>
    <row r="502">
      <c r="A502" s="271"/>
      <c r="B502" s="272"/>
      <c r="C502" s="246"/>
      <c r="D502" s="246"/>
      <c r="E502" s="246"/>
      <c r="F502" s="246"/>
      <c r="G502" s="246"/>
      <c r="H502" s="246"/>
      <c r="I502" s="246"/>
      <c r="J502" s="246"/>
      <c r="K502" s="246"/>
      <c r="L502" s="272" t="str">
        <f>IF(B502="","",B502+IFERROR(INDEX(Config!B:B,MATCH("DDM appertisation standard (mois)",Config!A:A,0)),36)*30)</f>
        <v>#ERROR!</v>
      </c>
      <c r="M502" s="246"/>
      <c r="N502" s="246"/>
      <c r="O502" s="246"/>
      <c r="P502" s="246"/>
      <c r="Q502" s="273"/>
      <c r="R502" s="274" t="str">
        <f>IFERROR(IF(A502="","",COUNTIF(Ventes!B5:B504,A502)),"")</f>
        <v>#ERROR!</v>
      </c>
    </row>
  </sheetData>
  <mergeCells count="3">
    <mergeCell ref="A1:R1"/>
    <mergeCell ref="A2:R2"/>
    <mergeCell ref="A3:R3"/>
  </mergeCells>
  <conditionalFormatting sqref="M3:M502">
    <cfRule type="cellIs" dxfId="2" priority="1" stopIfTrue="1" operator="equal">
      <formula>"Rupture"</formula>
    </cfRule>
  </conditionalFormatting>
  <conditionalFormatting sqref="M3:M502">
    <cfRule type="cellIs" dxfId="2" priority="2" stopIfTrue="1" operator="equal">
      <formula>"NC"</formula>
    </cfRule>
  </conditionalFormatting>
  <conditionalFormatting sqref="M3:M502">
    <cfRule type="cellIs" dxfId="2" priority="3" stopIfTrue="1" operator="equal">
      <formula>"Expire"</formula>
    </cfRule>
  </conditionalFormatting>
  <conditionalFormatting sqref="M3:M502">
    <cfRule type="cellIs" dxfId="2" priority="4" stopIfTrue="1" operator="equal">
      <formula>"URGENT"</formula>
    </cfRule>
  </conditionalFormatting>
  <conditionalFormatting sqref="M3:M502">
    <cfRule type="cellIs" dxfId="2" priority="5" stopIfTrue="1" operator="equal">
      <formula>"Bloque"</formula>
    </cfRule>
  </conditionalFormatting>
  <conditionalFormatting sqref="M3:M502">
    <cfRule type="cellIs" dxfId="3" priority="6" stopIfTrue="1" operator="equal">
      <formula>"Proche"</formula>
    </cfRule>
  </conditionalFormatting>
  <conditionalFormatting sqref="M3:M502">
    <cfRule type="cellIs" dxfId="3" priority="7" stopIfTrue="1" operator="equal">
      <formula>"A PRODUIRE"</formula>
    </cfRule>
  </conditionalFormatting>
  <conditionalFormatting sqref="M3:M502">
    <cfRule type="cellIs" dxfId="3" priority="8" stopIfTrue="1" operator="equal">
      <formula>"Sous-temperature"</formula>
    </cfRule>
  </conditionalFormatting>
  <conditionalFormatting sqref="M3:M502">
    <cfRule type="cellIs" dxfId="4" priority="9" stopIfTrue="1" operator="equal">
      <formula>"OK"</formula>
    </cfRule>
  </conditionalFormatting>
  <conditionalFormatting sqref="M3:M502">
    <cfRule type="cellIs" dxfId="4" priority="10" stopIfTrue="1" operator="equal">
      <formula>"Valide"</formula>
    </cfRule>
  </conditionalFormatting>
  <conditionalFormatting sqref="M3:M502">
    <cfRule type="cellIs" dxfId="4" priority="11" stopIfTrue="1" operator="equal">
      <formula>"Termine"</formula>
    </cfRule>
  </conditionalFormatting>
  <conditionalFormatting sqref="M3:M502">
    <cfRule type="cellIs" dxfId="4" priority="12" stopIfTrue="1" operator="equal">
      <formula>"Actif"</formula>
    </cfRule>
  </conditionalFormatting>
  <conditionalFormatting sqref="R3:R502">
    <cfRule type="cellIs" dxfId="4" priority="13" stopIfTrue="1" operator="greaterThan">
      <formula>0</formula>
    </cfRule>
  </conditionalFormatting>
  <dataValidations>
    <dataValidation type="list" allowBlank="1" sqref="E4:E502">
      <formula1>"RR100-290,RR100-370,RR100-580,RR100-850,RR100-1050,RR100-1550,W60-050,W60-080,W60-160"</formula1>
    </dataValidation>
    <dataValidation type="list" allowBlank="1" sqref="M4:M502">
      <formula1>"En cours,Valide,Bloque,Detruit"</formula1>
    </dataValidation>
    <dataValidation type="list" allowBlank="1" sqref="C4:C502">
      <formula1>"Rillettes du Chef,Pate du Chef,Mousse du Chef,Plat Traiteur du Chef,Dessert du Chef - Creme Vanill,Pate de Campagne Maison 41,Pate Echalote &amp; Thym Citron,Pate Basque Piment d'Espelette,Pate Pleurotes &amp; Persil Plat,Pate Chataigne Ardeche,Pate Echalotes Gri"&amp;"ses d'Anjou,Rillettes Classiques au Thym,Rillettes Poireaux Confits,Rillettes Gingembre &amp; Citron,Rillettes Poivre de Madagascar,Rillettes Poireaux Confits Nord,Rillettes Curry Vert Reunion,Mousse Brandade de Morue,Saucisses Lentilles Puy,Bourguignon de Bo"&amp;"euf,Pot-au-Feu de Boeuf,Saute Porc &amp; Puree,Cassoulet Maison 41,Garbure Bearnaise,Creme Oeufs Vanille Bourbon,Creme Chocolat Noir 70%,Creme Caramel Renversee,Riz au Lait Cannelle &amp; Orange,Far Breton aux Pruneaux"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13"/>
    <col customWidth="1" min="2" max="2" width="12.63"/>
    <col customWidth="1" min="3" max="3" width="25.13"/>
    <col customWidth="1" min="4" max="4" width="15.13"/>
    <col customWidth="1" min="5" max="5" width="13.88"/>
    <col customWidth="1" min="6" max="6" width="10.13"/>
    <col customWidth="1" min="7" max="7" width="13.88"/>
    <col customWidth="1" min="8" max="9" width="12.63"/>
    <col customWidth="1" min="10" max="10" width="11.38"/>
    <col customWidth="1" min="11" max="14" width="13.88"/>
    <col customWidth="1" min="15" max="15" width="10.13"/>
    <col customWidth="1" min="16" max="16" width="11.38"/>
    <col customWidth="1" min="17" max="17" width="12.63"/>
    <col customWidth="1" min="18" max="18" width="13.88"/>
    <col customWidth="1" min="19" max="19" width="15.13"/>
    <col customWidth="1" min="20" max="20" width="11.38"/>
    <col customWidth="1" min="21" max="21" width="22.63"/>
  </cols>
  <sheetData>
    <row r="1" ht="25.5" customHeight="1">
      <c r="A1" s="140" t="s">
        <v>698</v>
      </c>
    </row>
    <row r="2" ht="25.5" customHeight="1">
      <c r="A2" s="275" t="s">
        <v>699</v>
      </c>
    </row>
    <row r="3">
      <c r="A3" s="276" t="s">
        <v>700</v>
      </c>
    </row>
    <row r="4" ht="24.0" customHeight="1">
      <c r="A4" s="158" t="s">
        <v>696</v>
      </c>
      <c r="B4" s="158" t="s">
        <v>73</v>
      </c>
      <c r="C4" s="158" t="s">
        <v>64</v>
      </c>
      <c r="D4" s="158" t="s">
        <v>77</v>
      </c>
      <c r="E4" s="158" t="s">
        <v>78</v>
      </c>
      <c r="F4" s="158" t="s">
        <v>662</v>
      </c>
      <c r="G4" s="158" t="s">
        <v>701</v>
      </c>
      <c r="H4" s="158" t="s">
        <v>702</v>
      </c>
      <c r="I4" s="158" t="s">
        <v>703</v>
      </c>
      <c r="J4" s="158" t="s">
        <v>667</v>
      </c>
      <c r="K4" s="158" t="s">
        <v>704</v>
      </c>
      <c r="L4" s="158" t="s">
        <v>705</v>
      </c>
      <c r="M4" s="158" t="s">
        <v>706</v>
      </c>
      <c r="N4" s="158" t="s">
        <v>707</v>
      </c>
      <c r="O4" s="158" t="s">
        <v>619</v>
      </c>
      <c r="P4" s="158" t="s">
        <v>708</v>
      </c>
      <c r="Q4" s="158" t="s">
        <v>158</v>
      </c>
      <c r="R4" s="158" t="s">
        <v>105</v>
      </c>
      <c r="S4" s="158" t="s">
        <v>673</v>
      </c>
      <c r="T4" s="158" t="s">
        <v>709</v>
      </c>
      <c r="U4" s="158" t="s">
        <v>61</v>
      </c>
    </row>
    <row r="5" ht="15.0" customHeight="1">
      <c r="A5" s="277" t="s">
        <v>710</v>
      </c>
      <c r="B5" s="278" t="str">
        <f>IFERROR(INDEX('Fiche Lot'!B:B,MATCH(A5,'Fiche Lot'!A:A,0)),"")</f>
        <v>#ERROR!</v>
      </c>
      <c r="C5" s="217" t="str">
        <f>IFERROR(INDEX('Fiche Lot'!C:C,MATCH(A5,'Fiche Lot'!A:A,0)),"")</f>
        <v>#ERROR!</v>
      </c>
      <c r="D5" s="217" t="str">
        <f>IFERROR(INDEX('Fiche Lot'!D:D,MATCH(A5,'Fiche Lot'!A:A,0)),"")</f>
        <v>#ERROR!</v>
      </c>
      <c r="E5" s="217" t="str">
        <f>IFERROR(INDEX('Fiche Lot'!E:E,MATCH(A5,'Fiche Lot'!A:A,0)),"")</f>
        <v>#ERROR!</v>
      </c>
      <c r="F5" s="217"/>
      <c r="G5" s="217" t="str">
        <f>IFERROR(INDEX('Fiche Lot'!H:H,MATCH(A5,'Fiche Lot'!A:A,0)),"")</f>
        <v>#ERROR!</v>
      </c>
      <c r="H5" s="217"/>
      <c r="I5" s="217"/>
      <c r="J5" s="220" t="str">
        <f>IFERROR(H5/G5,"")</f>
        <v>#ERROR!</v>
      </c>
      <c r="K5" s="279"/>
      <c r="L5" s="279"/>
      <c r="M5" s="279"/>
      <c r="N5" s="279" t="str">
        <f>IFERROR(K5-M5,"")</f>
        <v>#ERROR!</v>
      </c>
      <c r="O5" s="220" t="str">
        <f>IFERROR(N5/K5,"")</f>
        <v>#ERROR!</v>
      </c>
      <c r="P5" s="217" t="str">
        <f>IFERROR(INDEX('Fiche Lot'!J:J,MATCH(A5,'Fiche Lot'!A:A,0)),"")</f>
        <v>#ERROR!</v>
      </c>
      <c r="Q5" s="278" t="str">
        <f>IFERROR(INDEX('Fiche Lot'!L:L,MATCH(A5,'Fiche Lot'!A:A,0)),"")</f>
        <v>#ERROR!</v>
      </c>
      <c r="R5" s="217" t="str">
        <f>IFERROR(INDEX('Fiche Lot'!M:M,MATCH(A5,'Fiche Lot'!A:A,0)),"")</f>
        <v>#ERROR!</v>
      </c>
      <c r="S5" s="217" t="str">
        <f>IFERROR(INDEX('Fiche Lot'!G:G,MATCH(A5,'Fiche Lot'!A:A,0)),"")</f>
        <v>#ERROR!</v>
      </c>
      <c r="T5" s="217"/>
      <c r="U5" s="223"/>
    </row>
    <row r="6" ht="15.0" customHeight="1">
      <c r="A6" s="280" t="s">
        <v>711</v>
      </c>
      <c r="B6" s="266" t="str">
        <f>IFERROR(INDEX('Fiche Lot'!B:B,MATCH(A6,'Fiche Lot'!A:A,0)),"")</f>
        <v>#ERROR!</v>
      </c>
      <c r="C6" s="227" t="str">
        <f>IFERROR(INDEX('Fiche Lot'!C:C,MATCH(A6,'Fiche Lot'!A:A,0)),"")</f>
        <v>#ERROR!</v>
      </c>
      <c r="D6" s="227" t="str">
        <f>IFERROR(INDEX('Fiche Lot'!D:D,MATCH(A6,'Fiche Lot'!A:A,0)),"")</f>
        <v>#ERROR!</v>
      </c>
      <c r="E6" s="227" t="str">
        <f>IFERROR(INDEX('Fiche Lot'!E:E,MATCH(A6,'Fiche Lot'!A:A,0)),"")</f>
        <v>#ERROR!</v>
      </c>
      <c r="F6" s="227"/>
      <c r="G6" s="227" t="str">
        <f>IFERROR(INDEX('Fiche Lot'!H:H,MATCH(A6,'Fiche Lot'!A:A,0)),"")</f>
        <v>#ERROR!</v>
      </c>
      <c r="H6" s="227"/>
      <c r="I6" s="227"/>
      <c r="J6" s="230" t="str">
        <f>IFERROR(H6/G6,"")</f>
        <v>#ERROR!</v>
      </c>
      <c r="K6" s="281"/>
      <c r="L6" s="281"/>
      <c r="M6" s="281"/>
      <c r="N6" s="281" t="str">
        <f>IFERROR(K6-M6,"")</f>
        <v>#ERROR!</v>
      </c>
      <c r="O6" s="230" t="str">
        <f>IFERROR(N6/K6,"")</f>
        <v>#ERROR!</v>
      </c>
      <c r="P6" s="227" t="str">
        <f>IFERROR(INDEX('Fiche Lot'!J:J,MATCH(A6,'Fiche Lot'!A:A,0)),"")</f>
        <v>#ERROR!</v>
      </c>
      <c r="Q6" s="266" t="str">
        <f>IFERROR(INDEX('Fiche Lot'!L:L,MATCH(A6,'Fiche Lot'!A:A,0)),"")</f>
        <v>#ERROR!</v>
      </c>
      <c r="R6" s="227" t="str">
        <f>IFERROR(INDEX('Fiche Lot'!M:M,MATCH(A6,'Fiche Lot'!A:A,0)),"")</f>
        <v>#ERROR!</v>
      </c>
      <c r="S6" s="227" t="str">
        <f>IFERROR(INDEX('Fiche Lot'!G:G,MATCH(A6,'Fiche Lot'!A:A,0)),"")</f>
        <v>#ERROR!</v>
      </c>
      <c r="T6" s="227"/>
      <c r="U6" s="233"/>
    </row>
    <row r="7" ht="15.0" customHeight="1">
      <c r="A7" s="282"/>
      <c r="B7" s="270" t="str">
        <f>IFERROR(INDEX('Fiche Lot'!B:B,MATCH(A7,'Fiche Lot'!A:A,0)),"")</f>
        <v>#ERROR!</v>
      </c>
      <c r="C7" s="235" t="str">
        <f>IFERROR(INDEX('Fiche Lot'!C:C,MATCH(A7,'Fiche Lot'!A:A,0)),"")</f>
        <v>#ERROR!</v>
      </c>
      <c r="D7" s="235" t="str">
        <f>IFERROR(INDEX('Fiche Lot'!D:D,MATCH(A7,'Fiche Lot'!A:A,0)),"")</f>
        <v>#ERROR!</v>
      </c>
      <c r="E7" s="235" t="str">
        <f>IFERROR(INDEX('Fiche Lot'!E:E,MATCH(A7,'Fiche Lot'!A:A,0)),"")</f>
        <v>#ERROR!</v>
      </c>
      <c r="F7" s="235"/>
      <c r="G7" s="235" t="str">
        <f>IFERROR(INDEX('Fiche Lot'!H:H,MATCH(A7,'Fiche Lot'!A:A,0)),"")</f>
        <v>#ERROR!</v>
      </c>
      <c r="H7" s="235"/>
      <c r="I7" s="235"/>
      <c r="J7" s="237" t="str">
        <f>IFERROR(H7/G7,"")</f>
        <v>#ERROR!</v>
      </c>
      <c r="K7" s="283"/>
      <c r="L7" s="283"/>
      <c r="M7" s="283"/>
      <c r="N7" s="283" t="str">
        <f>IFERROR(K7-M7,"")</f>
        <v>#ERROR!</v>
      </c>
      <c r="O7" s="237" t="str">
        <f>IFERROR(N7/K7,"")</f>
        <v>#ERROR!</v>
      </c>
      <c r="P7" s="235" t="str">
        <f>IFERROR(INDEX('Fiche Lot'!J:J,MATCH(A7,'Fiche Lot'!A:A,0)),"")</f>
        <v>#ERROR!</v>
      </c>
      <c r="Q7" s="270" t="str">
        <f>IFERROR(INDEX('Fiche Lot'!L:L,MATCH(A7,'Fiche Lot'!A:A,0)),"")</f>
        <v>#ERROR!</v>
      </c>
      <c r="R7" s="235" t="str">
        <f>IFERROR(INDEX('Fiche Lot'!M:M,MATCH(A7,'Fiche Lot'!A:A,0)),"")</f>
        <v>#ERROR!</v>
      </c>
      <c r="S7" s="235" t="str">
        <f>IFERROR(INDEX('Fiche Lot'!G:G,MATCH(A7,'Fiche Lot'!A:A,0)),"")</f>
        <v>#ERROR!</v>
      </c>
      <c r="T7" s="235"/>
      <c r="U7" s="240"/>
    </row>
    <row r="8" ht="15.0" customHeight="1">
      <c r="A8" s="282"/>
      <c r="B8" s="266" t="str">
        <f>IFERROR(INDEX('Fiche Lot'!B:B,MATCH(A8,'Fiche Lot'!A:A,0)),"")</f>
        <v>#ERROR!</v>
      </c>
      <c r="C8" s="227" t="str">
        <f>IFERROR(INDEX('Fiche Lot'!C:C,MATCH(A8,'Fiche Lot'!A:A,0)),"")</f>
        <v>#ERROR!</v>
      </c>
      <c r="D8" s="227" t="str">
        <f>IFERROR(INDEX('Fiche Lot'!D:D,MATCH(A8,'Fiche Lot'!A:A,0)),"")</f>
        <v>#ERROR!</v>
      </c>
      <c r="E8" s="227" t="str">
        <f>IFERROR(INDEX('Fiche Lot'!E:E,MATCH(A8,'Fiche Lot'!A:A,0)),"")</f>
        <v>#ERROR!</v>
      </c>
      <c r="F8" s="227"/>
      <c r="G8" s="227" t="str">
        <f>IFERROR(INDEX('Fiche Lot'!H:H,MATCH(A8,'Fiche Lot'!A:A,0)),"")</f>
        <v>#ERROR!</v>
      </c>
      <c r="H8" s="227"/>
      <c r="I8" s="227"/>
      <c r="J8" s="230" t="str">
        <f>IFERROR(H8/G8,"")</f>
        <v>#ERROR!</v>
      </c>
      <c r="K8" s="281"/>
      <c r="L8" s="281"/>
      <c r="M8" s="281"/>
      <c r="N8" s="281" t="str">
        <f>IFERROR(K8-M8,"")</f>
        <v>#ERROR!</v>
      </c>
      <c r="O8" s="230" t="str">
        <f>IFERROR(N8/K8,"")</f>
        <v>#ERROR!</v>
      </c>
      <c r="P8" s="227" t="str">
        <f>IFERROR(INDEX('Fiche Lot'!J:J,MATCH(A8,'Fiche Lot'!A:A,0)),"")</f>
        <v>#ERROR!</v>
      </c>
      <c r="Q8" s="266" t="str">
        <f>IFERROR(INDEX('Fiche Lot'!L:L,MATCH(A8,'Fiche Lot'!A:A,0)),"")</f>
        <v>#ERROR!</v>
      </c>
      <c r="R8" s="227" t="str">
        <f>IFERROR(INDEX('Fiche Lot'!M:M,MATCH(A8,'Fiche Lot'!A:A,0)),"")</f>
        <v>#ERROR!</v>
      </c>
      <c r="S8" s="227" t="str">
        <f>IFERROR(INDEX('Fiche Lot'!G:G,MATCH(A8,'Fiche Lot'!A:A,0)),"")</f>
        <v>#ERROR!</v>
      </c>
      <c r="T8" s="227"/>
      <c r="U8" s="233"/>
    </row>
    <row r="9" ht="15.0" customHeight="1">
      <c r="A9" s="282"/>
      <c r="B9" s="270" t="str">
        <f>IFERROR(INDEX('Fiche Lot'!B:B,MATCH(A9,'Fiche Lot'!A:A,0)),"")</f>
        <v>#ERROR!</v>
      </c>
      <c r="C9" s="235" t="str">
        <f>IFERROR(INDEX('Fiche Lot'!C:C,MATCH(A9,'Fiche Lot'!A:A,0)),"")</f>
        <v>#ERROR!</v>
      </c>
      <c r="D9" s="235" t="str">
        <f>IFERROR(INDEX('Fiche Lot'!D:D,MATCH(A9,'Fiche Lot'!A:A,0)),"")</f>
        <v>#ERROR!</v>
      </c>
      <c r="E9" s="235" t="str">
        <f>IFERROR(INDEX('Fiche Lot'!E:E,MATCH(A9,'Fiche Lot'!A:A,0)),"")</f>
        <v>#ERROR!</v>
      </c>
      <c r="F9" s="235"/>
      <c r="G9" s="235" t="str">
        <f>IFERROR(INDEX('Fiche Lot'!H:H,MATCH(A9,'Fiche Lot'!A:A,0)),"")</f>
        <v>#ERROR!</v>
      </c>
      <c r="H9" s="235"/>
      <c r="I9" s="235"/>
      <c r="J9" s="237" t="str">
        <f>IFERROR(H9/G9,"")</f>
        <v>#ERROR!</v>
      </c>
      <c r="K9" s="283"/>
      <c r="L9" s="283"/>
      <c r="M9" s="283"/>
      <c r="N9" s="283" t="str">
        <f>IFERROR(K9-M9,"")</f>
        <v>#ERROR!</v>
      </c>
      <c r="O9" s="237" t="str">
        <f>IFERROR(N9/K9,"")</f>
        <v>#ERROR!</v>
      </c>
      <c r="P9" s="235" t="str">
        <f>IFERROR(INDEX('Fiche Lot'!J:J,MATCH(A9,'Fiche Lot'!A:A,0)),"")</f>
        <v>#ERROR!</v>
      </c>
      <c r="Q9" s="270" t="str">
        <f>IFERROR(INDEX('Fiche Lot'!L:L,MATCH(A9,'Fiche Lot'!A:A,0)),"")</f>
        <v>#ERROR!</v>
      </c>
      <c r="R9" s="235" t="str">
        <f>IFERROR(INDEX('Fiche Lot'!M:M,MATCH(A9,'Fiche Lot'!A:A,0)),"")</f>
        <v>#ERROR!</v>
      </c>
      <c r="S9" s="235" t="str">
        <f>IFERROR(INDEX('Fiche Lot'!G:G,MATCH(A9,'Fiche Lot'!A:A,0)),"")</f>
        <v>#ERROR!</v>
      </c>
      <c r="T9" s="235"/>
      <c r="U9" s="240"/>
    </row>
    <row r="10" ht="15.0" customHeight="1">
      <c r="A10" s="282"/>
      <c r="B10" s="266" t="str">
        <f>IFERROR(INDEX('Fiche Lot'!B:B,MATCH(A10,'Fiche Lot'!A:A,0)),"")</f>
        <v>#ERROR!</v>
      </c>
      <c r="C10" s="227" t="str">
        <f>IFERROR(INDEX('Fiche Lot'!C:C,MATCH(A10,'Fiche Lot'!A:A,0)),"")</f>
        <v>#ERROR!</v>
      </c>
      <c r="D10" s="227" t="str">
        <f>IFERROR(INDEX('Fiche Lot'!D:D,MATCH(A10,'Fiche Lot'!A:A,0)),"")</f>
        <v>#ERROR!</v>
      </c>
      <c r="E10" s="227" t="str">
        <f>IFERROR(INDEX('Fiche Lot'!E:E,MATCH(A10,'Fiche Lot'!A:A,0)),"")</f>
        <v>#ERROR!</v>
      </c>
      <c r="F10" s="227"/>
      <c r="G10" s="227" t="str">
        <f>IFERROR(INDEX('Fiche Lot'!H:H,MATCH(A10,'Fiche Lot'!A:A,0)),"")</f>
        <v>#ERROR!</v>
      </c>
      <c r="H10" s="227"/>
      <c r="I10" s="227"/>
      <c r="J10" s="230" t="str">
        <f>IFERROR(H10/G10,"")</f>
        <v>#ERROR!</v>
      </c>
      <c r="K10" s="281"/>
      <c r="L10" s="281"/>
      <c r="M10" s="281"/>
      <c r="N10" s="281" t="str">
        <f>IFERROR(K10-M10,"")</f>
        <v>#ERROR!</v>
      </c>
      <c r="O10" s="230" t="str">
        <f>IFERROR(N10/K10,"")</f>
        <v>#ERROR!</v>
      </c>
      <c r="P10" s="227" t="str">
        <f>IFERROR(INDEX('Fiche Lot'!J:J,MATCH(A10,'Fiche Lot'!A:A,0)),"")</f>
        <v>#ERROR!</v>
      </c>
      <c r="Q10" s="266" t="str">
        <f>IFERROR(INDEX('Fiche Lot'!L:L,MATCH(A10,'Fiche Lot'!A:A,0)),"")</f>
        <v>#ERROR!</v>
      </c>
      <c r="R10" s="227" t="str">
        <f>IFERROR(INDEX('Fiche Lot'!M:M,MATCH(A10,'Fiche Lot'!A:A,0)),"")</f>
        <v>#ERROR!</v>
      </c>
      <c r="S10" s="227" t="str">
        <f>IFERROR(INDEX('Fiche Lot'!G:G,MATCH(A10,'Fiche Lot'!A:A,0)),"")</f>
        <v>#ERROR!</v>
      </c>
      <c r="T10" s="227"/>
      <c r="U10" s="233"/>
    </row>
    <row r="11" ht="15.0" customHeight="1">
      <c r="A11" s="282"/>
      <c r="B11" s="270" t="str">
        <f>IFERROR(INDEX('Fiche Lot'!B:B,MATCH(A11,'Fiche Lot'!A:A,0)),"")</f>
        <v>#ERROR!</v>
      </c>
      <c r="C11" s="235" t="str">
        <f>IFERROR(INDEX('Fiche Lot'!C:C,MATCH(A11,'Fiche Lot'!A:A,0)),"")</f>
        <v>#ERROR!</v>
      </c>
      <c r="D11" s="235" t="str">
        <f>IFERROR(INDEX('Fiche Lot'!D:D,MATCH(A11,'Fiche Lot'!A:A,0)),"")</f>
        <v>#ERROR!</v>
      </c>
      <c r="E11" s="235" t="str">
        <f>IFERROR(INDEX('Fiche Lot'!E:E,MATCH(A11,'Fiche Lot'!A:A,0)),"")</f>
        <v>#ERROR!</v>
      </c>
      <c r="F11" s="235"/>
      <c r="G11" s="235" t="str">
        <f>IFERROR(INDEX('Fiche Lot'!H:H,MATCH(A11,'Fiche Lot'!A:A,0)),"")</f>
        <v>#ERROR!</v>
      </c>
      <c r="H11" s="235"/>
      <c r="I11" s="235"/>
      <c r="J11" s="237" t="str">
        <f>IFERROR(H11/G11,"")</f>
        <v>#ERROR!</v>
      </c>
      <c r="K11" s="283"/>
      <c r="L11" s="283"/>
      <c r="M11" s="283"/>
      <c r="N11" s="283" t="str">
        <f>IFERROR(K11-M11,"")</f>
        <v>#ERROR!</v>
      </c>
      <c r="O11" s="237" t="str">
        <f>IFERROR(N11/K11,"")</f>
        <v>#ERROR!</v>
      </c>
      <c r="P11" s="235" t="str">
        <f>IFERROR(INDEX('Fiche Lot'!J:J,MATCH(A11,'Fiche Lot'!A:A,0)),"")</f>
        <v>#ERROR!</v>
      </c>
      <c r="Q11" s="270" t="str">
        <f>IFERROR(INDEX('Fiche Lot'!L:L,MATCH(A11,'Fiche Lot'!A:A,0)),"")</f>
        <v>#ERROR!</v>
      </c>
      <c r="R11" s="235" t="str">
        <f>IFERROR(INDEX('Fiche Lot'!M:M,MATCH(A11,'Fiche Lot'!A:A,0)),"")</f>
        <v>#ERROR!</v>
      </c>
      <c r="S11" s="235" t="str">
        <f>IFERROR(INDEX('Fiche Lot'!G:G,MATCH(A11,'Fiche Lot'!A:A,0)),"")</f>
        <v>#ERROR!</v>
      </c>
      <c r="T11" s="235"/>
      <c r="U11" s="240"/>
    </row>
    <row r="12" ht="15.0" customHeight="1">
      <c r="A12" s="282"/>
      <c r="B12" s="266" t="str">
        <f>IFERROR(INDEX('Fiche Lot'!B:B,MATCH(A12,'Fiche Lot'!A:A,0)),"")</f>
        <v>#ERROR!</v>
      </c>
      <c r="C12" s="227" t="str">
        <f>IFERROR(INDEX('Fiche Lot'!C:C,MATCH(A12,'Fiche Lot'!A:A,0)),"")</f>
        <v>#ERROR!</v>
      </c>
      <c r="D12" s="227" t="str">
        <f>IFERROR(INDEX('Fiche Lot'!D:D,MATCH(A12,'Fiche Lot'!A:A,0)),"")</f>
        <v>#ERROR!</v>
      </c>
      <c r="E12" s="227" t="str">
        <f>IFERROR(INDEX('Fiche Lot'!E:E,MATCH(A12,'Fiche Lot'!A:A,0)),"")</f>
        <v>#ERROR!</v>
      </c>
      <c r="F12" s="227"/>
      <c r="G12" s="227" t="str">
        <f>IFERROR(INDEX('Fiche Lot'!H:H,MATCH(A12,'Fiche Lot'!A:A,0)),"")</f>
        <v>#ERROR!</v>
      </c>
      <c r="H12" s="227"/>
      <c r="I12" s="227"/>
      <c r="J12" s="230" t="str">
        <f>IFERROR(H12/G12,"")</f>
        <v>#ERROR!</v>
      </c>
      <c r="K12" s="281"/>
      <c r="L12" s="281"/>
      <c r="M12" s="281"/>
      <c r="N12" s="281" t="str">
        <f>IFERROR(K12-M12,"")</f>
        <v>#ERROR!</v>
      </c>
      <c r="O12" s="230" t="str">
        <f>IFERROR(N12/K12,"")</f>
        <v>#ERROR!</v>
      </c>
      <c r="P12" s="227" t="str">
        <f>IFERROR(INDEX('Fiche Lot'!J:J,MATCH(A12,'Fiche Lot'!A:A,0)),"")</f>
        <v>#ERROR!</v>
      </c>
      <c r="Q12" s="266" t="str">
        <f>IFERROR(INDEX('Fiche Lot'!L:L,MATCH(A12,'Fiche Lot'!A:A,0)),"")</f>
        <v>#ERROR!</v>
      </c>
      <c r="R12" s="227" t="str">
        <f>IFERROR(INDEX('Fiche Lot'!M:M,MATCH(A12,'Fiche Lot'!A:A,0)),"")</f>
        <v>#ERROR!</v>
      </c>
      <c r="S12" s="227" t="str">
        <f>IFERROR(INDEX('Fiche Lot'!G:G,MATCH(A12,'Fiche Lot'!A:A,0)),"")</f>
        <v>#ERROR!</v>
      </c>
      <c r="T12" s="227"/>
      <c r="U12" s="233"/>
    </row>
    <row r="13" ht="15.0" customHeight="1">
      <c r="A13" s="282"/>
      <c r="B13" s="270" t="str">
        <f>IFERROR(INDEX('Fiche Lot'!B:B,MATCH(A13,'Fiche Lot'!A:A,0)),"")</f>
        <v>#ERROR!</v>
      </c>
      <c r="C13" s="235" t="str">
        <f>IFERROR(INDEX('Fiche Lot'!C:C,MATCH(A13,'Fiche Lot'!A:A,0)),"")</f>
        <v>#ERROR!</v>
      </c>
      <c r="D13" s="235" t="str">
        <f>IFERROR(INDEX('Fiche Lot'!D:D,MATCH(A13,'Fiche Lot'!A:A,0)),"")</f>
        <v>#ERROR!</v>
      </c>
      <c r="E13" s="235" t="str">
        <f>IFERROR(INDEX('Fiche Lot'!E:E,MATCH(A13,'Fiche Lot'!A:A,0)),"")</f>
        <v>#ERROR!</v>
      </c>
      <c r="F13" s="235"/>
      <c r="G13" s="235" t="str">
        <f>IFERROR(INDEX('Fiche Lot'!H:H,MATCH(A13,'Fiche Lot'!A:A,0)),"")</f>
        <v>#ERROR!</v>
      </c>
      <c r="H13" s="235"/>
      <c r="I13" s="235"/>
      <c r="J13" s="237" t="str">
        <f>IFERROR(H13/G13,"")</f>
        <v>#ERROR!</v>
      </c>
      <c r="K13" s="283"/>
      <c r="L13" s="283"/>
      <c r="M13" s="283"/>
      <c r="N13" s="283" t="str">
        <f>IFERROR(K13-M13,"")</f>
        <v>#ERROR!</v>
      </c>
      <c r="O13" s="237" t="str">
        <f>IFERROR(N13/K13,"")</f>
        <v>#ERROR!</v>
      </c>
      <c r="P13" s="235" t="str">
        <f>IFERROR(INDEX('Fiche Lot'!J:J,MATCH(A13,'Fiche Lot'!A:A,0)),"")</f>
        <v>#ERROR!</v>
      </c>
      <c r="Q13" s="270" t="str">
        <f>IFERROR(INDEX('Fiche Lot'!L:L,MATCH(A13,'Fiche Lot'!A:A,0)),"")</f>
        <v>#ERROR!</v>
      </c>
      <c r="R13" s="235" t="str">
        <f>IFERROR(INDEX('Fiche Lot'!M:M,MATCH(A13,'Fiche Lot'!A:A,0)),"")</f>
        <v>#ERROR!</v>
      </c>
      <c r="S13" s="235" t="str">
        <f>IFERROR(INDEX('Fiche Lot'!G:G,MATCH(A13,'Fiche Lot'!A:A,0)),"")</f>
        <v>#ERROR!</v>
      </c>
      <c r="T13" s="235"/>
      <c r="U13" s="240"/>
    </row>
    <row r="14" ht="15.0" customHeight="1">
      <c r="A14" s="282"/>
      <c r="B14" s="266" t="str">
        <f>IFERROR(INDEX('Fiche Lot'!B:B,MATCH(A14,'Fiche Lot'!A:A,0)),"")</f>
        <v>#ERROR!</v>
      </c>
      <c r="C14" s="227" t="str">
        <f>IFERROR(INDEX('Fiche Lot'!C:C,MATCH(A14,'Fiche Lot'!A:A,0)),"")</f>
        <v>#ERROR!</v>
      </c>
      <c r="D14" s="227" t="str">
        <f>IFERROR(INDEX('Fiche Lot'!D:D,MATCH(A14,'Fiche Lot'!A:A,0)),"")</f>
        <v>#ERROR!</v>
      </c>
      <c r="E14" s="227" t="str">
        <f>IFERROR(INDEX('Fiche Lot'!E:E,MATCH(A14,'Fiche Lot'!A:A,0)),"")</f>
        <v>#ERROR!</v>
      </c>
      <c r="F14" s="227"/>
      <c r="G14" s="227" t="str">
        <f>IFERROR(INDEX('Fiche Lot'!H:H,MATCH(A14,'Fiche Lot'!A:A,0)),"")</f>
        <v>#ERROR!</v>
      </c>
      <c r="H14" s="227"/>
      <c r="I14" s="227"/>
      <c r="J14" s="230" t="str">
        <f>IFERROR(H14/G14,"")</f>
        <v>#ERROR!</v>
      </c>
      <c r="K14" s="281"/>
      <c r="L14" s="281"/>
      <c r="M14" s="281"/>
      <c r="N14" s="281" t="str">
        <f>IFERROR(K14-M14,"")</f>
        <v>#ERROR!</v>
      </c>
      <c r="O14" s="230" t="str">
        <f>IFERROR(N14/K14,"")</f>
        <v>#ERROR!</v>
      </c>
      <c r="P14" s="227" t="str">
        <f>IFERROR(INDEX('Fiche Lot'!J:J,MATCH(A14,'Fiche Lot'!A:A,0)),"")</f>
        <v>#ERROR!</v>
      </c>
      <c r="Q14" s="266" t="str">
        <f>IFERROR(INDEX('Fiche Lot'!L:L,MATCH(A14,'Fiche Lot'!A:A,0)),"")</f>
        <v>#ERROR!</v>
      </c>
      <c r="R14" s="227" t="str">
        <f>IFERROR(INDEX('Fiche Lot'!M:M,MATCH(A14,'Fiche Lot'!A:A,0)),"")</f>
        <v>#ERROR!</v>
      </c>
      <c r="S14" s="227" t="str">
        <f>IFERROR(INDEX('Fiche Lot'!G:G,MATCH(A14,'Fiche Lot'!A:A,0)),"")</f>
        <v>#ERROR!</v>
      </c>
      <c r="T14" s="227"/>
      <c r="U14" s="233"/>
    </row>
    <row r="15" ht="15.0" customHeight="1">
      <c r="A15" s="282"/>
      <c r="B15" s="270" t="str">
        <f>IFERROR(INDEX('Fiche Lot'!B:B,MATCH(A15,'Fiche Lot'!A:A,0)),"")</f>
        <v>#ERROR!</v>
      </c>
      <c r="C15" s="235" t="str">
        <f>IFERROR(INDEX('Fiche Lot'!C:C,MATCH(A15,'Fiche Lot'!A:A,0)),"")</f>
        <v>#ERROR!</v>
      </c>
      <c r="D15" s="235" t="str">
        <f>IFERROR(INDEX('Fiche Lot'!D:D,MATCH(A15,'Fiche Lot'!A:A,0)),"")</f>
        <v>#ERROR!</v>
      </c>
      <c r="E15" s="235" t="str">
        <f>IFERROR(INDEX('Fiche Lot'!E:E,MATCH(A15,'Fiche Lot'!A:A,0)),"")</f>
        <v>#ERROR!</v>
      </c>
      <c r="F15" s="235"/>
      <c r="G15" s="235" t="str">
        <f>IFERROR(INDEX('Fiche Lot'!H:H,MATCH(A15,'Fiche Lot'!A:A,0)),"")</f>
        <v>#ERROR!</v>
      </c>
      <c r="H15" s="235"/>
      <c r="I15" s="235"/>
      <c r="J15" s="237" t="str">
        <f>IFERROR(H15/G15,"")</f>
        <v>#ERROR!</v>
      </c>
      <c r="K15" s="283"/>
      <c r="L15" s="283"/>
      <c r="M15" s="283"/>
      <c r="N15" s="283" t="str">
        <f>IFERROR(K15-M15,"")</f>
        <v>#ERROR!</v>
      </c>
      <c r="O15" s="237" t="str">
        <f>IFERROR(N15/K15,"")</f>
        <v>#ERROR!</v>
      </c>
      <c r="P15" s="235" t="str">
        <f>IFERROR(INDEX('Fiche Lot'!J:J,MATCH(A15,'Fiche Lot'!A:A,0)),"")</f>
        <v>#ERROR!</v>
      </c>
      <c r="Q15" s="270" t="str">
        <f>IFERROR(INDEX('Fiche Lot'!L:L,MATCH(A15,'Fiche Lot'!A:A,0)),"")</f>
        <v>#ERROR!</v>
      </c>
      <c r="R15" s="235" t="str">
        <f>IFERROR(INDEX('Fiche Lot'!M:M,MATCH(A15,'Fiche Lot'!A:A,0)),"")</f>
        <v>#ERROR!</v>
      </c>
      <c r="S15" s="235" t="str">
        <f>IFERROR(INDEX('Fiche Lot'!G:G,MATCH(A15,'Fiche Lot'!A:A,0)),"")</f>
        <v>#ERROR!</v>
      </c>
      <c r="T15" s="235"/>
      <c r="U15" s="240"/>
    </row>
    <row r="16" ht="15.0" customHeight="1">
      <c r="A16" s="282"/>
      <c r="B16" s="266" t="str">
        <f>IFERROR(INDEX('Fiche Lot'!B:B,MATCH(A16,'Fiche Lot'!A:A,0)),"")</f>
        <v>#ERROR!</v>
      </c>
      <c r="C16" s="227" t="str">
        <f>IFERROR(INDEX('Fiche Lot'!C:C,MATCH(A16,'Fiche Lot'!A:A,0)),"")</f>
        <v>#ERROR!</v>
      </c>
      <c r="D16" s="227" t="str">
        <f>IFERROR(INDEX('Fiche Lot'!D:D,MATCH(A16,'Fiche Lot'!A:A,0)),"")</f>
        <v>#ERROR!</v>
      </c>
      <c r="E16" s="227" t="str">
        <f>IFERROR(INDEX('Fiche Lot'!E:E,MATCH(A16,'Fiche Lot'!A:A,0)),"")</f>
        <v>#ERROR!</v>
      </c>
      <c r="F16" s="227"/>
      <c r="G16" s="227" t="str">
        <f>IFERROR(INDEX('Fiche Lot'!H:H,MATCH(A16,'Fiche Lot'!A:A,0)),"")</f>
        <v>#ERROR!</v>
      </c>
      <c r="H16" s="227"/>
      <c r="I16" s="227"/>
      <c r="J16" s="230" t="str">
        <f>IFERROR(H16/G16,"")</f>
        <v>#ERROR!</v>
      </c>
      <c r="K16" s="281"/>
      <c r="L16" s="281"/>
      <c r="M16" s="281"/>
      <c r="N16" s="281" t="str">
        <f>IFERROR(K16-M16,"")</f>
        <v>#ERROR!</v>
      </c>
      <c r="O16" s="230" t="str">
        <f>IFERROR(N16/K16,"")</f>
        <v>#ERROR!</v>
      </c>
      <c r="P16" s="227" t="str">
        <f>IFERROR(INDEX('Fiche Lot'!J:J,MATCH(A16,'Fiche Lot'!A:A,0)),"")</f>
        <v>#ERROR!</v>
      </c>
      <c r="Q16" s="266" t="str">
        <f>IFERROR(INDEX('Fiche Lot'!L:L,MATCH(A16,'Fiche Lot'!A:A,0)),"")</f>
        <v>#ERROR!</v>
      </c>
      <c r="R16" s="227" t="str">
        <f>IFERROR(INDEX('Fiche Lot'!M:M,MATCH(A16,'Fiche Lot'!A:A,0)),"")</f>
        <v>#ERROR!</v>
      </c>
      <c r="S16" s="227" t="str">
        <f>IFERROR(INDEX('Fiche Lot'!G:G,MATCH(A16,'Fiche Lot'!A:A,0)),"")</f>
        <v>#ERROR!</v>
      </c>
      <c r="T16" s="227"/>
      <c r="U16" s="233"/>
    </row>
    <row r="17" ht="15.0" customHeight="1">
      <c r="A17" s="282"/>
      <c r="B17" s="270" t="str">
        <f>IFERROR(INDEX('Fiche Lot'!B:B,MATCH(A17,'Fiche Lot'!A:A,0)),"")</f>
        <v>#ERROR!</v>
      </c>
      <c r="C17" s="235" t="str">
        <f>IFERROR(INDEX('Fiche Lot'!C:C,MATCH(A17,'Fiche Lot'!A:A,0)),"")</f>
        <v>#ERROR!</v>
      </c>
      <c r="D17" s="235" t="str">
        <f>IFERROR(INDEX('Fiche Lot'!D:D,MATCH(A17,'Fiche Lot'!A:A,0)),"")</f>
        <v>#ERROR!</v>
      </c>
      <c r="E17" s="235" t="str">
        <f>IFERROR(INDEX('Fiche Lot'!E:E,MATCH(A17,'Fiche Lot'!A:A,0)),"")</f>
        <v>#ERROR!</v>
      </c>
      <c r="F17" s="235"/>
      <c r="G17" s="235" t="str">
        <f>IFERROR(INDEX('Fiche Lot'!H:H,MATCH(A17,'Fiche Lot'!A:A,0)),"")</f>
        <v>#ERROR!</v>
      </c>
      <c r="H17" s="235"/>
      <c r="I17" s="235"/>
      <c r="J17" s="237" t="str">
        <f>IFERROR(H17/G17,"")</f>
        <v>#ERROR!</v>
      </c>
      <c r="K17" s="283"/>
      <c r="L17" s="283"/>
      <c r="M17" s="283"/>
      <c r="N17" s="283" t="str">
        <f>IFERROR(K17-M17,"")</f>
        <v>#ERROR!</v>
      </c>
      <c r="O17" s="237" t="str">
        <f>IFERROR(N17/K17,"")</f>
        <v>#ERROR!</v>
      </c>
      <c r="P17" s="235" t="str">
        <f>IFERROR(INDEX('Fiche Lot'!J:J,MATCH(A17,'Fiche Lot'!A:A,0)),"")</f>
        <v>#ERROR!</v>
      </c>
      <c r="Q17" s="270" t="str">
        <f>IFERROR(INDEX('Fiche Lot'!L:L,MATCH(A17,'Fiche Lot'!A:A,0)),"")</f>
        <v>#ERROR!</v>
      </c>
      <c r="R17" s="235" t="str">
        <f>IFERROR(INDEX('Fiche Lot'!M:M,MATCH(A17,'Fiche Lot'!A:A,0)),"")</f>
        <v>#ERROR!</v>
      </c>
      <c r="S17" s="235" t="str">
        <f>IFERROR(INDEX('Fiche Lot'!G:G,MATCH(A17,'Fiche Lot'!A:A,0)),"")</f>
        <v>#ERROR!</v>
      </c>
      <c r="T17" s="235"/>
      <c r="U17" s="240"/>
    </row>
    <row r="18" ht="15.0" customHeight="1">
      <c r="A18" s="282"/>
      <c r="B18" s="266" t="str">
        <f>IFERROR(INDEX('Fiche Lot'!B:B,MATCH(A18,'Fiche Lot'!A:A,0)),"")</f>
        <v>#ERROR!</v>
      </c>
      <c r="C18" s="227" t="str">
        <f>IFERROR(INDEX('Fiche Lot'!C:C,MATCH(A18,'Fiche Lot'!A:A,0)),"")</f>
        <v>#ERROR!</v>
      </c>
      <c r="D18" s="227" t="str">
        <f>IFERROR(INDEX('Fiche Lot'!D:D,MATCH(A18,'Fiche Lot'!A:A,0)),"")</f>
        <v>#ERROR!</v>
      </c>
      <c r="E18" s="227" t="str">
        <f>IFERROR(INDEX('Fiche Lot'!E:E,MATCH(A18,'Fiche Lot'!A:A,0)),"")</f>
        <v>#ERROR!</v>
      </c>
      <c r="F18" s="227"/>
      <c r="G18" s="227" t="str">
        <f>IFERROR(INDEX('Fiche Lot'!H:H,MATCH(A18,'Fiche Lot'!A:A,0)),"")</f>
        <v>#ERROR!</v>
      </c>
      <c r="H18" s="227"/>
      <c r="I18" s="227"/>
      <c r="J18" s="230" t="str">
        <f>IFERROR(H18/G18,"")</f>
        <v>#ERROR!</v>
      </c>
      <c r="K18" s="281"/>
      <c r="L18" s="281"/>
      <c r="M18" s="281"/>
      <c r="N18" s="281" t="str">
        <f>IFERROR(K18-M18,"")</f>
        <v>#ERROR!</v>
      </c>
      <c r="O18" s="230" t="str">
        <f>IFERROR(N18/K18,"")</f>
        <v>#ERROR!</v>
      </c>
      <c r="P18" s="227" t="str">
        <f>IFERROR(INDEX('Fiche Lot'!J:J,MATCH(A18,'Fiche Lot'!A:A,0)),"")</f>
        <v>#ERROR!</v>
      </c>
      <c r="Q18" s="266" t="str">
        <f>IFERROR(INDEX('Fiche Lot'!L:L,MATCH(A18,'Fiche Lot'!A:A,0)),"")</f>
        <v>#ERROR!</v>
      </c>
      <c r="R18" s="227" t="str">
        <f>IFERROR(INDEX('Fiche Lot'!M:M,MATCH(A18,'Fiche Lot'!A:A,0)),"")</f>
        <v>#ERROR!</v>
      </c>
      <c r="S18" s="227" t="str">
        <f>IFERROR(INDEX('Fiche Lot'!G:G,MATCH(A18,'Fiche Lot'!A:A,0)),"")</f>
        <v>#ERROR!</v>
      </c>
      <c r="T18" s="227"/>
      <c r="U18" s="233"/>
    </row>
    <row r="19" ht="15.0" customHeight="1">
      <c r="A19" s="282"/>
      <c r="B19" s="270" t="str">
        <f>IFERROR(INDEX('Fiche Lot'!B:B,MATCH(A19,'Fiche Lot'!A:A,0)),"")</f>
        <v>#ERROR!</v>
      </c>
      <c r="C19" s="235" t="str">
        <f>IFERROR(INDEX('Fiche Lot'!C:C,MATCH(A19,'Fiche Lot'!A:A,0)),"")</f>
        <v>#ERROR!</v>
      </c>
      <c r="D19" s="235" t="str">
        <f>IFERROR(INDEX('Fiche Lot'!D:D,MATCH(A19,'Fiche Lot'!A:A,0)),"")</f>
        <v>#ERROR!</v>
      </c>
      <c r="E19" s="235" t="str">
        <f>IFERROR(INDEX('Fiche Lot'!E:E,MATCH(A19,'Fiche Lot'!A:A,0)),"")</f>
        <v>#ERROR!</v>
      </c>
      <c r="F19" s="235"/>
      <c r="G19" s="235" t="str">
        <f>IFERROR(INDEX('Fiche Lot'!H:H,MATCH(A19,'Fiche Lot'!A:A,0)),"")</f>
        <v>#ERROR!</v>
      </c>
      <c r="H19" s="235"/>
      <c r="I19" s="235"/>
      <c r="J19" s="237" t="str">
        <f>IFERROR(H19/G19,"")</f>
        <v>#ERROR!</v>
      </c>
      <c r="K19" s="283"/>
      <c r="L19" s="283"/>
      <c r="M19" s="283"/>
      <c r="N19" s="283" t="str">
        <f>IFERROR(K19-M19,"")</f>
        <v>#ERROR!</v>
      </c>
      <c r="O19" s="237" t="str">
        <f>IFERROR(N19/K19,"")</f>
        <v>#ERROR!</v>
      </c>
      <c r="P19" s="235" t="str">
        <f>IFERROR(INDEX('Fiche Lot'!J:J,MATCH(A19,'Fiche Lot'!A:A,0)),"")</f>
        <v>#ERROR!</v>
      </c>
      <c r="Q19" s="270" t="str">
        <f>IFERROR(INDEX('Fiche Lot'!L:L,MATCH(A19,'Fiche Lot'!A:A,0)),"")</f>
        <v>#ERROR!</v>
      </c>
      <c r="R19" s="235" t="str">
        <f>IFERROR(INDEX('Fiche Lot'!M:M,MATCH(A19,'Fiche Lot'!A:A,0)),"")</f>
        <v>#ERROR!</v>
      </c>
      <c r="S19" s="235" t="str">
        <f>IFERROR(INDEX('Fiche Lot'!G:G,MATCH(A19,'Fiche Lot'!A:A,0)),"")</f>
        <v>#ERROR!</v>
      </c>
      <c r="T19" s="235"/>
      <c r="U19" s="240"/>
    </row>
    <row r="20" ht="15.0" customHeight="1">
      <c r="A20" s="282"/>
      <c r="B20" s="266" t="str">
        <f>IFERROR(INDEX('Fiche Lot'!B:B,MATCH(A20,'Fiche Lot'!A:A,0)),"")</f>
        <v>#ERROR!</v>
      </c>
      <c r="C20" s="227" t="str">
        <f>IFERROR(INDEX('Fiche Lot'!C:C,MATCH(A20,'Fiche Lot'!A:A,0)),"")</f>
        <v>#ERROR!</v>
      </c>
      <c r="D20" s="227" t="str">
        <f>IFERROR(INDEX('Fiche Lot'!D:D,MATCH(A20,'Fiche Lot'!A:A,0)),"")</f>
        <v>#ERROR!</v>
      </c>
      <c r="E20" s="227" t="str">
        <f>IFERROR(INDEX('Fiche Lot'!E:E,MATCH(A20,'Fiche Lot'!A:A,0)),"")</f>
        <v>#ERROR!</v>
      </c>
      <c r="F20" s="227"/>
      <c r="G20" s="227" t="str">
        <f>IFERROR(INDEX('Fiche Lot'!H:H,MATCH(A20,'Fiche Lot'!A:A,0)),"")</f>
        <v>#ERROR!</v>
      </c>
      <c r="H20" s="227"/>
      <c r="I20" s="227"/>
      <c r="J20" s="230" t="str">
        <f>IFERROR(H20/G20,"")</f>
        <v>#ERROR!</v>
      </c>
      <c r="K20" s="281"/>
      <c r="L20" s="281"/>
      <c r="M20" s="281"/>
      <c r="N20" s="281" t="str">
        <f>IFERROR(K20-M20,"")</f>
        <v>#ERROR!</v>
      </c>
      <c r="O20" s="230" t="str">
        <f>IFERROR(N20/K20,"")</f>
        <v>#ERROR!</v>
      </c>
      <c r="P20" s="227" t="str">
        <f>IFERROR(INDEX('Fiche Lot'!J:J,MATCH(A20,'Fiche Lot'!A:A,0)),"")</f>
        <v>#ERROR!</v>
      </c>
      <c r="Q20" s="266" t="str">
        <f>IFERROR(INDEX('Fiche Lot'!L:L,MATCH(A20,'Fiche Lot'!A:A,0)),"")</f>
        <v>#ERROR!</v>
      </c>
      <c r="R20" s="227" t="str">
        <f>IFERROR(INDEX('Fiche Lot'!M:M,MATCH(A20,'Fiche Lot'!A:A,0)),"")</f>
        <v>#ERROR!</v>
      </c>
      <c r="S20" s="227" t="str">
        <f>IFERROR(INDEX('Fiche Lot'!G:G,MATCH(A20,'Fiche Lot'!A:A,0)),"")</f>
        <v>#ERROR!</v>
      </c>
      <c r="T20" s="227"/>
      <c r="U20" s="233"/>
    </row>
    <row r="21" ht="15.0" customHeight="1">
      <c r="A21" s="282"/>
      <c r="B21" s="270" t="str">
        <f>IFERROR(INDEX('Fiche Lot'!B:B,MATCH(A21,'Fiche Lot'!A:A,0)),"")</f>
        <v>#ERROR!</v>
      </c>
      <c r="C21" s="235" t="str">
        <f>IFERROR(INDEX('Fiche Lot'!C:C,MATCH(A21,'Fiche Lot'!A:A,0)),"")</f>
        <v>#ERROR!</v>
      </c>
      <c r="D21" s="235" t="str">
        <f>IFERROR(INDEX('Fiche Lot'!D:D,MATCH(A21,'Fiche Lot'!A:A,0)),"")</f>
        <v>#ERROR!</v>
      </c>
      <c r="E21" s="235" t="str">
        <f>IFERROR(INDEX('Fiche Lot'!E:E,MATCH(A21,'Fiche Lot'!A:A,0)),"")</f>
        <v>#ERROR!</v>
      </c>
      <c r="F21" s="235"/>
      <c r="G21" s="235" t="str">
        <f>IFERROR(INDEX('Fiche Lot'!H:H,MATCH(A21,'Fiche Lot'!A:A,0)),"")</f>
        <v>#ERROR!</v>
      </c>
      <c r="H21" s="235"/>
      <c r="I21" s="235"/>
      <c r="J21" s="237" t="str">
        <f>IFERROR(H21/G21,"")</f>
        <v>#ERROR!</v>
      </c>
      <c r="K21" s="283"/>
      <c r="L21" s="283"/>
      <c r="M21" s="283"/>
      <c r="N21" s="283" t="str">
        <f>IFERROR(K21-M21,"")</f>
        <v>#ERROR!</v>
      </c>
      <c r="O21" s="237" t="str">
        <f>IFERROR(N21/K21,"")</f>
        <v>#ERROR!</v>
      </c>
      <c r="P21" s="235" t="str">
        <f>IFERROR(INDEX('Fiche Lot'!J:J,MATCH(A21,'Fiche Lot'!A:A,0)),"")</f>
        <v>#ERROR!</v>
      </c>
      <c r="Q21" s="270" t="str">
        <f>IFERROR(INDEX('Fiche Lot'!L:L,MATCH(A21,'Fiche Lot'!A:A,0)),"")</f>
        <v>#ERROR!</v>
      </c>
      <c r="R21" s="235" t="str">
        <f>IFERROR(INDEX('Fiche Lot'!M:M,MATCH(A21,'Fiche Lot'!A:A,0)),"")</f>
        <v>#ERROR!</v>
      </c>
      <c r="S21" s="235" t="str">
        <f>IFERROR(INDEX('Fiche Lot'!G:G,MATCH(A21,'Fiche Lot'!A:A,0)),"")</f>
        <v>#ERROR!</v>
      </c>
      <c r="T21" s="235"/>
      <c r="U21" s="240"/>
    </row>
    <row r="22" ht="15.0" customHeight="1">
      <c r="A22" s="282"/>
      <c r="B22" s="266" t="str">
        <f>IFERROR(INDEX('Fiche Lot'!B:B,MATCH(A22,'Fiche Lot'!A:A,0)),"")</f>
        <v>#ERROR!</v>
      </c>
      <c r="C22" s="227" t="str">
        <f>IFERROR(INDEX('Fiche Lot'!C:C,MATCH(A22,'Fiche Lot'!A:A,0)),"")</f>
        <v>#ERROR!</v>
      </c>
      <c r="D22" s="227" t="str">
        <f>IFERROR(INDEX('Fiche Lot'!D:D,MATCH(A22,'Fiche Lot'!A:A,0)),"")</f>
        <v>#ERROR!</v>
      </c>
      <c r="E22" s="227" t="str">
        <f>IFERROR(INDEX('Fiche Lot'!E:E,MATCH(A22,'Fiche Lot'!A:A,0)),"")</f>
        <v>#ERROR!</v>
      </c>
      <c r="F22" s="227"/>
      <c r="G22" s="227" t="str">
        <f>IFERROR(INDEX('Fiche Lot'!H:H,MATCH(A22,'Fiche Lot'!A:A,0)),"")</f>
        <v>#ERROR!</v>
      </c>
      <c r="H22" s="227"/>
      <c r="I22" s="227"/>
      <c r="J22" s="230" t="str">
        <f>IFERROR(H22/G22,"")</f>
        <v>#ERROR!</v>
      </c>
      <c r="K22" s="281"/>
      <c r="L22" s="281"/>
      <c r="M22" s="281"/>
      <c r="N22" s="281" t="str">
        <f>IFERROR(K22-M22,"")</f>
        <v>#ERROR!</v>
      </c>
      <c r="O22" s="230" t="str">
        <f>IFERROR(N22/K22,"")</f>
        <v>#ERROR!</v>
      </c>
      <c r="P22" s="227" t="str">
        <f>IFERROR(INDEX('Fiche Lot'!J:J,MATCH(A22,'Fiche Lot'!A:A,0)),"")</f>
        <v>#ERROR!</v>
      </c>
      <c r="Q22" s="266" t="str">
        <f>IFERROR(INDEX('Fiche Lot'!L:L,MATCH(A22,'Fiche Lot'!A:A,0)),"")</f>
        <v>#ERROR!</v>
      </c>
      <c r="R22" s="227" t="str">
        <f>IFERROR(INDEX('Fiche Lot'!M:M,MATCH(A22,'Fiche Lot'!A:A,0)),"")</f>
        <v>#ERROR!</v>
      </c>
      <c r="S22" s="227" t="str">
        <f>IFERROR(INDEX('Fiche Lot'!G:G,MATCH(A22,'Fiche Lot'!A:A,0)),"")</f>
        <v>#ERROR!</v>
      </c>
      <c r="T22" s="227"/>
      <c r="U22" s="233"/>
    </row>
    <row r="23" ht="15.0" customHeight="1">
      <c r="A23" s="282"/>
      <c r="B23" s="270" t="str">
        <f>IFERROR(INDEX('Fiche Lot'!B:B,MATCH(A23,'Fiche Lot'!A:A,0)),"")</f>
        <v>#ERROR!</v>
      </c>
      <c r="C23" s="235" t="str">
        <f>IFERROR(INDEX('Fiche Lot'!C:C,MATCH(A23,'Fiche Lot'!A:A,0)),"")</f>
        <v>#ERROR!</v>
      </c>
      <c r="D23" s="235" t="str">
        <f>IFERROR(INDEX('Fiche Lot'!D:D,MATCH(A23,'Fiche Lot'!A:A,0)),"")</f>
        <v>#ERROR!</v>
      </c>
      <c r="E23" s="235" t="str">
        <f>IFERROR(INDEX('Fiche Lot'!E:E,MATCH(A23,'Fiche Lot'!A:A,0)),"")</f>
        <v>#ERROR!</v>
      </c>
      <c r="F23" s="235"/>
      <c r="G23" s="235" t="str">
        <f>IFERROR(INDEX('Fiche Lot'!H:H,MATCH(A23,'Fiche Lot'!A:A,0)),"")</f>
        <v>#ERROR!</v>
      </c>
      <c r="H23" s="235"/>
      <c r="I23" s="235"/>
      <c r="J23" s="237" t="str">
        <f>IFERROR(H23/G23,"")</f>
        <v>#ERROR!</v>
      </c>
      <c r="K23" s="283"/>
      <c r="L23" s="283"/>
      <c r="M23" s="283"/>
      <c r="N23" s="283" t="str">
        <f>IFERROR(K23-M23,"")</f>
        <v>#ERROR!</v>
      </c>
      <c r="O23" s="237" t="str">
        <f>IFERROR(N23/K23,"")</f>
        <v>#ERROR!</v>
      </c>
      <c r="P23" s="235" t="str">
        <f>IFERROR(INDEX('Fiche Lot'!J:J,MATCH(A23,'Fiche Lot'!A:A,0)),"")</f>
        <v>#ERROR!</v>
      </c>
      <c r="Q23" s="270" t="str">
        <f>IFERROR(INDEX('Fiche Lot'!L:L,MATCH(A23,'Fiche Lot'!A:A,0)),"")</f>
        <v>#ERROR!</v>
      </c>
      <c r="R23" s="235" t="str">
        <f>IFERROR(INDEX('Fiche Lot'!M:M,MATCH(A23,'Fiche Lot'!A:A,0)),"")</f>
        <v>#ERROR!</v>
      </c>
      <c r="S23" s="235" t="str">
        <f>IFERROR(INDEX('Fiche Lot'!G:G,MATCH(A23,'Fiche Lot'!A:A,0)),"")</f>
        <v>#ERROR!</v>
      </c>
      <c r="T23" s="235"/>
      <c r="U23" s="240"/>
    </row>
    <row r="24" ht="15.0" customHeight="1">
      <c r="A24" s="282"/>
      <c r="B24" s="266" t="str">
        <f>IFERROR(INDEX('Fiche Lot'!B:B,MATCH(A24,'Fiche Lot'!A:A,0)),"")</f>
        <v>#ERROR!</v>
      </c>
      <c r="C24" s="227" t="str">
        <f>IFERROR(INDEX('Fiche Lot'!C:C,MATCH(A24,'Fiche Lot'!A:A,0)),"")</f>
        <v>#ERROR!</v>
      </c>
      <c r="D24" s="227" t="str">
        <f>IFERROR(INDEX('Fiche Lot'!D:D,MATCH(A24,'Fiche Lot'!A:A,0)),"")</f>
        <v>#ERROR!</v>
      </c>
      <c r="E24" s="227" t="str">
        <f>IFERROR(INDEX('Fiche Lot'!E:E,MATCH(A24,'Fiche Lot'!A:A,0)),"")</f>
        <v>#ERROR!</v>
      </c>
      <c r="F24" s="227"/>
      <c r="G24" s="227" t="str">
        <f>IFERROR(INDEX('Fiche Lot'!H:H,MATCH(A24,'Fiche Lot'!A:A,0)),"")</f>
        <v>#ERROR!</v>
      </c>
      <c r="H24" s="227"/>
      <c r="I24" s="227"/>
      <c r="J24" s="230" t="str">
        <f>IFERROR(H24/G24,"")</f>
        <v>#ERROR!</v>
      </c>
      <c r="K24" s="281"/>
      <c r="L24" s="281"/>
      <c r="M24" s="281"/>
      <c r="N24" s="281" t="str">
        <f>IFERROR(K24-M24,"")</f>
        <v>#ERROR!</v>
      </c>
      <c r="O24" s="230" t="str">
        <f>IFERROR(N24/K24,"")</f>
        <v>#ERROR!</v>
      </c>
      <c r="P24" s="227" t="str">
        <f>IFERROR(INDEX('Fiche Lot'!J:J,MATCH(A24,'Fiche Lot'!A:A,0)),"")</f>
        <v>#ERROR!</v>
      </c>
      <c r="Q24" s="266" t="str">
        <f>IFERROR(INDEX('Fiche Lot'!L:L,MATCH(A24,'Fiche Lot'!A:A,0)),"")</f>
        <v>#ERROR!</v>
      </c>
      <c r="R24" s="227" t="str">
        <f>IFERROR(INDEX('Fiche Lot'!M:M,MATCH(A24,'Fiche Lot'!A:A,0)),"")</f>
        <v>#ERROR!</v>
      </c>
      <c r="S24" s="227" t="str">
        <f>IFERROR(INDEX('Fiche Lot'!G:G,MATCH(A24,'Fiche Lot'!A:A,0)),"")</f>
        <v>#ERROR!</v>
      </c>
      <c r="T24" s="227"/>
      <c r="U24" s="233"/>
    </row>
    <row r="25" ht="15.0" customHeight="1">
      <c r="A25" s="282"/>
      <c r="B25" s="270" t="str">
        <f>IFERROR(INDEX('Fiche Lot'!B:B,MATCH(A25,'Fiche Lot'!A:A,0)),"")</f>
        <v>#ERROR!</v>
      </c>
      <c r="C25" s="235" t="str">
        <f>IFERROR(INDEX('Fiche Lot'!C:C,MATCH(A25,'Fiche Lot'!A:A,0)),"")</f>
        <v>#ERROR!</v>
      </c>
      <c r="D25" s="235" t="str">
        <f>IFERROR(INDEX('Fiche Lot'!D:D,MATCH(A25,'Fiche Lot'!A:A,0)),"")</f>
        <v>#ERROR!</v>
      </c>
      <c r="E25" s="235" t="str">
        <f>IFERROR(INDEX('Fiche Lot'!E:E,MATCH(A25,'Fiche Lot'!A:A,0)),"")</f>
        <v>#ERROR!</v>
      </c>
      <c r="F25" s="235"/>
      <c r="G25" s="235" t="str">
        <f>IFERROR(INDEX('Fiche Lot'!H:H,MATCH(A25,'Fiche Lot'!A:A,0)),"")</f>
        <v>#ERROR!</v>
      </c>
      <c r="H25" s="235"/>
      <c r="I25" s="235"/>
      <c r="J25" s="237" t="str">
        <f>IFERROR(H25/G25,"")</f>
        <v>#ERROR!</v>
      </c>
      <c r="K25" s="283"/>
      <c r="L25" s="283"/>
      <c r="M25" s="283"/>
      <c r="N25" s="283" t="str">
        <f>IFERROR(K25-M25,"")</f>
        <v>#ERROR!</v>
      </c>
      <c r="O25" s="237" t="str">
        <f>IFERROR(N25/K25,"")</f>
        <v>#ERROR!</v>
      </c>
      <c r="P25" s="235" t="str">
        <f>IFERROR(INDEX('Fiche Lot'!J:J,MATCH(A25,'Fiche Lot'!A:A,0)),"")</f>
        <v>#ERROR!</v>
      </c>
      <c r="Q25" s="270" t="str">
        <f>IFERROR(INDEX('Fiche Lot'!L:L,MATCH(A25,'Fiche Lot'!A:A,0)),"")</f>
        <v>#ERROR!</v>
      </c>
      <c r="R25" s="235" t="str">
        <f>IFERROR(INDEX('Fiche Lot'!M:M,MATCH(A25,'Fiche Lot'!A:A,0)),"")</f>
        <v>#ERROR!</v>
      </c>
      <c r="S25" s="235" t="str">
        <f>IFERROR(INDEX('Fiche Lot'!G:G,MATCH(A25,'Fiche Lot'!A:A,0)),"")</f>
        <v>#ERROR!</v>
      </c>
      <c r="T25" s="235"/>
      <c r="U25" s="240"/>
    </row>
    <row r="26" ht="15.0" customHeight="1">
      <c r="A26" s="282"/>
      <c r="B26" s="266" t="str">
        <f>IFERROR(INDEX('Fiche Lot'!B:B,MATCH(A26,'Fiche Lot'!A:A,0)),"")</f>
        <v>#ERROR!</v>
      </c>
      <c r="C26" s="227" t="str">
        <f>IFERROR(INDEX('Fiche Lot'!C:C,MATCH(A26,'Fiche Lot'!A:A,0)),"")</f>
        <v>#ERROR!</v>
      </c>
      <c r="D26" s="227" t="str">
        <f>IFERROR(INDEX('Fiche Lot'!D:D,MATCH(A26,'Fiche Lot'!A:A,0)),"")</f>
        <v>#ERROR!</v>
      </c>
      <c r="E26" s="227" t="str">
        <f>IFERROR(INDEX('Fiche Lot'!E:E,MATCH(A26,'Fiche Lot'!A:A,0)),"")</f>
        <v>#ERROR!</v>
      </c>
      <c r="F26" s="227"/>
      <c r="G26" s="227" t="str">
        <f>IFERROR(INDEX('Fiche Lot'!H:H,MATCH(A26,'Fiche Lot'!A:A,0)),"")</f>
        <v>#ERROR!</v>
      </c>
      <c r="H26" s="227"/>
      <c r="I26" s="227"/>
      <c r="J26" s="230" t="str">
        <f>IFERROR(H26/G26,"")</f>
        <v>#ERROR!</v>
      </c>
      <c r="K26" s="281"/>
      <c r="L26" s="281"/>
      <c r="M26" s="281"/>
      <c r="N26" s="281" t="str">
        <f>IFERROR(K26-M26,"")</f>
        <v>#ERROR!</v>
      </c>
      <c r="O26" s="230" t="str">
        <f>IFERROR(N26/K26,"")</f>
        <v>#ERROR!</v>
      </c>
      <c r="P26" s="227" t="str">
        <f>IFERROR(INDEX('Fiche Lot'!J:J,MATCH(A26,'Fiche Lot'!A:A,0)),"")</f>
        <v>#ERROR!</v>
      </c>
      <c r="Q26" s="266" t="str">
        <f>IFERROR(INDEX('Fiche Lot'!L:L,MATCH(A26,'Fiche Lot'!A:A,0)),"")</f>
        <v>#ERROR!</v>
      </c>
      <c r="R26" s="227" t="str">
        <f>IFERROR(INDEX('Fiche Lot'!M:M,MATCH(A26,'Fiche Lot'!A:A,0)),"")</f>
        <v>#ERROR!</v>
      </c>
      <c r="S26" s="227" t="str">
        <f>IFERROR(INDEX('Fiche Lot'!G:G,MATCH(A26,'Fiche Lot'!A:A,0)),"")</f>
        <v>#ERROR!</v>
      </c>
      <c r="T26" s="227"/>
      <c r="U26" s="233"/>
    </row>
    <row r="27" ht="15.0" customHeight="1">
      <c r="A27" s="282"/>
      <c r="B27" s="270" t="str">
        <f>IFERROR(INDEX('Fiche Lot'!B:B,MATCH(A27,'Fiche Lot'!A:A,0)),"")</f>
        <v>#ERROR!</v>
      </c>
      <c r="C27" s="235" t="str">
        <f>IFERROR(INDEX('Fiche Lot'!C:C,MATCH(A27,'Fiche Lot'!A:A,0)),"")</f>
        <v>#ERROR!</v>
      </c>
      <c r="D27" s="235" t="str">
        <f>IFERROR(INDEX('Fiche Lot'!D:D,MATCH(A27,'Fiche Lot'!A:A,0)),"")</f>
        <v>#ERROR!</v>
      </c>
      <c r="E27" s="235" t="str">
        <f>IFERROR(INDEX('Fiche Lot'!E:E,MATCH(A27,'Fiche Lot'!A:A,0)),"")</f>
        <v>#ERROR!</v>
      </c>
      <c r="F27" s="235"/>
      <c r="G27" s="235" t="str">
        <f>IFERROR(INDEX('Fiche Lot'!H:H,MATCH(A27,'Fiche Lot'!A:A,0)),"")</f>
        <v>#ERROR!</v>
      </c>
      <c r="H27" s="235"/>
      <c r="I27" s="235"/>
      <c r="J27" s="237" t="str">
        <f>IFERROR(H27/G27,"")</f>
        <v>#ERROR!</v>
      </c>
      <c r="K27" s="283"/>
      <c r="L27" s="283"/>
      <c r="M27" s="283"/>
      <c r="N27" s="283" t="str">
        <f>IFERROR(K27-M27,"")</f>
        <v>#ERROR!</v>
      </c>
      <c r="O27" s="237" t="str">
        <f>IFERROR(N27/K27,"")</f>
        <v>#ERROR!</v>
      </c>
      <c r="P27" s="235" t="str">
        <f>IFERROR(INDEX('Fiche Lot'!J:J,MATCH(A27,'Fiche Lot'!A:A,0)),"")</f>
        <v>#ERROR!</v>
      </c>
      <c r="Q27" s="270" t="str">
        <f>IFERROR(INDEX('Fiche Lot'!L:L,MATCH(A27,'Fiche Lot'!A:A,0)),"")</f>
        <v>#ERROR!</v>
      </c>
      <c r="R27" s="235" t="str">
        <f>IFERROR(INDEX('Fiche Lot'!M:M,MATCH(A27,'Fiche Lot'!A:A,0)),"")</f>
        <v>#ERROR!</v>
      </c>
      <c r="S27" s="235" t="str">
        <f>IFERROR(INDEX('Fiche Lot'!G:G,MATCH(A27,'Fiche Lot'!A:A,0)),"")</f>
        <v>#ERROR!</v>
      </c>
      <c r="T27" s="235"/>
      <c r="U27" s="240"/>
    </row>
    <row r="28" ht="15.0" customHeight="1">
      <c r="A28" s="282"/>
      <c r="B28" s="266" t="str">
        <f>IFERROR(INDEX('Fiche Lot'!B:B,MATCH(A28,'Fiche Lot'!A:A,0)),"")</f>
        <v>#ERROR!</v>
      </c>
      <c r="C28" s="227" t="str">
        <f>IFERROR(INDEX('Fiche Lot'!C:C,MATCH(A28,'Fiche Lot'!A:A,0)),"")</f>
        <v>#ERROR!</v>
      </c>
      <c r="D28" s="227" t="str">
        <f>IFERROR(INDEX('Fiche Lot'!D:D,MATCH(A28,'Fiche Lot'!A:A,0)),"")</f>
        <v>#ERROR!</v>
      </c>
      <c r="E28" s="227" t="str">
        <f>IFERROR(INDEX('Fiche Lot'!E:E,MATCH(A28,'Fiche Lot'!A:A,0)),"")</f>
        <v>#ERROR!</v>
      </c>
      <c r="F28" s="227"/>
      <c r="G28" s="227" t="str">
        <f>IFERROR(INDEX('Fiche Lot'!H:H,MATCH(A28,'Fiche Lot'!A:A,0)),"")</f>
        <v>#ERROR!</v>
      </c>
      <c r="H28" s="227"/>
      <c r="I28" s="227"/>
      <c r="J28" s="230" t="str">
        <f>IFERROR(H28/G28,"")</f>
        <v>#ERROR!</v>
      </c>
      <c r="K28" s="281"/>
      <c r="L28" s="281"/>
      <c r="M28" s="281"/>
      <c r="N28" s="281" t="str">
        <f>IFERROR(K28-M28,"")</f>
        <v>#ERROR!</v>
      </c>
      <c r="O28" s="230" t="str">
        <f>IFERROR(N28/K28,"")</f>
        <v>#ERROR!</v>
      </c>
      <c r="P28" s="227" t="str">
        <f>IFERROR(INDEX('Fiche Lot'!J:J,MATCH(A28,'Fiche Lot'!A:A,0)),"")</f>
        <v>#ERROR!</v>
      </c>
      <c r="Q28" s="266" t="str">
        <f>IFERROR(INDEX('Fiche Lot'!L:L,MATCH(A28,'Fiche Lot'!A:A,0)),"")</f>
        <v>#ERROR!</v>
      </c>
      <c r="R28" s="227" t="str">
        <f>IFERROR(INDEX('Fiche Lot'!M:M,MATCH(A28,'Fiche Lot'!A:A,0)),"")</f>
        <v>#ERROR!</v>
      </c>
      <c r="S28" s="227" t="str">
        <f>IFERROR(INDEX('Fiche Lot'!G:G,MATCH(A28,'Fiche Lot'!A:A,0)),"")</f>
        <v>#ERROR!</v>
      </c>
      <c r="T28" s="227"/>
      <c r="U28" s="233"/>
    </row>
    <row r="29" ht="15.0" customHeight="1">
      <c r="A29" s="282"/>
      <c r="B29" s="270" t="str">
        <f>IFERROR(INDEX('Fiche Lot'!B:B,MATCH(A29,'Fiche Lot'!A:A,0)),"")</f>
        <v>#ERROR!</v>
      </c>
      <c r="C29" s="235" t="str">
        <f>IFERROR(INDEX('Fiche Lot'!C:C,MATCH(A29,'Fiche Lot'!A:A,0)),"")</f>
        <v>#ERROR!</v>
      </c>
      <c r="D29" s="235" t="str">
        <f>IFERROR(INDEX('Fiche Lot'!D:D,MATCH(A29,'Fiche Lot'!A:A,0)),"")</f>
        <v>#ERROR!</v>
      </c>
      <c r="E29" s="235" t="str">
        <f>IFERROR(INDEX('Fiche Lot'!E:E,MATCH(A29,'Fiche Lot'!A:A,0)),"")</f>
        <v>#ERROR!</v>
      </c>
      <c r="F29" s="235"/>
      <c r="G29" s="235" t="str">
        <f>IFERROR(INDEX('Fiche Lot'!H:H,MATCH(A29,'Fiche Lot'!A:A,0)),"")</f>
        <v>#ERROR!</v>
      </c>
      <c r="H29" s="235"/>
      <c r="I29" s="235"/>
      <c r="J29" s="237" t="str">
        <f>IFERROR(H29/G29,"")</f>
        <v>#ERROR!</v>
      </c>
      <c r="K29" s="283"/>
      <c r="L29" s="283"/>
      <c r="M29" s="283"/>
      <c r="N29" s="283" t="str">
        <f>IFERROR(K29-M29,"")</f>
        <v>#ERROR!</v>
      </c>
      <c r="O29" s="237" t="str">
        <f>IFERROR(N29/K29,"")</f>
        <v>#ERROR!</v>
      </c>
      <c r="P29" s="235" t="str">
        <f>IFERROR(INDEX('Fiche Lot'!J:J,MATCH(A29,'Fiche Lot'!A:A,0)),"")</f>
        <v>#ERROR!</v>
      </c>
      <c r="Q29" s="270" t="str">
        <f>IFERROR(INDEX('Fiche Lot'!L:L,MATCH(A29,'Fiche Lot'!A:A,0)),"")</f>
        <v>#ERROR!</v>
      </c>
      <c r="R29" s="235" t="str">
        <f>IFERROR(INDEX('Fiche Lot'!M:M,MATCH(A29,'Fiche Lot'!A:A,0)),"")</f>
        <v>#ERROR!</v>
      </c>
      <c r="S29" s="235" t="str">
        <f>IFERROR(INDEX('Fiche Lot'!G:G,MATCH(A29,'Fiche Lot'!A:A,0)),"")</f>
        <v>#ERROR!</v>
      </c>
      <c r="T29" s="235"/>
      <c r="U29" s="240"/>
    </row>
    <row r="30" ht="15.0" customHeight="1">
      <c r="A30" s="282"/>
      <c r="B30" s="266" t="str">
        <f>IFERROR(INDEX('Fiche Lot'!B:B,MATCH(A30,'Fiche Lot'!A:A,0)),"")</f>
        <v>#ERROR!</v>
      </c>
      <c r="C30" s="227" t="str">
        <f>IFERROR(INDEX('Fiche Lot'!C:C,MATCH(A30,'Fiche Lot'!A:A,0)),"")</f>
        <v>#ERROR!</v>
      </c>
      <c r="D30" s="227" t="str">
        <f>IFERROR(INDEX('Fiche Lot'!D:D,MATCH(A30,'Fiche Lot'!A:A,0)),"")</f>
        <v>#ERROR!</v>
      </c>
      <c r="E30" s="227" t="str">
        <f>IFERROR(INDEX('Fiche Lot'!E:E,MATCH(A30,'Fiche Lot'!A:A,0)),"")</f>
        <v>#ERROR!</v>
      </c>
      <c r="F30" s="227"/>
      <c r="G30" s="227" t="str">
        <f>IFERROR(INDEX('Fiche Lot'!H:H,MATCH(A30,'Fiche Lot'!A:A,0)),"")</f>
        <v>#ERROR!</v>
      </c>
      <c r="H30" s="227"/>
      <c r="I30" s="227"/>
      <c r="J30" s="230" t="str">
        <f>IFERROR(H30/G30,"")</f>
        <v>#ERROR!</v>
      </c>
      <c r="K30" s="281"/>
      <c r="L30" s="281"/>
      <c r="M30" s="281"/>
      <c r="N30" s="281" t="str">
        <f>IFERROR(K30-M30,"")</f>
        <v>#ERROR!</v>
      </c>
      <c r="O30" s="230" t="str">
        <f>IFERROR(N30/K30,"")</f>
        <v>#ERROR!</v>
      </c>
      <c r="P30" s="227" t="str">
        <f>IFERROR(INDEX('Fiche Lot'!J:J,MATCH(A30,'Fiche Lot'!A:A,0)),"")</f>
        <v>#ERROR!</v>
      </c>
      <c r="Q30" s="266" t="str">
        <f>IFERROR(INDEX('Fiche Lot'!L:L,MATCH(A30,'Fiche Lot'!A:A,0)),"")</f>
        <v>#ERROR!</v>
      </c>
      <c r="R30" s="227" t="str">
        <f>IFERROR(INDEX('Fiche Lot'!M:M,MATCH(A30,'Fiche Lot'!A:A,0)),"")</f>
        <v>#ERROR!</v>
      </c>
      <c r="S30" s="227" t="str">
        <f>IFERROR(INDEX('Fiche Lot'!G:G,MATCH(A30,'Fiche Lot'!A:A,0)),"")</f>
        <v>#ERROR!</v>
      </c>
      <c r="T30" s="227"/>
      <c r="U30" s="233"/>
    </row>
    <row r="31" ht="15.0" customHeight="1">
      <c r="A31" s="282"/>
      <c r="B31" s="270" t="str">
        <f>IFERROR(INDEX('Fiche Lot'!B:B,MATCH(A31,'Fiche Lot'!A:A,0)),"")</f>
        <v>#ERROR!</v>
      </c>
      <c r="C31" s="235" t="str">
        <f>IFERROR(INDEX('Fiche Lot'!C:C,MATCH(A31,'Fiche Lot'!A:A,0)),"")</f>
        <v>#ERROR!</v>
      </c>
      <c r="D31" s="235" t="str">
        <f>IFERROR(INDEX('Fiche Lot'!D:D,MATCH(A31,'Fiche Lot'!A:A,0)),"")</f>
        <v>#ERROR!</v>
      </c>
      <c r="E31" s="235" t="str">
        <f>IFERROR(INDEX('Fiche Lot'!E:E,MATCH(A31,'Fiche Lot'!A:A,0)),"")</f>
        <v>#ERROR!</v>
      </c>
      <c r="F31" s="235"/>
      <c r="G31" s="235" t="str">
        <f>IFERROR(INDEX('Fiche Lot'!H:H,MATCH(A31,'Fiche Lot'!A:A,0)),"")</f>
        <v>#ERROR!</v>
      </c>
      <c r="H31" s="235"/>
      <c r="I31" s="235"/>
      <c r="J31" s="237" t="str">
        <f>IFERROR(H31/G31,"")</f>
        <v>#ERROR!</v>
      </c>
      <c r="K31" s="283"/>
      <c r="L31" s="283"/>
      <c r="M31" s="283"/>
      <c r="N31" s="283" t="str">
        <f>IFERROR(K31-M31,"")</f>
        <v>#ERROR!</v>
      </c>
      <c r="O31" s="237" t="str">
        <f>IFERROR(N31/K31,"")</f>
        <v>#ERROR!</v>
      </c>
      <c r="P31" s="235" t="str">
        <f>IFERROR(INDEX('Fiche Lot'!J:J,MATCH(A31,'Fiche Lot'!A:A,0)),"")</f>
        <v>#ERROR!</v>
      </c>
      <c r="Q31" s="270" t="str">
        <f>IFERROR(INDEX('Fiche Lot'!L:L,MATCH(A31,'Fiche Lot'!A:A,0)),"")</f>
        <v>#ERROR!</v>
      </c>
      <c r="R31" s="235" t="str">
        <f>IFERROR(INDEX('Fiche Lot'!M:M,MATCH(A31,'Fiche Lot'!A:A,0)),"")</f>
        <v>#ERROR!</v>
      </c>
      <c r="S31" s="235" t="str">
        <f>IFERROR(INDEX('Fiche Lot'!G:G,MATCH(A31,'Fiche Lot'!A:A,0)),"")</f>
        <v>#ERROR!</v>
      </c>
      <c r="T31" s="235"/>
      <c r="U31" s="240"/>
    </row>
    <row r="32" ht="15.0" customHeight="1">
      <c r="A32" s="282"/>
      <c r="B32" s="266" t="str">
        <f>IFERROR(INDEX('Fiche Lot'!B:B,MATCH(A32,'Fiche Lot'!A:A,0)),"")</f>
        <v>#ERROR!</v>
      </c>
      <c r="C32" s="227" t="str">
        <f>IFERROR(INDEX('Fiche Lot'!C:C,MATCH(A32,'Fiche Lot'!A:A,0)),"")</f>
        <v>#ERROR!</v>
      </c>
      <c r="D32" s="227" t="str">
        <f>IFERROR(INDEX('Fiche Lot'!D:D,MATCH(A32,'Fiche Lot'!A:A,0)),"")</f>
        <v>#ERROR!</v>
      </c>
      <c r="E32" s="227" t="str">
        <f>IFERROR(INDEX('Fiche Lot'!E:E,MATCH(A32,'Fiche Lot'!A:A,0)),"")</f>
        <v>#ERROR!</v>
      </c>
      <c r="F32" s="227"/>
      <c r="G32" s="227" t="str">
        <f>IFERROR(INDEX('Fiche Lot'!H:H,MATCH(A32,'Fiche Lot'!A:A,0)),"")</f>
        <v>#ERROR!</v>
      </c>
      <c r="H32" s="227"/>
      <c r="I32" s="227"/>
      <c r="J32" s="230" t="str">
        <f>IFERROR(H32/G32,"")</f>
        <v>#ERROR!</v>
      </c>
      <c r="K32" s="281"/>
      <c r="L32" s="281"/>
      <c r="M32" s="281"/>
      <c r="N32" s="281" t="str">
        <f>IFERROR(K32-M32,"")</f>
        <v>#ERROR!</v>
      </c>
      <c r="O32" s="230" t="str">
        <f>IFERROR(N32/K32,"")</f>
        <v>#ERROR!</v>
      </c>
      <c r="P32" s="227" t="str">
        <f>IFERROR(INDEX('Fiche Lot'!J:J,MATCH(A32,'Fiche Lot'!A:A,0)),"")</f>
        <v>#ERROR!</v>
      </c>
      <c r="Q32" s="266" t="str">
        <f>IFERROR(INDEX('Fiche Lot'!L:L,MATCH(A32,'Fiche Lot'!A:A,0)),"")</f>
        <v>#ERROR!</v>
      </c>
      <c r="R32" s="227" t="str">
        <f>IFERROR(INDEX('Fiche Lot'!M:M,MATCH(A32,'Fiche Lot'!A:A,0)),"")</f>
        <v>#ERROR!</v>
      </c>
      <c r="S32" s="227" t="str">
        <f>IFERROR(INDEX('Fiche Lot'!G:G,MATCH(A32,'Fiche Lot'!A:A,0)),"")</f>
        <v>#ERROR!</v>
      </c>
      <c r="T32" s="227"/>
      <c r="U32" s="233"/>
    </row>
    <row r="33" ht="15.0" customHeight="1">
      <c r="A33" s="282"/>
      <c r="B33" s="270" t="str">
        <f>IFERROR(INDEX('Fiche Lot'!B:B,MATCH(A33,'Fiche Lot'!A:A,0)),"")</f>
        <v>#ERROR!</v>
      </c>
      <c r="C33" s="235" t="str">
        <f>IFERROR(INDEX('Fiche Lot'!C:C,MATCH(A33,'Fiche Lot'!A:A,0)),"")</f>
        <v>#ERROR!</v>
      </c>
      <c r="D33" s="235" t="str">
        <f>IFERROR(INDEX('Fiche Lot'!D:D,MATCH(A33,'Fiche Lot'!A:A,0)),"")</f>
        <v>#ERROR!</v>
      </c>
      <c r="E33" s="235" t="str">
        <f>IFERROR(INDEX('Fiche Lot'!E:E,MATCH(A33,'Fiche Lot'!A:A,0)),"")</f>
        <v>#ERROR!</v>
      </c>
      <c r="F33" s="235"/>
      <c r="G33" s="235" t="str">
        <f>IFERROR(INDEX('Fiche Lot'!H:H,MATCH(A33,'Fiche Lot'!A:A,0)),"")</f>
        <v>#ERROR!</v>
      </c>
      <c r="H33" s="235"/>
      <c r="I33" s="235"/>
      <c r="J33" s="237" t="str">
        <f>IFERROR(H33/G33,"")</f>
        <v>#ERROR!</v>
      </c>
      <c r="K33" s="283"/>
      <c r="L33" s="283"/>
      <c r="M33" s="283"/>
      <c r="N33" s="283" t="str">
        <f>IFERROR(K33-M33,"")</f>
        <v>#ERROR!</v>
      </c>
      <c r="O33" s="237" t="str">
        <f>IFERROR(N33/K33,"")</f>
        <v>#ERROR!</v>
      </c>
      <c r="P33" s="235" t="str">
        <f>IFERROR(INDEX('Fiche Lot'!J:J,MATCH(A33,'Fiche Lot'!A:A,0)),"")</f>
        <v>#ERROR!</v>
      </c>
      <c r="Q33" s="270" t="str">
        <f>IFERROR(INDEX('Fiche Lot'!L:L,MATCH(A33,'Fiche Lot'!A:A,0)),"")</f>
        <v>#ERROR!</v>
      </c>
      <c r="R33" s="235" t="str">
        <f>IFERROR(INDEX('Fiche Lot'!M:M,MATCH(A33,'Fiche Lot'!A:A,0)),"")</f>
        <v>#ERROR!</v>
      </c>
      <c r="S33" s="235" t="str">
        <f>IFERROR(INDEX('Fiche Lot'!G:G,MATCH(A33,'Fiche Lot'!A:A,0)),"")</f>
        <v>#ERROR!</v>
      </c>
      <c r="T33" s="235"/>
      <c r="U33" s="240"/>
    </row>
    <row r="34" ht="15.0" customHeight="1">
      <c r="A34" s="282"/>
      <c r="B34" s="266" t="str">
        <f>IFERROR(INDEX('Fiche Lot'!B:B,MATCH(A34,'Fiche Lot'!A:A,0)),"")</f>
        <v>#ERROR!</v>
      </c>
      <c r="C34" s="227" t="str">
        <f>IFERROR(INDEX('Fiche Lot'!C:C,MATCH(A34,'Fiche Lot'!A:A,0)),"")</f>
        <v>#ERROR!</v>
      </c>
      <c r="D34" s="227" t="str">
        <f>IFERROR(INDEX('Fiche Lot'!D:D,MATCH(A34,'Fiche Lot'!A:A,0)),"")</f>
        <v>#ERROR!</v>
      </c>
      <c r="E34" s="227" t="str">
        <f>IFERROR(INDEX('Fiche Lot'!E:E,MATCH(A34,'Fiche Lot'!A:A,0)),"")</f>
        <v>#ERROR!</v>
      </c>
      <c r="F34" s="227"/>
      <c r="G34" s="227" t="str">
        <f>IFERROR(INDEX('Fiche Lot'!H:H,MATCH(A34,'Fiche Lot'!A:A,0)),"")</f>
        <v>#ERROR!</v>
      </c>
      <c r="H34" s="227"/>
      <c r="I34" s="227"/>
      <c r="J34" s="230" t="str">
        <f>IFERROR(H34/G34,"")</f>
        <v>#ERROR!</v>
      </c>
      <c r="K34" s="281"/>
      <c r="L34" s="281"/>
      <c r="M34" s="281"/>
      <c r="N34" s="281" t="str">
        <f>IFERROR(K34-M34,"")</f>
        <v>#ERROR!</v>
      </c>
      <c r="O34" s="230" t="str">
        <f>IFERROR(N34/K34,"")</f>
        <v>#ERROR!</v>
      </c>
      <c r="P34" s="227" t="str">
        <f>IFERROR(INDEX('Fiche Lot'!J:J,MATCH(A34,'Fiche Lot'!A:A,0)),"")</f>
        <v>#ERROR!</v>
      </c>
      <c r="Q34" s="266" t="str">
        <f>IFERROR(INDEX('Fiche Lot'!L:L,MATCH(A34,'Fiche Lot'!A:A,0)),"")</f>
        <v>#ERROR!</v>
      </c>
      <c r="R34" s="227" t="str">
        <f>IFERROR(INDEX('Fiche Lot'!M:M,MATCH(A34,'Fiche Lot'!A:A,0)),"")</f>
        <v>#ERROR!</v>
      </c>
      <c r="S34" s="227" t="str">
        <f>IFERROR(INDEX('Fiche Lot'!G:G,MATCH(A34,'Fiche Lot'!A:A,0)),"")</f>
        <v>#ERROR!</v>
      </c>
      <c r="T34" s="227"/>
      <c r="U34" s="233"/>
    </row>
    <row r="35" ht="15.0" customHeight="1">
      <c r="A35" s="282"/>
      <c r="B35" s="270" t="str">
        <f>IFERROR(INDEX('Fiche Lot'!B:B,MATCH(A35,'Fiche Lot'!A:A,0)),"")</f>
        <v>#ERROR!</v>
      </c>
      <c r="C35" s="235" t="str">
        <f>IFERROR(INDEX('Fiche Lot'!C:C,MATCH(A35,'Fiche Lot'!A:A,0)),"")</f>
        <v>#ERROR!</v>
      </c>
      <c r="D35" s="235" t="str">
        <f>IFERROR(INDEX('Fiche Lot'!D:D,MATCH(A35,'Fiche Lot'!A:A,0)),"")</f>
        <v>#ERROR!</v>
      </c>
      <c r="E35" s="235" t="str">
        <f>IFERROR(INDEX('Fiche Lot'!E:E,MATCH(A35,'Fiche Lot'!A:A,0)),"")</f>
        <v>#ERROR!</v>
      </c>
      <c r="F35" s="235"/>
      <c r="G35" s="235" t="str">
        <f>IFERROR(INDEX('Fiche Lot'!H:H,MATCH(A35,'Fiche Lot'!A:A,0)),"")</f>
        <v>#ERROR!</v>
      </c>
      <c r="H35" s="235"/>
      <c r="I35" s="235"/>
      <c r="J35" s="237" t="str">
        <f>IFERROR(H35/G35,"")</f>
        <v>#ERROR!</v>
      </c>
      <c r="K35" s="283"/>
      <c r="L35" s="283"/>
      <c r="M35" s="283"/>
      <c r="N35" s="283" t="str">
        <f>IFERROR(K35-M35,"")</f>
        <v>#ERROR!</v>
      </c>
      <c r="O35" s="237" t="str">
        <f>IFERROR(N35/K35,"")</f>
        <v>#ERROR!</v>
      </c>
      <c r="P35" s="235" t="str">
        <f>IFERROR(INDEX('Fiche Lot'!J:J,MATCH(A35,'Fiche Lot'!A:A,0)),"")</f>
        <v>#ERROR!</v>
      </c>
      <c r="Q35" s="270" t="str">
        <f>IFERROR(INDEX('Fiche Lot'!L:L,MATCH(A35,'Fiche Lot'!A:A,0)),"")</f>
        <v>#ERROR!</v>
      </c>
      <c r="R35" s="235" t="str">
        <f>IFERROR(INDEX('Fiche Lot'!M:M,MATCH(A35,'Fiche Lot'!A:A,0)),"")</f>
        <v>#ERROR!</v>
      </c>
      <c r="S35" s="235" t="str">
        <f>IFERROR(INDEX('Fiche Lot'!G:G,MATCH(A35,'Fiche Lot'!A:A,0)),"")</f>
        <v>#ERROR!</v>
      </c>
      <c r="T35" s="235"/>
      <c r="U35" s="240"/>
    </row>
    <row r="36" ht="15.0" customHeight="1">
      <c r="A36" s="282"/>
      <c r="B36" s="266" t="str">
        <f>IFERROR(INDEX('Fiche Lot'!B:B,MATCH(A36,'Fiche Lot'!A:A,0)),"")</f>
        <v>#ERROR!</v>
      </c>
      <c r="C36" s="227" t="str">
        <f>IFERROR(INDEX('Fiche Lot'!C:C,MATCH(A36,'Fiche Lot'!A:A,0)),"")</f>
        <v>#ERROR!</v>
      </c>
      <c r="D36" s="227" t="str">
        <f>IFERROR(INDEX('Fiche Lot'!D:D,MATCH(A36,'Fiche Lot'!A:A,0)),"")</f>
        <v>#ERROR!</v>
      </c>
      <c r="E36" s="227" t="str">
        <f>IFERROR(INDEX('Fiche Lot'!E:E,MATCH(A36,'Fiche Lot'!A:A,0)),"")</f>
        <v>#ERROR!</v>
      </c>
      <c r="F36" s="227"/>
      <c r="G36" s="227" t="str">
        <f>IFERROR(INDEX('Fiche Lot'!H:H,MATCH(A36,'Fiche Lot'!A:A,0)),"")</f>
        <v>#ERROR!</v>
      </c>
      <c r="H36" s="227"/>
      <c r="I36" s="227"/>
      <c r="J36" s="230" t="str">
        <f>IFERROR(H36/G36,"")</f>
        <v>#ERROR!</v>
      </c>
      <c r="K36" s="281"/>
      <c r="L36" s="281"/>
      <c r="M36" s="281"/>
      <c r="N36" s="281" t="str">
        <f>IFERROR(K36-M36,"")</f>
        <v>#ERROR!</v>
      </c>
      <c r="O36" s="230" t="str">
        <f>IFERROR(N36/K36,"")</f>
        <v>#ERROR!</v>
      </c>
      <c r="P36" s="227" t="str">
        <f>IFERROR(INDEX('Fiche Lot'!J:J,MATCH(A36,'Fiche Lot'!A:A,0)),"")</f>
        <v>#ERROR!</v>
      </c>
      <c r="Q36" s="266" t="str">
        <f>IFERROR(INDEX('Fiche Lot'!L:L,MATCH(A36,'Fiche Lot'!A:A,0)),"")</f>
        <v>#ERROR!</v>
      </c>
      <c r="R36" s="227" t="str">
        <f>IFERROR(INDEX('Fiche Lot'!M:M,MATCH(A36,'Fiche Lot'!A:A,0)),"")</f>
        <v>#ERROR!</v>
      </c>
      <c r="S36" s="227" t="str">
        <f>IFERROR(INDEX('Fiche Lot'!G:G,MATCH(A36,'Fiche Lot'!A:A,0)),"")</f>
        <v>#ERROR!</v>
      </c>
      <c r="T36" s="227"/>
      <c r="U36" s="233"/>
    </row>
    <row r="37" ht="15.0" customHeight="1">
      <c r="A37" s="282"/>
      <c r="B37" s="270" t="str">
        <f>IFERROR(INDEX('Fiche Lot'!B:B,MATCH(A37,'Fiche Lot'!A:A,0)),"")</f>
        <v>#ERROR!</v>
      </c>
      <c r="C37" s="235" t="str">
        <f>IFERROR(INDEX('Fiche Lot'!C:C,MATCH(A37,'Fiche Lot'!A:A,0)),"")</f>
        <v>#ERROR!</v>
      </c>
      <c r="D37" s="235" t="str">
        <f>IFERROR(INDEX('Fiche Lot'!D:D,MATCH(A37,'Fiche Lot'!A:A,0)),"")</f>
        <v>#ERROR!</v>
      </c>
      <c r="E37" s="235" t="str">
        <f>IFERROR(INDEX('Fiche Lot'!E:E,MATCH(A37,'Fiche Lot'!A:A,0)),"")</f>
        <v>#ERROR!</v>
      </c>
      <c r="F37" s="235"/>
      <c r="G37" s="235" t="str">
        <f>IFERROR(INDEX('Fiche Lot'!H:H,MATCH(A37,'Fiche Lot'!A:A,0)),"")</f>
        <v>#ERROR!</v>
      </c>
      <c r="H37" s="235"/>
      <c r="I37" s="235"/>
      <c r="J37" s="237" t="str">
        <f>IFERROR(H37/G37,"")</f>
        <v>#ERROR!</v>
      </c>
      <c r="K37" s="283"/>
      <c r="L37" s="283"/>
      <c r="M37" s="283"/>
      <c r="N37" s="283" t="str">
        <f>IFERROR(K37-M37,"")</f>
        <v>#ERROR!</v>
      </c>
      <c r="O37" s="237" t="str">
        <f>IFERROR(N37/K37,"")</f>
        <v>#ERROR!</v>
      </c>
      <c r="P37" s="235" t="str">
        <f>IFERROR(INDEX('Fiche Lot'!J:J,MATCH(A37,'Fiche Lot'!A:A,0)),"")</f>
        <v>#ERROR!</v>
      </c>
      <c r="Q37" s="270" t="str">
        <f>IFERROR(INDEX('Fiche Lot'!L:L,MATCH(A37,'Fiche Lot'!A:A,0)),"")</f>
        <v>#ERROR!</v>
      </c>
      <c r="R37" s="235" t="str">
        <f>IFERROR(INDEX('Fiche Lot'!M:M,MATCH(A37,'Fiche Lot'!A:A,0)),"")</f>
        <v>#ERROR!</v>
      </c>
      <c r="S37" s="235" t="str">
        <f>IFERROR(INDEX('Fiche Lot'!G:G,MATCH(A37,'Fiche Lot'!A:A,0)),"")</f>
        <v>#ERROR!</v>
      </c>
      <c r="T37" s="235"/>
      <c r="U37" s="240"/>
    </row>
    <row r="38" ht="15.0" customHeight="1">
      <c r="A38" s="282"/>
      <c r="B38" s="266" t="str">
        <f>IFERROR(INDEX('Fiche Lot'!B:B,MATCH(A38,'Fiche Lot'!A:A,0)),"")</f>
        <v>#ERROR!</v>
      </c>
      <c r="C38" s="227" t="str">
        <f>IFERROR(INDEX('Fiche Lot'!C:C,MATCH(A38,'Fiche Lot'!A:A,0)),"")</f>
        <v>#ERROR!</v>
      </c>
      <c r="D38" s="227" t="str">
        <f>IFERROR(INDEX('Fiche Lot'!D:D,MATCH(A38,'Fiche Lot'!A:A,0)),"")</f>
        <v>#ERROR!</v>
      </c>
      <c r="E38" s="227" t="str">
        <f>IFERROR(INDEX('Fiche Lot'!E:E,MATCH(A38,'Fiche Lot'!A:A,0)),"")</f>
        <v>#ERROR!</v>
      </c>
      <c r="F38" s="227"/>
      <c r="G38" s="227" t="str">
        <f>IFERROR(INDEX('Fiche Lot'!H:H,MATCH(A38,'Fiche Lot'!A:A,0)),"")</f>
        <v>#ERROR!</v>
      </c>
      <c r="H38" s="227"/>
      <c r="I38" s="227"/>
      <c r="J38" s="230" t="str">
        <f>IFERROR(H38/G38,"")</f>
        <v>#ERROR!</v>
      </c>
      <c r="K38" s="281"/>
      <c r="L38" s="281"/>
      <c r="M38" s="281"/>
      <c r="N38" s="281" t="str">
        <f>IFERROR(K38-M38,"")</f>
        <v>#ERROR!</v>
      </c>
      <c r="O38" s="230" t="str">
        <f>IFERROR(N38/K38,"")</f>
        <v>#ERROR!</v>
      </c>
      <c r="P38" s="227" t="str">
        <f>IFERROR(INDEX('Fiche Lot'!J:J,MATCH(A38,'Fiche Lot'!A:A,0)),"")</f>
        <v>#ERROR!</v>
      </c>
      <c r="Q38" s="266" t="str">
        <f>IFERROR(INDEX('Fiche Lot'!L:L,MATCH(A38,'Fiche Lot'!A:A,0)),"")</f>
        <v>#ERROR!</v>
      </c>
      <c r="R38" s="227" t="str">
        <f>IFERROR(INDEX('Fiche Lot'!M:M,MATCH(A38,'Fiche Lot'!A:A,0)),"")</f>
        <v>#ERROR!</v>
      </c>
      <c r="S38" s="227" t="str">
        <f>IFERROR(INDEX('Fiche Lot'!G:G,MATCH(A38,'Fiche Lot'!A:A,0)),"")</f>
        <v>#ERROR!</v>
      </c>
      <c r="T38" s="227"/>
      <c r="U38" s="233"/>
    </row>
    <row r="39" ht="15.0" customHeight="1">
      <c r="A39" s="282"/>
      <c r="B39" s="270" t="str">
        <f>IFERROR(INDEX('Fiche Lot'!B:B,MATCH(A39,'Fiche Lot'!A:A,0)),"")</f>
        <v>#ERROR!</v>
      </c>
      <c r="C39" s="235" t="str">
        <f>IFERROR(INDEX('Fiche Lot'!C:C,MATCH(A39,'Fiche Lot'!A:A,0)),"")</f>
        <v>#ERROR!</v>
      </c>
      <c r="D39" s="235" t="str">
        <f>IFERROR(INDEX('Fiche Lot'!D:D,MATCH(A39,'Fiche Lot'!A:A,0)),"")</f>
        <v>#ERROR!</v>
      </c>
      <c r="E39" s="235" t="str">
        <f>IFERROR(INDEX('Fiche Lot'!E:E,MATCH(A39,'Fiche Lot'!A:A,0)),"")</f>
        <v>#ERROR!</v>
      </c>
      <c r="F39" s="235"/>
      <c r="G39" s="235" t="str">
        <f>IFERROR(INDEX('Fiche Lot'!H:H,MATCH(A39,'Fiche Lot'!A:A,0)),"")</f>
        <v>#ERROR!</v>
      </c>
      <c r="H39" s="235"/>
      <c r="I39" s="235"/>
      <c r="J39" s="237" t="str">
        <f>IFERROR(H39/G39,"")</f>
        <v>#ERROR!</v>
      </c>
      <c r="K39" s="283"/>
      <c r="L39" s="283"/>
      <c r="M39" s="283"/>
      <c r="N39" s="283" t="str">
        <f>IFERROR(K39-M39,"")</f>
        <v>#ERROR!</v>
      </c>
      <c r="O39" s="237" t="str">
        <f>IFERROR(N39/K39,"")</f>
        <v>#ERROR!</v>
      </c>
      <c r="P39" s="235" t="str">
        <f>IFERROR(INDEX('Fiche Lot'!J:J,MATCH(A39,'Fiche Lot'!A:A,0)),"")</f>
        <v>#ERROR!</v>
      </c>
      <c r="Q39" s="270" t="str">
        <f>IFERROR(INDEX('Fiche Lot'!L:L,MATCH(A39,'Fiche Lot'!A:A,0)),"")</f>
        <v>#ERROR!</v>
      </c>
      <c r="R39" s="235" t="str">
        <f>IFERROR(INDEX('Fiche Lot'!M:M,MATCH(A39,'Fiche Lot'!A:A,0)),"")</f>
        <v>#ERROR!</v>
      </c>
      <c r="S39" s="235" t="str">
        <f>IFERROR(INDEX('Fiche Lot'!G:G,MATCH(A39,'Fiche Lot'!A:A,0)),"")</f>
        <v>#ERROR!</v>
      </c>
      <c r="T39" s="235"/>
      <c r="U39" s="240"/>
    </row>
    <row r="40" ht="15.0" customHeight="1">
      <c r="A40" s="282"/>
      <c r="B40" s="266" t="str">
        <f>IFERROR(INDEX('Fiche Lot'!B:B,MATCH(A40,'Fiche Lot'!A:A,0)),"")</f>
        <v>#ERROR!</v>
      </c>
      <c r="C40" s="227" t="str">
        <f>IFERROR(INDEX('Fiche Lot'!C:C,MATCH(A40,'Fiche Lot'!A:A,0)),"")</f>
        <v>#ERROR!</v>
      </c>
      <c r="D40" s="227" t="str">
        <f>IFERROR(INDEX('Fiche Lot'!D:D,MATCH(A40,'Fiche Lot'!A:A,0)),"")</f>
        <v>#ERROR!</v>
      </c>
      <c r="E40" s="227" t="str">
        <f>IFERROR(INDEX('Fiche Lot'!E:E,MATCH(A40,'Fiche Lot'!A:A,0)),"")</f>
        <v>#ERROR!</v>
      </c>
      <c r="F40" s="227"/>
      <c r="G40" s="227" t="str">
        <f>IFERROR(INDEX('Fiche Lot'!H:H,MATCH(A40,'Fiche Lot'!A:A,0)),"")</f>
        <v>#ERROR!</v>
      </c>
      <c r="H40" s="227"/>
      <c r="I40" s="227"/>
      <c r="J40" s="230" t="str">
        <f>IFERROR(H40/G40,"")</f>
        <v>#ERROR!</v>
      </c>
      <c r="K40" s="281"/>
      <c r="L40" s="281"/>
      <c r="M40" s="281"/>
      <c r="N40" s="281" t="str">
        <f>IFERROR(K40-M40,"")</f>
        <v>#ERROR!</v>
      </c>
      <c r="O40" s="230" t="str">
        <f>IFERROR(N40/K40,"")</f>
        <v>#ERROR!</v>
      </c>
      <c r="P40" s="227" t="str">
        <f>IFERROR(INDEX('Fiche Lot'!J:J,MATCH(A40,'Fiche Lot'!A:A,0)),"")</f>
        <v>#ERROR!</v>
      </c>
      <c r="Q40" s="266" t="str">
        <f>IFERROR(INDEX('Fiche Lot'!L:L,MATCH(A40,'Fiche Lot'!A:A,0)),"")</f>
        <v>#ERROR!</v>
      </c>
      <c r="R40" s="227" t="str">
        <f>IFERROR(INDEX('Fiche Lot'!M:M,MATCH(A40,'Fiche Lot'!A:A,0)),"")</f>
        <v>#ERROR!</v>
      </c>
      <c r="S40" s="227" t="str">
        <f>IFERROR(INDEX('Fiche Lot'!G:G,MATCH(A40,'Fiche Lot'!A:A,0)),"")</f>
        <v>#ERROR!</v>
      </c>
      <c r="T40" s="227"/>
      <c r="U40" s="233"/>
    </row>
    <row r="41" ht="15.0" customHeight="1">
      <c r="A41" s="282"/>
      <c r="B41" s="270" t="str">
        <f>IFERROR(INDEX('Fiche Lot'!B:B,MATCH(A41,'Fiche Lot'!A:A,0)),"")</f>
        <v>#ERROR!</v>
      </c>
      <c r="C41" s="235" t="str">
        <f>IFERROR(INDEX('Fiche Lot'!C:C,MATCH(A41,'Fiche Lot'!A:A,0)),"")</f>
        <v>#ERROR!</v>
      </c>
      <c r="D41" s="235" t="str">
        <f>IFERROR(INDEX('Fiche Lot'!D:D,MATCH(A41,'Fiche Lot'!A:A,0)),"")</f>
        <v>#ERROR!</v>
      </c>
      <c r="E41" s="235" t="str">
        <f>IFERROR(INDEX('Fiche Lot'!E:E,MATCH(A41,'Fiche Lot'!A:A,0)),"")</f>
        <v>#ERROR!</v>
      </c>
      <c r="F41" s="235"/>
      <c r="G41" s="235" t="str">
        <f>IFERROR(INDEX('Fiche Lot'!H:H,MATCH(A41,'Fiche Lot'!A:A,0)),"")</f>
        <v>#ERROR!</v>
      </c>
      <c r="H41" s="235"/>
      <c r="I41" s="235"/>
      <c r="J41" s="237" t="str">
        <f>IFERROR(H41/G41,"")</f>
        <v>#ERROR!</v>
      </c>
      <c r="K41" s="283"/>
      <c r="L41" s="283"/>
      <c r="M41" s="283"/>
      <c r="N41" s="283" t="str">
        <f>IFERROR(K41-M41,"")</f>
        <v>#ERROR!</v>
      </c>
      <c r="O41" s="237" t="str">
        <f>IFERROR(N41/K41,"")</f>
        <v>#ERROR!</v>
      </c>
      <c r="P41" s="235" t="str">
        <f>IFERROR(INDEX('Fiche Lot'!J:J,MATCH(A41,'Fiche Lot'!A:A,0)),"")</f>
        <v>#ERROR!</v>
      </c>
      <c r="Q41" s="270" t="str">
        <f>IFERROR(INDEX('Fiche Lot'!L:L,MATCH(A41,'Fiche Lot'!A:A,0)),"")</f>
        <v>#ERROR!</v>
      </c>
      <c r="R41" s="235" t="str">
        <f>IFERROR(INDEX('Fiche Lot'!M:M,MATCH(A41,'Fiche Lot'!A:A,0)),"")</f>
        <v>#ERROR!</v>
      </c>
      <c r="S41" s="235" t="str">
        <f>IFERROR(INDEX('Fiche Lot'!G:G,MATCH(A41,'Fiche Lot'!A:A,0)),"")</f>
        <v>#ERROR!</v>
      </c>
      <c r="T41" s="235"/>
      <c r="U41" s="240"/>
    </row>
    <row r="42" ht="15.0" customHeight="1">
      <c r="A42" s="282"/>
      <c r="B42" s="266" t="str">
        <f>IFERROR(INDEX('Fiche Lot'!B:B,MATCH(A42,'Fiche Lot'!A:A,0)),"")</f>
        <v>#ERROR!</v>
      </c>
      <c r="C42" s="227" t="str">
        <f>IFERROR(INDEX('Fiche Lot'!C:C,MATCH(A42,'Fiche Lot'!A:A,0)),"")</f>
        <v>#ERROR!</v>
      </c>
      <c r="D42" s="227" t="str">
        <f>IFERROR(INDEX('Fiche Lot'!D:D,MATCH(A42,'Fiche Lot'!A:A,0)),"")</f>
        <v>#ERROR!</v>
      </c>
      <c r="E42" s="227" t="str">
        <f>IFERROR(INDEX('Fiche Lot'!E:E,MATCH(A42,'Fiche Lot'!A:A,0)),"")</f>
        <v>#ERROR!</v>
      </c>
      <c r="F42" s="227"/>
      <c r="G42" s="227" t="str">
        <f>IFERROR(INDEX('Fiche Lot'!H:H,MATCH(A42,'Fiche Lot'!A:A,0)),"")</f>
        <v>#ERROR!</v>
      </c>
      <c r="H42" s="227"/>
      <c r="I42" s="227"/>
      <c r="J42" s="230" t="str">
        <f>IFERROR(H42/G42,"")</f>
        <v>#ERROR!</v>
      </c>
      <c r="K42" s="281"/>
      <c r="L42" s="281"/>
      <c r="M42" s="281"/>
      <c r="N42" s="281" t="str">
        <f>IFERROR(K42-M42,"")</f>
        <v>#ERROR!</v>
      </c>
      <c r="O42" s="230" t="str">
        <f>IFERROR(N42/K42,"")</f>
        <v>#ERROR!</v>
      </c>
      <c r="P42" s="227" t="str">
        <f>IFERROR(INDEX('Fiche Lot'!J:J,MATCH(A42,'Fiche Lot'!A:A,0)),"")</f>
        <v>#ERROR!</v>
      </c>
      <c r="Q42" s="266" t="str">
        <f>IFERROR(INDEX('Fiche Lot'!L:L,MATCH(A42,'Fiche Lot'!A:A,0)),"")</f>
        <v>#ERROR!</v>
      </c>
      <c r="R42" s="227" t="str">
        <f>IFERROR(INDEX('Fiche Lot'!M:M,MATCH(A42,'Fiche Lot'!A:A,0)),"")</f>
        <v>#ERROR!</v>
      </c>
      <c r="S42" s="227" t="str">
        <f>IFERROR(INDEX('Fiche Lot'!G:G,MATCH(A42,'Fiche Lot'!A:A,0)),"")</f>
        <v>#ERROR!</v>
      </c>
      <c r="T42" s="227"/>
      <c r="U42" s="233"/>
    </row>
    <row r="43" ht="15.0" customHeight="1">
      <c r="A43" s="282"/>
      <c r="B43" s="270" t="str">
        <f>IFERROR(INDEX('Fiche Lot'!B:B,MATCH(A43,'Fiche Lot'!A:A,0)),"")</f>
        <v>#ERROR!</v>
      </c>
      <c r="C43" s="235" t="str">
        <f>IFERROR(INDEX('Fiche Lot'!C:C,MATCH(A43,'Fiche Lot'!A:A,0)),"")</f>
        <v>#ERROR!</v>
      </c>
      <c r="D43" s="235" t="str">
        <f>IFERROR(INDEX('Fiche Lot'!D:D,MATCH(A43,'Fiche Lot'!A:A,0)),"")</f>
        <v>#ERROR!</v>
      </c>
      <c r="E43" s="235" t="str">
        <f>IFERROR(INDEX('Fiche Lot'!E:E,MATCH(A43,'Fiche Lot'!A:A,0)),"")</f>
        <v>#ERROR!</v>
      </c>
      <c r="F43" s="235"/>
      <c r="G43" s="235" t="str">
        <f>IFERROR(INDEX('Fiche Lot'!H:H,MATCH(A43,'Fiche Lot'!A:A,0)),"")</f>
        <v>#ERROR!</v>
      </c>
      <c r="H43" s="235"/>
      <c r="I43" s="235"/>
      <c r="J43" s="237" t="str">
        <f>IFERROR(H43/G43,"")</f>
        <v>#ERROR!</v>
      </c>
      <c r="K43" s="283"/>
      <c r="L43" s="283"/>
      <c r="M43" s="283"/>
      <c r="N43" s="283" t="str">
        <f>IFERROR(K43-M43,"")</f>
        <v>#ERROR!</v>
      </c>
      <c r="O43" s="237" t="str">
        <f>IFERROR(N43/K43,"")</f>
        <v>#ERROR!</v>
      </c>
      <c r="P43" s="235" t="str">
        <f>IFERROR(INDEX('Fiche Lot'!J:J,MATCH(A43,'Fiche Lot'!A:A,0)),"")</f>
        <v>#ERROR!</v>
      </c>
      <c r="Q43" s="270" t="str">
        <f>IFERROR(INDEX('Fiche Lot'!L:L,MATCH(A43,'Fiche Lot'!A:A,0)),"")</f>
        <v>#ERROR!</v>
      </c>
      <c r="R43" s="235" t="str">
        <f>IFERROR(INDEX('Fiche Lot'!M:M,MATCH(A43,'Fiche Lot'!A:A,0)),"")</f>
        <v>#ERROR!</v>
      </c>
      <c r="S43" s="235" t="str">
        <f>IFERROR(INDEX('Fiche Lot'!G:G,MATCH(A43,'Fiche Lot'!A:A,0)),"")</f>
        <v>#ERROR!</v>
      </c>
      <c r="T43" s="235"/>
      <c r="U43" s="240"/>
    </row>
    <row r="44" ht="15.0" customHeight="1">
      <c r="A44" s="282"/>
      <c r="B44" s="266" t="str">
        <f>IFERROR(INDEX('Fiche Lot'!B:B,MATCH(A44,'Fiche Lot'!A:A,0)),"")</f>
        <v>#ERROR!</v>
      </c>
      <c r="C44" s="227" t="str">
        <f>IFERROR(INDEX('Fiche Lot'!C:C,MATCH(A44,'Fiche Lot'!A:A,0)),"")</f>
        <v>#ERROR!</v>
      </c>
      <c r="D44" s="227" t="str">
        <f>IFERROR(INDEX('Fiche Lot'!D:D,MATCH(A44,'Fiche Lot'!A:A,0)),"")</f>
        <v>#ERROR!</v>
      </c>
      <c r="E44" s="227" t="str">
        <f>IFERROR(INDEX('Fiche Lot'!E:E,MATCH(A44,'Fiche Lot'!A:A,0)),"")</f>
        <v>#ERROR!</v>
      </c>
      <c r="F44" s="227"/>
      <c r="G44" s="227" t="str">
        <f>IFERROR(INDEX('Fiche Lot'!H:H,MATCH(A44,'Fiche Lot'!A:A,0)),"")</f>
        <v>#ERROR!</v>
      </c>
      <c r="H44" s="227"/>
      <c r="I44" s="227"/>
      <c r="J44" s="230" t="str">
        <f>IFERROR(H44/G44,"")</f>
        <v>#ERROR!</v>
      </c>
      <c r="K44" s="281"/>
      <c r="L44" s="281"/>
      <c r="M44" s="281"/>
      <c r="N44" s="281" t="str">
        <f>IFERROR(K44-M44,"")</f>
        <v>#ERROR!</v>
      </c>
      <c r="O44" s="230" t="str">
        <f>IFERROR(N44/K44,"")</f>
        <v>#ERROR!</v>
      </c>
      <c r="P44" s="227" t="str">
        <f>IFERROR(INDEX('Fiche Lot'!J:J,MATCH(A44,'Fiche Lot'!A:A,0)),"")</f>
        <v>#ERROR!</v>
      </c>
      <c r="Q44" s="266" t="str">
        <f>IFERROR(INDEX('Fiche Lot'!L:L,MATCH(A44,'Fiche Lot'!A:A,0)),"")</f>
        <v>#ERROR!</v>
      </c>
      <c r="R44" s="227" t="str">
        <f>IFERROR(INDEX('Fiche Lot'!M:M,MATCH(A44,'Fiche Lot'!A:A,0)),"")</f>
        <v>#ERROR!</v>
      </c>
      <c r="S44" s="227" t="str">
        <f>IFERROR(INDEX('Fiche Lot'!G:G,MATCH(A44,'Fiche Lot'!A:A,0)),"")</f>
        <v>#ERROR!</v>
      </c>
      <c r="T44" s="227"/>
      <c r="U44" s="233"/>
    </row>
    <row r="45" ht="15.0" customHeight="1">
      <c r="A45" s="282"/>
      <c r="B45" s="270" t="str">
        <f>IFERROR(INDEX('Fiche Lot'!B:B,MATCH(A45,'Fiche Lot'!A:A,0)),"")</f>
        <v>#ERROR!</v>
      </c>
      <c r="C45" s="235" t="str">
        <f>IFERROR(INDEX('Fiche Lot'!C:C,MATCH(A45,'Fiche Lot'!A:A,0)),"")</f>
        <v>#ERROR!</v>
      </c>
      <c r="D45" s="235" t="str">
        <f>IFERROR(INDEX('Fiche Lot'!D:D,MATCH(A45,'Fiche Lot'!A:A,0)),"")</f>
        <v>#ERROR!</v>
      </c>
      <c r="E45" s="235" t="str">
        <f>IFERROR(INDEX('Fiche Lot'!E:E,MATCH(A45,'Fiche Lot'!A:A,0)),"")</f>
        <v>#ERROR!</v>
      </c>
      <c r="F45" s="235"/>
      <c r="G45" s="235" t="str">
        <f>IFERROR(INDEX('Fiche Lot'!H:H,MATCH(A45,'Fiche Lot'!A:A,0)),"")</f>
        <v>#ERROR!</v>
      </c>
      <c r="H45" s="235"/>
      <c r="I45" s="235"/>
      <c r="J45" s="237" t="str">
        <f>IFERROR(H45/G45,"")</f>
        <v>#ERROR!</v>
      </c>
      <c r="K45" s="283"/>
      <c r="L45" s="283"/>
      <c r="M45" s="283"/>
      <c r="N45" s="283" t="str">
        <f>IFERROR(K45-M45,"")</f>
        <v>#ERROR!</v>
      </c>
      <c r="O45" s="237" t="str">
        <f>IFERROR(N45/K45,"")</f>
        <v>#ERROR!</v>
      </c>
      <c r="P45" s="235" t="str">
        <f>IFERROR(INDEX('Fiche Lot'!J:J,MATCH(A45,'Fiche Lot'!A:A,0)),"")</f>
        <v>#ERROR!</v>
      </c>
      <c r="Q45" s="270" t="str">
        <f>IFERROR(INDEX('Fiche Lot'!L:L,MATCH(A45,'Fiche Lot'!A:A,0)),"")</f>
        <v>#ERROR!</v>
      </c>
      <c r="R45" s="235" t="str">
        <f>IFERROR(INDEX('Fiche Lot'!M:M,MATCH(A45,'Fiche Lot'!A:A,0)),"")</f>
        <v>#ERROR!</v>
      </c>
      <c r="S45" s="235" t="str">
        <f>IFERROR(INDEX('Fiche Lot'!G:G,MATCH(A45,'Fiche Lot'!A:A,0)),"")</f>
        <v>#ERROR!</v>
      </c>
      <c r="T45" s="235"/>
      <c r="U45" s="240"/>
    </row>
    <row r="46" ht="15.0" customHeight="1">
      <c r="A46" s="282"/>
      <c r="B46" s="266" t="str">
        <f>IFERROR(INDEX('Fiche Lot'!B:B,MATCH(A46,'Fiche Lot'!A:A,0)),"")</f>
        <v>#ERROR!</v>
      </c>
      <c r="C46" s="227" t="str">
        <f>IFERROR(INDEX('Fiche Lot'!C:C,MATCH(A46,'Fiche Lot'!A:A,0)),"")</f>
        <v>#ERROR!</v>
      </c>
      <c r="D46" s="227" t="str">
        <f>IFERROR(INDEX('Fiche Lot'!D:D,MATCH(A46,'Fiche Lot'!A:A,0)),"")</f>
        <v>#ERROR!</v>
      </c>
      <c r="E46" s="227" t="str">
        <f>IFERROR(INDEX('Fiche Lot'!E:E,MATCH(A46,'Fiche Lot'!A:A,0)),"")</f>
        <v>#ERROR!</v>
      </c>
      <c r="F46" s="227"/>
      <c r="G46" s="227" t="str">
        <f>IFERROR(INDEX('Fiche Lot'!H:H,MATCH(A46,'Fiche Lot'!A:A,0)),"")</f>
        <v>#ERROR!</v>
      </c>
      <c r="H46" s="227"/>
      <c r="I46" s="227"/>
      <c r="J46" s="230" t="str">
        <f>IFERROR(H46/G46,"")</f>
        <v>#ERROR!</v>
      </c>
      <c r="K46" s="281"/>
      <c r="L46" s="281"/>
      <c r="M46" s="281"/>
      <c r="N46" s="281" t="str">
        <f>IFERROR(K46-M46,"")</f>
        <v>#ERROR!</v>
      </c>
      <c r="O46" s="230" t="str">
        <f>IFERROR(N46/K46,"")</f>
        <v>#ERROR!</v>
      </c>
      <c r="P46" s="227" t="str">
        <f>IFERROR(INDEX('Fiche Lot'!J:J,MATCH(A46,'Fiche Lot'!A:A,0)),"")</f>
        <v>#ERROR!</v>
      </c>
      <c r="Q46" s="266" t="str">
        <f>IFERROR(INDEX('Fiche Lot'!L:L,MATCH(A46,'Fiche Lot'!A:A,0)),"")</f>
        <v>#ERROR!</v>
      </c>
      <c r="R46" s="227" t="str">
        <f>IFERROR(INDEX('Fiche Lot'!M:M,MATCH(A46,'Fiche Lot'!A:A,0)),"")</f>
        <v>#ERROR!</v>
      </c>
      <c r="S46" s="227" t="str">
        <f>IFERROR(INDEX('Fiche Lot'!G:G,MATCH(A46,'Fiche Lot'!A:A,0)),"")</f>
        <v>#ERROR!</v>
      </c>
      <c r="T46" s="227"/>
      <c r="U46" s="233"/>
    </row>
    <row r="47" ht="15.0" customHeight="1">
      <c r="A47" s="282"/>
      <c r="B47" s="270" t="str">
        <f>IFERROR(INDEX('Fiche Lot'!B:B,MATCH(A47,'Fiche Lot'!A:A,0)),"")</f>
        <v>#ERROR!</v>
      </c>
      <c r="C47" s="235" t="str">
        <f>IFERROR(INDEX('Fiche Lot'!C:C,MATCH(A47,'Fiche Lot'!A:A,0)),"")</f>
        <v>#ERROR!</v>
      </c>
      <c r="D47" s="235" t="str">
        <f>IFERROR(INDEX('Fiche Lot'!D:D,MATCH(A47,'Fiche Lot'!A:A,0)),"")</f>
        <v>#ERROR!</v>
      </c>
      <c r="E47" s="235" t="str">
        <f>IFERROR(INDEX('Fiche Lot'!E:E,MATCH(A47,'Fiche Lot'!A:A,0)),"")</f>
        <v>#ERROR!</v>
      </c>
      <c r="F47" s="235"/>
      <c r="G47" s="235" t="str">
        <f>IFERROR(INDEX('Fiche Lot'!H:H,MATCH(A47,'Fiche Lot'!A:A,0)),"")</f>
        <v>#ERROR!</v>
      </c>
      <c r="H47" s="235"/>
      <c r="I47" s="235"/>
      <c r="J47" s="237" t="str">
        <f>IFERROR(H47/G47,"")</f>
        <v>#ERROR!</v>
      </c>
      <c r="K47" s="283"/>
      <c r="L47" s="283"/>
      <c r="M47" s="283"/>
      <c r="N47" s="283" t="str">
        <f>IFERROR(K47-M47,"")</f>
        <v>#ERROR!</v>
      </c>
      <c r="O47" s="237" t="str">
        <f>IFERROR(N47/K47,"")</f>
        <v>#ERROR!</v>
      </c>
      <c r="P47" s="235" t="str">
        <f>IFERROR(INDEX('Fiche Lot'!J:J,MATCH(A47,'Fiche Lot'!A:A,0)),"")</f>
        <v>#ERROR!</v>
      </c>
      <c r="Q47" s="270" t="str">
        <f>IFERROR(INDEX('Fiche Lot'!L:L,MATCH(A47,'Fiche Lot'!A:A,0)),"")</f>
        <v>#ERROR!</v>
      </c>
      <c r="R47" s="235" t="str">
        <f>IFERROR(INDEX('Fiche Lot'!M:M,MATCH(A47,'Fiche Lot'!A:A,0)),"")</f>
        <v>#ERROR!</v>
      </c>
      <c r="S47" s="235" t="str">
        <f>IFERROR(INDEX('Fiche Lot'!G:G,MATCH(A47,'Fiche Lot'!A:A,0)),"")</f>
        <v>#ERROR!</v>
      </c>
      <c r="T47" s="235"/>
      <c r="U47" s="240"/>
    </row>
    <row r="48" ht="15.0" customHeight="1">
      <c r="A48" s="282"/>
      <c r="B48" s="266" t="str">
        <f>IFERROR(INDEX('Fiche Lot'!B:B,MATCH(A48,'Fiche Lot'!A:A,0)),"")</f>
        <v>#ERROR!</v>
      </c>
      <c r="C48" s="227" t="str">
        <f>IFERROR(INDEX('Fiche Lot'!C:C,MATCH(A48,'Fiche Lot'!A:A,0)),"")</f>
        <v>#ERROR!</v>
      </c>
      <c r="D48" s="227" t="str">
        <f>IFERROR(INDEX('Fiche Lot'!D:D,MATCH(A48,'Fiche Lot'!A:A,0)),"")</f>
        <v>#ERROR!</v>
      </c>
      <c r="E48" s="227" t="str">
        <f>IFERROR(INDEX('Fiche Lot'!E:E,MATCH(A48,'Fiche Lot'!A:A,0)),"")</f>
        <v>#ERROR!</v>
      </c>
      <c r="F48" s="227"/>
      <c r="G48" s="227" t="str">
        <f>IFERROR(INDEX('Fiche Lot'!H:H,MATCH(A48,'Fiche Lot'!A:A,0)),"")</f>
        <v>#ERROR!</v>
      </c>
      <c r="H48" s="227"/>
      <c r="I48" s="227"/>
      <c r="J48" s="230" t="str">
        <f>IFERROR(H48/G48,"")</f>
        <v>#ERROR!</v>
      </c>
      <c r="K48" s="281"/>
      <c r="L48" s="281"/>
      <c r="M48" s="281"/>
      <c r="N48" s="281" t="str">
        <f>IFERROR(K48-M48,"")</f>
        <v>#ERROR!</v>
      </c>
      <c r="O48" s="230" t="str">
        <f>IFERROR(N48/K48,"")</f>
        <v>#ERROR!</v>
      </c>
      <c r="P48" s="227" t="str">
        <f>IFERROR(INDEX('Fiche Lot'!J:J,MATCH(A48,'Fiche Lot'!A:A,0)),"")</f>
        <v>#ERROR!</v>
      </c>
      <c r="Q48" s="266" t="str">
        <f>IFERROR(INDEX('Fiche Lot'!L:L,MATCH(A48,'Fiche Lot'!A:A,0)),"")</f>
        <v>#ERROR!</v>
      </c>
      <c r="R48" s="227" t="str">
        <f>IFERROR(INDEX('Fiche Lot'!M:M,MATCH(A48,'Fiche Lot'!A:A,0)),"")</f>
        <v>#ERROR!</v>
      </c>
      <c r="S48" s="227" t="str">
        <f>IFERROR(INDEX('Fiche Lot'!G:G,MATCH(A48,'Fiche Lot'!A:A,0)),"")</f>
        <v>#ERROR!</v>
      </c>
      <c r="T48" s="227"/>
      <c r="U48" s="233"/>
    </row>
    <row r="49" ht="15.0" customHeight="1">
      <c r="A49" s="282"/>
      <c r="B49" s="270" t="str">
        <f>IFERROR(INDEX('Fiche Lot'!B:B,MATCH(A49,'Fiche Lot'!A:A,0)),"")</f>
        <v>#ERROR!</v>
      </c>
      <c r="C49" s="235" t="str">
        <f>IFERROR(INDEX('Fiche Lot'!C:C,MATCH(A49,'Fiche Lot'!A:A,0)),"")</f>
        <v>#ERROR!</v>
      </c>
      <c r="D49" s="235" t="str">
        <f>IFERROR(INDEX('Fiche Lot'!D:D,MATCH(A49,'Fiche Lot'!A:A,0)),"")</f>
        <v>#ERROR!</v>
      </c>
      <c r="E49" s="235" t="str">
        <f>IFERROR(INDEX('Fiche Lot'!E:E,MATCH(A49,'Fiche Lot'!A:A,0)),"")</f>
        <v>#ERROR!</v>
      </c>
      <c r="F49" s="235"/>
      <c r="G49" s="235" t="str">
        <f>IFERROR(INDEX('Fiche Lot'!H:H,MATCH(A49,'Fiche Lot'!A:A,0)),"")</f>
        <v>#ERROR!</v>
      </c>
      <c r="H49" s="235"/>
      <c r="I49" s="235"/>
      <c r="J49" s="237" t="str">
        <f>IFERROR(H49/G49,"")</f>
        <v>#ERROR!</v>
      </c>
      <c r="K49" s="283"/>
      <c r="L49" s="283"/>
      <c r="M49" s="283"/>
      <c r="N49" s="283" t="str">
        <f>IFERROR(K49-M49,"")</f>
        <v>#ERROR!</v>
      </c>
      <c r="O49" s="237" t="str">
        <f>IFERROR(N49/K49,"")</f>
        <v>#ERROR!</v>
      </c>
      <c r="P49" s="235" t="str">
        <f>IFERROR(INDEX('Fiche Lot'!J:J,MATCH(A49,'Fiche Lot'!A:A,0)),"")</f>
        <v>#ERROR!</v>
      </c>
      <c r="Q49" s="270" t="str">
        <f>IFERROR(INDEX('Fiche Lot'!L:L,MATCH(A49,'Fiche Lot'!A:A,0)),"")</f>
        <v>#ERROR!</v>
      </c>
      <c r="R49" s="235" t="str">
        <f>IFERROR(INDEX('Fiche Lot'!M:M,MATCH(A49,'Fiche Lot'!A:A,0)),"")</f>
        <v>#ERROR!</v>
      </c>
      <c r="S49" s="235" t="str">
        <f>IFERROR(INDEX('Fiche Lot'!G:G,MATCH(A49,'Fiche Lot'!A:A,0)),"")</f>
        <v>#ERROR!</v>
      </c>
      <c r="T49" s="235"/>
      <c r="U49" s="240"/>
    </row>
    <row r="50" ht="15.0" customHeight="1">
      <c r="A50" s="282"/>
      <c r="B50" s="266" t="str">
        <f>IFERROR(INDEX('Fiche Lot'!B:B,MATCH(A50,'Fiche Lot'!A:A,0)),"")</f>
        <v>#ERROR!</v>
      </c>
      <c r="C50" s="227" t="str">
        <f>IFERROR(INDEX('Fiche Lot'!C:C,MATCH(A50,'Fiche Lot'!A:A,0)),"")</f>
        <v>#ERROR!</v>
      </c>
      <c r="D50" s="227" t="str">
        <f>IFERROR(INDEX('Fiche Lot'!D:D,MATCH(A50,'Fiche Lot'!A:A,0)),"")</f>
        <v>#ERROR!</v>
      </c>
      <c r="E50" s="227" t="str">
        <f>IFERROR(INDEX('Fiche Lot'!E:E,MATCH(A50,'Fiche Lot'!A:A,0)),"")</f>
        <v>#ERROR!</v>
      </c>
      <c r="F50" s="227"/>
      <c r="G50" s="227" t="str">
        <f>IFERROR(INDEX('Fiche Lot'!H:H,MATCH(A50,'Fiche Lot'!A:A,0)),"")</f>
        <v>#ERROR!</v>
      </c>
      <c r="H50" s="227"/>
      <c r="I50" s="227"/>
      <c r="J50" s="230" t="str">
        <f>IFERROR(H50/G50,"")</f>
        <v>#ERROR!</v>
      </c>
      <c r="K50" s="281"/>
      <c r="L50" s="281"/>
      <c r="M50" s="281"/>
      <c r="N50" s="281" t="str">
        <f>IFERROR(K50-M50,"")</f>
        <v>#ERROR!</v>
      </c>
      <c r="O50" s="230" t="str">
        <f>IFERROR(N50/K50,"")</f>
        <v>#ERROR!</v>
      </c>
      <c r="P50" s="227" t="str">
        <f>IFERROR(INDEX('Fiche Lot'!J:J,MATCH(A50,'Fiche Lot'!A:A,0)),"")</f>
        <v>#ERROR!</v>
      </c>
      <c r="Q50" s="266" t="str">
        <f>IFERROR(INDEX('Fiche Lot'!L:L,MATCH(A50,'Fiche Lot'!A:A,0)),"")</f>
        <v>#ERROR!</v>
      </c>
      <c r="R50" s="227" t="str">
        <f>IFERROR(INDEX('Fiche Lot'!M:M,MATCH(A50,'Fiche Lot'!A:A,0)),"")</f>
        <v>#ERROR!</v>
      </c>
      <c r="S50" s="227" t="str">
        <f>IFERROR(INDEX('Fiche Lot'!G:G,MATCH(A50,'Fiche Lot'!A:A,0)),"")</f>
        <v>#ERROR!</v>
      </c>
      <c r="T50" s="227"/>
      <c r="U50" s="233"/>
    </row>
    <row r="51" ht="15.0" customHeight="1">
      <c r="A51" s="282"/>
      <c r="B51" s="270" t="str">
        <f>IFERROR(INDEX('Fiche Lot'!B:B,MATCH(A51,'Fiche Lot'!A:A,0)),"")</f>
        <v>#ERROR!</v>
      </c>
      <c r="C51" s="235" t="str">
        <f>IFERROR(INDEX('Fiche Lot'!C:C,MATCH(A51,'Fiche Lot'!A:A,0)),"")</f>
        <v>#ERROR!</v>
      </c>
      <c r="D51" s="235" t="str">
        <f>IFERROR(INDEX('Fiche Lot'!D:D,MATCH(A51,'Fiche Lot'!A:A,0)),"")</f>
        <v>#ERROR!</v>
      </c>
      <c r="E51" s="235" t="str">
        <f>IFERROR(INDEX('Fiche Lot'!E:E,MATCH(A51,'Fiche Lot'!A:A,0)),"")</f>
        <v>#ERROR!</v>
      </c>
      <c r="F51" s="235"/>
      <c r="G51" s="235" t="str">
        <f>IFERROR(INDEX('Fiche Lot'!H:H,MATCH(A51,'Fiche Lot'!A:A,0)),"")</f>
        <v>#ERROR!</v>
      </c>
      <c r="H51" s="235"/>
      <c r="I51" s="235"/>
      <c r="J51" s="237" t="str">
        <f>IFERROR(H51/G51,"")</f>
        <v>#ERROR!</v>
      </c>
      <c r="K51" s="283"/>
      <c r="L51" s="283"/>
      <c r="M51" s="283"/>
      <c r="N51" s="283" t="str">
        <f>IFERROR(K51-M51,"")</f>
        <v>#ERROR!</v>
      </c>
      <c r="O51" s="237" t="str">
        <f>IFERROR(N51/K51,"")</f>
        <v>#ERROR!</v>
      </c>
      <c r="P51" s="235" t="str">
        <f>IFERROR(INDEX('Fiche Lot'!J:J,MATCH(A51,'Fiche Lot'!A:A,0)),"")</f>
        <v>#ERROR!</v>
      </c>
      <c r="Q51" s="270" t="str">
        <f>IFERROR(INDEX('Fiche Lot'!L:L,MATCH(A51,'Fiche Lot'!A:A,0)),"")</f>
        <v>#ERROR!</v>
      </c>
      <c r="R51" s="235" t="str">
        <f>IFERROR(INDEX('Fiche Lot'!M:M,MATCH(A51,'Fiche Lot'!A:A,0)),"")</f>
        <v>#ERROR!</v>
      </c>
      <c r="S51" s="235" t="str">
        <f>IFERROR(INDEX('Fiche Lot'!G:G,MATCH(A51,'Fiche Lot'!A:A,0)),"")</f>
        <v>#ERROR!</v>
      </c>
      <c r="T51" s="235"/>
      <c r="U51" s="240"/>
    </row>
    <row r="52" ht="15.0" customHeight="1">
      <c r="A52" s="282"/>
      <c r="B52" s="266" t="str">
        <f>IFERROR(INDEX('Fiche Lot'!B:B,MATCH(A52,'Fiche Lot'!A:A,0)),"")</f>
        <v>#ERROR!</v>
      </c>
      <c r="C52" s="227" t="str">
        <f>IFERROR(INDEX('Fiche Lot'!C:C,MATCH(A52,'Fiche Lot'!A:A,0)),"")</f>
        <v>#ERROR!</v>
      </c>
      <c r="D52" s="227" t="str">
        <f>IFERROR(INDEX('Fiche Lot'!D:D,MATCH(A52,'Fiche Lot'!A:A,0)),"")</f>
        <v>#ERROR!</v>
      </c>
      <c r="E52" s="227" t="str">
        <f>IFERROR(INDEX('Fiche Lot'!E:E,MATCH(A52,'Fiche Lot'!A:A,0)),"")</f>
        <v>#ERROR!</v>
      </c>
      <c r="F52" s="227"/>
      <c r="G52" s="227" t="str">
        <f>IFERROR(INDEX('Fiche Lot'!H:H,MATCH(A52,'Fiche Lot'!A:A,0)),"")</f>
        <v>#ERROR!</v>
      </c>
      <c r="H52" s="227"/>
      <c r="I52" s="227"/>
      <c r="J52" s="230" t="str">
        <f>IFERROR(H52/G52,"")</f>
        <v>#ERROR!</v>
      </c>
      <c r="K52" s="281"/>
      <c r="L52" s="281"/>
      <c r="M52" s="281"/>
      <c r="N52" s="281" t="str">
        <f>IFERROR(K52-M52,"")</f>
        <v>#ERROR!</v>
      </c>
      <c r="O52" s="230" t="str">
        <f>IFERROR(N52/K52,"")</f>
        <v>#ERROR!</v>
      </c>
      <c r="P52" s="227" t="str">
        <f>IFERROR(INDEX('Fiche Lot'!J:J,MATCH(A52,'Fiche Lot'!A:A,0)),"")</f>
        <v>#ERROR!</v>
      </c>
      <c r="Q52" s="266" t="str">
        <f>IFERROR(INDEX('Fiche Lot'!L:L,MATCH(A52,'Fiche Lot'!A:A,0)),"")</f>
        <v>#ERROR!</v>
      </c>
      <c r="R52" s="227" t="str">
        <f>IFERROR(INDEX('Fiche Lot'!M:M,MATCH(A52,'Fiche Lot'!A:A,0)),"")</f>
        <v>#ERROR!</v>
      </c>
      <c r="S52" s="227" t="str">
        <f>IFERROR(INDEX('Fiche Lot'!G:G,MATCH(A52,'Fiche Lot'!A:A,0)),"")</f>
        <v>#ERROR!</v>
      </c>
      <c r="T52" s="227"/>
      <c r="U52" s="233"/>
    </row>
    <row r="53" ht="15.0" customHeight="1">
      <c r="A53" s="282"/>
      <c r="B53" s="270" t="str">
        <f>IFERROR(INDEX('Fiche Lot'!B:B,MATCH(A53,'Fiche Lot'!A:A,0)),"")</f>
        <v>#ERROR!</v>
      </c>
      <c r="C53" s="235" t="str">
        <f>IFERROR(INDEX('Fiche Lot'!C:C,MATCH(A53,'Fiche Lot'!A:A,0)),"")</f>
        <v>#ERROR!</v>
      </c>
      <c r="D53" s="235" t="str">
        <f>IFERROR(INDEX('Fiche Lot'!D:D,MATCH(A53,'Fiche Lot'!A:A,0)),"")</f>
        <v>#ERROR!</v>
      </c>
      <c r="E53" s="235" t="str">
        <f>IFERROR(INDEX('Fiche Lot'!E:E,MATCH(A53,'Fiche Lot'!A:A,0)),"")</f>
        <v>#ERROR!</v>
      </c>
      <c r="F53" s="235"/>
      <c r="G53" s="235" t="str">
        <f>IFERROR(INDEX('Fiche Lot'!H:H,MATCH(A53,'Fiche Lot'!A:A,0)),"")</f>
        <v>#ERROR!</v>
      </c>
      <c r="H53" s="235"/>
      <c r="I53" s="235"/>
      <c r="J53" s="237" t="str">
        <f>IFERROR(H53/G53,"")</f>
        <v>#ERROR!</v>
      </c>
      <c r="K53" s="283"/>
      <c r="L53" s="283"/>
      <c r="M53" s="283"/>
      <c r="N53" s="283" t="str">
        <f>IFERROR(K53-M53,"")</f>
        <v>#ERROR!</v>
      </c>
      <c r="O53" s="237" t="str">
        <f>IFERROR(N53/K53,"")</f>
        <v>#ERROR!</v>
      </c>
      <c r="P53" s="235" t="str">
        <f>IFERROR(INDEX('Fiche Lot'!J:J,MATCH(A53,'Fiche Lot'!A:A,0)),"")</f>
        <v>#ERROR!</v>
      </c>
      <c r="Q53" s="270" t="str">
        <f>IFERROR(INDEX('Fiche Lot'!L:L,MATCH(A53,'Fiche Lot'!A:A,0)),"")</f>
        <v>#ERROR!</v>
      </c>
      <c r="R53" s="235" t="str">
        <f>IFERROR(INDEX('Fiche Lot'!M:M,MATCH(A53,'Fiche Lot'!A:A,0)),"")</f>
        <v>#ERROR!</v>
      </c>
      <c r="S53" s="235" t="str">
        <f>IFERROR(INDEX('Fiche Lot'!G:G,MATCH(A53,'Fiche Lot'!A:A,0)),"")</f>
        <v>#ERROR!</v>
      </c>
      <c r="T53" s="235"/>
      <c r="U53" s="240"/>
    </row>
    <row r="54" ht="15.0" customHeight="1">
      <c r="A54" s="282"/>
      <c r="B54" s="266" t="str">
        <f>IFERROR(INDEX('Fiche Lot'!B:B,MATCH(A54,'Fiche Lot'!A:A,0)),"")</f>
        <v>#ERROR!</v>
      </c>
      <c r="C54" s="227" t="str">
        <f>IFERROR(INDEX('Fiche Lot'!C:C,MATCH(A54,'Fiche Lot'!A:A,0)),"")</f>
        <v>#ERROR!</v>
      </c>
      <c r="D54" s="227" t="str">
        <f>IFERROR(INDEX('Fiche Lot'!D:D,MATCH(A54,'Fiche Lot'!A:A,0)),"")</f>
        <v>#ERROR!</v>
      </c>
      <c r="E54" s="227" t="str">
        <f>IFERROR(INDEX('Fiche Lot'!E:E,MATCH(A54,'Fiche Lot'!A:A,0)),"")</f>
        <v>#ERROR!</v>
      </c>
      <c r="F54" s="227"/>
      <c r="G54" s="227" t="str">
        <f>IFERROR(INDEX('Fiche Lot'!H:H,MATCH(A54,'Fiche Lot'!A:A,0)),"")</f>
        <v>#ERROR!</v>
      </c>
      <c r="H54" s="227"/>
      <c r="I54" s="227"/>
      <c r="J54" s="230" t="str">
        <f>IFERROR(H54/G54,"")</f>
        <v>#ERROR!</v>
      </c>
      <c r="K54" s="281"/>
      <c r="L54" s="281"/>
      <c r="M54" s="281"/>
      <c r="N54" s="281" t="str">
        <f>IFERROR(K54-M54,"")</f>
        <v>#ERROR!</v>
      </c>
      <c r="O54" s="230" t="str">
        <f>IFERROR(N54/K54,"")</f>
        <v>#ERROR!</v>
      </c>
      <c r="P54" s="227" t="str">
        <f>IFERROR(INDEX('Fiche Lot'!J:J,MATCH(A54,'Fiche Lot'!A:A,0)),"")</f>
        <v>#ERROR!</v>
      </c>
      <c r="Q54" s="266" t="str">
        <f>IFERROR(INDEX('Fiche Lot'!L:L,MATCH(A54,'Fiche Lot'!A:A,0)),"")</f>
        <v>#ERROR!</v>
      </c>
      <c r="R54" s="227" t="str">
        <f>IFERROR(INDEX('Fiche Lot'!M:M,MATCH(A54,'Fiche Lot'!A:A,0)),"")</f>
        <v>#ERROR!</v>
      </c>
      <c r="S54" s="227" t="str">
        <f>IFERROR(INDEX('Fiche Lot'!G:G,MATCH(A54,'Fiche Lot'!A:A,0)),"")</f>
        <v>#ERROR!</v>
      </c>
      <c r="T54" s="227"/>
      <c r="U54" s="233"/>
    </row>
    <row r="55" ht="15.0" customHeight="1">
      <c r="A55" s="282"/>
      <c r="B55" s="270" t="str">
        <f>IFERROR(INDEX('Fiche Lot'!B:B,MATCH(A55,'Fiche Lot'!A:A,0)),"")</f>
        <v>#ERROR!</v>
      </c>
      <c r="C55" s="235" t="str">
        <f>IFERROR(INDEX('Fiche Lot'!C:C,MATCH(A55,'Fiche Lot'!A:A,0)),"")</f>
        <v>#ERROR!</v>
      </c>
      <c r="D55" s="235" t="str">
        <f>IFERROR(INDEX('Fiche Lot'!D:D,MATCH(A55,'Fiche Lot'!A:A,0)),"")</f>
        <v>#ERROR!</v>
      </c>
      <c r="E55" s="235" t="str">
        <f>IFERROR(INDEX('Fiche Lot'!E:E,MATCH(A55,'Fiche Lot'!A:A,0)),"")</f>
        <v>#ERROR!</v>
      </c>
      <c r="F55" s="235"/>
      <c r="G55" s="235" t="str">
        <f>IFERROR(INDEX('Fiche Lot'!H:H,MATCH(A55,'Fiche Lot'!A:A,0)),"")</f>
        <v>#ERROR!</v>
      </c>
      <c r="H55" s="235"/>
      <c r="I55" s="235"/>
      <c r="J55" s="237" t="str">
        <f>IFERROR(H55/G55,"")</f>
        <v>#ERROR!</v>
      </c>
      <c r="K55" s="283"/>
      <c r="L55" s="283"/>
      <c r="M55" s="283"/>
      <c r="N55" s="283" t="str">
        <f>IFERROR(K55-M55,"")</f>
        <v>#ERROR!</v>
      </c>
      <c r="O55" s="237" t="str">
        <f>IFERROR(N55/K55,"")</f>
        <v>#ERROR!</v>
      </c>
      <c r="P55" s="235" t="str">
        <f>IFERROR(INDEX('Fiche Lot'!J:J,MATCH(A55,'Fiche Lot'!A:A,0)),"")</f>
        <v>#ERROR!</v>
      </c>
      <c r="Q55" s="270" t="str">
        <f>IFERROR(INDEX('Fiche Lot'!L:L,MATCH(A55,'Fiche Lot'!A:A,0)),"")</f>
        <v>#ERROR!</v>
      </c>
      <c r="R55" s="235" t="str">
        <f>IFERROR(INDEX('Fiche Lot'!M:M,MATCH(A55,'Fiche Lot'!A:A,0)),"")</f>
        <v>#ERROR!</v>
      </c>
      <c r="S55" s="235" t="str">
        <f>IFERROR(INDEX('Fiche Lot'!G:G,MATCH(A55,'Fiche Lot'!A:A,0)),"")</f>
        <v>#ERROR!</v>
      </c>
      <c r="T55" s="235"/>
      <c r="U55" s="240"/>
    </row>
    <row r="56" ht="15.0" customHeight="1">
      <c r="A56" s="282"/>
      <c r="B56" s="266" t="str">
        <f>IFERROR(INDEX('Fiche Lot'!B:B,MATCH(A56,'Fiche Lot'!A:A,0)),"")</f>
        <v>#ERROR!</v>
      </c>
      <c r="C56" s="227" t="str">
        <f>IFERROR(INDEX('Fiche Lot'!C:C,MATCH(A56,'Fiche Lot'!A:A,0)),"")</f>
        <v>#ERROR!</v>
      </c>
      <c r="D56" s="227" t="str">
        <f>IFERROR(INDEX('Fiche Lot'!D:D,MATCH(A56,'Fiche Lot'!A:A,0)),"")</f>
        <v>#ERROR!</v>
      </c>
      <c r="E56" s="227" t="str">
        <f>IFERROR(INDEX('Fiche Lot'!E:E,MATCH(A56,'Fiche Lot'!A:A,0)),"")</f>
        <v>#ERROR!</v>
      </c>
      <c r="F56" s="227"/>
      <c r="G56" s="227" t="str">
        <f>IFERROR(INDEX('Fiche Lot'!H:H,MATCH(A56,'Fiche Lot'!A:A,0)),"")</f>
        <v>#ERROR!</v>
      </c>
      <c r="H56" s="227"/>
      <c r="I56" s="227"/>
      <c r="J56" s="230" t="str">
        <f>IFERROR(H56/G56,"")</f>
        <v>#ERROR!</v>
      </c>
      <c r="K56" s="281"/>
      <c r="L56" s="281"/>
      <c r="M56" s="281"/>
      <c r="N56" s="281" t="str">
        <f>IFERROR(K56-M56,"")</f>
        <v>#ERROR!</v>
      </c>
      <c r="O56" s="230" t="str">
        <f>IFERROR(N56/K56,"")</f>
        <v>#ERROR!</v>
      </c>
      <c r="P56" s="227" t="str">
        <f>IFERROR(INDEX('Fiche Lot'!J:J,MATCH(A56,'Fiche Lot'!A:A,0)),"")</f>
        <v>#ERROR!</v>
      </c>
      <c r="Q56" s="266" t="str">
        <f>IFERROR(INDEX('Fiche Lot'!L:L,MATCH(A56,'Fiche Lot'!A:A,0)),"")</f>
        <v>#ERROR!</v>
      </c>
      <c r="R56" s="227" t="str">
        <f>IFERROR(INDEX('Fiche Lot'!M:M,MATCH(A56,'Fiche Lot'!A:A,0)),"")</f>
        <v>#ERROR!</v>
      </c>
      <c r="S56" s="227" t="str">
        <f>IFERROR(INDEX('Fiche Lot'!G:G,MATCH(A56,'Fiche Lot'!A:A,0)),"")</f>
        <v>#ERROR!</v>
      </c>
      <c r="T56" s="227"/>
      <c r="U56" s="233"/>
    </row>
    <row r="57" ht="15.0" customHeight="1">
      <c r="A57" s="282"/>
      <c r="B57" s="270" t="str">
        <f>IFERROR(INDEX('Fiche Lot'!B:B,MATCH(A57,'Fiche Lot'!A:A,0)),"")</f>
        <v>#ERROR!</v>
      </c>
      <c r="C57" s="235" t="str">
        <f>IFERROR(INDEX('Fiche Lot'!C:C,MATCH(A57,'Fiche Lot'!A:A,0)),"")</f>
        <v>#ERROR!</v>
      </c>
      <c r="D57" s="235" t="str">
        <f>IFERROR(INDEX('Fiche Lot'!D:D,MATCH(A57,'Fiche Lot'!A:A,0)),"")</f>
        <v>#ERROR!</v>
      </c>
      <c r="E57" s="235" t="str">
        <f>IFERROR(INDEX('Fiche Lot'!E:E,MATCH(A57,'Fiche Lot'!A:A,0)),"")</f>
        <v>#ERROR!</v>
      </c>
      <c r="F57" s="235"/>
      <c r="G57" s="235" t="str">
        <f>IFERROR(INDEX('Fiche Lot'!H:H,MATCH(A57,'Fiche Lot'!A:A,0)),"")</f>
        <v>#ERROR!</v>
      </c>
      <c r="H57" s="235"/>
      <c r="I57" s="235"/>
      <c r="J57" s="237" t="str">
        <f>IFERROR(H57/G57,"")</f>
        <v>#ERROR!</v>
      </c>
      <c r="K57" s="283"/>
      <c r="L57" s="283"/>
      <c r="M57" s="283"/>
      <c r="N57" s="283" t="str">
        <f>IFERROR(K57-M57,"")</f>
        <v>#ERROR!</v>
      </c>
      <c r="O57" s="237" t="str">
        <f>IFERROR(N57/K57,"")</f>
        <v>#ERROR!</v>
      </c>
      <c r="P57" s="235" t="str">
        <f>IFERROR(INDEX('Fiche Lot'!J:J,MATCH(A57,'Fiche Lot'!A:A,0)),"")</f>
        <v>#ERROR!</v>
      </c>
      <c r="Q57" s="270" t="str">
        <f>IFERROR(INDEX('Fiche Lot'!L:L,MATCH(A57,'Fiche Lot'!A:A,0)),"")</f>
        <v>#ERROR!</v>
      </c>
      <c r="R57" s="235" t="str">
        <f>IFERROR(INDEX('Fiche Lot'!M:M,MATCH(A57,'Fiche Lot'!A:A,0)),"")</f>
        <v>#ERROR!</v>
      </c>
      <c r="S57" s="235" t="str">
        <f>IFERROR(INDEX('Fiche Lot'!G:G,MATCH(A57,'Fiche Lot'!A:A,0)),"")</f>
        <v>#ERROR!</v>
      </c>
      <c r="T57" s="235"/>
      <c r="U57" s="240"/>
    </row>
    <row r="58" ht="15.0" customHeight="1">
      <c r="A58" s="282"/>
      <c r="B58" s="266" t="str">
        <f>IFERROR(INDEX('Fiche Lot'!B:B,MATCH(A58,'Fiche Lot'!A:A,0)),"")</f>
        <v>#ERROR!</v>
      </c>
      <c r="C58" s="227" t="str">
        <f>IFERROR(INDEX('Fiche Lot'!C:C,MATCH(A58,'Fiche Lot'!A:A,0)),"")</f>
        <v>#ERROR!</v>
      </c>
      <c r="D58" s="227" t="str">
        <f>IFERROR(INDEX('Fiche Lot'!D:D,MATCH(A58,'Fiche Lot'!A:A,0)),"")</f>
        <v>#ERROR!</v>
      </c>
      <c r="E58" s="227" t="str">
        <f>IFERROR(INDEX('Fiche Lot'!E:E,MATCH(A58,'Fiche Lot'!A:A,0)),"")</f>
        <v>#ERROR!</v>
      </c>
      <c r="F58" s="227"/>
      <c r="G58" s="227" t="str">
        <f>IFERROR(INDEX('Fiche Lot'!H:H,MATCH(A58,'Fiche Lot'!A:A,0)),"")</f>
        <v>#ERROR!</v>
      </c>
      <c r="H58" s="227"/>
      <c r="I58" s="227"/>
      <c r="J58" s="230" t="str">
        <f>IFERROR(H58/G58,"")</f>
        <v>#ERROR!</v>
      </c>
      <c r="K58" s="281"/>
      <c r="L58" s="281"/>
      <c r="M58" s="281"/>
      <c r="N58" s="281" t="str">
        <f>IFERROR(K58-M58,"")</f>
        <v>#ERROR!</v>
      </c>
      <c r="O58" s="230" t="str">
        <f>IFERROR(N58/K58,"")</f>
        <v>#ERROR!</v>
      </c>
      <c r="P58" s="227" t="str">
        <f>IFERROR(INDEX('Fiche Lot'!J:J,MATCH(A58,'Fiche Lot'!A:A,0)),"")</f>
        <v>#ERROR!</v>
      </c>
      <c r="Q58" s="266" t="str">
        <f>IFERROR(INDEX('Fiche Lot'!L:L,MATCH(A58,'Fiche Lot'!A:A,0)),"")</f>
        <v>#ERROR!</v>
      </c>
      <c r="R58" s="227" t="str">
        <f>IFERROR(INDEX('Fiche Lot'!M:M,MATCH(A58,'Fiche Lot'!A:A,0)),"")</f>
        <v>#ERROR!</v>
      </c>
      <c r="S58" s="227" t="str">
        <f>IFERROR(INDEX('Fiche Lot'!G:G,MATCH(A58,'Fiche Lot'!A:A,0)),"")</f>
        <v>#ERROR!</v>
      </c>
      <c r="T58" s="227"/>
      <c r="U58" s="233"/>
    </row>
    <row r="59" ht="15.0" customHeight="1">
      <c r="A59" s="282"/>
      <c r="B59" s="270" t="str">
        <f>IFERROR(INDEX('Fiche Lot'!B:B,MATCH(A59,'Fiche Lot'!A:A,0)),"")</f>
        <v>#ERROR!</v>
      </c>
      <c r="C59" s="235" t="str">
        <f>IFERROR(INDEX('Fiche Lot'!C:C,MATCH(A59,'Fiche Lot'!A:A,0)),"")</f>
        <v>#ERROR!</v>
      </c>
      <c r="D59" s="235" t="str">
        <f>IFERROR(INDEX('Fiche Lot'!D:D,MATCH(A59,'Fiche Lot'!A:A,0)),"")</f>
        <v>#ERROR!</v>
      </c>
      <c r="E59" s="235" t="str">
        <f>IFERROR(INDEX('Fiche Lot'!E:E,MATCH(A59,'Fiche Lot'!A:A,0)),"")</f>
        <v>#ERROR!</v>
      </c>
      <c r="F59" s="235"/>
      <c r="G59" s="235" t="str">
        <f>IFERROR(INDEX('Fiche Lot'!H:H,MATCH(A59,'Fiche Lot'!A:A,0)),"")</f>
        <v>#ERROR!</v>
      </c>
      <c r="H59" s="235"/>
      <c r="I59" s="235"/>
      <c r="J59" s="237" t="str">
        <f>IFERROR(H59/G59,"")</f>
        <v>#ERROR!</v>
      </c>
      <c r="K59" s="283"/>
      <c r="L59" s="283"/>
      <c r="M59" s="283"/>
      <c r="N59" s="283" t="str">
        <f>IFERROR(K59-M59,"")</f>
        <v>#ERROR!</v>
      </c>
      <c r="O59" s="237" t="str">
        <f>IFERROR(N59/K59,"")</f>
        <v>#ERROR!</v>
      </c>
      <c r="P59" s="235" t="str">
        <f>IFERROR(INDEX('Fiche Lot'!J:J,MATCH(A59,'Fiche Lot'!A:A,0)),"")</f>
        <v>#ERROR!</v>
      </c>
      <c r="Q59" s="270" t="str">
        <f>IFERROR(INDEX('Fiche Lot'!L:L,MATCH(A59,'Fiche Lot'!A:A,0)),"")</f>
        <v>#ERROR!</v>
      </c>
      <c r="R59" s="235" t="str">
        <f>IFERROR(INDEX('Fiche Lot'!M:M,MATCH(A59,'Fiche Lot'!A:A,0)),"")</f>
        <v>#ERROR!</v>
      </c>
      <c r="S59" s="235" t="str">
        <f>IFERROR(INDEX('Fiche Lot'!G:G,MATCH(A59,'Fiche Lot'!A:A,0)),"")</f>
        <v>#ERROR!</v>
      </c>
      <c r="T59" s="235"/>
      <c r="U59" s="240"/>
    </row>
    <row r="60" ht="15.0" customHeight="1">
      <c r="A60" s="282"/>
      <c r="B60" s="266" t="str">
        <f>IFERROR(INDEX('Fiche Lot'!B:B,MATCH(A60,'Fiche Lot'!A:A,0)),"")</f>
        <v>#ERROR!</v>
      </c>
      <c r="C60" s="227" t="str">
        <f>IFERROR(INDEX('Fiche Lot'!C:C,MATCH(A60,'Fiche Lot'!A:A,0)),"")</f>
        <v>#ERROR!</v>
      </c>
      <c r="D60" s="227" t="str">
        <f>IFERROR(INDEX('Fiche Lot'!D:D,MATCH(A60,'Fiche Lot'!A:A,0)),"")</f>
        <v>#ERROR!</v>
      </c>
      <c r="E60" s="227" t="str">
        <f>IFERROR(INDEX('Fiche Lot'!E:E,MATCH(A60,'Fiche Lot'!A:A,0)),"")</f>
        <v>#ERROR!</v>
      </c>
      <c r="F60" s="227"/>
      <c r="G60" s="227" t="str">
        <f>IFERROR(INDEX('Fiche Lot'!H:H,MATCH(A60,'Fiche Lot'!A:A,0)),"")</f>
        <v>#ERROR!</v>
      </c>
      <c r="H60" s="227"/>
      <c r="I60" s="227"/>
      <c r="J60" s="230" t="str">
        <f>IFERROR(H60/G60,"")</f>
        <v>#ERROR!</v>
      </c>
      <c r="K60" s="281"/>
      <c r="L60" s="281"/>
      <c r="M60" s="281"/>
      <c r="N60" s="281" t="str">
        <f>IFERROR(K60-M60,"")</f>
        <v>#ERROR!</v>
      </c>
      <c r="O60" s="230" t="str">
        <f>IFERROR(N60/K60,"")</f>
        <v>#ERROR!</v>
      </c>
      <c r="P60" s="227" t="str">
        <f>IFERROR(INDEX('Fiche Lot'!J:J,MATCH(A60,'Fiche Lot'!A:A,0)),"")</f>
        <v>#ERROR!</v>
      </c>
      <c r="Q60" s="266" t="str">
        <f>IFERROR(INDEX('Fiche Lot'!L:L,MATCH(A60,'Fiche Lot'!A:A,0)),"")</f>
        <v>#ERROR!</v>
      </c>
      <c r="R60" s="227" t="str">
        <f>IFERROR(INDEX('Fiche Lot'!M:M,MATCH(A60,'Fiche Lot'!A:A,0)),"")</f>
        <v>#ERROR!</v>
      </c>
      <c r="S60" s="227" t="str">
        <f>IFERROR(INDEX('Fiche Lot'!G:G,MATCH(A60,'Fiche Lot'!A:A,0)),"")</f>
        <v>#ERROR!</v>
      </c>
      <c r="T60" s="227"/>
      <c r="U60" s="233"/>
    </row>
    <row r="61" ht="15.0" customHeight="1">
      <c r="A61" s="282"/>
      <c r="B61" s="270" t="str">
        <f>IFERROR(INDEX('Fiche Lot'!B:B,MATCH(A61,'Fiche Lot'!A:A,0)),"")</f>
        <v>#ERROR!</v>
      </c>
      <c r="C61" s="235" t="str">
        <f>IFERROR(INDEX('Fiche Lot'!C:C,MATCH(A61,'Fiche Lot'!A:A,0)),"")</f>
        <v>#ERROR!</v>
      </c>
      <c r="D61" s="235" t="str">
        <f>IFERROR(INDEX('Fiche Lot'!D:D,MATCH(A61,'Fiche Lot'!A:A,0)),"")</f>
        <v>#ERROR!</v>
      </c>
      <c r="E61" s="235" t="str">
        <f>IFERROR(INDEX('Fiche Lot'!E:E,MATCH(A61,'Fiche Lot'!A:A,0)),"")</f>
        <v>#ERROR!</v>
      </c>
      <c r="F61" s="235"/>
      <c r="G61" s="235" t="str">
        <f>IFERROR(INDEX('Fiche Lot'!H:H,MATCH(A61,'Fiche Lot'!A:A,0)),"")</f>
        <v>#ERROR!</v>
      </c>
      <c r="H61" s="235"/>
      <c r="I61" s="235"/>
      <c r="J61" s="237" t="str">
        <f>IFERROR(H61/G61,"")</f>
        <v>#ERROR!</v>
      </c>
      <c r="K61" s="283"/>
      <c r="L61" s="283"/>
      <c r="M61" s="283"/>
      <c r="N61" s="283" t="str">
        <f>IFERROR(K61-M61,"")</f>
        <v>#ERROR!</v>
      </c>
      <c r="O61" s="237" t="str">
        <f>IFERROR(N61/K61,"")</f>
        <v>#ERROR!</v>
      </c>
      <c r="P61" s="235" t="str">
        <f>IFERROR(INDEX('Fiche Lot'!J:J,MATCH(A61,'Fiche Lot'!A:A,0)),"")</f>
        <v>#ERROR!</v>
      </c>
      <c r="Q61" s="270" t="str">
        <f>IFERROR(INDEX('Fiche Lot'!L:L,MATCH(A61,'Fiche Lot'!A:A,0)),"")</f>
        <v>#ERROR!</v>
      </c>
      <c r="R61" s="235" t="str">
        <f>IFERROR(INDEX('Fiche Lot'!M:M,MATCH(A61,'Fiche Lot'!A:A,0)),"")</f>
        <v>#ERROR!</v>
      </c>
      <c r="S61" s="235" t="str">
        <f>IFERROR(INDEX('Fiche Lot'!G:G,MATCH(A61,'Fiche Lot'!A:A,0)),"")</f>
        <v>#ERROR!</v>
      </c>
      <c r="T61" s="235"/>
      <c r="U61" s="240"/>
    </row>
    <row r="62" ht="15.0" customHeight="1">
      <c r="A62" s="282"/>
      <c r="B62" s="266" t="str">
        <f>IFERROR(INDEX('Fiche Lot'!B:B,MATCH(A62,'Fiche Lot'!A:A,0)),"")</f>
        <v>#ERROR!</v>
      </c>
      <c r="C62" s="227" t="str">
        <f>IFERROR(INDEX('Fiche Lot'!C:C,MATCH(A62,'Fiche Lot'!A:A,0)),"")</f>
        <v>#ERROR!</v>
      </c>
      <c r="D62" s="227" t="str">
        <f>IFERROR(INDEX('Fiche Lot'!D:D,MATCH(A62,'Fiche Lot'!A:A,0)),"")</f>
        <v>#ERROR!</v>
      </c>
      <c r="E62" s="227" t="str">
        <f>IFERROR(INDEX('Fiche Lot'!E:E,MATCH(A62,'Fiche Lot'!A:A,0)),"")</f>
        <v>#ERROR!</v>
      </c>
      <c r="F62" s="227"/>
      <c r="G62" s="227" t="str">
        <f>IFERROR(INDEX('Fiche Lot'!H:H,MATCH(A62,'Fiche Lot'!A:A,0)),"")</f>
        <v>#ERROR!</v>
      </c>
      <c r="H62" s="227"/>
      <c r="I62" s="227"/>
      <c r="J62" s="230" t="str">
        <f>IFERROR(H62/G62,"")</f>
        <v>#ERROR!</v>
      </c>
      <c r="K62" s="281"/>
      <c r="L62" s="281"/>
      <c r="M62" s="281"/>
      <c r="N62" s="281" t="str">
        <f>IFERROR(K62-M62,"")</f>
        <v>#ERROR!</v>
      </c>
      <c r="O62" s="230" t="str">
        <f>IFERROR(N62/K62,"")</f>
        <v>#ERROR!</v>
      </c>
      <c r="P62" s="227" t="str">
        <f>IFERROR(INDEX('Fiche Lot'!J:J,MATCH(A62,'Fiche Lot'!A:A,0)),"")</f>
        <v>#ERROR!</v>
      </c>
      <c r="Q62" s="266" t="str">
        <f>IFERROR(INDEX('Fiche Lot'!L:L,MATCH(A62,'Fiche Lot'!A:A,0)),"")</f>
        <v>#ERROR!</v>
      </c>
      <c r="R62" s="227" t="str">
        <f>IFERROR(INDEX('Fiche Lot'!M:M,MATCH(A62,'Fiche Lot'!A:A,0)),"")</f>
        <v>#ERROR!</v>
      </c>
      <c r="S62" s="227" t="str">
        <f>IFERROR(INDEX('Fiche Lot'!G:G,MATCH(A62,'Fiche Lot'!A:A,0)),"")</f>
        <v>#ERROR!</v>
      </c>
      <c r="T62" s="227"/>
      <c r="U62" s="233"/>
    </row>
    <row r="63" ht="15.0" customHeight="1">
      <c r="A63" s="282"/>
      <c r="B63" s="270" t="str">
        <f>IFERROR(INDEX('Fiche Lot'!B:B,MATCH(A63,'Fiche Lot'!A:A,0)),"")</f>
        <v>#ERROR!</v>
      </c>
      <c r="C63" s="235" t="str">
        <f>IFERROR(INDEX('Fiche Lot'!C:C,MATCH(A63,'Fiche Lot'!A:A,0)),"")</f>
        <v>#ERROR!</v>
      </c>
      <c r="D63" s="235" t="str">
        <f>IFERROR(INDEX('Fiche Lot'!D:D,MATCH(A63,'Fiche Lot'!A:A,0)),"")</f>
        <v>#ERROR!</v>
      </c>
      <c r="E63" s="235" t="str">
        <f>IFERROR(INDEX('Fiche Lot'!E:E,MATCH(A63,'Fiche Lot'!A:A,0)),"")</f>
        <v>#ERROR!</v>
      </c>
      <c r="F63" s="235"/>
      <c r="G63" s="235" t="str">
        <f>IFERROR(INDEX('Fiche Lot'!H:H,MATCH(A63,'Fiche Lot'!A:A,0)),"")</f>
        <v>#ERROR!</v>
      </c>
      <c r="H63" s="235"/>
      <c r="I63" s="235"/>
      <c r="J63" s="237" t="str">
        <f>IFERROR(H63/G63,"")</f>
        <v>#ERROR!</v>
      </c>
      <c r="K63" s="283"/>
      <c r="L63" s="283"/>
      <c r="M63" s="283"/>
      <c r="N63" s="283" t="str">
        <f>IFERROR(K63-M63,"")</f>
        <v>#ERROR!</v>
      </c>
      <c r="O63" s="237" t="str">
        <f>IFERROR(N63/K63,"")</f>
        <v>#ERROR!</v>
      </c>
      <c r="P63" s="235" t="str">
        <f>IFERROR(INDEX('Fiche Lot'!J:J,MATCH(A63,'Fiche Lot'!A:A,0)),"")</f>
        <v>#ERROR!</v>
      </c>
      <c r="Q63" s="270" t="str">
        <f>IFERROR(INDEX('Fiche Lot'!L:L,MATCH(A63,'Fiche Lot'!A:A,0)),"")</f>
        <v>#ERROR!</v>
      </c>
      <c r="R63" s="235" t="str">
        <f>IFERROR(INDEX('Fiche Lot'!M:M,MATCH(A63,'Fiche Lot'!A:A,0)),"")</f>
        <v>#ERROR!</v>
      </c>
      <c r="S63" s="235" t="str">
        <f>IFERROR(INDEX('Fiche Lot'!G:G,MATCH(A63,'Fiche Lot'!A:A,0)),"")</f>
        <v>#ERROR!</v>
      </c>
      <c r="T63" s="235"/>
      <c r="U63" s="240"/>
    </row>
    <row r="64" ht="15.0" customHeight="1">
      <c r="A64" s="282"/>
      <c r="B64" s="266" t="str">
        <f>IFERROR(INDEX('Fiche Lot'!B:B,MATCH(A64,'Fiche Lot'!A:A,0)),"")</f>
        <v>#ERROR!</v>
      </c>
      <c r="C64" s="227" t="str">
        <f>IFERROR(INDEX('Fiche Lot'!C:C,MATCH(A64,'Fiche Lot'!A:A,0)),"")</f>
        <v>#ERROR!</v>
      </c>
      <c r="D64" s="227" t="str">
        <f>IFERROR(INDEX('Fiche Lot'!D:D,MATCH(A64,'Fiche Lot'!A:A,0)),"")</f>
        <v>#ERROR!</v>
      </c>
      <c r="E64" s="227" t="str">
        <f>IFERROR(INDEX('Fiche Lot'!E:E,MATCH(A64,'Fiche Lot'!A:A,0)),"")</f>
        <v>#ERROR!</v>
      </c>
      <c r="F64" s="227"/>
      <c r="G64" s="227" t="str">
        <f>IFERROR(INDEX('Fiche Lot'!H:H,MATCH(A64,'Fiche Lot'!A:A,0)),"")</f>
        <v>#ERROR!</v>
      </c>
      <c r="H64" s="227"/>
      <c r="I64" s="227"/>
      <c r="J64" s="230" t="str">
        <f>IFERROR(H64/G64,"")</f>
        <v>#ERROR!</v>
      </c>
      <c r="K64" s="281"/>
      <c r="L64" s="281"/>
      <c r="M64" s="281"/>
      <c r="N64" s="281" t="str">
        <f>IFERROR(K64-M64,"")</f>
        <v>#ERROR!</v>
      </c>
      <c r="O64" s="230" t="str">
        <f>IFERROR(N64/K64,"")</f>
        <v>#ERROR!</v>
      </c>
      <c r="P64" s="227" t="str">
        <f>IFERROR(INDEX('Fiche Lot'!J:J,MATCH(A64,'Fiche Lot'!A:A,0)),"")</f>
        <v>#ERROR!</v>
      </c>
      <c r="Q64" s="266" t="str">
        <f>IFERROR(INDEX('Fiche Lot'!L:L,MATCH(A64,'Fiche Lot'!A:A,0)),"")</f>
        <v>#ERROR!</v>
      </c>
      <c r="R64" s="227" t="str">
        <f>IFERROR(INDEX('Fiche Lot'!M:M,MATCH(A64,'Fiche Lot'!A:A,0)),"")</f>
        <v>#ERROR!</v>
      </c>
      <c r="S64" s="227" t="str">
        <f>IFERROR(INDEX('Fiche Lot'!G:G,MATCH(A64,'Fiche Lot'!A:A,0)),"")</f>
        <v>#ERROR!</v>
      </c>
      <c r="T64" s="227"/>
      <c r="U64" s="233"/>
    </row>
    <row r="65" ht="15.0" customHeight="1">
      <c r="A65" s="282"/>
      <c r="B65" s="270" t="str">
        <f>IFERROR(INDEX('Fiche Lot'!B:B,MATCH(A65,'Fiche Lot'!A:A,0)),"")</f>
        <v>#ERROR!</v>
      </c>
      <c r="C65" s="235" t="str">
        <f>IFERROR(INDEX('Fiche Lot'!C:C,MATCH(A65,'Fiche Lot'!A:A,0)),"")</f>
        <v>#ERROR!</v>
      </c>
      <c r="D65" s="235" t="str">
        <f>IFERROR(INDEX('Fiche Lot'!D:D,MATCH(A65,'Fiche Lot'!A:A,0)),"")</f>
        <v>#ERROR!</v>
      </c>
      <c r="E65" s="235" t="str">
        <f>IFERROR(INDEX('Fiche Lot'!E:E,MATCH(A65,'Fiche Lot'!A:A,0)),"")</f>
        <v>#ERROR!</v>
      </c>
      <c r="F65" s="235"/>
      <c r="G65" s="235" t="str">
        <f>IFERROR(INDEX('Fiche Lot'!H:H,MATCH(A65,'Fiche Lot'!A:A,0)),"")</f>
        <v>#ERROR!</v>
      </c>
      <c r="H65" s="235"/>
      <c r="I65" s="235"/>
      <c r="J65" s="237" t="str">
        <f>IFERROR(H65/G65,"")</f>
        <v>#ERROR!</v>
      </c>
      <c r="K65" s="283"/>
      <c r="L65" s="283"/>
      <c r="M65" s="283"/>
      <c r="N65" s="283" t="str">
        <f>IFERROR(K65-M65,"")</f>
        <v>#ERROR!</v>
      </c>
      <c r="O65" s="237" t="str">
        <f>IFERROR(N65/K65,"")</f>
        <v>#ERROR!</v>
      </c>
      <c r="P65" s="235" t="str">
        <f>IFERROR(INDEX('Fiche Lot'!J:J,MATCH(A65,'Fiche Lot'!A:A,0)),"")</f>
        <v>#ERROR!</v>
      </c>
      <c r="Q65" s="270" t="str">
        <f>IFERROR(INDEX('Fiche Lot'!L:L,MATCH(A65,'Fiche Lot'!A:A,0)),"")</f>
        <v>#ERROR!</v>
      </c>
      <c r="R65" s="235" t="str">
        <f>IFERROR(INDEX('Fiche Lot'!M:M,MATCH(A65,'Fiche Lot'!A:A,0)),"")</f>
        <v>#ERROR!</v>
      </c>
      <c r="S65" s="235" t="str">
        <f>IFERROR(INDEX('Fiche Lot'!G:G,MATCH(A65,'Fiche Lot'!A:A,0)),"")</f>
        <v>#ERROR!</v>
      </c>
      <c r="T65" s="235"/>
      <c r="U65" s="240"/>
    </row>
    <row r="66" ht="15.0" customHeight="1">
      <c r="A66" s="282"/>
      <c r="B66" s="266" t="str">
        <f>IFERROR(INDEX('Fiche Lot'!B:B,MATCH(A66,'Fiche Lot'!A:A,0)),"")</f>
        <v>#ERROR!</v>
      </c>
      <c r="C66" s="227" t="str">
        <f>IFERROR(INDEX('Fiche Lot'!C:C,MATCH(A66,'Fiche Lot'!A:A,0)),"")</f>
        <v>#ERROR!</v>
      </c>
      <c r="D66" s="227" t="str">
        <f>IFERROR(INDEX('Fiche Lot'!D:D,MATCH(A66,'Fiche Lot'!A:A,0)),"")</f>
        <v>#ERROR!</v>
      </c>
      <c r="E66" s="227" t="str">
        <f>IFERROR(INDEX('Fiche Lot'!E:E,MATCH(A66,'Fiche Lot'!A:A,0)),"")</f>
        <v>#ERROR!</v>
      </c>
      <c r="F66" s="227"/>
      <c r="G66" s="227" t="str">
        <f>IFERROR(INDEX('Fiche Lot'!H:H,MATCH(A66,'Fiche Lot'!A:A,0)),"")</f>
        <v>#ERROR!</v>
      </c>
      <c r="H66" s="227"/>
      <c r="I66" s="227"/>
      <c r="J66" s="230" t="str">
        <f>IFERROR(H66/G66,"")</f>
        <v>#ERROR!</v>
      </c>
      <c r="K66" s="281"/>
      <c r="L66" s="281"/>
      <c r="M66" s="281"/>
      <c r="N66" s="281" t="str">
        <f>IFERROR(K66-M66,"")</f>
        <v>#ERROR!</v>
      </c>
      <c r="O66" s="230" t="str">
        <f>IFERROR(N66/K66,"")</f>
        <v>#ERROR!</v>
      </c>
      <c r="P66" s="227" t="str">
        <f>IFERROR(INDEX('Fiche Lot'!J:J,MATCH(A66,'Fiche Lot'!A:A,0)),"")</f>
        <v>#ERROR!</v>
      </c>
      <c r="Q66" s="266" t="str">
        <f>IFERROR(INDEX('Fiche Lot'!L:L,MATCH(A66,'Fiche Lot'!A:A,0)),"")</f>
        <v>#ERROR!</v>
      </c>
      <c r="R66" s="227" t="str">
        <f>IFERROR(INDEX('Fiche Lot'!M:M,MATCH(A66,'Fiche Lot'!A:A,0)),"")</f>
        <v>#ERROR!</v>
      </c>
      <c r="S66" s="227" t="str">
        <f>IFERROR(INDEX('Fiche Lot'!G:G,MATCH(A66,'Fiche Lot'!A:A,0)),"")</f>
        <v>#ERROR!</v>
      </c>
      <c r="T66" s="227"/>
      <c r="U66" s="233"/>
    </row>
    <row r="67" ht="15.0" customHeight="1">
      <c r="A67" s="282"/>
      <c r="B67" s="270" t="str">
        <f>IFERROR(INDEX('Fiche Lot'!B:B,MATCH(A67,'Fiche Lot'!A:A,0)),"")</f>
        <v>#ERROR!</v>
      </c>
      <c r="C67" s="235" t="str">
        <f>IFERROR(INDEX('Fiche Lot'!C:C,MATCH(A67,'Fiche Lot'!A:A,0)),"")</f>
        <v>#ERROR!</v>
      </c>
      <c r="D67" s="235" t="str">
        <f>IFERROR(INDEX('Fiche Lot'!D:D,MATCH(A67,'Fiche Lot'!A:A,0)),"")</f>
        <v>#ERROR!</v>
      </c>
      <c r="E67" s="235" t="str">
        <f>IFERROR(INDEX('Fiche Lot'!E:E,MATCH(A67,'Fiche Lot'!A:A,0)),"")</f>
        <v>#ERROR!</v>
      </c>
      <c r="F67" s="235"/>
      <c r="G67" s="235" t="str">
        <f>IFERROR(INDEX('Fiche Lot'!H:H,MATCH(A67,'Fiche Lot'!A:A,0)),"")</f>
        <v>#ERROR!</v>
      </c>
      <c r="H67" s="235"/>
      <c r="I67" s="235"/>
      <c r="J67" s="237" t="str">
        <f>IFERROR(H67/G67,"")</f>
        <v>#ERROR!</v>
      </c>
      <c r="K67" s="283"/>
      <c r="L67" s="283"/>
      <c r="M67" s="283"/>
      <c r="N67" s="283" t="str">
        <f>IFERROR(K67-M67,"")</f>
        <v>#ERROR!</v>
      </c>
      <c r="O67" s="237" t="str">
        <f>IFERROR(N67/K67,"")</f>
        <v>#ERROR!</v>
      </c>
      <c r="P67" s="235" t="str">
        <f>IFERROR(INDEX('Fiche Lot'!J:J,MATCH(A67,'Fiche Lot'!A:A,0)),"")</f>
        <v>#ERROR!</v>
      </c>
      <c r="Q67" s="270" t="str">
        <f>IFERROR(INDEX('Fiche Lot'!L:L,MATCH(A67,'Fiche Lot'!A:A,0)),"")</f>
        <v>#ERROR!</v>
      </c>
      <c r="R67" s="235" t="str">
        <f>IFERROR(INDEX('Fiche Lot'!M:M,MATCH(A67,'Fiche Lot'!A:A,0)),"")</f>
        <v>#ERROR!</v>
      </c>
      <c r="S67" s="235" t="str">
        <f>IFERROR(INDEX('Fiche Lot'!G:G,MATCH(A67,'Fiche Lot'!A:A,0)),"")</f>
        <v>#ERROR!</v>
      </c>
      <c r="T67" s="235"/>
      <c r="U67" s="240"/>
    </row>
    <row r="68" ht="15.0" customHeight="1">
      <c r="A68" s="282"/>
      <c r="B68" s="266" t="str">
        <f>IFERROR(INDEX('Fiche Lot'!B:B,MATCH(A68,'Fiche Lot'!A:A,0)),"")</f>
        <v>#ERROR!</v>
      </c>
      <c r="C68" s="227" t="str">
        <f>IFERROR(INDEX('Fiche Lot'!C:C,MATCH(A68,'Fiche Lot'!A:A,0)),"")</f>
        <v>#ERROR!</v>
      </c>
      <c r="D68" s="227" t="str">
        <f>IFERROR(INDEX('Fiche Lot'!D:D,MATCH(A68,'Fiche Lot'!A:A,0)),"")</f>
        <v>#ERROR!</v>
      </c>
      <c r="E68" s="227" t="str">
        <f>IFERROR(INDEX('Fiche Lot'!E:E,MATCH(A68,'Fiche Lot'!A:A,0)),"")</f>
        <v>#ERROR!</v>
      </c>
      <c r="F68" s="227"/>
      <c r="G68" s="227" t="str">
        <f>IFERROR(INDEX('Fiche Lot'!H:H,MATCH(A68,'Fiche Lot'!A:A,0)),"")</f>
        <v>#ERROR!</v>
      </c>
      <c r="H68" s="227"/>
      <c r="I68" s="227"/>
      <c r="J68" s="230" t="str">
        <f>IFERROR(H68/G68,"")</f>
        <v>#ERROR!</v>
      </c>
      <c r="K68" s="281"/>
      <c r="L68" s="281"/>
      <c r="M68" s="281"/>
      <c r="N68" s="281" t="str">
        <f>IFERROR(K68-M68,"")</f>
        <v>#ERROR!</v>
      </c>
      <c r="O68" s="230" t="str">
        <f>IFERROR(N68/K68,"")</f>
        <v>#ERROR!</v>
      </c>
      <c r="P68" s="227" t="str">
        <f>IFERROR(INDEX('Fiche Lot'!J:J,MATCH(A68,'Fiche Lot'!A:A,0)),"")</f>
        <v>#ERROR!</v>
      </c>
      <c r="Q68" s="266" t="str">
        <f>IFERROR(INDEX('Fiche Lot'!L:L,MATCH(A68,'Fiche Lot'!A:A,0)),"")</f>
        <v>#ERROR!</v>
      </c>
      <c r="R68" s="227" t="str">
        <f>IFERROR(INDEX('Fiche Lot'!M:M,MATCH(A68,'Fiche Lot'!A:A,0)),"")</f>
        <v>#ERROR!</v>
      </c>
      <c r="S68" s="227" t="str">
        <f>IFERROR(INDEX('Fiche Lot'!G:G,MATCH(A68,'Fiche Lot'!A:A,0)),"")</f>
        <v>#ERROR!</v>
      </c>
      <c r="T68" s="227"/>
      <c r="U68" s="233"/>
    </row>
    <row r="69" ht="15.0" customHeight="1">
      <c r="A69" s="282"/>
      <c r="B69" s="270" t="str">
        <f>IFERROR(INDEX('Fiche Lot'!B:B,MATCH(A69,'Fiche Lot'!A:A,0)),"")</f>
        <v>#ERROR!</v>
      </c>
      <c r="C69" s="235" t="str">
        <f>IFERROR(INDEX('Fiche Lot'!C:C,MATCH(A69,'Fiche Lot'!A:A,0)),"")</f>
        <v>#ERROR!</v>
      </c>
      <c r="D69" s="235" t="str">
        <f>IFERROR(INDEX('Fiche Lot'!D:D,MATCH(A69,'Fiche Lot'!A:A,0)),"")</f>
        <v>#ERROR!</v>
      </c>
      <c r="E69" s="235" t="str">
        <f>IFERROR(INDEX('Fiche Lot'!E:E,MATCH(A69,'Fiche Lot'!A:A,0)),"")</f>
        <v>#ERROR!</v>
      </c>
      <c r="F69" s="235"/>
      <c r="G69" s="235" t="str">
        <f>IFERROR(INDEX('Fiche Lot'!H:H,MATCH(A69,'Fiche Lot'!A:A,0)),"")</f>
        <v>#ERROR!</v>
      </c>
      <c r="H69" s="235"/>
      <c r="I69" s="235"/>
      <c r="J69" s="237" t="str">
        <f>IFERROR(H69/G69,"")</f>
        <v>#ERROR!</v>
      </c>
      <c r="K69" s="283"/>
      <c r="L69" s="283"/>
      <c r="M69" s="283"/>
      <c r="N69" s="283" t="str">
        <f>IFERROR(K69-M69,"")</f>
        <v>#ERROR!</v>
      </c>
      <c r="O69" s="237" t="str">
        <f>IFERROR(N69/K69,"")</f>
        <v>#ERROR!</v>
      </c>
      <c r="P69" s="235" t="str">
        <f>IFERROR(INDEX('Fiche Lot'!J:J,MATCH(A69,'Fiche Lot'!A:A,0)),"")</f>
        <v>#ERROR!</v>
      </c>
      <c r="Q69" s="270" t="str">
        <f>IFERROR(INDEX('Fiche Lot'!L:L,MATCH(A69,'Fiche Lot'!A:A,0)),"")</f>
        <v>#ERROR!</v>
      </c>
      <c r="R69" s="235" t="str">
        <f>IFERROR(INDEX('Fiche Lot'!M:M,MATCH(A69,'Fiche Lot'!A:A,0)),"")</f>
        <v>#ERROR!</v>
      </c>
      <c r="S69" s="235" t="str">
        <f>IFERROR(INDEX('Fiche Lot'!G:G,MATCH(A69,'Fiche Lot'!A:A,0)),"")</f>
        <v>#ERROR!</v>
      </c>
      <c r="T69" s="235"/>
      <c r="U69" s="240"/>
    </row>
    <row r="70" ht="15.0" customHeight="1">
      <c r="A70" s="282"/>
      <c r="B70" s="266" t="str">
        <f>IFERROR(INDEX('Fiche Lot'!B:B,MATCH(A70,'Fiche Lot'!A:A,0)),"")</f>
        <v>#ERROR!</v>
      </c>
      <c r="C70" s="227" t="str">
        <f>IFERROR(INDEX('Fiche Lot'!C:C,MATCH(A70,'Fiche Lot'!A:A,0)),"")</f>
        <v>#ERROR!</v>
      </c>
      <c r="D70" s="227" t="str">
        <f>IFERROR(INDEX('Fiche Lot'!D:D,MATCH(A70,'Fiche Lot'!A:A,0)),"")</f>
        <v>#ERROR!</v>
      </c>
      <c r="E70" s="227" t="str">
        <f>IFERROR(INDEX('Fiche Lot'!E:E,MATCH(A70,'Fiche Lot'!A:A,0)),"")</f>
        <v>#ERROR!</v>
      </c>
      <c r="F70" s="227"/>
      <c r="G70" s="227" t="str">
        <f>IFERROR(INDEX('Fiche Lot'!H:H,MATCH(A70,'Fiche Lot'!A:A,0)),"")</f>
        <v>#ERROR!</v>
      </c>
      <c r="H70" s="227"/>
      <c r="I70" s="227"/>
      <c r="J70" s="230" t="str">
        <f>IFERROR(H70/G70,"")</f>
        <v>#ERROR!</v>
      </c>
      <c r="K70" s="281"/>
      <c r="L70" s="281"/>
      <c r="M70" s="281"/>
      <c r="N70" s="281" t="str">
        <f>IFERROR(K70-M70,"")</f>
        <v>#ERROR!</v>
      </c>
      <c r="O70" s="230" t="str">
        <f>IFERROR(N70/K70,"")</f>
        <v>#ERROR!</v>
      </c>
      <c r="P70" s="227" t="str">
        <f>IFERROR(INDEX('Fiche Lot'!J:J,MATCH(A70,'Fiche Lot'!A:A,0)),"")</f>
        <v>#ERROR!</v>
      </c>
      <c r="Q70" s="266" t="str">
        <f>IFERROR(INDEX('Fiche Lot'!L:L,MATCH(A70,'Fiche Lot'!A:A,0)),"")</f>
        <v>#ERROR!</v>
      </c>
      <c r="R70" s="227" t="str">
        <f>IFERROR(INDEX('Fiche Lot'!M:M,MATCH(A70,'Fiche Lot'!A:A,0)),"")</f>
        <v>#ERROR!</v>
      </c>
      <c r="S70" s="227" t="str">
        <f>IFERROR(INDEX('Fiche Lot'!G:G,MATCH(A70,'Fiche Lot'!A:A,0)),"")</f>
        <v>#ERROR!</v>
      </c>
      <c r="T70" s="227"/>
      <c r="U70" s="233"/>
    </row>
    <row r="71" ht="15.0" customHeight="1">
      <c r="A71" s="282"/>
      <c r="B71" s="270" t="str">
        <f>IFERROR(INDEX('Fiche Lot'!B:B,MATCH(A71,'Fiche Lot'!A:A,0)),"")</f>
        <v>#ERROR!</v>
      </c>
      <c r="C71" s="235" t="str">
        <f>IFERROR(INDEX('Fiche Lot'!C:C,MATCH(A71,'Fiche Lot'!A:A,0)),"")</f>
        <v>#ERROR!</v>
      </c>
      <c r="D71" s="235" t="str">
        <f>IFERROR(INDEX('Fiche Lot'!D:D,MATCH(A71,'Fiche Lot'!A:A,0)),"")</f>
        <v>#ERROR!</v>
      </c>
      <c r="E71" s="235" t="str">
        <f>IFERROR(INDEX('Fiche Lot'!E:E,MATCH(A71,'Fiche Lot'!A:A,0)),"")</f>
        <v>#ERROR!</v>
      </c>
      <c r="F71" s="235"/>
      <c r="G71" s="235" t="str">
        <f>IFERROR(INDEX('Fiche Lot'!H:H,MATCH(A71,'Fiche Lot'!A:A,0)),"")</f>
        <v>#ERROR!</v>
      </c>
      <c r="H71" s="235"/>
      <c r="I71" s="235"/>
      <c r="J71" s="237" t="str">
        <f>IFERROR(H71/G71,"")</f>
        <v>#ERROR!</v>
      </c>
      <c r="K71" s="283"/>
      <c r="L71" s="283"/>
      <c r="M71" s="283"/>
      <c r="N71" s="283" t="str">
        <f>IFERROR(K71-M71,"")</f>
        <v>#ERROR!</v>
      </c>
      <c r="O71" s="237" t="str">
        <f>IFERROR(N71/K71,"")</f>
        <v>#ERROR!</v>
      </c>
      <c r="P71" s="235" t="str">
        <f>IFERROR(INDEX('Fiche Lot'!J:J,MATCH(A71,'Fiche Lot'!A:A,0)),"")</f>
        <v>#ERROR!</v>
      </c>
      <c r="Q71" s="270" t="str">
        <f>IFERROR(INDEX('Fiche Lot'!L:L,MATCH(A71,'Fiche Lot'!A:A,0)),"")</f>
        <v>#ERROR!</v>
      </c>
      <c r="R71" s="235" t="str">
        <f>IFERROR(INDEX('Fiche Lot'!M:M,MATCH(A71,'Fiche Lot'!A:A,0)),"")</f>
        <v>#ERROR!</v>
      </c>
      <c r="S71" s="235" t="str">
        <f>IFERROR(INDEX('Fiche Lot'!G:G,MATCH(A71,'Fiche Lot'!A:A,0)),"")</f>
        <v>#ERROR!</v>
      </c>
      <c r="T71" s="235"/>
      <c r="U71" s="240"/>
    </row>
    <row r="72" ht="15.0" customHeight="1">
      <c r="A72" s="282"/>
      <c r="B72" s="266" t="str">
        <f>IFERROR(INDEX('Fiche Lot'!B:B,MATCH(A72,'Fiche Lot'!A:A,0)),"")</f>
        <v>#ERROR!</v>
      </c>
      <c r="C72" s="227" t="str">
        <f>IFERROR(INDEX('Fiche Lot'!C:C,MATCH(A72,'Fiche Lot'!A:A,0)),"")</f>
        <v>#ERROR!</v>
      </c>
      <c r="D72" s="227" t="str">
        <f>IFERROR(INDEX('Fiche Lot'!D:D,MATCH(A72,'Fiche Lot'!A:A,0)),"")</f>
        <v>#ERROR!</v>
      </c>
      <c r="E72" s="227" t="str">
        <f>IFERROR(INDEX('Fiche Lot'!E:E,MATCH(A72,'Fiche Lot'!A:A,0)),"")</f>
        <v>#ERROR!</v>
      </c>
      <c r="F72" s="227"/>
      <c r="G72" s="227" t="str">
        <f>IFERROR(INDEX('Fiche Lot'!H:H,MATCH(A72,'Fiche Lot'!A:A,0)),"")</f>
        <v>#ERROR!</v>
      </c>
      <c r="H72" s="227"/>
      <c r="I72" s="227"/>
      <c r="J72" s="230" t="str">
        <f>IFERROR(H72/G72,"")</f>
        <v>#ERROR!</v>
      </c>
      <c r="K72" s="281"/>
      <c r="L72" s="281"/>
      <c r="M72" s="281"/>
      <c r="N72" s="281" t="str">
        <f>IFERROR(K72-M72,"")</f>
        <v>#ERROR!</v>
      </c>
      <c r="O72" s="230" t="str">
        <f>IFERROR(N72/K72,"")</f>
        <v>#ERROR!</v>
      </c>
      <c r="P72" s="227" t="str">
        <f>IFERROR(INDEX('Fiche Lot'!J:J,MATCH(A72,'Fiche Lot'!A:A,0)),"")</f>
        <v>#ERROR!</v>
      </c>
      <c r="Q72" s="266" t="str">
        <f>IFERROR(INDEX('Fiche Lot'!L:L,MATCH(A72,'Fiche Lot'!A:A,0)),"")</f>
        <v>#ERROR!</v>
      </c>
      <c r="R72" s="227" t="str">
        <f>IFERROR(INDEX('Fiche Lot'!M:M,MATCH(A72,'Fiche Lot'!A:A,0)),"")</f>
        <v>#ERROR!</v>
      </c>
      <c r="S72" s="227" t="str">
        <f>IFERROR(INDEX('Fiche Lot'!G:G,MATCH(A72,'Fiche Lot'!A:A,0)),"")</f>
        <v>#ERROR!</v>
      </c>
      <c r="T72" s="227"/>
      <c r="U72" s="233"/>
    </row>
    <row r="73" ht="15.0" customHeight="1">
      <c r="A73" s="282"/>
      <c r="B73" s="270" t="str">
        <f>IFERROR(INDEX('Fiche Lot'!B:B,MATCH(A73,'Fiche Lot'!A:A,0)),"")</f>
        <v>#ERROR!</v>
      </c>
      <c r="C73" s="235" t="str">
        <f>IFERROR(INDEX('Fiche Lot'!C:C,MATCH(A73,'Fiche Lot'!A:A,0)),"")</f>
        <v>#ERROR!</v>
      </c>
      <c r="D73" s="235" t="str">
        <f>IFERROR(INDEX('Fiche Lot'!D:D,MATCH(A73,'Fiche Lot'!A:A,0)),"")</f>
        <v>#ERROR!</v>
      </c>
      <c r="E73" s="235" t="str">
        <f>IFERROR(INDEX('Fiche Lot'!E:E,MATCH(A73,'Fiche Lot'!A:A,0)),"")</f>
        <v>#ERROR!</v>
      </c>
      <c r="F73" s="235"/>
      <c r="G73" s="235" t="str">
        <f>IFERROR(INDEX('Fiche Lot'!H:H,MATCH(A73,'Fiche Lot'!A:A,0)),"")</f>
        <v>#ERROR!</v>
      </c>
      <c r="H73" s="235"/>
      <c r="I73" s="235"/>
      <c r="J73" s="237" t="str">
        <f>IFERROR(H73/G73,"")</f>
        <v>#ERROR!</v>
      </c>
      <c r="K73" s="283"/>
      <c r="L73" s="283"/>
      <c r="M73" s="283"/>
      <c r="N73" s="283" t="str">
        <f>IFERROR(K73-M73,"")</f>
        <v>#ERROR!</v>
      </c>
      <c r="O73" s="237" t="str">
        <f>IFERROR(N73/K73,"")</f>
        <v>#ERROR!</v>
      </c>
      <c r="P73" s="235" t="str">
        <f>IFERROR(INDEX('Fiche Lot'!J:J,MATCH(A73,'Fiche Lot'!A:A,0)),"")</f>
        <v>#ERROR!</v>
      </c>
      <c r="Q73" s="270" t="str">
        <f>IFERROR(INDEX('Fiche Lot'!L:L,MATCH(A73,'Fiche Lot'!A:A,0)),"")</f>
        <v>#ERROR!</v>
      </c>
      <c r="R73" s="235" t="str">
        <f>IFERROR(INDEX('Fiche Lot'!M:M,MATCH(A73,'Fiche Lot'!A:A,0)),"")</f>
        <v>#ERROR!</v>
      </c>
      <c r="S73" s="235" t="str">
        <f>IFERROR(INDEX('Fiche Lot'!G:G,MATCH(A73,'Fiche Lot'!A:A,0)),"")</f>
        <v>#ERROR!</v>
      </c>
      <c r="T73" s="235"/>
      <c r="U73" s="240"/>
    </row>
    <row r="74" ht="15.0" customHeight="1">
      <c r="A74" s="282"/>
      <c r="B74" s="266" t="str">
        <f>IFERROR(INDEX('Fiche Lot'!B:B,MATCH(A74,'Fiche Lot'!A:A,0)),"")</f>
        <v>#ERROR!</v>
      </c>
      <c r="C74" s="227" t="str">
        <f>IFERROR(INDEX('Fiche Lot'!C:C,MATCH(A74,'Fiche Lot'!A:A,0)),"")</f>
        <v>#ERROR!</v>
      </c>
      <c r="D74" s="227" t="str">
        <f>IFERROR(INDEX('Fiche Lot'!D:D,MATCH(A74,'Fiche Lot'!A:A,0)),"")</f>
        <v>#ERROR!</v>
      </c>
      <c r="E74" s="227" t="str">
        <f>IFERROR(INDEX('Fiche Lot'!E:E,MATCH(A74,'Fiche Lot'!A:A,0)),"")</f>
        <v>#ERROR!</v>
      </c>
      <c r="F74" s="227"/>
      <c r="G74" s="227" t="str">
        <f>IFERROR(INDEX('Fiche Lot'!H:H,MATCH(A74,'Fiche Lot'!A:A,0)),"")</f>
        <v>#ERROR!</v>
      </c>
      <c r="H74" s="227"/>
      <c r="I74" s="227"/>
      <c r="J74" s="230" t="str">
        <f>IFERROR(H74/G74,"")</f>
        <v>#ERROR!</v>
      </c>
      <c r="K74" s="281"/>
      <c r="L74" s="281"/>
      <c r="M74" s="281"/>
      <c r="N74" s="281" t="str">
        <f>IFERROR(K74-M74,"")</f>
        <v>#ERROR!</v>
      </c>
      <c r="O74" s="230" t="str">
        <f>IFERROR(N74/K74,"")</f>
        <v>#ERROR!</v>
      </c>
      <c r="P74" s="227" t="str">
        <f>IFERROR(INDEX('Fiche Lot'!J:J,MATCH(A74,'Fiche Lot'!A:A,0)),"")</f>
        <v>#ERROR!</v>
      </c>
      <c r="Q74" s="266" t="str">
        <f>IFERROR(INDEX('Fiche Lot'!L:L,MATCH(A74,'Fiche Lot'!A:A,0)),"")</f>
        <v>#ERROR!</v>
      </c>
      <c r="R74" s="227" t="str">
        <f>IFERROR(INDEX('Fiche Lot'!M:M,MATCH(A74,'Fiche Lot'!A:A,0)),"")</f>
        <v>#ERROR!</v>
      </c>
      <c r="S74" s="227" t="str">
        <f>IFERROR(INDEX('Fiche Lot'!G:G,MATCH(A74,'Fiche Lot'!A:A,0)),"")</f>
        <v>#ERROR!</v>
      </c>
      <c r="T74" s="227"/>
      <c r="U74" s="233"/>
    </row>
    <row r="75" ht="15.0" customHeight="1">
      <c r="A75" s="282"/>
      <c r="B75" s="270" t="str">
        <f>IFERROR(INDEX('Fiche Lot'!B:B,MATCH(A75,'Fiche Lot'!A:A,0)),"")</f>
        <v>#ERROR!</v>
      </c>
      <c r="C75" s="235" t="str">
        <f>IFERROR(INDEX('Fiche Lot'!C:C,MATCH(A75,'Fiche Lot'!A:A,0)),"")</f>
        <v>#ERROR!</v>
      </c>
      <c r="D75" s="235" t="str">
        <f>IFERROR(INDEX('Fiche Lot'!D:D,MATCH(A75,'Fiche Lot'!A:A,0)),"")</f>
        <v>#ERROR!</v>
      </c>
      <c r="E75" s="235" t="str">
        <f>IFERROR(INDEX('Fiche Lot'!E:E,MATCH(A75,'Fiche Lot'!A:A,0)),"")</f>
        <v>#ERROR!</v>
      </c>
      <c r="F75" s="235"/>
      <c r="G75" s="235" t="str">
        <f>IFERROR(INDEX('Fiche Lot'!H:H,MATCH(A75,'Fiche Lot'!A:A,0)),"")</f>
        <v>#ERROR!</v>
      </c>
      <c r="H75" s="235"/>
      <c r="I75" s="235"/>
      <c r="J75" s="237" t="str">
        <f>IFERROR(H75/G75,"")</f>
        <v>#ERROR!</v>
      </c>
      <c r="K75" s="283"/>
      <c r="L75" s="283"/>
      <c r="M75" s="283"/>
      <c r="N75" s="283" t="str">
        <f>IFERROR(K75-M75,"")</f>
        <v>#ERROR!</v>
      </c>
      <c r="O75" s="237" t="str">
        <f>IFERROR(N75/K75,"")</f>
        <v>#ERROR!</v>
      </c>
      <c r="P75" s="235" t="str">
        <f>IFERROR(INDEX('Fiche Lot'!J:J,MATCH(A75,'Fiche Lot'!A:A,0)),"")</f>
        <v>#ERROR!</v>
      </c>
      <c r="Q75" s="270" t="str">
        <f>IFERROR(INDEX('Fiche Lot'!L:L,MATCH(A75,'Fiche Lot'!A:A,0)),"")</f>
        <v>#ERROR!</v>
      </c>
      <c r="R75" s="235" t="str">
        <f>IFERROR(INDEX('Fiche Lot'!M:M,MATCH(A75,'Fiche Lot'!A:A,0)),"")</f>
        <v>#ERROR!</v>
      </c>
      <c r="S75" s="235" t="str">
        <f>IFERROR(INDEX('Fiche Lot'!G:G,MATCH(A75,'Fiche Lot'!A:A,0)),"")</f>
        <v>#ERROR!</v>
      </c>
      <c r="T75" s="235"/>
      <c r="U75" s="240"/>
    </row>
    <row r="76" ht="15.0" customHeight="1">
      <c r="A76" s="282"/>
      <c r="B76" s="266" t="str">
        <f>IFERROR(INDEX('Fiche Lot'!B:B,MATCH(A76,'Fiche Lot'!A:A,0)),"")</f>
        <v>#ERROR!</v>
      </c>
      <c r="C76" s="227" t="str">
        <f>IFERROR(INDEX('Fiche Lot'!C:C,MATCH(A76,'Fiche Lot'!A:A,0)),"")</f>
        <v>#ERROR!</v>
      </c>
      <c r="D76" s="227" t="str">
        <f>IFERROR(INDEX('Fiche Lot'!D:D,MATCH(A76,'Fiche Lot'!A:A,0)),"")</f>
        <v>#ERROR!</v>
      </c>
      <c r="E76" s="227" t="str">
        <f>IFERROR(INDEX('Fiche Lot'!E:E,MATCH(A76,'Fiche Lot'!A:A,0)),"")</f>
        <v>#ERROR!</v>
      </c>
      <c r="F76" s="227"/>
      <c r="G76" s="227" t="str">
        <f>IFERROR(INDEX('Fiche Lot'!H:H,MATCH(A76,'Fiche Lot'!A:A,0)),"")</f>
        <v>#ERROR!</v>
      </c>
      <c r="H76" s="227"/>
      <c r="I76" s="227"/>
      <c r="J76" s="230" t="str">
        <f>IFERROR(H76/G76,"")</f>
        <v>#ERROR!</v>
      </c>
      <c r="K76" s="281"/>
      <c r="L76" s="281"/>
      <c r="M76" s="281"/>
      <c r="N76" s="281" t="str">
        <f>IFERROR(K76-M76,"")</f>
        <v>#ERROR!</v>
      </c>
      <c r="O76" s="230" t="str">
        <f>IFERROR(N76/K76,"")</f>
        <v>#ERROR!</v>
      </c>
      <c r="P76" s="227" t="str">
        <f>IFERROR(INDEX('Fiche Lot'!J:J,MATCH(A76,'Fiche Lot'!A:A,0)),"")</f>
        <v>#ERROR!</v>
      </c>
      <c r="Q76" s="266" t="str">
        <f>IFERROR(INDEX('Fiche Lot'!L:L,MATCH(A76,'Fiche Lot'!A:A,0)),"")</f>
        <v>#ERROR!</v>
      </c>
      <c r="R76" s="227" t="str">
        <f>IFERROR(INDEX('Fiche Lot'!M:M,MATCH(A76,'Fiche Lot'!A:A,0)),"")</f>
        <v>#ERROR!</v>
      </c>
      <c r="S76" s="227" t="str">
        <f>IFERROR(INDEX('Fiche Lot'!G:G,MATCH(A76,'Fiche Lot'!A:A,0)),"")</f>
        <v>#ERROR!</v>
      </c>
      <c r="T76" s="227"/>
      <c r="U76" s="233"/>
    </row>
    <row r="77" ht="15.0" customHeight="1">
      <c r="A77" s="282"/>
      <c r="B77" s="270" t="str">
        <f>IFERROR(INDEX('Fiche Lot'!B:B,MATCH(A77,'Fiche Lot'!A:A,0)),"")</f>
        <v>#ERROR!</v>
      </c>
      <c r="C77" s="235" t="str">
        <f>IFERROR(INDEX('Fiche Lot'!C:C,MATCH(A77,'Fiche Lot'!A:A,0)),"")</f>
        <v>#ERROR!</v>
      </c>
      <c r="D77" s="235" t="str">
        <f>IFERROR(INDEX('Fiche Lot'!D:D,MATCH(A77,'Fiche Lot'!A:A,0)),"")</f>
        <v>#ERROR!</v>
      </c>
      <c r="E77" s="235" t="str">
        <f>IFERROR(INDEX('Fiche Lot'!E:E,MATCH(A77,'Fiche Lot'!A:A,0)),"")</f>
        <v>#ERROR!</v>
      </c>
      <c r="F77" s="235"/>
      <c r="G77" s="235" t="str">
        <f>IFERROR(INDEX('Fiche Lot'!H:H,MATCH(A77,'Fiche Lot'!A:A,0)),"")</f>
        <v>#ERROR!</v>
      </c>
      <c r="H77" s="235"/>
      <c r="I77" s="235"/>
      <c r="J77" s="237" t="str">
        <f>IFERROR(H77/G77,"")</f>
        <v>#ERROR!</v>
      </c>
      <c r="K77" s="283"/>
      <c r="L77" s="283"/>
      <c r="M77" s="283"/>
      <c r="N77" s="283" t="str">
        <f>IFERROR(K77-M77,"")</f>
        <v>#ERROR!</v>
      </c>
      <c r="O77" s="237" t="str">
        <f>IFERROR(N77/K77,"")</f>
        <v>#ERROR!</v>
      </c>
      <c r="P77" s="235" t="str">
        <f>IFERROR(INDEX('Fiche Lot'!J:J,MATCH(A77,'Fiche Lot'!A:A,0)),"")</f>
        <v>#ERROR!</v>
      </c>
      <c r="Q77" s="270" t="str">
        <f>IFERROR(INDEX('Fiche Lot'!L:L,MATCH(A77,'Fiche Lot'!A:A,0)),"")</f>
        <v>#ERROR!</v>
      </c>
      <c r="R77" s="235" t="str">
        <f>IFERROR(INDEX('Fiche Lot'!M:M,MATCH(A77,'Fiche Lot'!A:A,0)),"")</f>
        <v>#ERROR!</v>
      </c>
      <c r="S77" s="235" t="str">
        <f>IFERROR(INDEX('Fiche Lot'!G:G,MATCH(A77,'Fiche Lot'!A:A,0)),"")</f>
        <v>#ERROR!</v>
      </c>
      <c r="T77" s="235"/>
      <c r="U77" s="240"/>
    </row>
    <row r="78" ht="15.0" customHeight="1">
      <c r="A78" s="282"/>
      <c r="B78" s="266" t="str">
        <f>IFERROR(INDEX('Fiche Lot'!B:B,MATCH(A78,'Fiche Lot'!A:A,0)),"")</f>
        <v>#ERROR!</v>
      </c>
      <c r="C78" s="227" t="str">
        <f>IFERROR(INDEX('Fiche Lot'!C:C,MATCH(A78,'Fiche Lot'!A:A,0)),"")</f>
        <v>#ERROR!</v>
      </c>
      <c r="D78" s="227" t="str">
        <f>IFERROR(INDEX('Fiche Lot'!D:D,MATCH(A78,'Fiche Lot'!A:A,0)),"")</f>
        <v>#ERROR!</v>
      </c>
      <c r="E78" s="227" t="str">
        <f>IFERROR(INDEX('Fiche Lot'!E:E,MATCH(A78,'Fiche Lot'!A:A,0)),"")</f>
        <v>#ERROR!</v>
      </c>
      <c r="F78" s="227"/>
      <c r="G78" s="227" t="str">
        <f>IFERROR(INDEX('Fiche Lot'!H:H,MATCH(A78,'Fiche Lot'!A:A,0)),"")</f>
        <v>#ERROR!</v>
      </c>
      <c r="H78" s="227"/>
      <c r="I78" s="227"/>
      <c r="J78" s="230" t="str">
        <f>IFERROR(H78/G78,"")</f>
        <v>#ERROR!</v>
      </c>
      <c r="K78" s="281"/>
      <c r="L78" s="281"/>
      <c r="M78" s="281"/>
      <c r="N78" s="281" t="str">
        <f>IFERROR(K78-M78,"")</f>
        <v>#ERROR!</v>
      </c>
      <c r="O78" s="230" t="str">
        <f>IFERROR(N78/K78,"")</f>
        <v>#ERROR!</v>
      </c>
      <c r="P78" s="227" t="str">
        <f>IFERROR(INDEX('Fiche Lot'!J:J,MATCH(A78,'Fiche Lot'!A:A,0)),"")</f>
        <v>#ERROR!</v>
      </c>
      <c r="Q78" s="266" t="str">
        <f>IFERROR(INDEX('Fiche Lot'!L:L,MATCH(A78,'Fiche Lot'!A:A,0)),"")</f>
        <v>#ERROR!</v>
      </c>
      <c r="R78" s="227" t="str">
        <f>IFERROR(INDEX('Fiche Lot'!M:M,MATCH(A78,'Fiche Lot'!A:A,0)),"")</f>
        <v>#ERROR!</v>
      </c>
      <c r="S78" s="227" t="str">
        <f>IFERROR(INDEX('Fiche Lot'!G:G,MATCH(A78,'Fiche Lot'!A:A,0)),"")</f>
        <v>#ERROR!</v>
      </c>
      <c r="T78" s="227"/>
      <c r="U78" s="233"/>
    </row>
    <row r="79" ht="15.0" customHeight="1">
      <c r="A79" s="282"/>
      <c r="B79" s="270" t="str">
        <f>IFERROR(INDEX('Fiche Lot'!B:B,MATCH(A79,'Fiche Lot'!A:A,0)),"")</f>
        <v>#ERROR!</v>
      </c>
      <c r="C79" s="235" t="str">
        <f>IFERROR(INDEX('Fiche Lot'!C:C,MATCH(A79,'Fiche Lot'!A:A,0)),"")</f>
        <v>#ERROR!</v>
      </c>
      <c r="D79" s="235" t="str">
        <f>IFERROR(INDEX('Fiche Lot'!D:D,MATCH(A79,'Fiche Lot'!A:A,0)),"")</f>
        <v>#ERROR!</v>
      </c>
      <c r="E79" s="235" t="str">
        <f>IFERROR(INDEX('Fiche Lot'!E:E,MATCH(A79,'Fiche Lot'!A:A,0)),"")</f>
        <v>#ERROR!</v>
      </c>
      <c r="F79" s="235"/>
      <c r="G79" s="235" t="str">
        <f>IFERROR(INDEX('Fiche Lot'!H:H,MATCH(A79,'Fiche Lot'!A:A,0)),"")</f>
        <v>#ERROR!</v>
      </c>
      <c r="H79" s="235"/>
      <c r="I79" s="235"/>
      <c r="J79" s="237" t="str">
        <f>IFERROR(H79/G79,"")</f>
        <v>#ERROR!</v>
      </c>
      <c r="K79" s="283"/>
      <c r="L79" s="283"/>
      <c r="M79" s="283"/>
      <c r="N79" s="283" t="str">
        <f>IFERROR(K79-M79,"")</f>
        <v>#ERROR!</v>
      </c>
      <c r="O79" s="237" t="str">
        <f>IFERROR(N79/K79,"")</f>
        <v>#ERROR!</v>
      </c>
      <c r="P79" s="235" t="str">
        <f>IFERROR(INDEX('Fiche Lot'!J:J,MATCH(A79,'Fiche Lot'!A:A,0)),"")</f>
        <v>#ERROR!</v>
      </c>
      <c r="Q79" s="270" t="str">
        <f>IFERROR(INDEX('Fiche Lot'!L:L,MATCH(A79,'Fiche Lot'!A:A,0)),"")</f>
        <v>#ERROR!</v>
      </c>
      <c r="R79" s="235" t="str">
        <f>IFERROR(INDEX('Fiche Lot'!M:M,MATCH(A79,'Fiche Lot'!A:A,0)),"")</f>
        <v>#ERROR!</v>
      </c>
      <c r="S79" s="235" t="str">
        <f>IFERROR(INDEX('Fiche Lot'!G:G,MATCH(A79,'Fiche Lot'!A:A,0)),"")</f>
        <v>#ERROR!</v>
      </c>
      <c r="T79" s="235"/>
      <c r="U79" s="240"/>
    </row>
    <row r="80" ht="15.0" customHeight="1">
      <c r="A80" s="282"/>
      <c r="B80" s="266" t="str">
        <f>IFERROR(INDEX('Fiche Lot'!B:B,MATCH(A80,'Fiche Lot'!A:A,0)),"")</f>
        <v>#ERROR!</v>
      </c>
      <c r="C80" s="227" t="str">
        <f>IFERROR(INDEX('Fiche Lot'!C:C,MATCH(A80,'Fiche Lot'!A:A,0)),"")</f>
        <v>#ERROR!</v>
      </c>
      <c r="D80" s="227" t="str">
        <f>IFERROR(INDEX('Fiche Lot'!D:D,MATCH(A80,'Fiche Lot'!A:A,0)),"")</f>
        <v>#ERROR!</v>
      </c>
      <c r="E80" s="227" t="str">
        <f>IFERROR(INDEX('Fiche Lot'!E:E,MATCH(A80,'Fiche Lot'!A:A,0)),"")</f>
        <v>#ERROR!</v>
      </c>
      <c r="F80" s="227"/>
      <c r="G80" s="227" t="str">
        <f>IFERROR(INDEX('Fiche Lot'!H:H,MATCH(A80,'Fiche Lot'!A:A,0)),"")</f>
        <v>#ERROR!</v>
      </c>
      <c r="H80" s="227"/>
      <c r="I80" s="227"/>
      <c r="J80" s="230" t="str">
        <f>IFERROR(H80/G80,"")</f>
        <v>#ERROR!</v>
      </c>
      <c r="K80" s="281"/>
      <c r="L80" s="281"/>
      <c r="M80" s="281"/>
      <c r="N80" s="281" t="str">
        <f>IFERROR(K80-M80,"")</f>
        <v>#ERROR!</v>
      </c>
      <c r="O80" s="230" t="str">
        <f>IFERROR(N80/K80,"")</f>
        <v>#ERROR!</v>
      </c>
      <c r="P80" s="227" t="str">
        <f>IFERROR(INDEX('Fiche Lot'!J:J,MATCH(A80,'Fiche Lot'!A:A,0)),"")</f>
        <v>#ERROR!</v>
      </c>
      <c r="Q80" s="266" t="str">
        <f>IFERROR(INDEX('Fiche Lot'!L:L,MATCH(A80,'Fiche Lot'!A:A,0)),"")</f>
        <v>#ERROR!</v>
      </c>
      <c r="R80" s="227" t="str">
        <f>IFERROR(INDEX('Fiche Lot'!M:M,MATCH(A80,'Fiche Lot'!A:A,0)),"")</f>
        <v>#ERROR!</v>
      </c>
      <c r="S80" s="227" t="str">
        <f>IFERROR(INDEX('Fiche Lot'!G:G,MATCH(A80,'Fiche Lot'!A:A,0)),"")</f>
        <v>#ERROR!</v>
      </c>
      <c r="T80" s="227"/>
      <c r="U80" s="233"/>
    </row>
    <row r="81" ht="15.0" customHeight="1">
      <c r="A81" s="282"/>
      <c r="B81" s="270" t="str">
        <f>IFERROR(INDEX('Fiche Lot'!B:B,MATCH(A81,'Fiche Lot'!A:A,0)),"")</f>
        <v>#ERROR!</v>
      </c>
      <c r="C81" s="235" t="str">
        <f>IFERROR(INDEX('Fiche Lot'!C:C,MATCH(A81,'Fiche Lot'!A:A,0)),"")</f>
        <v>#ERROR!</v>
      </c>
      <c r="D81" s="235" t="str">
        <f>IFERROR(INDEX('Fiche Lot'!D:D,MATCH(A81,'Fiche Lot'!A:A,0)),"")</f>
        <v>#ERROR!</v>
      </c>
      <c r="E81" s="235" t="str">
        <f>IFERROR(INDEX('Fiche Lot'!E:E,MATCH(A81,'Fiche Lot'!A:A,0)),"")</f>
        <v>#ERROR!</v>
      </c>
      <c r="F81" s="235"/>
      <c r="G81" s="235" t="str">
        <f>IFERROR(INDEX('Fiche Lot'!H:H,MATCH(A81,'Fiche Lot'!A:A,0)),"")</f>
        <v>#ERROR!</v>
      </c>
      <c r="H81" s="235"/>
      <c r="I81" s="235"/>
      <c r="J81" s="237" t="str">
        <f>IFERROR(H81/G81,"")</f>
        <v>#ERROR!</v>
      </c>
      <c r="K81" s="283"/>
      <c r="L81" s="283"/>
      <c r="M81" s="283"/>
      <c r="N81" s="283" t="str">
        <f>IFERROR(K81-M81,"")</f>
        <v>#ERROR!</v>
      </c>
      <c r="O81" s="237" t="str">
        <f>IFERROR(N81/K81,"")</f>
        <v>#ERROR!</v>
      </c>
      <c r="P81" s="235" t="str">
        <f>IFERROR(INDEX('Fiche Lot'!J:J,MATCH(A81,'Fiche Lot'!A:A,0)),"")</f>
        <v>#ERROR!</v>
      </c>
      <c r="Q81" s="270" t="str">
        <f>IFERROR(INDEX('Fiche Lot'!L:L,MATCH(A81,'Fiche Lot'!A:A,0)),"")</f>
        <v>#ERROR!</v>
      </c>
      <c r="R81" s="235" t="str">
        <f>IFERROR(INDEX('Fiche Lot'!M:M,MATCH(A81,'Fiche Lot'!A:A,0)),"")</f>
        <v>#ERROR!</v>
      </c>
      <c r="S81" s="235" t="str">
        <f>IFERROR(INDEX('Fiche Lot'!G:G,MATCH(A81,'Fiche Lot'!A:A,0)),"")</f>
        <v>#ERROR!</v>
      </c>
      <c r="T81" s="235"/>
      <c r="U81" s="240"/>
    </row>
    <row r="82" ht="15.0" customHeight="1">
      <c r="A82" s="282"/>
      <c r="B82" s="266" t="str">
        <f>IFERROR(INDEX('Fiche Lot'!B:B,MATCH(A82,'Fiche Lot'!A:A,0)),"")</f>
        <v>#ERROR!</v>
      </c>
      <c r="C82" s="227" t="str">
        <f>IFERROR(INDEX('Fiche Lot'!C:C,MATCH(A82,'Fiche Lot'!A:A,0)),"")</f>
        <v>#ERROR!</v>
      </c>
      <c r="D82" s="227" t="str">
        <f>IFERROR(INDEX('Fiche Lot'!D:D,MATCH(A82,'Fiche Lot'!A:A,0)),"")</f>
        <v>#ERROR!</v>
      </c>
      <c r="E82" s="227" t="str">
        <f>IFERROR(INDEX('Fiche Lot'!E:E,MATCH(A82,'Fiche Lot'!A:A,0)),"")</f>
        <v>#ERROR!</v>
      </c>
      <c r="F82" s="227"/>
      <c r="G82" s="227" t="str">
        <f>IFERROR(INDEX('Fiche Lot'!H:H,MATCH(A82,'Fiche Lot'!A:A,0)),"")</f>
        <v>#ERROR!</v>
      </c>
      <c r="H82" s="227"/>
      <c r="I82" s="227"/>
      <c r="J82" s="230" t="str">
        <f>IFERROR(H82/G82,"")</f>
        <v>#ERROR!</v>
      </c>
      <c r="K82" s="281"/>
      <c r="L82" s="281"/>
      <c r="M82" s="281"/>
      <c r="N82" s="281" t="str">
        <f>IFERROR(K82-M82,"")</f>
        <v>#ERROR!</v>
      </c>
      <c r="O82" s="230" t="str">
        <f>IFERROR(N82/K82,"")</f>
        <v>#ERROR!</v>
      </c>
      <c r="P82" s="227" t="str">
        <f>IFERROR(INDEX('Fiche Lot'!J:J,MATCH(A82,'Fiche Lot'!A:A,0)),"")</f>
        <v>#ERROR!</v>
      </c>
      <c r="Q82" s="266" t="str">
        <f>IFERROR(INDEX('Fiche Lot'!L:L,MATCH(A82,'Fiche Lot'!A:A,0)),"")</f>
        <v>#ERROR!</v>
      </c>
      <c r="R82" s="227" t="str">
        <f>IFERROR(INDEX('Fiche Lot'!M:M,MATCH(A82,'Fiche Lot'!A:A,0)),"")</f>
        <v>#ERROR!</v>
      </c>
      <c r="S82" s="227" t="str">
        <f>IFERROR(INDEX('Fiche Lot'!G:G,MATCH(A82,'Fiche Lot'!A:A,0)),"")</f>
        <v>#ERROR!</v>
      </c>
      <c r="T82" s="227"/>
      <c r="U82" s="233"/>
    </row>
    <row r="83" ht="15.0" customHeight="1">
      <c r="A83" s="282"/>
      <c r="B83" s="270" t="str">
        <f>IFERROR(INDEX('Fiche Lot'!B:B,MATCH(A83,'Fiche Lot'!A:A,0)),"")</f>
        <v>#ERROR!</v>
      </c>
      <c r="C83" s="235" t="str">
        <f>IFERROR(INDEX('Fiche Lot'!C:C,MATCH(A83,'Fiche Lot'!A:A,0)),"")</f>
        <v>#ERROR!</v>
      </c>
      <c r="D83" s="235" t="str">
        <f>IFERROR(INDEX('Fiche Lot'!D:D,MATCH(A83,'Fiche Lot'!A:A,0)),"")</f>
        <v>#ERROR!</v>
      </c>
      <c r="E83" s="235" t="str">
        <f>IFERROR(INDEX('Fiche Lot'!E:E,MATCH(A83,'Fiche Lot'!A:A,0)),"")</f>
        <v>#ERROR!</v>
      </c>
      <c r="F83" s="235"/>
      <c r="G83" s="235" t="str">
        <f>IFERROR(INDEX('Fiche Lot'!H:H,MATCH(A83,'Fiche Lot'!A:A,0)),"")</f>
        <v>#ERROR!</v>
      </c>
      <c r="H83" s="235"/>
      <c r="I83" s="235"/>
      <c r="J83" s="237" t="str">
        <f>IFERROR(H83/G83,"")</f>
        <v>#ERROR!</v>
      </c>
      <c r="K83" s="283"/>
      <c r="L83" s="283"/>
      <c r="M83" s="283"/>
      <c r="N83" s="283" t="str">
        <f>IFERROR(K83-M83,"")</f>
        <v>#ERROR!</v>
      </c>
      <c r="O83" s="237" t="str">
        <f>IFERROR(N83/K83,"")</f>
        <v>#ERROR!</v>
      </c>
      <c r="P83" s="235" t="str">
        <f>IFERROR(INDEX('Fiche Lot'!J:J,MATCH(A83,'Fiche Lot'!A:A,0)),"")</f>
        <v>#ERROR!</v>
      </c>
      <c r="Q83" s="270" t="str">
        <f>IFERROR(INDEX('Fiche Lot'!L:L,MATCH(A83,'Fiche Lot'!A:A,0)),"")</f>
        <v>#ERROR!</v>
      </c>
      <c r="R83" s="235" t="str">
        <f>IFERROR(INDEX('Fiche Lot'!M:M,MATCH(A83,'Fiche Lot'!A:A,0)),"")</f>
        <v>#ERROR!</v>
      </c>
      <c r="S83" s="235" t="str">
        <f>IFERROR(INDEX('Fiche Lot'!G:G,MATCH(A83,'Fiche Lot'!A:A,0)),"")</f>
        <v>#ERROR!</v>
      </c>
      <c r="T83" s="235"/>
      <c r="U83" s="240"/>
    </row>
    <row r="84" ht="15.0" customHeight="1">
      <c r="A84" s="282"/>
      <c r="B84" s="266" t="str">
        <f>IFERROR(INDEX('Fiche Lot'!B:B,MATCH(A84,'Fiche Lot'!A:A,0)),"")</f>
        <v>#ERROR!</v>
      </c>
      <c r="C84" s="227" t="str">
        <f>IFERROR(INDEX('Fiche Lot'!C:C,MATCH(A84,'Fiche Lot'!A:A,0)),"")</f>
        <v>#ERROR!</v>
      </c>
      <c r="D84" s="227" t="str">
        <f>IFERROR(INDEX('Fiche Lot'!D:D,MATCH(A84,'Fiche Lot'!A:A,0)),"")</f>
        <v>#ERROR!</v>
      </c>
      <c r="E84" s="227" t="str">
        <f>IFERROR(INDEX('Fiche Lot'!E:E,MATCH(A84,'Fiche Lot'!A:A,0)),"")</f>
        <v>#ERROR!</v>
      </c>
      <c r="F84" s="227"/>
      <c r="G84" s="227" t="str">
        <f>IFERROR(INDEX('Fiche Lot'!H:H,MATCH(A84,'Fiche Lot'!A:A,0)),"")</f>
        <v>#ERROR!</v>
      </c>
      <c r="H84" s="227"/>
      <c r="I84" s="227"/>
      <c r="J84" s="230" t="str">
        <f>IFERROR(H84/G84,"")</f>
        <v>#ERROR!</v>
      </c>
      <c r="K84" s="281"/>
      <c r="L84" s="281"/>
      <c r="M84" s="281"/>
      <c r="N84" s="281" t="str">
        <f>IFERROR(K84-M84,"")</f>
        <v>#ERROR!</v>
      </c>
      <c r="O84" s="230" t="str">
        <f>IFERROR(N84/K84,"")</f>
        <v>#ERROR!</v>
      </c>
      <c r="P84" s="227" t="str">
        <f>IFERROR(INDEX('Fiche Lot'!J:J,MATCH(A84,'Fiche Lot'!A:A,0)),"")</f>
        <v>#ERROR!</v>
      </c>
      <c r="Q84" s="266" t="str">
        <f>IFERROR(INDEX('Fiche Lot'!L:L,MATCH(A84,'Fiche Lot'!A:A,0)),"")</f>
        <v>#ERROR!</v>
      </c>
      <c r="R84" s="227" t="str">
        <f>IFERROR(INDEX('Fiche Lot'!M:M,MATCH(A84,'Fiche Lot'!A:A,0)),"")</f>
        <v>#ERROR!</v>
      </c>
      <c r="S84" s="227" t="str">
        <f>IFERROR(INDEX('Fiche Lot'!G:G,MATCH(A84,'Fiche Lot'!A:A,0)),"")</f>
        <v>#ERROR!</v>
      </c>
      <c r="T84" s="227"/>
      <c r="U84" s="233"/>
    </row>
    <row r="85" ht="15.0" customHeight="1">
      <c r="A85" s="282"/>
      <c r="B85" s="270" t="str">
        <f>IFERROR(INDEX('Fiche Lot'!B:B,MATCH(A85,'Fiche Lot'!A:A,0)),"")</f>
        <v>#ERROR!</v>
      </c>
      <c r="C85" s="235" t="str">
        <f>IFERROR(INDEX('Fiche Lot'!C:C,MATCH(A85,'Fiche Lot'!A:A,0)),"")</f>
        <v>#ERROR!</v>
      </c>
      <c r="D85" s="235" t="str">
        <f>IFERROR(INDEX('Fiche Lot'!D:D,MATCH(A85,'Fiche Lot'!A:A,0)),"")</f>
        <v>#ERROR!</v>
      </c>
      <c r="E85" s="235" t="str">
        <f>IFERROR(INDEX('Fiche Lot'!E:E,MATCH(A85,'Fiche Lot'!A:A,0)),"")</f>
        <v>#ERROR!</v>
      </c>
      <c r="F85" s="235"/>
      <c r="G85" s="235" t="str">
        <f>IFERROR(INDEX('Fiche Lot'!H:H,MATCH(A85,'Fiche Lot'!A:A,0)),"")</f>
        <v>#ERROR!</v>
      </c>
      <c r="H85" s="235"/>
      <c r="I85" s="235"/>
      <c r="J85" s="237" t="str">
        <f>IFERROR(H85/G85,"")</f>
        <v>#ERROR!</v>
      </c>
      <c r="K85" s="283"/>
      <c r="L85" s="283"/>
      <c r="M85" s="283"/>
      <c r="N85" s="283" t="str">
        <f>IFERROR(K85-M85,"")</f>
        <v>#ERROR!</v>
      </c>
      <c r="O85" s="237" t="str">
        <f>IFERROR(N85/K85,"")</f>
        <v>#ERROR!</v>
      </c>
      <c r="P85" s="235" t="str">
        <f>IFERROR(INDEX('Fiche Lot'!J:J,MATCH(A85,'Fiche Lot'!A:A,0)),"")</f>
        <v>#ERROR!</v>
      </c>
      <c r="Q85" s="270" t="str">
        <f>IFERROR(INDEX('Fiche Lot'!L:L,MATCH(A85,'Fiche Lot'!A:A,0)),"")</f>
        <v>#ERROR!</v>
      </c>
      <c r="R85" s="235" t="str">
        <f>IFERROR(INDEX('Fiche Lot'!M:M,MATCH(A85,'Fiche Lot'!A:A,0)),"")</f>
        <v>#ERROR!</v>
      </c>
      <c r="S85" s="235" t="str">
        <f>IFERROR(INDEX('Fiche Lot'!G:G,MATCH(A85,'Fiche Lot'!A:A,0)),"")</f>
        <v>#ERROR!</v>
      </c>
      <c r="T85" s="235"/>
      <c r="U85" s="240"/>
    </row>
    <row r="86" ht="15.0" customHeight="1">
      <c r="A86" s="282"/>
      <c r="B86" s="266" t="str">
        <f>IFERROR(INDEX('Fiche Lot'!B:B,MATCH(A86,'Fiche Lot'!A:A,0)),"")</f>
        <v>#ERROR!</v>
      </c>
      <c r="C86" s="227" t="str">
        <f>IFERROR(INDEX('Fiche Lot'!C:C,MATCH(A86,'Fiche Lot'!A:A,0)),"")</f>
        <v>#ERROR!</v>
      </c>
      <c r="D86" s="227" t="str">
        <f>IFERROR(INDEX('Fiche Lot'!D:D,MATCH(A86,'Fiche Lot'!A:A,0)),"")</f>
        <v>#ERROR!</v>
      </c>
      <c r="E86" s="227" t="str">
        <f>IFERROR(INDEX('Fiche Lot'!E:E,MATCH(A86,'Fiche Lot'!A:A,0)),"")</f>
        <v>#ERROR!</v>
      </c>
      <c r="F86" s="227"/>
      <c r="G86" s="227" t="str">
        <f>IFERROR(INDEX('Fiche Lot'!H:H,MATCH(A86,'Fiche Lot'!A:A,0)),"")</f>
        <v>#ERROR!</v>
      </c>
      <c r="H86" s="227"/>
      <c r="I86" s="227"/>
      <c r="J86" s="230" t="str">
        <f>IFERROR(H86/G86,"")</f>
        <v>#ERROR!</v>
      </c>
      <c r="K86" s="281"/>
      <c r="L86" s="281"/>
      <c r="M86" s="281"/>
      <c r="N86" s="281" t="str">
        <f>IFERROR(K86-M86,"")</f>
        <v>#ERROR!</v>
      </c>
      <c r="O86" s="230" t="str">
        <f>IFERROR(N86/K86,"")</f>
        <v>#ERROR!</v>
      </c>
      <c r="P86" s="227" t="str">
        <f>IFERROR(INDEX('Fiche Lot'!J:J,MATCH(A86,'Fiche Lot'!A:A,0)),"")</f>
        <v>#ERROR!</v>
      </c>
      <c r="Q86" s="266" t="str">
        <f>IFERROR(INDEX('Fiche Lot'!L:L,MATCH(A86,'Fiche Lot'!A:A,0)),"")</f>
        <v>#ERROR!</v>
      </c>
      <c r="R86" s="227" t="str">
        <f>IFERROR(INDEX('Fiche Lot'!M:M,MATCH(A86,'Fiche Lot'!A:A,0)),"")</f>
        <v>#ERROR!</v>
      </c>
      <c r="S86" s="227" t="str">
        <f>IFERROR(INDEX('Fiche Lot'!G:G,MATCH(A86,'Fiche Lot'!A:A,0)),"")</f>
        <v>#ERROR!</v>
      </c>
      <c r="T86" s="227"/>
      <c r="U86" s="233"/>
    </row>
    <row r="87" ht="15.0" customHeight="1">
      <c r="A87" s="282"/>
      <c r="B87" s="270" t="str">
        <f>IFERROR(INDEX('Fiche Lot'!B:B,MATCH(A87,'Fiche Lot'!A:A,0)),"")</f>
        <v>#ERROR!</v>
      </c>
      <c r="C87" s="235" t="str">
        <f>IFERROR(INDEX('Fiche Lot'!C:C,MATCH(A87,'Fiche Lot'!A:A,0)),"")</f>
        <v>#ERROR!</v>
      </c>
      <c r="D87" s="235" t="str">
        <f>IFERROR(INDEX('Fiche Lot'!D:D,MATCH(A87,'Fiche Lot'!A:A,0)),"")</f>
        <v>#ERROR!</v>
      </c>
      <c r="E87" s="235" t="str">
        <f>IFERROR(INDEX('Fiche Lot'!E:E,MATCH(A87,'Fiche Lot'!A:A,0)),"")</f>
        <v>#ERROR!</v>
      </c>
      <c r="F87" s="235"/>
      <c r="G87" s="235" t="str">
        <f>IFERROR(INDEX('Fiche Lot'!H:H,MATCH(A87,'Fiche Lot'!A:A,0)),"")</f>
        <v>#ERROR!</v>
      </c>
      <c r="H87" s="235"/>
      <c r="I87" s="235"/>
      <c r="J87" s="237" t="str">
        <f>IFERROR(H87/G87,"")</f>
        <v>#ERROR!</v>
      </c>
      <c r="K87" s="283"/>
      <c r="L87" s="283"/>
      <c r="M87" s="283"/>
      <c r="N87" s="283" t="str">
        <f>IFERROR(K87-M87,"")</f>
        <v>#ERROR!</v>
      </c>
      <c r="O87" s="237" t="str">
        <f>IFERROR(N87/K87,"")</f>
        <v>#ERROR!</v>
      </c>
      <c r="P87" s="235" t="str">
        <f>IFERROR(INDEX('Fiche Lot'!J:J,MATCH(A87,'Fiche Lot'!A:A,0)),"")</f>
        <v>#ERROR!</v>
      </c>
      <c r="Q87" s="270" t="str">
        <f>IFERROR(INDEX('Fiche Lot'!L:L,MATCH(A87,'Fiche Lot'!A:A,0)),"")</f>
        <v>#ERROR!</v>
      </c>
      <c r="R87" s="235" t="str">
        <f>IFERROR(INDEX('Fiche Lot'!M:M,MATCH(A87,'Fiche Lot'!A:A,0)),"")</f>
        <v>#ERROR!</v>
      </c>
      <c r="S87" s="235" t="str">
        <f>IFERROR(INDEX('Fiche Lot'!G:G,MATCH(A87,'Fiche Lot'!A:A,0)),"")</f>
        <v>#ERROR!</v>
      </c>
      <c r="T87" s="235"/>
      <c r="U87" s="240"/>
    </row>
    <row r="88" ht="15.0" customHeight="1">
      <c r="A88" s="282"/>
      <c r="B88" s="266" t="str">
        <f>IFERROR(INDEX('Fiche Lot'!B:B,MATCH(A88,'Fiche Lot'!A:A,0)),"")</f>
        <v>#ERROR!</v>
      </c>
      <c r="C88" s="227" t="str">
        <f>IFERROR(INDEX('Fiche Lot'!C:C,MATCH(A88,'Fiche Lot'!A:A,0)),"")</f>
        <v>#ERROR!</v>
      </c>
      <c r="D88" s="227" t="str">
        <f>IFERROR(INDEX('Fiche Lot'!D:D,MATCH(A88,'Fiche Lot'!A:A,0)),"")</f>
        <v>#ERROR!</v>
      </c>
      <c r="E88" s="227" t="str">
        <f>IFERROR(INDEX('Fiche Lot'!E:E,MATCH(A88,'Fiche Lot'!A:A,0)),"")</f>
        <v>#ERROR!</v>
      </c>
      <c r="F88" s="227"/>
      <c r="G88" s="227" t="str">
        <f>IFERROR(INDEX('Fiche Lot'!H:H,MATCH(A88,'Fiche Lot'!A:A,0)),"")</f>
        <v>#ERROR!</v>
      </c>
      <c r="H88" s="227"/>
      <c r="I88" s="227"/>
      <c r="J88" s="230" t="str">
        <f>IFERROR(H88/G88,"")</f>
        <v>#ERROR!</v>
      </c>
      <c r="K88" s="281"/>
      <c r="L88" s="281"/>
      <c r="M88" s="281"/>
      <c r="N88" s="281" t="str">
        <f>IFERROR(K88-M88,"")</f>
        <v>#ERROR!</v>
      </c>
      <c r="O88" s="230" t="str">
        <f>IFERROR(N88/K88,"")</f>
        <v>#ERROR!</v>
      </c>
      <c r="P88" s="227" t="str">
        <f>IFERROR(INDEX('Fiche Lot'!J:J,MATCH(A88,'Fiche Lot'!A:A,0)),"")</f>
        <v>#ERROR!</v>
      </c>
      <c r="Q88" s="266" t="str">
        <f>IFERROR(INDEX('Fiche Lot'!L:L,MATCH(A88,'Fiche Lot'!A:A,0)),"")</f>
        <v>#ERROR!</v>
      </c>
      <c r="R88" s="227" t="str">
        <f>IFERROR(INDEX('Fiche Lot'!M:M,MATCH(A88,'Fiche Lot'!A:A,0)),"")</f>
        <v>#ERROR!</v>
      </c>
      <c r="S88" s="227" t="str">
        <f>IFERROR(INDEX('Fiche Lot'!G:G,MATCH(A88,'Fiche Lot'!A:A,0)),"")</f>
        <v>#ERROR!</v>
      </c>
      <c r="T88" s="227"/>
      <c r="U88" s="233"/>
    </row>
    <row r="89" ht="15.0" customHeight="1">
      <c r="A89" s="282"/>
      <c r="B89" s="270" t="str">
        <f>IFERROR(INDEX('Fiche Lot'!B:B,MATCH(A89,'Fiche Lot'!A:A,0)),"")</f>
        <v>#ERROR!</v>
      </c>
      <c r="C89" s="235" t="str">
        <f>IFERROR(INDEX('Fiche Lot'!C:C,MATCH(A89,'Fiche Lot'!A:A,0)),"")</f>
        <v>#ERROR!</v>
      </c>
      <c r="D89" s="235" t="str">
        <f>IFERROR(INDEX('Fiche Lot'!D:D,MATCH(A89,'Fiche Lot'!A:A,0)),"")</f>
        <v>#ERROR!</v>
      </c>
      <c r="E89" s="235" t="str">
        <f>IFERROR(INDEX('Fiche Lot'!E:E,MATCH(A89,'Fiche Lot'!A:A,0)),"")</f>
        <v>#ERROR!</v>
      </c>
      <c r="F89" s="235"/>
      <c r="G89" s="235" t="str">
        <f>IFERROR(INDEX('Fiche Lot'!H:H,MATCH(A89,'Fiche Lot'!A:A,0)),"")</f>
        <v>#ERROR!</v>
      </c>
      <c r="H89" s="235"/>
      <c r="I89" s="235"/>
      <c r="J89" s="237" t="str">
        <f>IFERROR(H89/G89,"")</f>
        <v>#ERROR!</v>
      </c>
      <c r="K89" s="283"/>
      <c r="L89" s="283"/>
      <c r="M89" s="283"/>
      <c r="N89" s="283" t="str">
        <f>IFERROR(K89-M89,"")</f>
        <v>#ERROR!</v>
      </c>
      <c r="O89" s="237" t="str">
        <f>IFERROR(N89/K89,"")</f>
        <v>#ERROR!</v>
      </c>
      <c r="P89" s="235" t="str">
        <f>IFERROR(INDEX('Fiche Lot'!J:J,MATCH(A89,'Fiche Lot'!A:A,0)),"")</f>
        <v>#ERROR!</v>
      </c>
      <c r="Q89" s="270" t="str">
        <f>IFERROR(INDEX('Fiche Lot'!L:L,MATCH(A89,'Fiche Lot'!A:A,0)),"")</f>
        <v>#ERROR!</v>
      </c>
      <c r="R89" s="235" t="str">
        <f>IFERROR(INDEX('Fiche Lot'!M:M,MATCH(A89,'Fiche Lot'!A:A,0)),"")</f>
        <v>#ERROR!</v>
      </c>
      <c r="S89" s="235" t="str">
        <f>IFERROR(INDEX('Fiche Lot'!G:G,MATCH(A89,'Fiche Lot'!A:A,0)),"")</f>
        <v>#ERROR!</v>
      </c>
      <c r="T89" s="235"/>
      <c r="U89" s="240"/>
    </row>
    <row r="90" ht="15.0" customHeight="1">
      <c r="A90" s="282"/>
      <c r="B90" s="266" t="str">
        <f>IFERROR(INDEX('Fiche Lot'!B:B,MATCH(A90,'Fiche Lot'!A:A,0)),"")</f>
        <v>#ERROR!</v>
      </c>
      <c r="C90" s="227" t="str">
        <f>IFERROR(INDEX('Fiche Lot'!C:C,MATCH(A90,'Fiche Lot'!A:A,0)),"")</f>
        <v>#ERROR!</v>
      </c>
      <c r="D90" s="227" t="str">
        <f>IFERROR(INDEX('Fiche Lot'!D:D,MATCH(A90,'Fiche Lot'!A:A,0)),"")</f>
        <v>#ERROR!</v>
      </c>
      <c r="E90" s="227" t="str">
        <f>IFERROR(INDEX('Fiche Lot'!E:E,MATCH(A90,'Fiche Lot'!A:A,0)),"")</f>
        <v>#ERROR!</v>
      </c>
      <c r="F90" s="227"/>
      <c r="G90" s="227" t="str">
        <f>IFERROR(INDEX('Fiche Lot'!H:H,MATCH(A90,'Fiche Lot'!A:A,0)),"")</f>
        <v>#ERROR!</v>
      </c>
      <c r="H90" s="227"/>
      <c r="I90" s="227"/>
      <c r="J90" s="230" t="str">
        <f>IFERROR(H90/G90,"")</f>
        <v>#ERROR!</v>
      </c>
      <c r="K90" s="281"/>
      <c r="L90" s="281"/>
      <c r="M90" s="281"/>
      <c r="N90" s="281" t="str">
        <f>IFERROR(K90-M90,"")</f>
        <v>#ERROR!</v>
      </c>
      <c r="O90" s="230" t="str">
        <f>IFERROR(N90/K90,"")</f>
        <v>#ERROR!</v>
      </c>
      <c r="P90" s="227" t="str">
        <f>IFERROR(INDEX('Fiche Lot'!J:J,MATCH(A90,'Fiche Lot'!A:A,0)),"")</f>
        <v>#ERROR!</v>
      </c>
      <c r="Q90" s="266" t="str">
        <f>IFERROR(INDEX('Fiche Lot'!L:L,MATCH(A90,'Fiche Lot'!A:A,0)),"")</f>
        <v>#ERROR!</v>
      </c>
      <c r="R90" s="227" t="str">
        <f>IFERROR(INDEX('Fiche Lot'!M:M,MATCH(A90,'Fiche Lot'!A:A,0)),"")</f>
        <v>#ERROR!</v>
      </c>
      <c r="S90" s="227" t="str">
        <f>IFERROR(INDEX('Fiche Lot'!G:G,MATCH(A90,'Fiche Lot'!A:A,0)),"")</f>
        <v>#ERROR!</v>
      </c>
      <c r="T90" s="227"/>
      <c r="U90" s="233"/>
    </row>
    <row r="91" ht="15.0" customHeight="1">
      <c r="A91" s="282"/>
      <c r="B91" s="270" t="str">
        <f>IFERROR(INDEX('Fiche Lot'!B:B,MATCH(A91,'Fiche Lot'!A:A,0)),"")</f>
        <v>#ERROR!</v>
      </c>
      <c r="C91" s="235" t="str">
        <f>IFERROR(INDEX('Fiche Lot'!C:C,MATCH(A91,'Fiche Lot'!A:A,0)),"")</f>
        <v>#ERROR!</v>
      </c>
      <c r="D91" s="235" t="str">
        <f>IFERROR(INDEX('Fiche Lot'!D:D,MATCH(A91,'Fiche Lot'!A:A,0)),"")</f>
        <v>#ERROR!</v>
      </c>
      <c r="E91" s="235" t="str">
        <f>IFERROR(INDEX('Fiche Lot'!E:E,MATCH(A91,'Fiche Lot'!A:A,0)),"")</f>
        <v>#ERROR!</v>
      </c>
      <c r="F91" s="235"/>
      <c r="G91" s="235" t="str">
        <f>IFERROR(INDEX('Fiche Lot'!H:H,MATCH(A91,'Fiche Lot'!A:A,0)),"")</f>
        <v>#ERROR!</v>
      </c>
      <c r="H91" s="235"/>
      <c r="I91" s="235"/>
      <c r="J91" s="237" t="str">
        <f>IFERROR(H91/G91,"")</f>
        <v>#ERROR!</v>
      </c>
      <c r="K91" s="283"/>
      <c r="L91" s="283"/>
      <c r="M91" s="283"/>
      <c r="N91" s="283" t="str">
        <f>IFERROR(K91-M91,"")</f>
        <v>#ERROR!</v>
      </c>
      <c r="O91" s="237" t="str">
        <f>IFERROR(N91/K91,"")</f>
        <v>#ERROR!</v>
      </c>
      <c r="P91" s="235" t="str">
        <f>IFERROR(INDEX('Fiche Lot'!J:J,MATCH(A91,'Fiche Lot'!A:A,0)),"")</f>
        <v>#ERROR!</v>
      </c>
      <c r="Q91" s="270" t="str">
        <f>IFERROR(INDEX('Fiche Lot'!L:L,MATCH(A91,'Fiche Lot'!A:A,0)),"")</f>
        <v>#ERROR!</v>
      </c>
      <c r="R91" s="235" t="str">
        <f>IFERROR(INDEX('Fiche Lot'!M:M,MATCH(A91,'Fiche Lot'!A:A,0)),"")</f>
        <v>#ERROR!</v>
      </c>
      <c r="S91" s="235" t="str">
        <f>IFERROR(INDEX('Fiche Lot'!G:G,MATCH(A91,'Fiche Lot'!A:A,0)),"")</f>
        <v>#ERROR!</v>
      </c>
      <c r="T91" s="235"/>
      <c r="U91" s="240"/>
    </row>
    <row r="92" ht="15.0" customHeight="1">
      <c r="A92" s="282"/>
      <c r="B92" s="266" t="str">
        <f>IFERROR(INDEX('Fiche Lot'!B:B,MATCH(A92,'Fiche Lot'!A:A,0)),"")</f>
        <v>#ERROR!</v>
      </c>
      <c r="C92" s="227" t="str">
        <f>IFERROR(INDEX('Fiche Lot'!C:C,MATCH(A92,'Fiche Lot'!A:A,0)),"")</f>
        <v>#ERROR!</v>
      </c>
      <c r="D92" s="227" t="str">
        <f>IFERROR(INDEX('Fiche Lot'!D:D,MATCH(A92,'Fiche Lot'!A:A,0)),"")</f>
        <v>#ERROR!</v>
      </c>
      <c r="E92" s="227" t="str">
        <f>IFERROR(INDEX('Fiche Lot'!E:E,MATCH(A92,'Fiche Lot'!A:A,0)),"")</f>
        <v>#ERROR!</v>
      </c>
      <c r="F92" s="227"/>
      <c r="G92" s="227" t="str">
        <f>IFERROR(INDEX('Fiche Lot'!H:H,MATCH(A92,'Fiche Lot'!A:A,0)),"")</f>
        <v>#ERROR!</v>
      </c>
      <c r="H92" s="227"/>
      <c r="I92" s="227"/>
      <c r="J92" s="230" t="str">
        <f>IFERROR(H92/G92,"")</f>
        <v>#ERROR!</v>
      </c>
      <c r="K92" s="281"/>
      <c r="L92" s="281"/>
      <c r="M92" s="281"/>
      <c r="N92" s="281" t="str">
        <f>IFERROR(K92-M92,"")</f>
        <v>#ERROR!</v>
      </c>
      <c r="O92" s="230" t="str">
        <f>IFERROR(N92/K92,"")</f>
        <v>#ERROR!</v>
      </c>
      <c r="P92" s="227" t="str">
        <f>IFERROR(INDEX('Fiche Lot'!J:J,MATCH(A92,'Fiche Lot'!A:A,0)),"")</f>
        <v>#ERROR!</v>
      </c>
      <c r="Q92" s="266" t="str">
        <f>IFERROR(INDEX('Fiche Lot'!L:L,MATCH(A92,'Fiche Lot'!A:A,0)),"")</f>
        <v>#ERROR!</v>
      </c>
      <c r="R92" s="227" t="str">
        <f>IFERROR(INDEX('Fiche Lot'!M:M,MATCH(A92,'Fiche Lot'!A:A,0)),"")</f>
        <v>#ERROR!</v>
      </c>
      <c r="S92" s="227" t="str">
        <f>IFERROR(INDEX('Fiche Lot'!G:G,MATCH(A92,'Fiche Lot'!A:A,0)),"")</f>
        <v>#ERROR!</v>
      </c>
      <c r="T92" s="227"/>
      <c r="U92" s="233"/>
    </row>
    <row r="93" ht="15.0" customHeight="1">
      <c r="A93" s="282"/>
      <c r="B93" s="270" t="str">
        <f>IFERROR(INDEX('Fiche Lot'!B:B,MATCH(A93,'Fiche Lot'!A:A,0)),"")</f>
        <v>#ERROR!</v>
      </c>
      <c r="C93" s="235" t="str">
        <f>IFERROR(INDEX('Fiche Lot'!C:C,MATCH(A93,'Fiche Lot'!A:A,0)),"")</f>
        <v>#ERROR!</v>
      </c>
      <c r="D93" s="235" t="str">
        <f>IFERROR(INDEX('Fiche Lot'!D:D,MATCH(A93,'Fiche Lot'!A:A,0)),"")</f>
        <v>#ERROR!</v>
      </c>
      <c r="E93" s="235" t="str">
        <f>IFERROR(INDEX('Fiche Lot'!E:E,MATCH(A93,'Fiche Lot'!A:A,0)),"")</f>
        <v>#ERROR!</v>
      </c>
      <c r="F93" s="235"/>
      <c r="G93" s="235" t="str">
        <f>IFERROR(INDEX('Fiche Lot'!H:H,MATCH(A93,'Fiche Lot'!A:A,0)),"")</f>
        <v>#ERROR!</v>
      </c>
      <c r="H93" s="235"/>
      <c r="I93" s="235"/>
      <c r="J93" s="237" t="str">
        <f>IFERROR(H93/G93,"")</f>
        <v>#ERROR!</v>
      </c>
      <c r="K93" s="283"/>
      <c r="L93" s="283"/>
      <c r="M93" s="283"/>
      <c r="N93" s="283" t="str">
        <f>IFERROR(K93-M93,"")</f>
        <v>#ERROR!</v>
      </c>
      <c r="O93" s="237" t="str">
        <f>IFERROR(N93/K93,"")</f>
        <v>#ERROR!</v>
      </c>
      <c r="P93" s="235" t="str">
        <f>IFERROR(INDEX('Fiche Lot'!J:J,MATCH(A93,'Fiche Lot'!A:A,0)),"")</f>
        <v>#ERROR!</v>
      </c>
      <c r="Q93" s="270" t="str">
        <f>IFERROR(INDEX('Fiche Lot'!L:L,MATCH(A93,'Fiche Lot'!A:A,0)),"")</f>
        <v>#ERROR!</v>
      </c>
      <c r="R93" s="235" t="str">
        <f>IFERROR(INDEX('Fiche Lot'!M:M,MATCH(A93,'Fiche Lot'!A:A,0)),"")</f>
        <v>#ERROR!</v>
      </c>
      <c r="S93" s="235" t="str">
        <f>IFERROR(INDEX('Fiche Lot'!G:G,MATCH(A93,'Fiche Lot'!A:A,0)),"")</f>
        <v>#ERROR!</v>
      </c>
      <c r="T93" s="235"/>
      <c r="U93" s="240"/>
    </row>
    <row r="94" ht="15.0" customHeight="1">
      <c r="A94" s="282"/>
      <c r="B94" s="266" t="str">
        <f>IFERROR(INDEX('Fiche Lot'!B:B,MATCH(A94,'Fiche Lot'!A:A,0)),"")</f>
        <v>#ERROR!</v>
      </c>
      <c r="C94" s="227" t="str">
        <f>IFERROR(INDEX('Fiche Lot'!C:C,MATCH(A94,'Fiche Lot'!A:A,0)),"")</f>
        <v>#ERROR!</v>
      </c>
      <c r="D94" s="227" t="str">
        <f>IFERROR(INDEX('Fiche Lot'!D:D,MATCH(A94,'Fiche Lot'!A:A,0)),"")</f>
        <v>#ERROR!</v>
      </c>
      <c r="E94" s="227" t="str">
        <f>IFERROR(INDEX('Fiche Lot'!E:E,MATCH(A94,'Fiche Lot'!A:A,0)),"")</f>
        <v>#ERROR!</v>
      </c>
      <c r="F94" s="227"/>
      <c r="G94" s="227" t="str">
        <f>IFERROR(INDEX('Fiche Lot'!H:H,MATCH(A94,'Fiche Lot'!A:A,0)),"")</f>
        <v>#ERROR!</v>
      </c>
      <c r="H94" s="227"/>
      <c r="I94" s="227"/>
      <c r="J94" s="230" t="str">
        <f>IFERROR(H94/G94,"")</f>
        <v>#ERROR!</v>
      </c>
      <c r="K94" s="281"/>
      <c r="L94" s="281"/>
      <c r="M94" s="281"/>
      <c r="N94" s="281" t="str">
        <f>IFERROR(K94-M94,"")</f>
        <v>#ERROR!</v>
      </c>
      <c r="O94" s="230" t="str">
        <f>IFERROR(N94/K94,"")</f>
        <v>#ERROR!</v>
      </c>
      <c r="P94" s="227" t="str">
        <f>IFERROR(INDEX('Fiche Lot'!J:J,MATCH(A94,'Fiche Lot'!A:A,0)),"")</f>
        <v>#ERROR!</v>
      </c>
      <c r="Q94" s="266" t="str">
        <f>IFERROR(INDEX('Fiche Lot'!L:L,MATCH(A94,'Fiche Lot'!A:A,0)),"")</f>
        <v>#ERROR!</v>
      </c>
      <c r="R94" s="227" t="str">
        <f>IFERROR(INDEX('Fiche Lot'!M:M,MATCH(A94,'Fiche Lot'!A:A,0)),"")</f>
        <v>#ERROR!</v>
      </c>
      <c r="S94" s="227" t="str">
        <f>IFERROR(INDEX('Fiche Lot'!G:G,MATCH(A94,'Fiche Lot'!A:A,0)),"")</f>
        <v>#ERROR!</v>
      </c>
      <c r="T94" s="227"/>
      <c r="U94" s="233"/>
    </row>
    <row r="95" ht="15.0" customHeight="1">
      <c r="A95" s="282"/>
      <c r="B95" s="270" t="str">
        <f>IFERROR(INDEX('Fiche Lot'!B:B,MATCH(A95,'Fiche Lot'!A:A,0)),"")</f>
        <v>#ERROR!</v>
      </c>
      <c r="C95" s="235" t="str">
        <f>IFERROR(INDEX('Fiche Lot'!C:C,MATCH(A95,'Fiche Lot'!A:A,0)),"")</f>
        <v>#ERROR!</v>
      </c>
      <c r="D95" s="235" t="str">
        <f>IFERROR(INDEX('Fiche Lot'!D:D,MATCH(A95,'Fiche Lot'!A:A,0)),"")</f>
        <v>#ERROR!</v>
      </c>
      <c r="E95" s="235" t="str">
        <f>IFERROR(INDEX('Fiche Lot'!E:E,MATCH(A95,'Fiche Lot'!A:A,0)),"")</f>
        <v>#ERROR!</v>
      </c>
      <c r="F95" s="235"/>
      <c r="G95" s="235" t="str">
        <f>IFERROR(INDEX('Fiche Lot'!H:H,MATCH(A95,'Fiche Lot'!A:A,0)),"")</f>
        <v>#ERROR!</v>
      </c>
      <c r="H95" s="235"/>
      <c r="I95" s="235"/>
      <c r="J95" s="237" t="str">
        <f>IFERROR(H95/G95,"")</f>
        <v>#ERROR!</v>
      </c>
      <c r="K95" s="283"/>
      <c r="L95" s="283"/>
      <c r="M95" s="283"/>
      <c r="N95" s="283" t="str">
        <f>IFERROR(K95-M95,"")</f>
        <v>#ERROR!</v>
      </c>
      <c r="O95" s="237" t="str">
        <f>IFERROR(N95/K95,"")</f>
        <v>#ERROR!</v>
      </c>
      <c r="P95" s="235" t="str">
        <f>IFERROR(INDEX('Fiche Lot'!J:J,MATCH(A95,'Fiche Lot'!A:A,0)),"")</f>
        <v>#ERROR!</v>
      </c>
      <c r="Q95" s="270" t="str">
        <f>IFERROR(INDEX('Fiche Lot'!L:L,MATCH(A95,'Fiche Lot'!A:A,0)),"")</f>
        <v>#ERROR!</v>
      </c>
      <c r="R95" s="235" t="str">
        <f>IFERROR(INDEX('Fiche Lot'!M:M,MATCH(A95,'Fiche Lot'!A:A,0)),"")</f>
        <v>#ERROR!</v>
      </c>
      <c r="S95" s="235" t="str">
        <f>IFERROR(INDEX('Fiche Lot'!G:G,MATCH(A95,'Fiche Lot'!A:A,0)),"")</f>
        <v>#ERROR!</v>
      </c>
      <c r="T95" s="235"/>
      <c r="U95" s="240"/>
    </row>
    <row r="96" ht="15.0" customHeight="1">
      <c r="A96" s="282"/>
      <c r="B96" s="266" t="str">
        <f>IFERROR(INDEX('Fiche Lot'!B:B,MATCH(A96,'Fiche Lot'!A:A,0)),"")</f>
        <v>#ERROR!</v>
      </c>
      <c r="C96" s="227" t="str">
        <f>IFERROR(INDEX('Fiche Lot'!C:C,MATCH(A96,'Fiche Lot'!A:A,0)),"")</f>
        <v>#ERROR!</v>
      </c>
      <c r="D96" s="227" t="str">
        <f>IFERROR(INDEX('Fiche Lot'!D:D,MATCH(A96,'Fiche Lot'!A:A,0)),"")</f>
        <v>#ERROR!</v>
      </c>
      <c r="E96" s="227" t="str">
        <f>IFERROR(INDEX('Fiche Lot'!E:E,MATCH(A96,'Fiche Lot'!A:A,0)),"")</f>
        <v>#ERROR!</v>
      </c>
      <c r="F96" s="227"/>
      <c r="G96" s="227" t="str">
        <f>IFERROR(INDEX('Fiche Lot'!H:H,MATCH(A96,'Fiche Lot'!A:A,0)),"")</f>
        <v>#ERROR!</v>
      </c>
      <c r="H96" s="227"/>
      <c r="I96" s="227"/>
      <c r="J96" s="230" t="str">
        <f>IFERROR(H96/G96,"")</f>
        <v>#ERROR!</v>
      </c>
      <c r="K96" s="281"/>
      <c r="L96" s="281"/>
      <c r="M96" s="281"/>
      <c r="N96" s="281" t="str">
        <f>IFERROR(K96-M96,"")</f>
        <v>#ERROR!</v>
      </c>
      <c r="O96" s="230" t="str">
        <f>IFERROR(N96/K96,"")</f>
        <v>#ERROR!</v>
      </c>
      <c r="P96" s="227" t="str">
        <f>IFERROR(INDEX('Fiche Lot'!J:J,MATCH(A96,'Fiche Lot'!A:A,0)),"")</f>
        <v>#ERROR!</v>
      </c>
      <c r="Q96" s="266" t="str">
        <f>IFERROR(INDEX('Fiche Lot'!L:L,MATCH(A96,'Fiche Lot'!A:A,0)),"")</f>
        <v>#ERROR!</v>
      </c>
      <c r="R96" s="227" t="str">
        <f>IFERROR(INDEX('Fiche Lot'!M:M,MATCH(A96,'Fiche Lot'!A:A,0)),"")</f>
        <v>#ERROR!</v>
      </c>
      <c r="S96" s="227" t="str">
        <f>IFERROR(INDEX('Fiche Lot'!G:G,MATCH(A96,'Fiche Lot'!A:A,0)),"")</f>
        <v>#ERROR!</v>
      </c>
      <c r="T96" s="227"/>
      <c r="U96" s="233"/>
    </row>
    <row r="97" ht="15.0" customHeight="1">
      <c r="A97" s="282"/>
      <c r="B97" s="270" t="str">
        <f>IFERROR(INDEX('Fiche Lot'!B:B,MATCH(A97,'Fiche Lot'!A:A,0)),"")</f>
        <v>#ERROR!</v>
      </c>
      <c r="C97" s="235" t="str">
        <f>IFERROR(INDEX('Fiche Lot'!C:C,MATCH(A97,'Fiche Lot'!A:A,0)),"")</f>
        <v>#ERROR!</v>
      </c>
      <c r="D97" s="235" t="str">
        <f>IFERROR(INDEX('Fiche Lot'!D:D,MATCH(A97,'Fiche Lot'!A:A,0)),"")</f>
        <v>#ERROR!</v>
      </c>
      <c r="E97" s="235" t="str">
        <f>IFERROR(INDEX('Fiche Lot'!E:E,MATCH(A97,'Fiche Lot'!A:A,0)),"")</f>
        <v>#ERROR!</v>
      </c>
      <c r="F97" s="235"/>
      <c r="G97" s="235" t="str">
        <f>IFERROR(INDEX('Fiche Lot'!H:H,MATCH(A97,'Fiche Lot'!A:A,0)),"")</f>
        <v>#ERROR!</v>
      </c>
      <c r="H97" s="235"/>
      <c r="I97" s="235"/>
      <c r="J97" s="237" t="str">
        <f>IFERROR(H97/G97,"")</f>
        <v>#ERROR!</v>
      </c>
      <c r="K97" s="283"/>
      <c r="L97" s="283"/>
      <c r="M97" s="283"/>
      <c r="N97" s="283" t="str">
        <f>IFERROR(K97-M97,"")</f>
        <v>#ERROR!</v>
      </c>
      <c r="O97" s="237" t="str">
        <f>IFERROR(N97/K97,"")</f>
        <v>#ERROR!</v>
      </c>
      <c r="P97" s="235" t="str">
        <f>IFERROR(INDEX('Fiche Lot'!J:J,MATCH(A97,'Fiche Lot'!A:A,0)),"")</f>
        <v>#ERROR!</v>
      </c>
      <c r="Q97" s="270" t="str">
        <f>IFERROR(INDEX('Fiche Lot'!L:L,MATCH(A97,'Fiche Lot'!A:A,0)),"")</f>
        <v>#ERROR!</v>
      </c>
      <c r="R97" s="235" t="str">
        <f>IFERROR(INDEX('Fiche Lot'!M:M,MATCH(A97,'Fiche Lot'!A:A,0)),"")</f>
        <v>#ERROR!</v>
      </c>
      <c r="S97" s="235" t="str">
        <f>IFERROR(INDEX('Fiche Lot'!G:G,MATCH(A97,'Fiche Lot'!A:A,0)),"")</f>
        <v>#ERROR!</v>
      </c>
      <c r="T97" s="235"/>
      <c r="U97" s="240"/>
    </row>
    <row r="98" ht="15.0" customHeight="1">
      <c r="A98" s="282"/>
      <c r="B98" s="266" t="str">
        <f>IFERROR(INDEX('Fiche Lot'!B:B,MATCH(A98,'Fiche Lot'!A:A,0)),"")</f>
        <v>#ERROR!</v>
      </c>
      <c r="C98" s="227" t="str">
        <f>IFERROR(INDEX('Fiche Lot'!C:C,MATCH(A98,'Fiche Lot'!A:A,0)),"")</f>
        <v>#ERROR!</v>
      </c>
      <c r="D98" s="227" t="str">
        <f>IFERROR(INDEX('Fiche Lot'!D:D,MATCH(A98,'Fiche Lot'!A:A,0)),"")</f>
        <v>#ERROR!</v>
      </c>
      <c r="E98" s="227" t="str">
        <f>IFERROR(INDEX('Fiche Lot'!E:E,MATCH(A98,'Fiche Lot'!A:A,0)),"")</f>
        <v>#ERROR!</v>
      </c>
      <c r="F98" s="227"/>
      <c r="G98" s="227" t="str">
        <f>IFERROR(INDEX('Fiche Lot'!H:H,MATCH(A98,'Fiche Lot'!A:A,0)),"")</f>
        <v>#ERROR!</v>
      </c>
      <c r="H98" s="227"/>
      <c r="I98" s="227"/>
      <c r="J98" s="230" t="str">
        <f>IFERROR(H98/G98,"")</f>
        <v>#ERROR!</v>
      </c>
      <c r="K98" s="281"/>
      <c r="L98" s="281"/>
      <c r="M98" s="281"/>
      <c r="N98" s="281" t="str">
        <f>IFERROR(K98-M98,"")</f>
        <v>#ERROR!</v>
      </c>
      <c r="O98" s="230" t="str">
        <f>IFERROR(N98/K98,"")</f>
        <v>#ERROR!</v>
      </c>
      <c r="P98" s="227" t="str">
        <f>IFERROR(INDEX('Fiche Lot'!J:J,MATCH(A98,'Fiche Lot'!A:A,0)),"")</f>
        <v>#ERROR!</v>
      </c>
      <c r="Q98" s="266" t="str">
        <f>IFERROR(INDEX('Fiche Lot'!L:L,MATCH(A98,'Fiche Lot'!A:A,0)),"")</f>
        <v>#ERROR!</v>
      </c>
      <c r="R98" s="227" t="str">
        <f>IFERROR(INDEX('Fiche Lot'!M:M,MATCH(A98,'Fiche Lot'!A:A,0)),"")</f>
        <v>#ERROR!</v>
      </c>
      <c r="S98" s="227" t="str">
        <f>IFERROR(INDEX('Fiche Lot'!G:G,MATCH(A98,'Fiche Lot'!A:A,0)),"")</f>
        <v>#ERROR!</v>
      </c>
      <c r="T98" s="227"/>
      <c r="U98" s="233"/>
    </row>
    <row r="99" ht="15.0" customHeight="1">
      <c r="A99" s="282"/>
      <c r="B99" s="270" t="str">
        <f>IFERROR(INDEX('Fiche Lot'!B:B,MATCH(A99,'Fiche Lot'!A:A,0)),"")</f>
        <v>#ERROR!</v>
      </c>
      <c r="C99" s="235" t="str">
        <f>IFERROR(INDEX('Fiche Lot'!C:C,MATCH(A99,'Fiche Lot'!A:A,0)),"")</f>
        <v>#ERROR!</v>
      </c>
      <c r="D99" s="235" t="str">
        <f>IFERROR(INDEX('Fiche Lot'!D:D,MATCH(A99,'Fiche Lot'!A:A,0)),"")</f>
        <v>#ERROR!</v>
      </c>
      <c r="E99" s="235" t="str">
        <f>IFERROR(INDEX('Fiche Lot'!E:E,MATCH(A99,'Fiche Lot'!A:A,0)),"")</f>
        <v>#ERROR!</v>
      </c>
      <c r="F99" s="235"/>
      <c r="G99" s="235" t="str">
        <f>IFERROR(INDEX('Fiche Lot'!H:H,MATCH(A99,'Fiche Lot'!A:A,0)),"")</f>
        <v>#ERROR!</v>
      </c>
      <c r="H99" s="235"/>
      <c r="I99" s="235"/>
      <c r="J99" s="237" t="str">
        <f>IFERROR(H99/G99,"")</f>
        <v>#ERROR!</v>
      </c>
      <c r="K99" s="283"/>
      <c r="L99" s="283"/>
      <c r="M99" s="283"/>
      <c r="N99" s="283" t="str">
        <f>IFERROR(K99-M99,"")</f>
        <v>#ERROR!</v>
      </c>
      <c r="O99" s="237" t="str">
        <f>IFERROR(N99/K99,"")</f>
        <v>#ERROR!</v>
      </c>
      <c r="P99" s="235" t="str">
        <f>IFERROR(INDEX('Fiche Lot'!J:J,MATCH(A99,'Fiche Lot'!A:A,0)),"")</f>
        <v>#ERROR!</v>
      </c>
      <c r="Q99" s="270" t="str">
        <f>IFERROR(INDEX('Fiche Lot'!L:L,MATCH(A99,'Fiche Lot'!A:A,0)),"")</f>
        <v>#ERROR!</v>
      </c>
      <c r="R99" s="235" t="str">
        <f>IFERROR(INDEX('Fiche Lot'!M:M,MATCH(A99,'Fiche Lot'!A:A,0)),"")</f>
        <v>#ERROR!</v>
      </c>
      <c r="S99" s="235" t="str">
        <f>IFERROR(INDEX('Fiche Lot'!G:G,MATCH(A99,'Fiche Lot'!A:A,0)),"")</f>
        <v>#ERROR!</v>
      </c>
      <c r="T99" s="235"/>
      <c r="U99" s="240"/>
    </row>
    <row r="100" ht="15.0" customHeight="1">
      <c r="A100" s="282"/>
      <c r="B100" s="266" t="str">
        <f>IFERROR(INDEX('Fiche Lot'!B:B,MATCH(A100,'Fiche Lot'!A:A,0)),"")</f>
        <v>#ERROR!</v>
      </c>
      <c r="C100" s="227" t="str">
        <f>IFERROR(INDEX('Fiche Lot'!C:C,MATCH(A100,'Fiche Lot'!A:A,0)),"")</f>
        <v>#ERROR!</v>
      </c>
      <c r="D100" s="227" t="str">
        <f>IFERROR(INDEX('Fiche Lot'!D:D,MATCH(A100,'Fiche Lot'!A:A,0)),"")</f>
        <v>#ERROR!</v>
      </c>
      <c r="E100" s="227" t="str">
        <f>IFERROR(INDEX('Fiche Lot'!E:E,MATCH(A100,'Fiche Lot'!A:A,0)),"")</f>
        <v>#ERROR!</v>
      </c>
      <c r="F100" s="227"/>
      <c r="G100" s="227" t="str">
        <f>IFERROR(INDEX('Fiche Lot'!H:H,MATCH(A100,'Fiche Lot'!A:A,0)),"")</f>
        <v>#ERROR!</v>
      </c>
      <c r="H100" s="227"/>
      <c r="I100" s="227"/>
      <c r="J100" s="230" t="str">
        <f>IFERROR(H100/G100,"")</f>
        <v>#ERROR!</v>
      </c>
      <c r="K100" s="281"/>
      <c r="L100" s="281"/>
      <c r="M100" s="281"/>
      <c r="N100" s="281" t="str">
        <f>IFERROR(K100-M100,"")</f>
        <v>#ERROR!</v>
      </c>
      <c r="O100" s="230" t="str">
        <f>IFERROR(N100/K100,"")</f>
        <v>#ERROR!</v>
      </c>
      <c r="P100" s="227" t="str">
        <f>IFERROR(INDEX('Fiche Lot'!J:J,MATCH(A100,'Fiche Lot'!A:A,0)),"")</f>
        <v>#ERROR!</v>
      </c>
      <c r="Q100" s="266" t="str">
        <f>IFERROR(INDEX('Fiche Lot'!L:L,MATCH(A100,'Fiche Lot'!A:A,0)),"")</f>
        <v>#ERROR!</v>
      </c>
      <c r="R100" s="227" t="str">
        <f>IFERROR(INDEX('Fiche Lot'!M:M,MATCH(A100,'Fiche Lot'!A:A,0)),"")</f>
        <v>#ERROR!</v>
      </c>
      <c r="S100" s="227" t="str">
        <f>IFERROR(INDEX('Fiche Lot'!G:G,MATCH(A100,'Fiche Lot'!A:A,0)),"")</f>
        <v>#ERROR!</v>
      </c>
      <c r="T100" s="227"/>
      <c r="U100" s="233"/>
    </row>
    <row r="101" ht="15.0" customHeight="1">
      <c r="A101" s="282"/>
      <c r="B101" s="270" t="str">
        <f>IFERROR(INDEX('Fiche Lot'!B:B,MATCH(A101,'Fiche Lot'!A:A,0)),"")</f>
        <v>#ERROR!</v>
      </c>
      <c r="C101" s="235" t="str">
        <f>IFERROR(INDEX('Fiche Lot'!C:C,MATCH(A101,'Fiche Lot'!A:A,0)),"")</f>
        <v>#ERROR!</v>
      </c>
      <c r="D101" s="235" t="str">
        <f>IFERROR(INDEX('Fiche Lot'!D:D,MATCH(A101,'Fiche Lot'!A:A,0)),"")</f>
        <v>#ERROR!</v>
      </c>
      <c r="E101" s="235" t="str">
        <f>IFERROR(INDEX('Fiche Lot'!E:E,MATCH(A101,'Fiche Lot'!A:A,0)),"")</f>
        <v>#ERROR!</v>
      </c>
      <c r="F101" s="235"/>
      <c r="G101" s="235" t="str">
        <f>IFERROR(INDEX('Fiche Lot'!H:H,MATCH(A101,'Fiche Lot'!A:A,0)),"")</f>
        <v>#ERROR!</v>
      </c>
      <c r="H101" s="235"/>
      <c r="I101" s="235"/>
      <c r="J101" s="237" t="str">
        <f>IFERROR(H101/G101,"")</f>
        <v>#ERROR!</v>
      </c>
      <c r="K101" s="283"/>
      <c r="L101" s="283"/>
      <c r="M101" s="283"/>
      <c r="N101" s="283" t="str">
        <f>IFERROR(K101-M101,"")</f>
        <v>#ERROR!</v>
      </c>
      <c r="O101" s="237" t="str">
        <f>IFERROR(N101/K101,"")</f>
        <v>#ERROR!</v>
      </c>
      <c r="P101" s="235" t="str">
        <f>IFERROR(INDEX('Fiche Lot'!J:J,MATCH(A101,'Fiche Lot'!A:A,0)),"")</f>
        <v>#ERROR!</v>
      </c>
      <c r="Q101" s="270" t="str">
        <f>IFERROR(INDEX('Fiche Lot'!L:L,MATCH(A101,'Fiche Lot'!A:A,0)),"")</f>
        <v>#ERROR!</v>
      </c>
      <c r="R101" s="235" t="str">
        <f>IFERROR(INDEX('Fiche Lot'!M:M,MATCH(A101,'Fiche Lot'!A:A,0)),"")</f>
        <v>#ERROR!</v>
      </c>
      <c r="S101" s="235" t="str">
        <f>IFERROR(INDEX('Fiche Lot'!G:G,MATCH(A101,'Fiche Lot'!A:A,0)),"")</f>
        <v>#ERROR!</v>
      </c>
      <c r="T101" s="235"/>
      <c r="U101" s="240"/>
    </row>
    <row r="102" ht="15.0" customHeight="1">
      <c r="A102" s="282"/>
      <c r="B102" s="266" t="str">
        <f>IFERROR(INDEX('Fiche Lot'!B:B,MATCH(A102,'Fiche Lot'!A:A,0)),"")</f>
        <v>#ERROR!</v>
      </c>
      <c r="C102" s="227" t="str">
        <f>IFERROR(INDEX('Fiche Lot'!C:C,MATCH(A102,'Fiche Lot'!A:A,0)),"")</f>
        <v>#ERROR!</v>
      </c>
      <c r="D102" s="227" t="str">
        <f>IFERROR(INDEX('Fiche Lot'!D:D,MATCH(A102,'Fiche Lot'!A:A,0)),"")</f>
        <v>#ERROR!</v>
      </c>
      <c r="E102" s="227" t="str">
        <f>IFERROR(INDEX('Fiche Lot'!E:E,MATCH(A102,'Fiche Lot'!A:A,0)),"")</f>
        <v>#ERROR!</v>
      </c>
      <c r="F102" s="227"/>
      <c r="G102" s="227" t="str">
        <f>IFERROR(INDEX('Fiche Lot'!H:H,MATCH(A102,'Fiche Lot'!A:A,0)),"")</f>
        <v>#ERROR!</v>
      </c>
      <c r="H102" s="227"/>
      <c r="I102" s="227"/>
      <c r="J102" s="230" t="str">
        <f>IFERROR(H102/G102,"")</f>
        <v>#ERROR!</v>
      </c>
      <c r="K102" s="281"/>
      <c r="L102" s="281"/>
      <c r="M102" s="281"/>
      <c r="N102" s="281" t="str">
        <f>IFERROR(K102-M102,"")</f>
        <v>#ERROR!</v>
      </c>
      <c r="O102" s="230" t="str">
        <f>IFERROR(N102/K102,"")</f>
        <v>#ERROR!</v>
      </c>
      <c r="P102" s="227" t="str">
        <f>IFERROR(INDEX('Fiche Lot'!J:J,MATCH(A102,'Fiche Lot'!A:A,0)),"")</f>
        <v>#ERROR!</v>
      </c>
      <c r="Q102" s="266" t="str">
        <f>IFERROR(INDEX('Fiche Lot'!L:L,MATCH(A102,'Fiche Lot'!A:A,0)),"")</f>
        <v>#ERROR!</v>
      </c>
      <c r="R102" s="227" t="str">
        <f>IFERROR(INDEX('Fiche Lot'!M:M,MATCH(A102,'Fiche Lot'!A:A,0)),"")</f>
        <v>#ERROR!</v>
      </c>
      <c r="S102" s="227" t="str">
        <f>IFERROR(INDEX('Fiche Lot'!G:G,MATCH(A102,'Fiche Lot'!A:A,0)),"")</f>
        <v>#ERROR!</v>
      </c>
      <c r="T102" s="227"/>
      <c r="U102" s="233"/>
    </row>
    <row r="103" ht="15.0" customHeight="1">
      <c r="A103" s="282"/>
      <c r="B103" s="270" t="str">
        <f>IFERROR(INDEX('Fiche Lot'!B:B,MATCH(A103,'Fiche Lot'!A:A,0)),"")</f>
        <v>#ERROR!</v>
      </c>
      <c r="C103" s="235" t="str">
        <f>IFERROR(INDEX('Fiche Lot'!C:C,MATCH(A103,'Fiche Lot'!A:A,0)),"")</f>
        <v>#ERROR!</v>
      </c>
      <c r="D103" s="235" t="str">
        <f>IFERROR(INDEX('Fiche Lot'!D:D,MATCH(A103,'Fiche Lot'!A:A,0)),"")</f>
        <v>#ERROR!</v>
      </c>
      <c r="E103" s="235" t="str">
        <f>IFERROR(INDEX('Fiche Lot'!E:E,MATCH(A103,'Fiche Lot'!A:A,0)),"")</f>
        <v>#ERROR!</v>
      </c>
      <c r="F103" s="235"/>
      <c r="G103" s="235" t="str">
        <f>IFERROR(INDEX('Fiche Lot'!H:H,MATCH(A103,'Fiche Lot'!A:A,0)),"")</f>
        <v>#ERROR!</v>
      </c>
      <c r="H103" s="235"/>
      <c r="I103" s="235"/>
      <c r="J103" s="237" t="str">
        <f>IFERROR(H103/G103,"")</f>
        <v>#ERROR!</v>
      </c>
      <c r="K103" s="283"/>
      <c r="L103" s="283"/>
      <c r="M103" s="283"/>
      <c r="N103" s="283" t="str">
        <f>IFERROR(K103-M103,"")</f>
        <v>#ERROR!</v>
      </c>
      <c r="O103" s="237" t="str">
        <f>IFERROR(N103/K103,"")</f>
        <v>#ERROR!</v>
      </c>
      <c r="P103" s="235" t="str">
        <f>IFERROR(INDEX('Fiche Lot'!J:J,MATCH(A103,'Fiche Lot'!A:A,0)),"")</f>
        <v>#ERROR!</v>
      </c>
      <c r="Q103" s="270" t="str">
        <f>IFERROR(INDEX('Fiche Lot'!L:L,MATCH(A103,'Fiche Lot'!A:A,0)),"")</f>
        <v>#ERROR!</v>
      </c>
      <c r="R103" s="235" t="str">
        <f>IFERROR(INDEX('Fiche Lot'!M:M,MATCH(A103,'Fiche Lot'!A:A,0)),"")</f>
        <v>#ERROR!</v>
      </c>
      <c r="S103" s="235" t="str">
        <f>IFERROR(INDEX('Fiche Lot'!G:G,MATCH(A103,'Fiche Lot'!A:A,0)),"")</f>
        <v>#ERROR!</v>
      </c>
      <c r="T103" s="235"/>
      <c r="U103" s="240"/>
    </row>
    <row r="104" ht="15.0" customHeight="1">
      <c r="A104" s="282"/>
      <c r="B104" s="266" t="str">
        <f>IFERROR(INDEX('Fiche Lot'!B:B,MATCH(A104,'Fiche Lot'!A:A,0)),"")</f>
        <v>#ERROR!</v>
      </c>
      <c r="C104" s="227" t="str">
        <f>IFERROR(INDEX('Fiche Lot'!C:C,MATCH(A104,'Fiche Lot'!A:A,0)),"")</f>
        <v>#ERROR!</v>
      </c>
      <c r="D104" s="227" t="str">
        <f>IFERROR(INDEX('Fiche Lot'!D:D,MATCH(A104,'Fiche Lot'!A:A,0)),"")</f>
        <v>#ERROR!</v>
      </c>
      <c r="E104" s="227" t="str">
        <f>IFERROR(INDEX('Fiche Lot'!E:E,MATCH(A104,'Fiche Lot'!A:A,0)),"")</f>
        <v>#ERROR!</v>
      </c>
      <c r="F104" s="227"/>
      <c r="G104" s="227" t="str">
        <f>IFERROR(INDEX('Fiche Lot'!H:H,MATCH(A104,'Fiche Lot'!A:A,0)),"")</f>
        <v>#ERROR!</v>
      </c>
      <c r="H104" s="227"/>
      <c r="I104" s="227"/>
      <c r="J104" s="230" t="str">
        <f>IFERROR(H104/G104,"")</f>
        <v>#ERROR!</v>
      </c>
      <c r="K104" s="281"/>
      <c r="L104" s="281"/>
      <c r="M104" s="281"/>
      <c r="N104" s="281" t="str">
        <f>IFERROR(K104-M104,"")</f>
        <v>#ERROR!</v>
      </c>
      <c r="O104" s="230" t="str">
        <f>IFERROR(N104/K104,"")</f>
        <v>#ERROR!</v>
      </c>
      <c r="P104" s="227" t="str">
        <f>IFERROR(INDEX('Fiche Lot'!J:J,MATCH(A104,'Fiche Lot'!A:A,0)),"")</f>
        <v>#ERROR!</v>
      </c>
      <c r="Q104" s="266" t="str">
        <f>IFERROR(INDEX('Fiche Lot'!L:L,MATCH(A104,'Fiche Lot'!A:A,0)),"")</f>
        <v>#ERROR!</v>
      </c>
      <c r="R104" s="227" t="str">
        <f>IFERROR(INDEX('Fiche Lot'!M:M,MATCH(A104,'Fiche Lot'!A:A,0)),"")</f>
        <v>#ERROR!</v>
      </c>
      <c r="S104" s="227" t="str">
        <f>IFERROR(INDEX('Fiche Lot'!G:G,MATCH(A104,'Fiche Lot'!A:A,0)),"")</f>
        <v>#ERROR!</v>
      </c>
      <c r="T104" s="227"/>
      <c r="U104" s="233"/>
    </row>
    <row r="105" ht="15.0" customHeight="1">
      <c r="A105" s="282"/>
      <c r="B105" s="270" t="str">
        <f>IFERROR(INDEX('Fiche Lot'!B:B,MATCH(A105,'Fiche Lot'!A:A,0)),"")</f>
        <v>#ERROR!</v>
      </c>
      <c r="C105" s="235" t="str">
        <f>IFERROR(INDEX('Fiche Lot'!C:C,MATCH(A105,'Fiche Lot'!A:A,0)),"")</f>
        <v>#ERROR!</v>
      </c>
      <c r="D105" s="235" t="str">
        <f>IFERROR(INDEX('Fiche Lot'!D:D,MATCH(A105,'Fiche Lot'!A:A,0)),"")</f>
        <v>#ERROR!</v>
      </c>
      <c r="E105" s="235" t="str">
        <f>IFERROR(INDEX('Fiche Lot'!E:E,MATCH(A105,'Fiche Lot'!A:A,0)),"")</f>
        <v>#ERROR!</v>
      </c>
      <c r="F105" s="235"/>
      <c r="G105" s="235" t="str">
        <f>IFERROR(INDEX('Fiche Lot'!H:H,MATCH(A105,'Fiche Lot'!A:A,0)),"")</f>
        <v>#ERROR!</v>
      </c>
      <c r="H105" s="235"/>
      <c r="I105" s="235"/>
      <c r="J105" s="237" t="str">
        <f>IFERROR(H105/G105,"")</f>
        <v>#ERROR!</v>
      </c>
      <c r="K105" s="283"/>
      <c r="L105" s="283"/>
      <c r="M105" s="283"/>
      <c r="N105" s="283" t="str">
        <f>IFERROR(K105-M105,"")</f>
        <v>#ERROR!</v>
      </c>
      <c r="O105" s="237" t="str">
        <f>IFERROR(N105/K105,"")</f>
        <v>#ERROR!</v>
      </c>
      <c r="P105" s="235" t="str">
        <f>IFERROR(INDEX('Fiche Lot'!J:J,MATCH(A105,'Fiche Lot'!A:A,0)),"")</f>
        <v>#ERROR!</v>
      </c>
      <c r="Q105" s="270" t="str">
        <f>IFERROR(INDEX('Fiche Lot'!L:L,MATCH(A105,'Fiche Lot'!A:A,0)),"")</f>
        <v>#ERROR!</v>
      </c>
      <c r="R105" s="235" t="str">
        <f>IFERROR(INDEX('Fiche Lot'!M:M,MATCH(A105,'Fiche Lot'!A:A,0)),"")</f>
        <v>#ERROR!</v>
      </c>
      <c r="S105" s="235" t="str">
        <f>IFERROR(INDEX('Fiche Lot'!G:G,MATCH(A105,'Fiche Lot'!A:A,0)),"")</f>
        <v>#ERROR!</v>
      </c>
      <c r="T105" s="235"/>
      <c r="U105" s="240"/>
    </row>
    <row r="106" ht="15.0" customHeight="1">
      <c r="A106" s="282"/>
      <c r="B106" s="266" t="str">
        <f>IFERROR(INDEX('Fiche Lot'!B:B,MATCH(A106,'Fiche Lot'!A:A,0)),"")</f>
        <v>#ERROR!</v>
      </c>
      <c r="C106" s="227" t="str">
        <f>IFERROR(INDEX('Fiche Lot'!C:C,MATCH(A106,'Fiche Lot'!A:A,0)),"")</f>
        <v>#ERROR!</v>
      </c>
      <c r="D106" s="227" t="str">
        <f>IFERROR(INDEX('Fiche Lot'!D:D,MATCH(A106,'Fiche Lot'!A:A,0)),"")</f>
        <v>#ERROR!</v>
      </c>
      <c r="E106" s="227" t="str">
        <f>IFERROR(INDEX('Fiche Lot'!E:E,MATCH(A106,'Fiche Lot'!A:A,0)),"")</f>
        <v>#ERROR!</v>
      </c>
      <c r="F106" s="227"/>
      <c r="G106" s="227" t="str">
        <f>IFERROR(INDEX('Fiche Lot'!H:H,MATCH(A106,'Fiche Lot'!A:A,0)),"")</f>
        <v>#ERROR!</v>
      </c>
      <c r="H106" s="227"/>
      <c r="I106" s="227"/>
      <c r="J106" s="230" t="str">
        <f>IFERROR(H106/G106,"")</f>
        <v>#ERROR!</v>
      </c>
      <c r="K106" s="281"/>
      <c r="L106" s="281"/>
      <c r="M106" s="281"/>
      <c r="N106" s="281" t="str">
        <f>IFERROR(K106-M106,"")</f>
        <v>#ERROR!</v>
      </c>
      <c r="O106" s="230" t="str">
        <f>IFERROR(N106/K106,"")</f>
        <v>#ERROR!</v>
      </c>
      <c r="P106" s="227" t="str">
        <f>IFERROR(INDEX('Fiche Lot'!J:J,MATCH(A106,'Fiche Lot'!A:A,0)),"")</f>
        <v>#ERROR!</v>
      </c>
      <c r="Q106" s="266" t="str">
        <f>IFERROR(INDEX('Fiche Lot'!L:L,MATCH(A106,'Fiche Lot'!A:A,0)),"")</f>
        <v>#ERROR!</v>
      </c>
      <c r="R106" s="227" t="str">
        <f>IFERROR(INDEX('Fiche Lot'!M:M,MATCH(A106,'Fiche Lot'!A:A,0)),"")</f>
        <v>#ERROR!</v>
      </c>
      <c r="S106" s="227" t="str">
        <f>IFERROR(INDEX('Fiche Lot'!G:G,MATCH(A106,'Fiche Lot'!A:A,0)),"")</f>
        <v>#ERROR!</v>
      </c>
      <c r="T106" s="227"/>
      <c r="U106" s="233"/>
    </row>
    <row r="107" ht="15.0" customHeight="1">
      <c r="A107" s="282"/>
      <c r="B107" s="270" t="str">
        <f>IFERROR(INDEX('Fiche Lot'!B:B,MATCH(A107,'Fiche Lot'!A:A,0)),"")</f>
        <v>#ERROR!</v>
      </c>
      <c r="C107" s="235" t="str">
        <f>IFERROR(INDEX('Fiche Lot'!C:C,MATCH(A107,'Fiche Lot'!A:A,0)),"")</f>
        <v>#ERROR!</v>
      </c>
      <c r="D107" s="235" t="str">
        <f>IFERROR(INDEX('Fiche Lot'!D:D,MATCH(A107,'Fiche Lot'!A:A,0)),"")</f>
        <v>#ERROR!</v>
      </c>
      <c r="E107" s="235" t="str">
        <f>IFERROR(INDEX('Fiche Lot'!E:E,MATCH(A107,'Fiche Lot'!A:A,0)),"")</f>
        <v>#ERROR!</v>
      </c>
      <c r="F107" s="235"/>
      <c r="G107" s="235" t="str">
        <f>IFERROR(INDEX('Fiche Lot'!H:H,MATCH(A107,'Fiche Lot'!A:A,0)),"")</f>
        <v>#ERROR!</v>
      </c>
      <c r="H107" s="235"/>
      <c r="I107" s="235"/>
      <c r="J107" s="237" t="str">
        <f>IFERROR(H107/G107,"")</f>
        <v>#ERROR!</v>
      </c>
      <c r="K107" s="283"/>
      <c r="L107" s="283"/>
      <c r="M107" s="283"/>
      <c r="N107" s="283" t="str">
        <f>IFERROR(K107-M107,"")</f>
        <v>#ERROR!</v>
      </c>
      <c r="O107" s="237" t="str">
        <f>IFERROR(N107/K107,"")</f>
        <v>#ERROR!</v>
      </c>
      <c r="P107" s="235" t="str">
        <f>IFERROR(INDEX('Fiche Lot'!J:J,MATCH(A107,'Fiche Lot'!A:A,0)),"")</f>
        <v>#ERROR!</v>
      </c>
      <c r="Q107" s="270" t="str">
        <f>IFERROR(INDEX('Fiche Lot'!L:L,MATCH(A107,'Fiche Lot'!A:A,0)),"")</f>
        <v>#ERROR!</v>
      </c>
      <c r="R107" s="235" t="str">
        <f>IFERROR(INDEX('Fiche Lot'!M:M,MATCH(A107,'Fiche Lot'!A:A,0)),"")</f>
        <v>#ERROR!</v>
      </c>
      <c r="S107" s="235" t="str">
        <f>IFERROR(INDEX('Fiche Lot'!G:G,MATCH(A107,'Fiche Lot'!A:A,0)),"")</f>
        <v>#ERROR!</v>
      </c>
      <c r="T107" s="235"/>
      <c r="U107" s="240"/>
    </row>
    <row r="108" ht="15.0" customHeight="1">
      <c r="A108" s="282"/>
      <c r="B108" s="266" t="str">
        <f>IFERROR(INDEX('Fiche Lot'!B:B,MATCH(A108,'Fiche Lot'!A:A,0)),"")</f>
        <v>#ERROR!</v>
      </c>
      <c r="C108" s="227" t="str">
        <f>IFERROR(INDEX('Fiche Lot'!C:C,MATCH(A108,'Fiche Lot'!A:A,0)),"")</f>
        <v>#ERROR!</v>
      </c>
      <c r="D108" s="227" t="str">
        <f>IFERROR(INDEX('Fiche Lot'!D:D,MATCH(A108,'Fiche Lot'!A:A,0)),"")</f>
        <v>#ERROR!</v>
      </c>
      <c r="E108" s="227" t="str">
        <f>IFERROR(INDEX('Fiche Lot'!E:E,MATCH(A108,'Fiche Lot'!A:A,0)),"")</f>
        <v>#ERROR!</v>
      </c>
      <c r="F108" s="227"/>
      <c r="G108" s="227" t="str">
        <f>IFERROR(INDEX('Fiche Lot'!H:H,MATCH(A108,'Fiche Lot'!A:A,0)),"")</f>
        <v>#ERROR!</v>
      </c>
      <c r="H108" s="227"/>
      <c r="I108" s="227"/>
      <c r="J108" s="230" t="str">
        <f>IFERROR(H108/G108,"")</f>
        <v>#ERROR!</v>
      </c>
      <c r="K108" s="281"/>
      <c r="L108" s="281"/>
      <c r="M108" s="281"/>
      <c r="N108" s="281" t="str">
        <f>IFERROR(K108-M108,"")</f>
        <v>#ERROR!</v>
      </c>
      <c r="O108" s="230" t="str">
        <f>IFERROR(N108/K108,"")</f>
        <v>#ERROR!</v>
      </c>
      <c r="P108" s="227" t="str">
        <f>IFERROR(INDEX('Fiche Lot'!J:J,MATCH(A108,'Fiche Lot'!A:A,0)),"")</f>
        <v>#ERROR!</v>
      </c>
      <c r="Q108" s="266" t="str">
        <f>IFERROR(INDEX('Fiche Lot'!L:L,MATCH(A108,'Fiche Lot'!A:A,0)),"")</f>
        <v>#ERROR!</v>
      </c>
      <c r="R108" s="227" t="str">
        <f>IFERROR(INDEX('Fiche Lot'!M:M,MATCH(A108,'Fiche Lot'!A:A,0)),"")</f>
        <v>#ERROR!</v>
      </c>
      <c r="S108" s="227" t="str">
        <f>IFERROR(INDEX('Fiche Lot'!G:G,MATCH(A108,'Fiche Lot'!A:A,0)),"")</f>
        <v>#ERROR!</v>
      </c>
      <c r="T108" s="227"/>
      <c r="U108" s="233"/>
    </row>
    <row r="109" ht="15.0" customHeight="1">
      <c r="A109" s="282"/>
      <c r="B109" s="270" t="str">
        <f>IFERROR(INDEX('Fiche Lot'!B:B,MATCH(A109,'Fiche Lot'!A:A,0)),"")</f>
        <v>#ERROR!</v>
      </c>
      <c r="C109" s="235" t="str">
        <f>IFERROR(INDEX('Fiche Lot'!C:C,MATCH(A109,'Fiche Lot'!A:A,0)),"")</f>
        <v>#ERROR!</v>
      </c>
      <c r="D109" s="235" t="str">
        <f>IFERROR(INDEX('Fiche Lot'!D:D,MATCH(A109,'Fiche Lot'!A:A,0)),"")</f>
        <v>#ERROR!</v>
      </c>
      <c r="E109" s="235" t="str">
        <f>IFERROR(INDEX('Fiche Lot'!E:E,MATCH(A109,'Fiche Lot'!A:A,0)),"")</f>
        <v>#ERROR!</v>
      </c>
      <c r="F109" s="235"/>
      <c r="G109" s="235" t="str">
        <f>IFERROR(INDEX('Fiche Lot'!H:H,MATCH(A109,'Fiche Lot'!A:A,0)),"")</f>
        <v>#ERROR!</v>
      </c>
      <c r="H109" s="235"/>
      <c r="I109" s="235"/>
      <c r="J109" s="237" t="str">
        <f>IFERROR(H109/G109,"")</f>
        <v>#ERROR!</v>
      </c>
      <c r="K109" s="283"/>
      <c r="L109" s="283"/>
      <c r="M109" s="283"/>
      <c r="N109" s="283" t="str">
        <f>IFERROR(K109-M109,"")</f>
        <v>#ERROR!</v>
      </c>
      <c r="O109" s="237" t="str">
        <f>IFERROR(N109/K109,"")</f>
        <v>#ERROR!</v>
      </c>
      <c r="P109" s="235" t="str">
        <f>IFERROR(INDEX('Fiche Lot'!J:J,MATCH(A109,'Fiche Lot'!A:A,0)),"")</f>
        <v>#ERROR!</v>
      </c>
      <c r="Q109" s="270" t="str">
        <f>IFERROR(INDEX('Fiche Lot'!L:L,MATCH(A109,'Fiche Lot'!A:A,0)),"")</f>
        <v>#ERROR!</v>
      </c>
      <c r="R109" s="235" t="str">
        <f>IFERROR(INDEX('Fiche Lot'!M:M,MATCH(A109,'Fiche Lot'!A:A,0)),"")</f>
        <v>#ERROR!</v>
      </c>
      <c r="S109" s="235" t="str">
        <f>IFERROR(INDEX('Fiche Lot'!G:G,MATCH(A109,'Fiche Lot'!A:A,0)),"")</f>
        <v>#ERROR!</v>
      </c>
      <c r="T109" s="235"/>
      <c r="U109" s="240"/>
    </row>
    <row r="110" ht="15.0" customHeight="1">
      <c r="A110" s="282"/>
      <c r="B110" s="266" t="str">
        <f>IFERROR(INDEX('Fiche Lot'!B:B,MATCH(A110,'Fiche Lot'!A:A,0)),"")</f>
        <v>#ERROR!</v>
      </c>
      <c r="C110" s="227" t="str">
        <f>IFERROR(INDEX('Fiche Lot'!C:C,MATCH(A110,'Fiche Lot'!A:A,0)),"")</f>
        <v>#ERROR!</v>
      </c>
      <c r="D110" s="227" t="str">
        <f>IFERROR(INDEX('Fiche Lot'!D:D,MATCH(A110,'Fiche Lot'!A:A,0)),"")</f>
        <v>#ERROR!</v>
      </c>
      <c r="E110" s="227" t="str">
        <f>IFERROR(INDEX('Fiche Lot'!E:E,MATCH(A110,'Fiche Lot'!A:A,0)),"")</f>
        <v>#ERROR!</v>
      </c>
      <c r="F110" s="227"/>
      <c r="G110" s="227" t="str">
        <f>IFERROR(INDEX('Fiche Lot'!H:H,MATCH(A110,'Fiche Lot'!A:A,0)),"")</f>
        <v>#ERROR!</v>
      </c>
      <c r="H110" s="227"/>
      <c r="I110" s="227"/>
      <c r="J110" s="230" t="str">
        <f>IFERROR(H110/G110,"")</f>
        <v>#ERROR!</v>
      </c>
      <c r="K110" s="281"/>
      <c r="L110" s="281"/>
      <c r="M110" s="281"/>
      <c r="N110" s="281" t="str">
        <f>IFERROR(K110-M110,"")</f>
        <v>#ERROR!</v>
      </c>
      <c r="O110" s="230" t="str">
        <f>IFERROR(N110/K110,"")</f>
        <v>#ERROR!</v>
      </c>
      <c r="P110" s="227" t="str">
        <f>IFERROR(INDEX('Fiche Lot'!J:J,MATCH(A110,'Fiche Lot'!A:A,0)),"")</f>
        <v>#ERROR!</v>
      </c>
      <c r="Q110" s="266" t="str">
        <f>IFERROR(INDEX('Fiche Lot'!L:L,MATCH(A110,'Fiche Lot'!A:A,0)),"")</f>
        <v>#ERROR!</v>
      </c>
      <c r="R110" s="227" t="str">
        <f>IFERROR(INDEX('Fiche Lot'!M:M,MATCH(A110,'Fiche Lot'!A:A,0)),"")</f>
        <v>#ERROR!</v>
      </c>
      <c r="S110" s="227" t="str">
        <f>IFERROR(INDEX('Fiche Lot'!G:G,MATCH(A110,'Fiche Lot'!A:A,0)),"")</f>
        <v>#ERROR!</v>
      </c>
      <c r="T110" s="227"/>
      <c r="U110" s="233"/>
    </row>
    <row r="111" ht="15.0" customHeight="1">
      <c r="A111" s="282"/>
      <c r="B111" s="270" t="str">
        <f>IFERROR(INDEX('Fiche Lot'!B:B,MATCH(A111,'Fiche Lot'!A:A,0)),"")</f>
        <v>#ERROR!</v>
      </c>
      <c r="C111" s="235" t="str">
        <f>IFERROR(INDEX('Fiche Lot'!C:C,MATCH(A111,'Fiche Lot'!A:A,0)),"")</f>
        <v>#ERROR!</v>
      </c>
      <c r="D111" s="235" t="str">
        <f>IFERROR(INDEX('Fiche Lot'!D:D,MATCH(A111,'Fiche Lot'!A:A,0)),"")</f>
        <v>#ERROR!</v>
      </c>
      <c r="E111" s="235" t="str">
        <f>IFERROR(INDEX('Fiche Lot'!E:E,MATCH(A111,'Fiche Lot'!A:A,0)),"")</f>
        <v>#ERROR!</v>
      </c>
      <c r="F111" s="235"/>
      <c r="G111" s="235" t="str">
        <f>IFERROR(INDEX('Fiche Lot'!H:H,MATCH(A111,'Fiche Lot'!A:A,0)),"")</f>
        <v>#ERROR!</v>
      </c>
      <c r="H111" s="235"/>
      <c r="I111" s="235"/>
      <c r="J111" s="237" t="str">
        <f>IFERROR(H111/G111,"")</f>
        <v>#ERROR!</v>
      </c>
      <c r="K111" s="283"/>
      <c r="L111" s="283"/>
      <c r="M111" s="283"/>
      <c r="N111" s="283" t="str">
        <f>IFERROR(K111-M111,"")</f>
        <v>#ERROR!</v>
      </c>
      <c r="O111" s="237" t="str">
        <f>IFERROR(N111/K111,"")</f>
        <v>#ERROR!</v>
      </c>
      <c r="P111" s="235" t="str">
        <f>IFERROR(INDEX('Fiche Lot'!J:J,MATCH(A111,'Fiche Lot'!A:A,0)),"")</f>
        <v>#ERROR!</v>
      </c>
      <c r="Q111" s="270" t="str">
        <f>IFERROR(INDEX('Fiche Lot'!L:L,MATCH(A111,'Fiche Lot'!A:A,0)),"")</f>
        <v>#ERROR!</v>
      </c>
      <c r="R111" s="235" t="str">
        <f>IFERROR(INDEX('Fiche Lot'!M:M,MATCH(A111,'Fiche Lot'!A:A,0)),"")</f>
        <v>#ERROR!</v>
      </c>
      <c r="S111" s="235" t="str">
        <f>IFERROR(INDEX('Fiche Lot'!G:G,MATCH(A111,'Fiche Lot'!A:A,0)),"")</f>
        <v>#ERROR!</v>
      </c>
      <c r="T111" s="235"/>
      <c r="U111" s="240"/>
    </row>
    <row r="112" ht="15.0" customHeight="1">
      <c r="A112" s="282"/>
      <c r="B112" s="266" t="str">
        <f>IFERROR(INDEX('Fiche Lot'!B:B,MATCH(A112,'Fiche Lot'!A:A,0)),"")</f>
        <v>#ERROR!</v>
      </c>
      <c r="C112" s="227" t="str">
        <f>IFERROR(INDEX('Fiche Lot'!C:C,MATCH(A112,'Fiche Lot'!A:A,0)),"")</f>
        <v>#ERROR!</v>
      </c>
      <c r="D112" s="227" t="str">
        <f>IFERROR(INDEX('Fiche Lot'!D:D,MATCH(A112,'Fiche Lot'!A:A,0)),"")</f>
        <v>#ERROR!</v>
      </c>
      <c r="E112" s="227" t="str">
        <f>IFERROR(INDEX('Fiche Lot'!E:E,MATCH(A112,'Fiche Lot'!A:A,0)),"")</f>
        <v>#ERROR!</v>
      </c>
      <c r="F112" s="227"/>
      <c r="G112" s="227" t="str">
        <f>IFERROR(INDEX('Fiche Lot'!H:H,MATCH(A112,'Fiche Lot'!A:A,0)),"")</f>
        <v>#ERROR!</v>
      </c>
      <c r="H112" s="227"/>
      <c r="I112" s="227"/>
      <c r="J112" s="230" t="str">
        <f>IFERROR(H112/G112,"")</f>
        <v>#ERROR!</v>
      </c>
      <c r="K112" s="281"/>
      <c r="L112" s="281"/>
      <c r="M112" s="281"/>
      <c r="N112" s="281" t="str">
        <f>IFERROR(K112-M112,"")</f>
        <v>#ERROR!</v>
      </c>
      <c r="O112" s="230" t="str">
        <f>IFERROR(N112/K112,"")</f>
        <v>#ERROR!</v>
      </c>
      <c r="P112" s="227" t="str">
        <f>IFERROR(INDEX('Fiche Lot'!J:J,MATCH(A112,'Fiche Lot'!A:A,0)),"")</f>
        <v>#ERROR!</v>
      </c>
      <c r="Q112" s="266" t="str">
        <f>IFERROR(INDEX('Fiche Lot'!L:L,MATCH(A112,'Fiche Lot'!A:A,0)),"")</f>
        <v>#ERROR!</v>
      </c>
      <c r="R112" s="227" t="str">
        <f>IFERROR(INDEX('Fiche Lot'!M:M,MATCH(A112,'Fiche Lot'!A:A,0)),"")</f>
        <v>#ERROR!</v>
      </c>
      <c r="S112" s="227" t="str">
        <f>IFERROR(INDEX('Fiche Lot'!G:G,MATCH(A112,'Fiche Lot'!A:A,0)),"")</f>
        <v>#ERROR!</v>
      </c>
      <c r="T112" s="227"/>
      <c r="U112" s="233"/>
    </row>
    <row r="113" ht="15.0" customHeight="1">
      <c r="A113" s="282"/>
      <c r="B113" s="270" t="str">
        <f>IFERROR(INDEX('Fiche Lot'!B:B,MATCH(A113,'Fiche Lot'!A:A,0)),"")</f>
        <v>#ERROR!</v>
      </c>
      <c r="C113" s="235" t="str">
        <f>IFERROR(INDEX('Fiche Lot'!C:C,MATCH(A113,'Fiche Lot'!A:A,0)),"")</f>
        <v>#ERROR!</v>
      </c>
      <c r="D113" s="235" t="str">
        <f>IFERROR(INDEX('Fiche Lot'!D:D,MATCH(A113,'Fiche Lot'!A:A,0)),"")</f>
        <v>#ERROR!</v>
      </c>
      <c r="E113" s="235" t="str">
        <f>IFERROR(INDEX('Fiche Lot'!E:E,MATCH(A113,'Fiche Lot'!A:A,0)),"")</f>
        <v>#ERROR!</v>
      </c>
      <c r="F113" s="235"/>
      <c r="G113" s="235" t="str">
        <f>IFERROR(INDEX('Fiche Lot'!H:H,MATCH(A113,'Fiche Lot'!A:A,0)),"")</f>
        <v>#ERROR!</v>
      </c>
      <c r="H113" s="235"/>
      <c r="I113" s="235"/>
      <c r="J113" s="237" t="str">
        <f>IFERROR(H113/G113,"")</f>
        <v>#ERROR!</v>
      </c>
      <c r="K113" s="283"/>
      <c r="L113" s="283"/>
      <c r="M113" s="283"/>
      <c r="N113" s="283" t="str">
        <f>IFERROR(K113-M113,"")</f>
        <v>#ERROR!</v>
      </c>
      <c r="O113" s="237" t="str">
        <f>IFERROR(N113/K113,"")</f>
        <v>#ERROR!</v>
      </c>
      <c r="P113" s="235" t="str">
        <f>IFERROR(INDEX('Fiche Lot'!J:J,MATCH(A113,'Fiche Lot'!A:A,0)),"")</f>
        <v>#ERROR!</v>
      </c>
      <c r="Q113" s="270" t="str">
        <f>IFERROR(INDEX('Fiche Lot'!L:L,MATCH(A113,'Fiche Lot'!A:A,0)),"")</f>
        <v>#ERROR!</v>
      </c>
      <c r="R113" s="235" t="str">
        <f>IFERROR(INDEX('Fiche Lot'!M:M,MATCH(A113,'Fiche Lot'!A:A,0)),"")</f>
        <v>#ERROR!</v>
      </c>
      <c r="S113" s="235" t="str">
        <f>IFERROR(INDEX('Fiche Lot'!G:G,MATCH(A113,'Fiche Lot'!A:A,0)),"")</f>
        <v>#ERROR!</v>
      </c>
      <c r="T113" s="235"/>
      <c r="U113" s="240"/>
    </row>
    <row r="114" ht="15.0" customHeight="1">
      <c r="A114" s="282"/>
      <c r="B114" s="266" t="str">
        <f>IFERROR(INDEX('Fiche Lot'!B:B,MATCH(A114,'Fiche Lot'!A:A,0)),"")</f>
        <v>#ERROR!</v>
      </c>
      <c r="C114" s="227" t="str">
        <f>IFERROR(INDEX('Fiche Lot'!C:C,MATCH(A114,'Fiche Lot'!A:A,0)),"")</f>
        <v>#ERROR!</v>
      </c>
      <c r="D114" s="227" t="str">
        <f>IFERROR(INDEX('Fiche Lot'!D:D,MATCH(A114,'Fiche Lot'!A:A,0)),"")</f>
        <v>#ERROR!</v>
      </c>
      <c r="E114" s="227" t="str">
        <f>IFERROR(INDEX('Fiche Lot'!E:E,MATCH(A114,'Fiche Lot'!A:A,0)),"")</f>
        <v>#ERROR!</v>
      </c>
      <c r="F114" s="227"/>
      <c r="G114" s="227" t="str">
        <f>IFERROR(INDEX('Fiche Lot'!H:H,MATCH(A114,'Fiche Lot'!A:A,0)),"")</f>
        <v>#ERROR!</v>
      </c>
      <c r="H114" s="227"/>
      <c r="I114" s="227"/>
      <c r="J114" s="230" t="str">
        <f>IFERROR(H114/G114,"")</f>
        <v>#ERROR!</v>
      </c>
      <c r="K114" s="281"/>
      <c r="L114" s="281"/>
      <c r="M114" s="281"/>
      <c r="N114" s="281" t="str">
        <f>IFERROR(K114-M114,"")</f>
        <v>#ERROR!</v>
      </c>
      <c r="O114" s="230" t="str">
        <f>IFERROR(N114/K114,"")</f>
        <v>#ERROR!</v>
      </c>
      <c r="P114" s="227" t="str">
        <f>IFERROR(INDEX('Fiche Lot'!J:J,MATCH(A114,'Fiche Lot'!A:A,0)),"")</f>
        <v>#ERROR!</v>
      </c>
      <c r="Q114" s="266" t="str">
        <f>IFERROR(INDEX('Fiche Lot'!L:L,MATCH(A114,'Fiche Lot'!A:A,0)),"")</f>
        <v>#ERROR!</v>
      </c>
      <c r="R114" s="227" t="str">
        <f>IFERROR(INDEX('Fiche Lot'!M:M,MATCH(A114,'Fiche Lot'!A:A,0)),"")</f>
        <v>#ERROR!</v>
      </c>
      <c r="S114" s="227" t="str">
        <f>IFERROR(INDEX('Fiche Lot'!G:G,MATCH(A114,'Fiche Lot'!A:A,0)),"")</f>
        <v>#ERROR!</v>
      </c>
      <c r="T114" s="227"/>
      <c r="U114" s="233"/>
    </row>
    <row r="115" ht="15.0" customHeight="1">
      <c r="A115" s="282"/>
      <c r="B115" s="270" t="str">
        <f>IFERROR(INDEX('Fiche Lot'!B:B,MATCH(A115,'Fiche Lot'!A:A,0)),"")</f>
        <v>#ERROR!</v>
      </c>
      <c r="C115" s="235" t="str">
        <f>IFERROR(INDEX('Fiche Lot'!C:C,MATCH(A115,'Fiche Lot'!A:A,0)),"")</f>
        <v>#ERROR!</v>
      </c>
      <c r="D115" s="235" t="str">
        <f>IFERROR(INDEX('Fiche Lot'!D:D,MATCH(A115,'Fiche Lot'!A:A,0)),"")</f>
        <v>#ERROR!</v>
      </c>
      <c r="E115" s="235" t="str">
        <f>IFERROR(INDEX('Fiche Lot'!E:E,MATCH(A115,'Fiche Lot'!A:A,0)),"")</f>
        <v>#ERROR!</v>
      </c>
      <c r="F115" s="235"/>
      <c r="G115" s="235" t="str">
        <f>IFERROR(INDEX('Fiche Lot'!H:H,MATCH(A115,'Fiche Lot'!A:A,0)),"")</f>
        <v>#ERROR!</v>
      </c>
      <c r="H115" s="235"/>
      <c r="I115" s="235"/>
      <c r="J115" s="237" t="str">
        <f>IFERROR(H115/G115,"")</f>
        <v>#ERROR!</v>
      </c>
      <c r="K115" s="283"/>
      <c r="L115" s="283"/>
      <c r="M115" s="283"/>
      <c r="N115" s="283" t="str">
        <f>IFERROR(K115-M115,"")</f>
        <v>#ERROR!</v>
      </c>
      <c r="O115" s="237" t="str">
        <f>IFERROR(N115/K115,"")</f>
        <v>#ERROR!</v>
      </c>
      <c r="P115" s="235" t="str">
        <f>IFERROR(INDEX('Fiche Lot'!J:J,MATCH(A115,'Fiche Lot'!A:A,0)),"")</f>
        <v>#ERROR!</v>
      </c>
      <c r="Q115" s="270" t="str">
        <f>IFERROR(INDEX('Fiche Lot'!L:L,MATCH(A115,'Fiche Lot'!A:A,0)),"")</f>
        <v>#ERROR!</v>
      </c>
      <c r="R115" s="235" t="str">
        <f>IFERROR(INDEX('Fiche Lot'!M:M,MATCH(A115,'Fiche Lot'!A:A,0)),"")</f>
        <v>#ERROR!</v>
      </c>
      <c r="S115" s="235" t="str">
        <f>IFERROR(INDEX('Fiche Lot'!G:G,MATCH(A115,'Fiche Lot'!A:A,0)),"")</f>
        <v>#ERROR!</v>
      </c>
      <c r="T115" s="235"/>
      <c r="U115" s="240"/>
    </row>
    <row r="116" ht="15.0" customHeight="1">
      <c r="A116" s="282"/>
      <c r="B116" s="266" t="str">
        <f>IFERROR(INDEX('Fiche Lot'!B:B,MATCH(A116,'Fiche Lot'!A:A,0)),"")</f>
        <v>#ERROR!</v>
      </c>
      <c r="C116" s="227" t="str">
        <f>IFERROR(INDEX('Fiche Lot'!C:C,MATCH(A116,'Fiche Lot'!A:A,0)),"")</f>
        <v>#ERROR!</v>
      </c>
      <c r="D116" s="227" t="str">
        <f>IFERROR(INDEX('Fiche Lot'!D:D,MATCH(A116,'Fiche Lot'!A:A,0)),"")</f>
        <v>#ERROR!</v>
      </c>
      <c r="E116" s="227" t="str">
        <f>IFERROR(INDEX('Fiche Lot'!E:E,MATCH(A116,'Fiche Lot'!A:A,0)),"")</f>
        <v>#ERROR!</v>
      </c>
      <c r="F116" s="227"/>
      <c r="G116" s="227" t="str">
        <f>IFERROR(INDEX('Fiche Lot'!H:H,MATCH(A116,'Fiche Lot'!A:A,0)),"")</f>
        <v>#ERROR!</v>
      </c>
      <c r="H116" s="227"/>
      <c r="I116" s="227"/>
      <c r="J116" s="230" t="str">
        <f>IFERROR(H116/G116,"")</f>
        <v>#ERROR!</v>
      </c>
      <c r="K116" s="281"/>
      <c r="L116" s="281"/>
      <c r="M116" s="281"/>
      <c r="N116" s="281" t="str">
        <f>IFERROR(K116-M116,"")</f>
        <v>#ERROR!</v>
      </c>
      <c r="O116" s="230" t="str">
        <f>IFERROR(N116/K116,"")</f>
        <v>#ERROR!</v>
      </c>
      <c r="P116" s="227" t="str">
        <f>IFERROR(INDEX('Fiche Lot'!J:J,MATCH(A116,'Fiche Lot'!A:A,0)),"")</f>
        <v>#ERROR!</v>
      </c>
      <c r="Q116" s="266" t="str">
        <f>IFERROR(INDEX('Fiche Lot'!L:L,MATCH(A116,'Fiche Lot'!A:A,0)),"")</f>
        <v>#ERROR!</v>
      </c>
      <c r="R116" s="227" t="str">
        <f>IFERROR(INDEX('Fiche Lot'!M:M,MATCH(A116,'Fiche Lot'!A:A,0)),"")</f>
        <v>#ERROR!</v>
      </c>
      <c r="S116" s="227" t="str">
        <f>IFERROR(INDEX('Fiche Lot'!G:G,MATCH(A116,'Fiche Lot'!A:A,0)),"")</f>
        <v>#ERROR!</v>
      </c>
      <c r="T116" s="227"/>
      <c r="U116" s="233"/>
    </row>
    <row r="117" ht="15.0" customHeight="1">
      <c r="A117" s="282"/>
      <c r="B117" s="270" t="str">
        <f>IFERROR(INDEX('Fiche Lot'!B:B,MATCH(A117,'Fiche Lot'!A:A,0)),"")</f>
        <v>#ERROR!</v>
      </c>
      <c r="C117" s="235" t="str">
        <f>IFERROR(INDEX('Fiche Lot'!C:C,MATCH(A117,'Fiche Lot'!A:A,0)),"")</f>
        <v>#ERROR!</v>
      </c>
      <c r="D117" s="235" t="str">
        <f>IFERROR(INDEX('Fiche Lot'!D:D,MATCH(A117,'Fiche Lot'!A:A,0)),"")</f>
        <v>#ERROR!</v>
      </c>
      <c r="E117" s="235" t="str">
        <f>IFERROR(INDEX('Fiche Lot'!E:E,MATCH(A117,'Fiche Lot'!A:A,0)),"")</f>
        <v>#ERROR!</v>
      </c>
      <c r="F117" s="235"/>
      <c r="G117" s="235" t="str">
        <f>IFERROR(INDEX('Fiche Lot'!H:H,MATCH(A117,'Fiche Lot'!A:A,0)),"")</f>
        <v>#ERROR!</v>
      </c>
      <c r="H117" s="235"/>
      <c r="I117" s="235"/>
      <c r="J117" s="237" t="str">
        <f>IFERROR(H117/G117,"")</f>
        <v>#ERROR!</v>
      </c>
      <c r="K117" s="283"/>
      <c r="L117" s="283"/>
      <c r="M117" s="283"/>
      <c r="N117" s="283" t="str">
        <f>IFERROR(K117-M117,"")</f>
        <v>#ERROR!</v>
      </c>
      <c r="O117" s="237" t="str">
        <f>IFERROR(N117/K117,"")</f>
        <v>#ERROR!</v>
      </c>
      <c r="P117" s="235" t="str">
        <f>IFERROR(INDEX('Fiche Lot'!J:J,MATCH(A117,'Fiche Lot'!A:A,0)),"")</f>
        <v>#ERROR!</v>
      </c>
      <c r="Q117" s="270" t="str">
        <f>IFERROR(INDEX('Fiche Lot'!L:L,MATCH(A117,'Fiche Lot'!A:A,0)),"")</f>
        <v>#ERROR!</v>
      </c>
      <c r="R117" s="235" t="str">
        <f>IFERROR(INDEX('Fiche Lot'!M:M,MATCH(A117,'Fiche Lot'!A:A,0)),"")</f>
        <v>#ERROR!</v>
      </c>
      <c r="S117" s="235" t="str">
        <f>IFERROR(INDEX('Fiche Lot'!G:G,MATCH(A117,'Fiche Lot'!A:A,0)),"")</f>
        <v>#ERROR!</v>
      </c>
      <c r="T117" s="235"/>
      <c r="U117" s="240"/>
    </row>
    <row r="118" ht="15.0" customHeight="1">
      <c r="A118" s="282"/>
      <c r="B118" s="266" t="str">
        <f>IFERROR(INDEX('Fiche Lot'!B:B,MATCH(A118,'Fiche Lot'!A:A,0)),"")</f>
        <v>#ERROR!</v>
      </c>
      <c r="C118" s="227" t="str">
        <f>IFERROR(INDEX('Fiche Lot'!C:C,MATCH(A118,'Fiche Lot'!A:A,0)),"")</f>
        <v>#ERROR!</v>
      </c>
      <c r="D118" s="227" t="str">
        <f>IFERROR(INDEX('Fiche Lot'!D:D,MATCH(A118,'Fiche Lot'!A:A,0)),"")</f>
        <v>#ERROR!</v>
      </c>
      <c r="E118" s="227" t="str">
        <f>IFERROR(INDEX('Fiche Lot'!E:E,MATCH(A118,'Fiche Lot'!A:A,0)),"")</f>
        <v>#ERROR!</v>
      </c>
      <c r="F118" s="227"/>
      <c r="G118" s="227" t="str">
        <f>IFERROR(INDEX('Fiche Lot'!H:H,MATCH(A118,'Fiche Lot'!A:A,0)),"")</f>
        <v>#ERROR!</v>
      </c>
      <c r="H118" s="227"/>
      <c r="I118" s="227"/>
      <c r="J118" s="230" t="str">
        <f>IFERROR(H118/G118,"")</f>
        <v>#ERROR!</v>
      </c>
      <c r="K118" s="281"/>
      <c r="L118" s="281"/>
      <c r="M118" s="281"/>
      <c r="N118" s="281" t="str">
        <f>IFERROR(K118-M118,"")</f>
        <v>#ERROR!</v>
      </c>
      <c r="O118" s="230" t="str">
        <f>IFERROR(N118/K118,"")</f>
        <v>#ERROR!</v>
      </c>
      <c r="P118" s="227" t="str">
        <f>IFERROR(INDEX('Fiche Lot'!J:J,MATCH(A118,'Fiche Lot'!A:A,0)),"")</f>
        <v>#ERROR!</v>
      </c>
      <c r="Q118" s="266" t="str">
        <f>IFERROR(INDEX('Fiche Lot'!L:L,MATCH(A118,'Fiche Lot'!A:A,0)),"")</f>
        <v>#ERROR!</v>
      </c>
      <c r="R118" s="227" t="str">
        <f>IFERROR(INDEX('Fiche Lot'!M:M,MATCH(A118,'Fiche Lot'!A:A,0)),"")</f>
        <v>#ERROR!</v>
      </c>
      <c r="S118" s="227" t="str">
        <f>IFERROR(INDEX('Fiche Lot'!G:G,MATCH(A118,'Fiche Lot'!A:A,0)),"")</f>
        <v>#ERROR!</v>
      </c>
      <c r="T118" s="227"/>
      <c r="U118" s="233"/>
    </row>
    <row r="119" ht="15.0" customHeight="1">
      <c r="A119" s="282"/>
      <c r="B119" s="270" t="str">
        <f>IFERROR(INDEX('Fiche Lot'!B:B,MATCH(A119,'Fiche Lot'!A:A,0)),"")</f>
        <v>#ERROR!</v>
      </c>
      <c r="C119" s="235" t="str">
        <f>IFERROR(INDEX('Fiche Lot'!C:C,MATCH(A119,'Fiche Lot'!A:A,0)),"")</f>
        <v>#ERROR!</v>
      </c>
      <c r="D119" s="235" t="str">
        <f>IFERROR(INDEX('Fiche Lot'!D:D,MATCH(A119,'Fiche Lot'!A:A,0)),"")</f>
        <v>#ERROR!</v>
      </c>
      <c r="E119" s="235" t="str">
        <f>IFERROR(INDEX('Fiche Lot'!E:E,MATCH(A119,'Fiche Lot'!A:A,0)),"")</f>
        <v>#ERROR!</v>
      </c>
      <c r="F119" s="235"/>
      <c r="G119" s="235" t="str">
        <f>IFERROR(INDEX('Fiche Lot'!H:H,MATCH(A119,'Fiche Lot'!A:A,0)),"")</f>
        <v>#ERROR!</v>
      </c>
      <c r="H119" s="235"/>
      <c r="I119" s="235"/>
      <c r="J119" s="237" t="str">
        <f>IFERROR(H119/G119,"")</f>
        <v>#ERROR!</v>
      </c>
      <c r="K119" s="283"/>
      <c r="L119" s="283"/>
      <c r="M119" s="283"/>
      <c r="N119" s="283" t="str">
        <f>IFERROR(K119-M119,"")</f>
        <v>#ERROR!</v>
      </c>
      <c r="O119" s="237" t="str">
        <f>IFERROR(N119/K119,"")</f>
        <v>#ERROR!</v>
      </c>
      <c r="P119" s="235" t="str">
        <f>IFERROR(INDEX('Fiche Lot'!J:J,MATCH(A119,'Fiche Lot'!A:A,0)),"")</f>
        <v>#ERROR!</v>
      </c>
      <c r="Q119" s="270" t="str">
        <f>IFERROR(INDEX('Fiche Lot'!L:L,MATCH(A119,'Fiche Lot'!A:A,0)),"")</f>
        <v>#ERROR!</v>
      </c>
      <c r="R119" s="235" t="str">
        <f>IFERROR(INDEX('Fiche Lot'!M:M,MATCH(A119,'Fiche Lot'!A:A,0)),"")</f>
        <v>#ERROR!</v>
      </c>
      <c r="S119" s="235" t="str">
        <f>IFERROR(INDEX('Fiche Lot'!G:G,MATCH(A119,'Fiche Lot'!A:A,0)),"")</f>
        <v>#ERROR!</v>
      </c>
      <c r="T119" s="235"/>
      <c r="U119" s="240"/>
    </row>
    <row r="120" ht="15.0" customHeight="1">
      <c r="A120" s="282"/>
      <c r="B120" s="266" t="str">
        <f>IFERROR(INDEX('Fiche Lot'!B:B,MATCH(A120,'Fiche Lot'!A:A,0)),"")</f>
        <v>#ERROR!</v>
      </c>
      <c r="C120" s="227" t="str">
        <f>IFERROR(INDEX('Fiche Lot'!C:C,MATCH(A120,'Fiche Lot'!A:A,0)),"")</f>
        <v>#ERROR!</v>
      </c>
      <c r="D120" s="227" t="str">
        <f>IFERROR(INDEX('Fiche Lot'!D:D,MATCH(A120,'Fiche Lot'!A:A,0)),"")</f>
        <v>#ERROR!</v>
      </c>
      <c r="E120" s="227" t="str">
        <f>IFERROR(INDEX('Fiche Lot'!E:E,MATCH(A120,'Fiche Lot'!A:A,0)),"")</f>
        <v>#ERROR!</v>
      </c>
      <c r="F120" s="227"/>
      <c r="G120" s="227" t="str">
        <f>IFERROR(INDEX('Fiche Lot'!H:H,MATCH(A120,'Fiche Lot'!A:A,0)),"")</f>
        <v>#ERROR!</v>
      </c>
      <c r="H120" s="227"/>
      <c r="I120" s="227"/>
      <c r="J120" s="230" t="str">
        <f>IFERROR(H120/G120,"")</f>
        <v>#ERROR!</v>
      </c>
      <c r="K120" s="281"/>
      <c r="L120" s="281"/>
      <c r="M120" s="281"/>
      <c r="N120" s="281" t="str">
        <f>IFERROR(K120-M120,"")</f>
        <v>#ERROR!</v>
      </c>
      <c r="O120" s="230" t="str">
        <f>IFERROR(N120/K120,"")</f>
        <v>#ERROR!</v>
      </c>
      <c r="P120" s="227" t="str">
        <f>IFERROR(INDEX('Fiche Lot'!J:J,MATCH(A120,'Fiche Lot'!A:A,0)),"")</f>
        <v>#ERROR!</v>
      </c>
      <c r="Q120" s="266" t="str">
        <f>IFERROR(INDEX('Fiche Lot'!L:L,MATCH(A120,'Fiche Lot'!A:A,0)),"")</f>
        <v>#ERROR!</v>
      </c>
      <c r="R120" s="227" t="str">
        <f>IFERROR(INDEX('Fiche Lot'!M:M,MATCH(A120,'Fiche Lot'!A:A,0)),"")</f>
        <v>#ERROR!</v>
      </c>
      <c r="S120" s="227" t="str">
        <f>IFERROR(INDEX('Fiche Lot'!G:G,MATCH(A120,'Fiche Lot'!A:A,0)),"")</f>
        <v>#ERROR!</v>
      </c>
      <c r="T120" s="227"/>
      <c r="U120" s="233"/>
    </row>
    <row r="121" ht="15.0" customHeight="1">
      <c r="A121" s="282"/>
      <c r="B121" s="270" t="str">
        <f>IFERROR(INDEX('Fiche Lot'!B:B,MATCH(A121,'Fiche Lot'!A:A,0)),"")</f>
        <v>#ERROR!</v>
      </c>
      <c r="C121" s="235" t="str">
        <f>IFERROR(INDEX('Fiche Lot'!C:C,MATCH(A121,'Fiche Lot'!A:A,0)),"")</f>
        <v>#ERROR!</v>
      </c>
      <c r="D121" s="235" t="str">
        <f>IFERROR(INDEX('Fiche Lot'!D:D,MATCH(A121,'Fiche Lot'!A:A,0)),"")</f>
        <v>#ERROR!</v>
      </c>
      <c r="E121" s="235" t="str">
        <f>IFERROR(INDEX('Fiche Lot'!E:E,MATCH(A121,'Fiche Lot'!A:A,0)),"")</f>
        <v>#ERROR!</v>
      </c>
      <c r="F121" s="235"/>
      <c r="G121" s="235" t="str">
        <f>IFERROR(INDEX('Fiche Lot'!H:H,MATCH(A121,'Fiche Lot'!A:A,0)),"")</f>
        <v>#ERROR!</v>
      </c>
      <c r="H121" s="235"/>
      <c r="I121" s="235"/>
      <c r="J121" s="237" t="str">
        <f>IFERROR(H121/G121,"")</f>
        <v>#ERROR!</v>
      </c>
      <c r="K121" s="283"/>
      <c r="L121" s="283"/>
      <c r="M121" s="283"/>
      <c r="N121" s="283" t="str">
        <f>IFERROR(K121-M121,"")</f>
        <v>#ERROR!</v>
      </c>
      <c r="O121" s="237" t="str">
        <f>IFERROR(N121/K121,"")</f>
        <v>#ERROR!</v>
      </c>
      <c r="P121" s="235" t="str">
        <f>IFERROR(INDEX('Fiche Lot'!J:J,MATCH(A121,'Fiche Lot'!A:A,0)),"")</f>
        <v>#ERROR!</v>
      </c>
      <c r="Q121" s="270" t="str">
        <f>IFERROR(INDEX('Fiche Lot'!L:L,MATCH(A121,'Fiche Lot'!A:A,0)),"")</f>
        <v>#ERROR!</v>
      </c>
      <c r="R121" s="235" t="str">
        <f>IFERROR(INDEX('Fiche Lot'!M:M,MATCH(A121,'Fiche Lot'!A:A,0)),"")</f>
        <v>#ERROR!</v>
      </c>
      <c r="S121" s="235" t="str">
        <f>IFERROR(INDEX('Fiche Lot'!G:G,MATCH(A121,'Fiche Lot'!A:A,0)),"")</f>
        <v>#ERROR!</v>
      </c>
      <c r="T121" s="235"/>
      <c r="U121" s="240"/>
    </row>
    <row r="122" ht="15.0" customHeight="1">
      <c r="A122" s="282"/>
      <c r="B122" s="266" t="str">
        <f>IFERROR(INDEX('Fiche Lot'!B:B,MATCH(A122,'Fiche Lot'!A:A,0)),"")</f>
        <v>#ERROR!</v>
      </c>
      <c r="C122" s="227" t="str">
        <f>IFERROR(INDEX('Fiche Lot'!C:C,MATCH(A122,'Fiche Lot'!A:A,0)),"")</f>
        <v>#ERROR!</v>
      </c>
      <c r="D122" s="227" t="str">
        <f>IFERROR(INDEX('Fiche Lot'!D:D,MATCH(A122,'Fiche Lot'!A:A,0)),"")</f>
        <v>#ERROR!</v>
      </c>
      <c r="E122" s="227" t="str">
        <f>IFERROR(INDEX('Fiche Lot'!E:E,MATCH(A122,'Fiche Lot'!A:A,0)),"")</f>
        <v>#ERROR!</v>
      </c>
      <c r="F122" s="227"/>
      <c r="G122" s="227" t="str">
        <f>IFERROR(INDEX('Fiche Lot'!H:H,MATCH(A122,'Fiche Lot'!A:A,0)),"")</f>
        <v>#ERROR!</v>
      </c>
      <c r="H122" s="227"/>
      <c r="I122" s="227"/>
      <c r="J122" s="230" t="str">
        <f>IFERROR(H122/G122,"")</f>
        <v>#ERROR!</v>
      </c>
      <c r="K122" s="281"/>
      <c r="L122" s="281"/>
      <c r="M122" s="281"/>
      <c r="N122" s="281" t="str">
        <f>IFERROR(K122-M122,"")</f>
        <v>#ERROR!</v>
      </c>
      <c r="O122" s="230" t="str">
        <f>IFERROR(N122/K122,"")</f>
        <v>#ERROR!</v>
      </c>
      <c r="P122" s="227" t="str">
        <f>IFERROR(INDEX('Fiche Lot'!J:J,MATCH(A122,'Fiche Lot'!A:A,0)),"")</f>
        <v>#ERROR!</v>
      </c>
      <c r="Q122" s="266" t="str">
        <f>IFERROR(INDEX('Fiche Lot'!L:L,MATCH(A122,'Fiche Lot'!A:A,0)),"")</f>
        <v>#ERROR!</v>
      </c>
      <c r="R122" s="227" t="str">
        <f>IFERROR(INDEX('Fiche Lot'!M:M,MATCH(A122,'Fiche Lot'!A:A,0)),"")</f>
        <v>#ERROR!</v>
      </c>
      <c r="S122" s="227" t="str">
        <f>IFERROR(INDEX('Fiche Lot'!G:G,MATCH(A122,'Fiche Lot'!A:A,0)),"")</f>
        <v>#ERROR!</v>
      </c>
      <c r="T122" s="227"/>
      <c r="U122" s="233"/>
    </row>
    <row r="123" ht="15.0" customHeight="1">
      <c r="A123" s="282"/>
      <c r="B123" s="270" t="str">
        <f>IFERROR(INDEX('Fiche Lot'!B:B,MATCH(A123,'Fiche Lot'!A:A,0)),"")</f>
        <v>#ERROR!</v>
      </c>
      <c r="C123" s="235" t="str">
        <f>IFERROR(INDEX('Fiche Lot'!C:C,MATCH(A123,'Fiche Lot'!A:A,0)),"")</f>
        <v>#ERROR!</v>
      </c>
      <c r="D123" s="235" t="str">
        <f>IFERROR(INDEX('Fiche Lot'!D:D,MATCH(A123,'Fiche Lot'!A:A,0)),"")</f>
        <v>#ERROR!</v>
      </c>
      <c r="E123" s="235" t="str">
        <f>IFERROR(INDEX('Fiche Lot'!E:E,MATCH(A123,'Fiche Lot'!A:A,0)),"")</f>
        <v>#ERROR!</v>
      </c>
      <c r="F123" s="235"/>
      <c r="G123" s="235" t="str">
        <f>IFERROR(INDEX('Fiche Lot'!H:H,MATCH(A123,'Fiche Lot'!A:A,0)),"")</f>
        <v>#ERROR!</v>
      </c>
      <c r="H123" s="235"/>
      <c r="I123" s="235"/>
      <c r="J123" s="237" t="str">
        <f>IFERROR(H123/G123,"")</f>
        <v>#ERROR!</v>
      </c>
      <c r="K123" s="283"/>
      <c r="L123" s="283"/>
      <c r="M123" s="283"/>
      <c r="N123" s="283" t="str">
        <f>IFERROR(K123-M123,"")</f>
        <v>#ERROR!</v>
      </c>
      <c r="O123" s="237" t="str">
        <f>IFERROR(N123/K123,"")</f>
        <v>#ERROR!</v>
      </c>
      <c r="P123" s="235" t="str">
        <f>IFERROR(INDEX('Fiche Lot'!J:J,MATCH(A123,'Fiche Lot'!A:A,0)),"")</f>
        <v>#ERROR!</v>
      </c>
      <c r="Q123" s="270" t="str">
        <f>IFERROR(INDEX('Fiche Lot'!L:L,MATCH(A123,'Fiche Lot'!A:A,0)),"")</f>
        <v>#ERROR!</v>
      </c>
      <c r="R123" s="235" t="str">
        <f>IFERROR(INDEX('Fiche Lot'!M:M,MATCH(A123,'Fiche Lot'!A:A,0)),"")</f>
        <v>#ERROR!</v>
      </c>
      <c r="S123" s="235" t="str">
        <f>IFERROR(INDEX('Fiche Lot'!G:G,MATCH(A123,'Fiche Lot'!A:A,0)),"")</f>
        <v>#ERROR!</v>
      </c>
      <c r="T123" s="235"/>
      <c r="U123" s="240"/>
    </row>
    <row r="124" ht="15.0" customHeight="1">
      <c r="A124" s="282"/>
      <c r="B124" s="266" t="str">
        <f>IFERROR(INDEX('Fiche Lot'!B:B,MATCH(A124,'Fiche Lot'!A:A,0)),"")</f>
        <v>#ERROR!</v>
      </c>
      <c r="C124" s="227" t="str">
        <f>IFERROR(INDEX('Fiche Lot'!C:C,MATCH(A124,'Fiche Lot'!A:A,0)),"")</f>
        <v>#ERROR!</v>
      </c>
      <c r="D124" s="227" t="str">
        <f>IFERROR(INDEX('Fiche Lot'!D:D,MATCH(A124,'Fiche Lot'!A:A,0)),"")</f>
        <v>#ERROR!</v>
      </c>
      <c r="E124" s="227" t="str">
        <f>IFERROR(INDEX('Fiche Lot'!E:E,MATCH(A124,'Fiche Lot'!A:A,0)),"")</f>
        <v>#ERROR!</v>
      </c>
      <c r="F124" s="227"/>
      <c r="G124" s="227" t="str">
        <f>IFERROR(INDEX('Fiche Lot'!H:H,MATCH(A124,'Fiche Lot'!A:A,0)),"")</f>
        <v>#ERROR!</v>
      </c>
      <c r="H124" s="227"/>
      <c r="I124" s="227"/>
      <c r="J124" s="230" t="str">
        <f>IFERROR(H124/G124,"")</f>
        <v>#ERROR!</v>
      </c>
      <c r="K124" s="281"/>
      <c r="L124" s="281"/>
      <c r="M124" s="281"/>
      <c r="N124" s="281" t="str">
        <f>IFERROR(K124-M124,"")</f>
        <v>#ERROR!</v>
      </c>
      <c r="O124" s="230" t="str">
        <f>IFERROR(N124/K124,"")</f>
        <v>#ERROR!</v>
      </c>
      <c r="P124" s="227" t="str">
        <f>IFERROR(INDEX('Fiche Lot'!J:J,MATCH(A124,'Fiche Lot'!A:A,0)),"")</f>
        <v>#ERROR!</v>
      </c>
      <c r="Q124" s="266" t="str">
        <f>IFERROR(INDEX('Fiche Lot'!L:L,MATCH(A124,'Fiche Lot'!A:A,0)),"")</f>
        <v>#ERROR!</v>
      </c>
      <c r="R124" s="227" t="str">
        <f>IFERROR(INDEX('Fiche Lot'!M:M,MATCH(A124,'Fiche Lot'!A:A,0)),"")</f>
        <v>#ERROR!</v>
      </c>
      <c r="S124" s="227" t="str">
        <f>IFERROR(INDEX('Fiche Lot'!G:G,MATCH(A124,'Fiche Lot'!A:A,0)),"")</f>
        <v>#ERROR!</v>
      </c>
      <c r="T124" s="227"/>
      <c r="U124" s="233"/>
    </row>
    <row r="125" ht="15.0" customHeight="1">
      <c r="A125" s="282"/>
      <c r="B125" s="270" t="str">
        <f>IFERROR(INDEX('Fiche Lot'!B:B,MATCH(A125,'Fiche Lot'!A:A,0)),"")</f>
        <v>#ERROR!</v>
      </c>
      <c r="C125" s="235" t="str">
        <f>IFERROR(INDEX('Fiche Lot'!C:C,MATCH(A125,'Fiche Lot'!A:A,0)),"")</f>
        <v>#ERROR!</v>
      </c>
      <c r="D125" s="235" t="str">
        <f>IFERROR(INDEX('Fiche Lot'!D:D,MATCH(A125,'Fiche Lot'!A:A,0)),"")</f>
        <v>#ERROR!</v>
      </c>
      <c r="E125" s="235" t="str">
        <f>IFERROR(INDEX('Fiche Lot'!E:E,MATCH(A125,'Fiche Lot'!A:A,0)),"")</f>
        <v>#ERROR!</v>
      </c>
      <c r="F125" s="235"/>
      <c r="G125" s="235" t="str">
        <f>IFERROR(INDEX('Fiche Lot'!H:H,MATCH(A125,'Fiche Lot'!A:A,0)),"")</f>
        <v>#ERROR!</v>
      </c>
      <c r="H125" s="235"/>
      <c r="I125" s="235"/>
      <c r="J125" s="237" t="str">
        <f>IFERROR(H125/G125,"")</f>
        <v>#ERROR!</v>
      </c>
      <c r="K125" s="283"/>
      <c r="L125" s="283"/>
      <c r="M125" s="283"/>
      <c r="N125" s="283" t="str">
        <f>IFERROR(K125-M125,"")</f>
        <v>#ERROR!</v>
      </c>
      <c r="O125" s="237" t="str">
        <f>IFERROR(N125/K125,"")</f>
        <v>#ERROR!</v>
      </c>
      <c r="P125" s="235" t="str">
        <f>IFERROR(INDEX('Fiche Lot'!J:J,MATCH(A125,'Fiche Lot'!A:A,0)),"")</f>
        <v>#ERROR!</v>
      </c>
      <c r="Q125" s="270" t="str">
        <f>IFERROR(INDEX('Fiche Lot'!L:L,MATCH(A125,'Fiche Lot'!A:A,0)),"")</f>
        <v>#ERROR!</v>
      </c>
      <c r="R125" s="235" t="str">
        <f>IFERROR(INDEX('Fiche Lot'!M:M,MATCH(A125,'Fiche Lot'!A:A,0)),"")</f>
        <v>#ERROR!</v>
      </c>
      <c r="S125" s="235" t="str">
        <f>IFERROR(INDEX('Fiche Lot'!G:G,MATCH(A125,'Fiche Lot'!A:A,0)),"")</f>
        <v>#ERROR!</v>
      </c>
      <c r="T125" s="235"/>
      <c r="U125" s="240"/>
    </row>
    <row r="126" ht="15.0" customHeight="1">
      <c r="A126" s="282"/>
      <c r="B126" s="266" t="str">
        <f>IFERROR(INDEX('Fiche Lot'!B:B,MATCH(A126,'Fiche Lot'!A:A,0)),"")</f>
        <v>#ERROR!</v>
      </c>
      <c r="C126" s="227" t="str">
        <f>IFERROR(INDEX('Fiche Lot'!C:C,MATCH(A126,'Fiche Lot'!A:A,0)),"")</f>
        <v>#ERROR!</v>
      </c>
      <c r="D126" s="227" t="str">
        <f>IFERROR(INDEX('Fiche Lot'!D:D,MATCH(A126,'Fiche Lot'!A:A,0)),"")</f>
        <v>#ERROR!</v>
      </c>
      <c r="E126" s="227" t="str">
        <f>IFERROR(INDEX('Fiche Lot'!E:E,MATCH(A126,'Fiche Lot'!A:A,0)),"")</f>
        <v>#ERROR!</v>
      </c>
      <c r="F126" s="227"/>
      <c r="G126" s="227" t="str">
        <f>IFERROR(INDEX('Fiche Lot'!H:H,MATCH(A126,'Fiche Lot'!A:A,0)),"")</f>
        <v>#ERROR!</v>
      </c>
      <c r="H126" s="227"/>
      <c r="I126" s="227"/>
      <c r="J126" s="230" t="str">
        <f>IFERROR(H126/G126,"")</f>
        <v>#ERROR!</v>
      </c>
      <c r="K126" s="281"/>
      <c r="L126" s="281"/>
      <c r="M126" s="281"/>
      <c r="N126" s="281" t="str">
        <f>IFERROR(K126-M126,"")</f>
        <v>#ERROR!</v>
      </c>
      <c r="O126" s="230" t="str">
        <f>IFERROR(N126/K126,"")</f>
        <v>#ERROR!</v>
      </c>
      <c r="P126" s="227" t="str">
        <f>IFERROR(INDEX('Fiche Lot'!J:J,MATCH(A126,'Fiche Lot'!A:A,0)),"")</f>
        <v>#ERROR!</v>
      </c>
      <c r="Q126" s="266" t="str">
        <f>IFERROR(INDEX('Fiche Lot'!L:L,MATCH(A126,'Fiche Lot'!A:A,0)),"")</f>
        <v>#ERROR!</v>
      </c>
      <c r="R126" s="227" t="str">
        <f>IFERROR(INDEX('Fiche Lot'!M:M,MATCH(A126,'Fiche Lot'!A:A,0)),"")</f>
        <v>#ERROR!</v>
      </c>
      <c r="S126" s="227" t="str">
        <f>IFERROR(INDEX('Fiche Lot'!G:G,MATCH(A126,'Fiche Lot'!A:A,0)),"")</f>
        <v>#ERROR!</v>
      </c>
      <c r="T126" s="227"/>
      <c r="U126" s="233"/>
    </row>
    <row r="127" ht="15.0" customHeight="1">
      <c r="A127" s="282"/>
      <c r="B127" s="270" t="str">
        <f>IFERROR(INDEX('Fiche Lot'!B:B,MATCH(A127,'Fiche Lot'!A:A,0)),"")</f>
        <v>#ERROR!</v>
      </c>
      <c r="C127" s="235" t="str">
        <f>IFERROR(INDEX('Fiche Lot'!C:C,MATCH(A127,'Fiche Lot'!A:A,0)),"")</f>
        <v>#ERROR!</v>
      </c>
      <c r="D127" s="235" t="str">
        <f>IFERROR(INDEX('Fiche Lot'!D:D,MATCH(A127,'Fiche Lot'!A:A,0)),"")</f>
        <v>#ERROR!</v>
      </c>
      <c r="E127" s="235" t="str">
        <f>IFERROR(INDEX('Fiche Lot'!E:E,MATCH(A127,'Fiche Lot'!A:A,0)),"")</f>
        <v>#ERROR!</v>
      </c>
      <c r="F127" s="235"/>
      <c r="G127" s="235" t="str">
        <f>IFERROR(INDEX('Fiche Lot'!H:H,MATCH(A127,'Fiche Lot'!A:A,0)),"")</f>
        <v>#ERROR!</v>
      </c>
      <c r="H127" s="235"/>
      <c r="I127" s="235"/>
      <c r="J127" s="237" t="str">
        <f>IFERROR(H127/G127,"")</f>
        <v>#ERROR!</v>
      </c>
      <c r="K127" s="283"/>
      <c r="L127" s="283"/>
      <c r="M127" s="283"/>
      <c r="N127" s="283" t="str">
        <f>IFERROR(K127-M127,"")</f>
        <v>#ERROR!</v>
      </c>
      <c r="O127" s="237" t="str">
        <f>IFERROR(N127/K127,"")</f>
        <v>#ERROR!</v>
      </c>
      <c r="P127" s="235" t="str">
        <f>IFERROR(INDEX('Fiche Lot'!J:J,MATCH(A127,'Fiche Lot'!A:A,0)),"")</f>
        <v>#ERROR!</v>
      </c>
      <c r="Q127" s="270" t="str">
        <f>IFERROR(INDEX('Fiche Lot'!L:L,MATCH(A127,'Fiche Lot'!A:A,0)),"")</f>
        <v>#ERROR!</v>
      </c>
      <c r="R127" s="235" t="str">
        <f>IFERROR(INDEX('Fiche Lot'!M:M,MATCH(A127,'Fiche Lot'!A:A,0)),"")</f>
        <v>#ERROR!</v>
      </c>
      <c r="S127" s="235" t="str">
        <f>IFERROR(INDEX('Fiche Lot'!G:G,MATCH(A127,'Fiche Lot'!A:A,0)),"")</f>
        <v>#ERROR!</v>
      </c>
      <c r="T127" s="235"/>
      <c r="U127" s="240"/>
    </row>
    <row r="128" ht="15.0" customHeight="1">
      <c r="A128" s="282"/>
      <c r="B128" s="266" t="str">
        <f>IFERROR(INDEX('Fiche Lot'!B:B,MATCH(A128,'Fiche Lot'!A:A,0)),"")</f>
        <v>#ERROR!</v>
      </c>
      <c r="C128" s="227" t="str">
        <f>IFERROR(INDEX('Fiche Lot'!C:C,MATCH(A128,'Fiche Lot'!A:A,0)),"")</f>
        <v>#ERROR!</v>
      </c>
      <c r="D128" s="227" t="str">
        <f>IFERROR(INDEX('Fiche Lot'!D:D,MATCH(A128,'Fiche Lot'!A:A,0)),"")</f>
        <v>#ERROR!</v>
      </c>
      <c r="E128" s="227" t="str">
        <f>IFERROR(INDEX('Fiche Lot'!E:E,MATCH(A128,'Fiche Lot'!A:A,0)),"")</f>
        <v>#ERROR!</v>
      </c>
      <c r="F128" s="227"/>
      <c r="G128" s="227" t="str">
        <f>IFERROR(INDEX('Fiche Lot'!H:H,MATCH(A128,'Fiche Lot'!A:A,0)),"")</f>
        <v>#ERROR!</v>
      </c>
      <c r="H128" s="227"/>
      <c r="I128" s="227"/>
      <c r="J128" s="230" t="str">
        <f>IFERROR(H128/G128,"")</f>
        <v>#ERROR!</v>
      </c>
      <c r="K128" s="281"/>
      <c r="L128" s="281"/>
      <c r="M128" s="281"/>
      <c r="N128" s="281" t="str">
        <f>IFERROR(K128-M128,"")</f>
        <v>#ERROR!</v>
      </c>
      <c r="O128" s="230" t="str">
        <f>IFERROR(N128/K128,"")</f>
        <v>#ERROR!</v>
      </c>
      <c r="P128" s="227" t="str">
        <f>IFERROR(INDEX('Fiche Lot'!J:J,MATCH(A128,'Fiche Lot'!A:A,0)),"")</f>
        <v>#ERROR!</v>
      </c>
      <c r="Q128" s="266" t="str">
        <f>IFERROR(INDEX('Fiche Lot'!L:L,MATCH(A128,'Fiche Lot'!A:A,0)),"")</f>
        <v>#ERROR!</v>
      </c>
      <c r="R128" s="227" t="str">
        <f>IFERROR(INDEX('Fiche Lot'!M:M,MATCH(A128,'Fiche Lot'!A:A,0)),"")</f>
        <v>#ERROR!</v>
      </c>
      <c r="S128" s="227" t="str">
        <f>IFERROR(INDEX('Fiche Lot'!G:G,MATCH(A128,'Fiche Lot'!A:A,0)),"")</f>
        <v>#ERROR!</v>
      </c>
      <c r="T128" s="227"/>
      <c r="U128" s="233"/>
    </row>
    <row r="129" ht="15.0" customHeight="1">
      <c r="A129" s="282"/>
      <c r="B129" s="270" t="str">
        <f>IFERROR(INDEX('Fiche Lot'!B:B,MATCH(A129,'Fiche Lot'!A:A,0)),"")</f>
        <v>#ERROR!</v>
      </c>
      <c r="C129" s="235" t="str">
        <f>IFERROR(INDEX('Fiche Lot'!C:C,MATCH(A129,'Fiche Lot'!A:A,0)),"")</f>
        <v>#ERROR!</v>
      </c>
      <c r="D129" s="235" t="str">
        <f>IFERROR(INDEX('Fiche Lot'!D:D,MATCH(A129,'Fiche Lot'!A:A,0)),"")</f>
        <v>#ERROR!</v>
      </c>
      <c r="E129" s="235" t="str">
        <f>IFERROR(INDEX('Fiche Lot'!E:E,MATCH(A129,'Fiche Lot'!A:A,0)),"")</f>
        <v>#ERROR!</v>
      </c>
      <c r="F129" s="235"/>
      <c r="G129" s="235" t="str">
        <f>IFERROR(INDEX('Fiche Lot'!H:H,MATCH(A129,'Fiche Lot'!A:A,0)),"")</f>
        <v>#ERROR!</v>
      </c>
      <c r="H129" s="235"/>
      <c r="I129" s="235"/>
      <c r="J129" s="237" t="str">
        <f>IFERROR(H129/G129,"")</f>
        <v>#ERROR!</v>
      </c>
      <c r="K129" s="283"/>
      <c r="L129" s="283"/>
      <c r="M129" s="283"/>
      <c r="N129" s="283" t="str">
        <f>IFERROR(K129-M129,"")</f>
        <v>#ERROR!</v>
      </c>
      <c r="O129" s="237" t="str">
        <f>IFERROR(N129/K129,"")</f>
        <v>#ERROR!</v>
      </c>
      <c r="P129" s="235" t="str">
        <f>IFERROR(INDEX('Fiche Lot'!J:J,MATCH(A129,'Fiche Lot'!A:A,0)),"")</f>
        <v>#ERROR!</v>
      </c>
      <c r="Q129" s="270" t="str">
        <f>IFERROR(INDEX('Fiche Lot'!L:L,MATCH(A129,'Fiche Lot'!A:A,0)),"")</f>
        <v>#ERROR!</v>
      </c>
      <c r="R129" s="235" t="str">
        <f>IFERROR(INDEX('Fiche Lot'!M:M,MATCH(A129,'Fiche Lot'!A:A,0)),"")</f>
        <v>#ERROR!</v>
      </c>
      <c r="S129" s="235" t="str">
        <f>IFERROR(INDEX('Fiche Lot'!G:G,MATCH(A129,'Fiche Lot'!A:A,0)),"")</f>
        <v>#ERROR!</v>
      </c>
      <c r="T129" s="235"/>
      <c r="U129" s="240"/>
    </row>
    <row r="130" ht="15.0" customHeight="1">
      <c r="A130" s="282"/>
      <c r="B130" s="266" t="str">
        <f>IFERROR(INDEX('Fiche Lot'!B:B,MATCH(A130,'Fiche Lot'!A:A,0)),"")</f>
        <v>#ERROR!</v>
      </c>
      <c r="C130" s="227" t="str">
        <f>IFERROR(INDEX('Fiche Lot'!C:C,MATCH(A130,'Fiche Lot'!A:A,0)),"")</f>
        <v>#ERROR!</v>
      </c>
      <c r="D130" s="227" t="str">
        <f>IFERROR(INDEX('Fiche Lot'!D:D,MATCH(A130,'Fiche Lot'!A:A,0)),"")</f>
        <v>#ERROR!</v>
      </c>
      <c r="E130" s="227" t="str">
        <f>IFERROR(INDEX('Fiche Lot'!E:E,MATCH(A130,'Fiche Lot'!A:A,0)),"")</f>
        <v>#ERROR!</v>
      </c>
      <c r="F130" s="227"/>
      <c r="G130" s="227" t="str">
        <f>IFERROR(INDEX('Fiche Lot'!H:H,MATCH(A130,'Fiche Lot'!A:A,0)),"")</f>
        <v>#ERROR!</v>
      </c>
      <c r="H130" s="227"/>
      <c r="I130" s="227"/>
      <c r="J130" s="230" t="str">
        <f>IFERROR(H130/G130,"")</f>
        <v>#ERROR!</v>
      </c>
      <c r="K130" s="281"/>
      <c r="L130" s="281"/>
      <c r="M130" s="281"/>
      <c r="N130" s="281" t="str">
        <f>IFERROR(K130-M130,"")</f>
        <v>#ERROR!</v>
      </c>
      <c r="O130" s="230" t="str">
        <f>IFERROR(N130/K130,"")</f>
        <v>#ERROR!</v>
      </c>
      <c r="P130" s="227" t="str">
        <f>IFERROR(INDEX('Fiche Lot'!J:J,MATCH(A130,'Fiche Lot'!A:A,0)),"")</f>
        <v>#ERROR!</v>
      </c>
      <c r="Q130" s="266" t="str">
        <f>IFERROR(INDEX('Fiche Lot'!L:L,MATCH(A130,'Fiche Lot'!A:A,0)),"")</f>
        <v>#ERROR!</v>
      </c>
      <c r="R130" s="227" t="str">
        <f>IFERROR(INDEX('Fiche Lot'!M:M,MATCH(A130,'Fiche Lot'!A:A,0)),"")</f>
        <v>#ERROR!</v>
      </c>
      <c r="S130" s="227" t="str">
        <f>IFERROR(INDEX('Fiche Lot'!G:G,MATCH(A130,'Fiche Lot'!A:A,0)),"")</f>
        <v>#ERROR!</v>
      </c>
      <c r="T130" s="227"/>
      <c r="U130" s="233"/>
    </row>
    <row r="131" ht="15.0" customHeight="1">
      <c r="A131" s="282"/>
      <c r="B131" s="270" t="str">
        <f>IFERROR(INDEX('Fiche Lot'!B:B,MATCH(A131,'Fiche Lot'!A:A,0)),"")</f>
        <v>#ERROR!</v>
      </c>
      <c r="C131" s="235" t="str">
        <f>IFERROR(INDEX('Fiche Lot'!C:C,MATCH(A131,'Fiche Lot'!A:A,0)),"")</f>
        <v>#ERROR!</v>
      </c>
      <c r="D131" s="235" t="str">
        <f>IFERROR(INDEX('Fiche Lot'!D:D,MATCH(A131,'Fiche Lot'!A:A,0)),"")</f>
        <v>#ERROR!</v>
      </c>
      <c r="E131" s="235" t="str">
        <f>IFERROR(INDEX('Fiche Lot'!E:E,MATCH(A131,'Fiche Lot'!A:A,0)),"")</f>
        <v>#ERROR!</v>
      </c>
      <c r="F131" s="235"/>
      <c r="G131" s="235" t="str">
        <f>IFERROR(INDEX('Fiche Lot'!H:H,MATCH(A131,'Fiche Lot'!A:A,0)),"")</f>
        <v>#ERROR!</v>
      </c>
      <c r="H131" s="235"/>
      <c r="I131" s="235"/>
      <c r="J131" s="237" t="str">
        <f>IFERROR(H131/G131,"")</f>
        <v>#ERROR!</v>
      </c>
      <c r="K131" s="283"/>
      <c r="L131" s="283"/>
      <c r="M131" s="283"/>
      <c r="N131" s="283" t="str">
        <f>IFERROR(K131-M131,"")</f>
        <v>#ERROR!</v>
      </c>
      <c r="O131" s="237" t="str">
        <f>IFERROR(N131/K131,"")</f>
        <v>#ERROR!</v>
      </c>
      <c r="P131" s="235" t="str">
        <f>IFERROR(INDEX('Fiche Lot'!J:J,MATCH(A131,'Fiche Lot'!A:A,0)),"")</f>
        <v>#ERROR!</v>
      </c>
      <c r="Q131" s="270" t="str">
        <f>IFERROR(INDEX('Fiche Lot'!L:L,MATCH(A131,'Fiche Lot'!A:A,0)),"")</f>
        <v>#ERROR!</v>
      </c>
      <c r="R131" s="235" t="str">
        <f>IFERROR(INDEX('Fiche Lot'!M:M,MATCH(A131,'Fiche Lot'!A:A,0)),"")</f>
        <v>#ERROR!</v>
      </c>
      <c r="S131" s="235" t="str">
        <f>IFERROR(INDEX('Fiche Lot'!G:G,MATCH(A131,'Fiche Lot'!A:A,0)),"")</f>
        <v>#ERROR!</v>
      </c>
      <c r="T131" s="235"/>
      <c r="U131" s="240"/>
    </row>
    <row r="132" ht="15.0" customHeight="1">
      <c r="A132" s="282"/>
      <c r="B132" s="266" t="str">
        <f>IFERROR(INDEX('Fiche Lot'!B:B,MATCH(A132,'Fiche Lot'!A:A,0)),"")</f>
        <v>#ERROR!</v>
      </c>
      <c r="C132" s="227" t="str">
        <f>IFERROR(INDEX('Fiche Lot'!C:C,MATCH(A132,'Fiche Lot'!A:A,0)),"")</f>
        <v>#ERROR!</v>
      </c>
      <c r="D132" s="227" t="str">
        <f>IFERROR(INDEX('Fiche Lot'!D:D,MATCH(A132,'Fiche Lot'!A:A,0)),"")</f>
        <v>#ERROR!</v>
      </c>
      <c r="E132" s="227" t="str">
        <f>IFERROR(INDEX('Fiche Lot'!E:E,MATCH(A132,'Fiche Lot'!A:A,0)),"")</f>
        <v>#ERROR!</v>
      </c>
      <c r="F132" s="227"/>
      <c r="G132" s="227" t="str">
        <f>IFERROR(INDEX('Fiche Lot'!H:H,MATCH(A132,'Fiche Lot'!A:A,0)),"")</f>
        <v>#ERROR!</v>
      </c>
      <c r="H132" s="227"/>
      <c r="I132" s="227"/>
      <c r="J132" s="230" t="str">
        <f>IFERROR(H132/G132,"")</f>
        <v>#ERROR!</v>
      </c>
      <c r="K132" s="281"/>
      <c r="L132" s="281"/>
      <c r="M132" s="281"/>
      <c r="N132" s="281" t="str">
        <f>IFERROR(K132-M132,"")</f>
        <v>#ERROR!</v>
      </c>
      <c r="O132" s="230" t="str">
        <f>IFERROR(N132/K132,"")</f>
        <v>#ERROR!</v>
      </c>
      <c r="P132" s="227" t="str">
        <f>IFERROR(INDEX('Fiche Lot'!J:J,MATCH(A132,'Fiche Lot'!A:A,0)),"")</f>
        <v>#ERROR!</v>
      </c>
      <c r="Q132" s="266" t="str">
        <f>IFERROR(INDEX('Fiche Lot'!L:L,MATCH(A132,'Fiche Lot'!A:A,0)),"")</f>
        <v>#ERROR!</v>
      </c>
      <c r="R132" s="227" t="str">
        <f>IFERROR(INDEX('Fiche Lot'!M:M,MATCH(A132,'Fiche Lot'!A:A,0)),"")</f>
        <v>#ERROR!</v>
      </c>
      <c r="S132" s="227" t="str">
        <f>IFERROR(INDEX('Fiche Lot'!G:G,MATCH(A132,'Fiche Lot'!A:A,0)),"")</f>
        <v>#ERROR!</v>
      </c>
      <c r="T132" s="227"/>
      <c r="U132" s="233"/>
    </row>
    <row r="133" ht="15.0" customHeight="1">
      <c r="A133" s="282"/>
      <c r="B133" s="270" t="str">
        <f>IFERROR(INDEX('Fiche Lot'!B:B,MATCH(A133,'Fiche Lot'!A:A,0)),"")</f>
        <v>#ERROR!</v>
      </c>
      <c r="C133" s="235" t="str">
        <f>IFERROR(INDEX('Fiche Lot'!C:C,MATCH(A133,'Fiche Lot'!A:A,0)),"")</f>
        <v>#ERROR!</v>
      </c>
      <c r="D133" s="235" t="str">
        <f>IFERROR(INDEX('Fiche Lot'!D:D,MATCH(A133,'Fiche Lot'!A:A,0)),"")</f>
        <v>#ERROR!</v>
      </c>
      <c r="E133" s="235" t="str">
        <f>IFERROR(INDEX('Fiche Lot'!E:E,MATCH(A133,'Fiche Lot'!A:A,0)),"")</f>
        <v>#ERROR!</v>
      </c>
      <c r="F133" s="235"/>
      <c r="G133" s="235" t="str">
        <f>IFERROR(INDEX('Fiche Lot'!H:H,MATCH(A133,'Fiche Lot'!A:A,0)),"")</f>
        <v>#ERROR!</v>
      </c>
      <c r="H133" s="235"/>
      <c r="I133" s="235"/>
      <c r="J133" s="237" t="str">
        <f>IFERROR(H133/G133,"")</f>
        <v>#ERROR!</v>
      </c>
      <c r="K133" s="283"/>
      <c r="L133" s="283"/>
      <c r="M133" s="283"/>
      <c r="N133" s="283" t="str">
        <f>IFERROR(K133-M133,"")</f>
        <v>#ERROR!</v>
      </c>
      <c r="O133" s="237" t="str">
        <f>IFERROR(N133/K133,"")</f>
        <v>#ERROR!</v>
      </c>
      <c r="P133" s="235" t="str">
        <f>IFERROR(INDEX('Fiche Lot'!J:J,MATCH(A133,'Fiche Lot'!A:A,0)),"")</f>
        <v>#ERROR!</v>
      </c>
      <c r="Q133" s="270" t="str">
        <f>IFERROR(INDEX('Fiche Lot'!L:L,MATCH(A133,'Fiche Lot'!A:A,0)),"")</f>
        <v>#ERROR!</v>
      </c>
      <c r="R133" s="235" t="str">
        <f>IFERROR(INDEX('Fiche Lot'!M:M,MATCH(A133,'Fiche Lot'!A:A,0)),"")</f>
        <v>#ERROR!</v>
      </c>
      <c r="S133" s="235" t="str">
        <f>IFERROR(INDEX('Fiche Lot'!G:G,MATCH(A133,'Fiche Lot'!A:A,0)),"")</f>
        <v>#ERROR!</v>
      </c>
      <c r="T133" s="235"/>
      <c r="U133" s="240"/>
    </row>
    <row r="134" ht="15.0" customHeight="1">
      <c r="A134" s="282"/>
      <c r="B134" s="266" t="str">
        <f>IFERROR(INDEX('Fiche Lot'!B:B,MATCH(A134,'Fiche Lot'!A:A,0)),"")</f>
        <v>#ERROR!</v>
      </c>
      <c r="C134" s="227" t="str">
        <f>IFERROR(INDEX('Fiche Lot'!C:C,MATCH(A134,'Fiche Lot'!A:A,0)),"")</f>
        <v>#ERROR!</v>
      </c>
      <c r="D134" s="227" t="str">
        <f>IFERROR(INDEX('Fiche Lot'!D:D,MATCH(A134,'Fiche Lot'!A:A,0)),"")</f>
        <v>#ERROR!</v>
      </c>
      <c r="E134" s="227" t="str">
        <f>IFERROR(INDEX('Fiche Lot'!E:E,MATCH(A134,'Fiche Lot'!A:A,0)),"")</f>
        <v>#ERROR!</v>
      </c>
      <c r="F134" s="227"/>
      <c r="G134" s="227" t="str">
        <f>IFERROR(INDEX('Fiche Lot'!H:H,MATCH(A134,'Fiche Lot'!A:A,0)),"")</f>
        <v>#ERROR!</v>
      </c>
      <c r="H134" s="227"/>
      <c r="I134" s="227"/>
      <c r="J134" s="230" t="str">
        <f>IFERROR(H134/G134,"")</f>
        <v>#ERROR!</v>
      </c>
      <c r="K134" s="281"/>
      <c r="L134" s="281"/>
      <c r="M134" s="281"/>
      <c r="N134" s="281" t="str">
        <f>IFERROR(K134-M134,"")</f>
        <v>#ERROR!</v>
      </c>
      <c r="O134" s="230" t="str">
        <f>IFERROR(N134/K134,"")</f>
        <v>#ERROR!</v>
      </c>
      <c r="P134" s="227" t="str">
        <f>IFERROR(INDEX('Fiche Lot'!J:J,MATCH(A134,'Fiche Lot'!A:A,0)),"")</f>
        <v>#ERROR!</v>
      </c>
      <c r="Q134" s="266" t="str">
        <f>IFERROR(INDEX('Fiche Lot'!L:L,MATCH(A134,'Fiche Lot'!A:A,0)),"")</f>
        <v>#ERROR!</v>
      </c>
      <c r="R134" s="227" t="str">
        <f>IFERROR(INDEX('Fiche Lot'!M:M,MATCH(A134,'Fiche Lot'!A:A,0)),"")</f>
        <v>#ERROR!</v>
      </c>
      <c r="S134" s="227" t="str">
        <f>IFERROR(INDEX('Fiche Lot'!G:G,MATCH(A134,'Fiche Lot'!A:A,0)),"")</f>
        <v>#ERROR!</v>
      </c>
      <c r="T134" s="227"/>
      <c r="U134" s="233"/>
    </row>
    <row r="135" ht="15.0" customHeight="1">
      <c r="A135" s="282"/>
      <c r="B135" s="270" t="str">
        <f>IFERROR(INDEX('Fiche Lot'!B:B,MATCH(A135,'Fiche Lot'!A:A,0)),"")</f>
        <v>#ERROR!</v>
      </c>
      <c r="C135" s="235" t="str">
        <f>IFERROR(INDEX('Fiche Lot'!C:C,MATCH(A135,'Fiche Lot'!A:A,0)),"")</f>
        <v>#ERROR!</v>
      </c>
      <c r="D135" s="235" t="str">
        <f>IFERROR(INDEX('Fiche Lot'!D:D,MATCH(A135,'Fiche Lot'!A:A,0)),"")</f>
        <v>#ERROR!</v>
      </c>
      <c r="E135" s="235" t="str">
        <f>IFERROR(INDEX('Fiche Lot'!E:E,MATCH(A135,'Fiche Lot'!A:A,0)),"")</f>
        <v>#ERROR!</v>
      </c>
      <c r="F135" s="235"/>
      <c r="G135" s="235" t="str">
        <f>IFERROR(INDEX('Fiche Lot'!H:H,MATCH(A135,'Fiche Lot'!A:A,0)),"")</f>
        <v>#ERROR!</v>
      </c>
      <c r="H135" s="235"/>
      <c r="I135" s="235"/>
      <c r="J135" s="237" t="str">
        <f>IFERROR(H135/G135,"")</f>
        <v>#ERROR!</v>
      </c>
      <c r="K135" s="283"/>
      <c r="L135" s="283"/>
      <c r="M135" s="283"/>
      <c r="N135" s="283" t="str">
        <f>IFERROR(K135-M135,"")</f>
        <v>#ERROR!</v>
      </c>
      <c r="O135" s="237" t="str">
        <f>IFERROR(N135/K135,"")</f>
        <v>#ERROR!</v>
      </c>
      <c r="P135" s="235" t="str">
        <f>IFERROR(INDEX('Fiche Lot'!J:J,MATCH(A135,'Fiche Lot'!A:A,0)),"")</f>
        <v>#ERROR!</v>
      </c>
      <c r="Q135" s="270" t="str">
        <f>IFERROR(INDEX('Fiche Lot'!L:L,MATCH(A135,'Fiche Lot'!A:A,0)),"")</f>
        <v>#ERROR!</v>
      </c>
      <c r="R135" s="235" t="str">
        <f>IFERROR(INDEX('Fiche Lot'!M:M,MATCH(A135,'Fiche Lot'!A:A,0)),"")</f>
        <v>#ERROR!</v>
      </c>
      <c r="S135" s="235" t="str">
        <f>IFERROR(INDEX('Fiche Lot'!G:G,MATCH(A135,'Fiche Lot'!A:A,0)),"")</f>
        <v>#ERROR!</v>
      </c>
      <c r="T135" s="235"/>
      <c r="U135" s="240"/>
    </row>
    <row r="136" ht="15.0" customHeight="1">
      <c r="A136" s="282"/>
      <c r="B136" s="266" t="str">
        <f>IFERROR(INDEX('Fiche Lot'!B:B,MATCH(A136,'Fiche Lot'!A:A,0)),"")</f>
        <v>#ERROR!</v>
      </c>
      <c r="C136" s="227" t="str">
        <f>IFERROR(INDEX('Fiche Lot'!C:C,MATCH(A136,'Fiche Lot'!A:A,0)),"")</f>
        <v>#ERROR!</v>
      </c>
      <c r="D136" s="227" t="str">
        <f>IFERROR(INDEX('Fiche Lot'!D:D,MATCH(A136,'Fiche Lot'!A:A,0)),"")</f>
        <v>#ERROR!</v>
      </c>
      <c r="E136" s="227" t="str">
        <f>IFERROR(INDEX('Fiche Lot'!E:E,MATCH(A136,'Fiche Lot'!A:A,0)),"")</f>
        <v>#ERROR!</v>
      </c>
      <c r="F136" s="227"/>
      <c r="G136" s="227" t="str">
        <f>IFERROR(INDEX('Fiche Lot'!H:H,MATCH(A136,'Fiche Lot'!A:A,0)),"")</f>
        <v>#ERROR!</v>
      </c>
      <c r="H136" s="227"/>
      <c r="I136" s="227"/>
      <c r="J136" s="230" t="str">
        <f>IFERROR(H136/G136,"")</f>
        <v>#ERROR!</v>
      </c>
      <c r="K136" s="281"/>
      <c r="L136" s="281"/>
      <c r="M136" s="281"/>
      <c r="N136" s="281" t="str">
        <f>IFERROR(K136-M136,"")</f>
        <v>#ERROR!</v>
      </c>
      <c r="O136" s="230" t="str">
        <f>IFERROR(N136/K136,"")</f>
        <v>#ERROR!</v>
      </c>
      <c r="P136" s="227" t="str">
        <f>IFERROR(INDEX('Fiche Lot'!J:J,MATCH(A136,'Fiche Lot'!A:A,0)),"")</f>
        <v>#ERROR!</v>
      </c>
      <c r="Q136" s="266" t="str">
        <f>IFERROR(INDEX('Fiche Lot'!L:L,MATCH(A136,'Fiche Lot'!A:A,0)),"")</f>
        <v>#ERROR!</v>
      </c>
      <c r="R136" s="227" t="str">
        <f>IFERROR(INDEX('Fiche Lot'!M:M,MATCH(A136,'Fiche Lot'!A:A,0)),"")</f>
        <v>#ERROR!</v>
      </c>
      <c r="S136" s="227" t="str">
        <f>IFERROR(INDEX('Fiche Lot'!G:G,MATCH(A136,'Fiche Lot'!A:A,0)),"")</f>
        <v>#ERROR!</v>
      </c>
      <c r="T136" s="227"/>
      <c r="U136" s="233"/>
    </row>
    <row r="137" ht="15.0" customHeight="1">
      <c r="A137" s="282"/>
      <c r="B137" s="270" t="str">
        <f>IFERROR(INDEX('Fiche Lot'!B:B,MATCH(A137,'Fiche Lot'!A:A,0)),"")</f>
        <v>#ERROR!</v>
      </c>
      <c r="C137" s="235" t="str">
        <f>IFERROR(INDEX('Fiche Lot'!C:C,MATCH(A137,'Fiche Lot'!A:A,0)),"")</f>
        <v>#ERROR!</v>
      </c>
      <c r="D137" s="235" t="str">
        <f>IFERROR(INDEX('Fiche Lot'!D:D,MATCH(A137,'Fiche Lot'!A:A,0)),"")</f>
        <v>#ERROR!</v>
      </c>
      <c r="E137" s="235" t="str">
        <f>IFERROR(INDEX('Fiche Lot'!E:E,MATCH(A137,'Fiche Lot'!A:A,0)),"")</f>
        <v>#ERROR!</v>
      </c>
      <c r="F137" s="235"/>
      <c r="G137" s="235" t="str">
        <f>IFERROR(INDEX('Fiche Lot'!H:H,MATCH(A137,'Fiche Lot'!A:A,0)),"")</f>
        <v>#ERROR!</v>
      </c>
      <c r="H137" s="235"/>
      <c r="I137" s="235"/>
      <c r="J137" s="237" t="str">
        <f>IFERROR(H137/G137,"")</f>
        <v>#ERROR!</v>
      </c>
      <c r="K137" s="283"/>
      <c r="L137" s="283"/>
      <c r="M137" s="283"/>
      <c r="N137" s="283" t="str">
        <f>IFERROR(K137-M137,"")</f>
        <v>#ERROR!</v>
      </c>
      <c r="O137" s="237" t="str">
        <f>IFERROR(N137/K137,"")</f>
        <v>#ERROR!</v>
      </c>
      <c r="P137" s="235" t="str">
        <f>IFERROR(INDEX('Fiche Lot'!J:J,MATCH(A137,'Fiche Lot'!A:A,0)),"")</f>
        <v>#ERROR!</v>
      </c>
      <c r="Q137" s="270" t="str">
        <f>IFERROR(INDEX('Fiche Lot'!L:L,MATCH(A137,'Fiche Lot'!A:A,0)),"")</f>
        <v>#ERROR!</v>
      </c>
      <c r="R137" s="235" t="str">
        <f>IFERROR(INDEX('Fiche Lot'!M:M,MATCH(A137,'Fiche Lot'!A:A,0)),"")</f>
        <v>#ERROR!</v>
      </c>
      <c r="S137" s="235" t="str">
        <f>IFERROR(INDEX('Fiche Lot'!G:G,MATCH(A137,'Fiche Lot'!A:A,0)),"")</f>
        <v>#ERROR!</v>
      </c>
      <c r="T137" s="235"/>
      <c r="U137" s="240"/>
    </row>
    <row r="138" ht="15.0" customHeight="1">
      <c r="A138" s="282"/>
      <c r="B138" s="266" t="str">
        <f>IFERROR(INDEX('Fiche Lot'!B:B,MATCH(A138,'Fiche Lot'!A:A,0)),"")</f>
        <v>#ERROR!</v>
      </c>
      <c r="C138" s="227" t="str">
        <f>IFERROR(INDEX('Fiche Lot'!C:C,MATCH(A138,'Fiche Lot'!A:A,0)),"")</f>
        <v>#ERROR!</v>
      </c>
      <c r="D138" s="227" t="str">
        <f>IFERROR(INDEX('Fiche Lot'!D:D,MATCH(A138,'Fiche Lot'!A:A,0)),"")</f>
        <v>#ERROR!</v>
      </c>
      <c r="E138" s="227" t="str">
        <f>IFERROR(INDEX('Fiche Lot'!E:E,MATCH(A138,'Fiche Lot'!A:A,0)),"")</f>
        <v>#ERROR!</v>
      </c>
      <c r="F138" s="227"/>
      <c r="G138" s="227" t="str">
        <f>IFERROR(INDEX('Fiche Lot'!H:H,MATCH(A138,'Fiche Lot'!A:A,0)),"")</f>
        <v>#ERROR!</v>
      </c>
      <c r="H138" s="227"/>
      <c r="I138" s="227"/>
      <c r="J138" s="230" t="str">
        <f>IFERROR(H138/G138,"")</f>
        <v>#ERROR!</v>
      </c>
      <c r="K138" s="281"/>
      <c r="L138" s="281"/>
      <c r="M138" s="281"/>
      <c r="N138" s="281" t="str">
        <f>IFERROR(K138-M138,"")</f>
        <v>#ERROR!</v>
      </c>
      <c r="O138" s="230" t="str">
        <f>IFERROR(N138/K138,"")</f>
        <v>#ERROR!</v>
      </c>
      <c r="P138" s="227" t="str">
        <f>IFERROR(INDEX('Fiche Lot'!J:J,MATCH(A138,'Fiche Lot'!A:A,0)),"")</f>
        <v>#ERROR!</v>
      </c>
      <c r="Q138" s="266" t="str">
        <f>IFERROR(INDEX('Fiche Lot'!L:L,MATCH(A138,'Fiche Lot'!A:A,0)),"")</f>
        <v>#ERROR!</v>
      </c>
      <c r="R138" s="227" t="str">
        <f>IFERROR(INDEX('Fiche Lot'!M:M,MATCH(A138,'Fiche Lot'!A:A,0)),"")</f>
        <v>#ERROR!</v>
      </c>
      <c r="S138" s="227" t="str">
        <f>IFERROR(INDEX('Fiche Lot'!G:G,MATCH(A138,'Fiche Lot'!A:A,0)),"")</f>
        <v>#ERROR!</v>
      </c>
      <c r="T138" s="227"/>
      <c r="U138" s="233"/>
    </row>
    <row r="139" ht="15.0" customHeight="1">
      <c r="A139" s="282"/>
      <c r="B139" s="270" t="str">
        <f>IFERROR(INDEX('Fiche Lot'!B:B,MATCH(A139,'Fiche Lot'!A:A,0)),"")</f>
        <v>#ERROR!</v>
      </c>
      <c r="C139" s="235" t="str">
        <f>IFERROR(INDEX('Fiche Lot'!C:C,MATCH(A139,'Fiche Lot'!A:A,0)),"")</f>
        <v>#ERROR!</v>
      </c>
      <c r="D139" s="235" t="str">
        <f>IFERROR(INDEX('Fiche Lot'!D:D,MATCH(A139,'Fiche Lot'!A:A,0)),"")</f>
        <v>#ERROR!</v>
      </c>
      <c r="E139" s="235" t="str">
        <f>IFERROR(INDEX('Fiche Lot'!E:E,MATCH(A139,'Fiche Lot'!A:A,0)),"")</f>
        <v>#ERROR!</v>
      </c>
      <c r="F139" s="235"/>
      <c r="G139" s="235" t="str">
        <f>IFERROR(INDEX('Fiche Lot'!H:H,MATCH(A139,'Fiche Lot'!A:A,0)),"")</f>
        <v>#ERROR!</v>
      </c>
      <c r="H139" s="235"/>
      <c r="I139" s="235"/>
      <c r="J139" s="237" t="str">
        <f>IFERROR(H139/G139,"")</f>
        <v>#ERROR!</v>
      </c>
      <c r="K139" s="283"/>
      <c r="L139" s="283"/>
      <c r="M139" s="283"/>
      <c r="N139" s="283" t="str">
        <f>IFERROR(K139-M139,"")</f>
        <v>#ERROR!</v>
      </c>
      <c r="O139" s="237" t="str">
        <f>IFERROR(N139/K139,"")</f>
        <v>#ERROR!</v>
      </c>
      <c r="P139" s="235" t="str">
        <f>IFERROR(INDEX('Fiche Lot'!J:J,MATCH(A139,'Fiche Lot'!A:A,0)),"")</f>
        <v>#ERROR!</v>
      </c>
      <c r="Q139" s="270" t="str">
        <f>IFERROR(INDEX('Fiche Lot'!L:L,MATCH(A139,'Fiche Lot'!A:A,0)),"")</f>
        <v>#ERROR!</v>
      </c>
      <c r="R139" s="235" t="str">
        <f>IFERROR(INDEX('Fiche Lot'!M:M,MATCH(A139,'Fiche Lot'!A:A,0)),"")</f>
        <v>#ERROR!</v>
      </c>
      <c r="S139" s="235" t="str">
        <f>IFERROR(INDEX('Fiche Lot'!G:G,MATCH(A139,'Fiche Lot'!A:A,0)),"")</f>
        <v>#ERROR!</v>
      </c>
      <c r="T139" s="235"/>
      <c r="U139" s="240"/>
    </row>
    <row r="140" ht="15.0" customHeight="1">
      <c r="A140" s="282"/>
      <c r="B140" s="266" t="str">
        <f>IFERROR(INDEX('Fiche Lot'!B:B,MATCH(A140,'Fiche Lot'!A:A,0)),"")</f>
        <v>#ERROR!</v>
      </c>
      <c r="C140" s="227" t="str">
        <f>IFERROR(INDEX('Fiche Lot'!C:C,MATCH(A140,'Fiche Lot'!A:A,0)),"")</f>
        <v>#ERROR!</v>
      </c>
      <c r="D140" s="227" t="str">
        <f>IFERROR(INDEX('Fiche Lot'!D:D,MATCH(A140,'Fiche Lot'!A:A,0)),"")</f>
        <v>#ERROR!</v>
      </c>
      <c r="E140" s="227" t="str">
        <f>IFERROR(INDEX('Fiche Lot'!E:E,MATCH(A140,'Fiche Lot'!A:A,0)),"")</f>
        <v>#ERROR!</v>
      </c>
      <c r="F140" s="227"/>
      <c r="G140" s="227" t="str">
        <f>IFERROR(INDEX('Fiche Lot'!H:H,MATCH(A140,'Fiche Lot'!A:A,0)),"")</f>
        <v>#ERROR!</v>
      </c>
      <c r="H140" s="227"/>
      <c r="I140" s="227"/>
      <c r="J140" s="230" t="str">
        <f>IFERROR(H140/G140,"")</f>
        <v>#ERROR!</v>
      </c>
      <c r="K140" s="281"/>
      <c r="L140" s="281"/>
      <c r="M140" s="281"/>
      <c r="N140" s="281" t="str">
        <f>IFERROR(K140-M140,"")</f>
        <v>#ERROR!</v>
      </c>
      <c r="O140" s="230" t="str">
        <f>IFERROR(N140/K140,"")</f>
        <v>#ERROR!</v>
      </c>
      <c r="P140" s="227" t="str">
        <f>IFERROR(INDEX('Fiche Lot'!J:J,MATCH(A140,'Fiche Lot'!A:A,0)),"")</f>
        <v>#ERROR!</v>
      </c>
      <c r="Q140" s="266" t="str">
        <f>IFERROR(INDEX('Fiche Lot'!L:L,MATCH(A140,'Fiche Lot'!A:A,0)),"")</f>
        <v>#ERROR!</v>
      </c>
      <c r="R140" s="227" t="str">
        <f>IFERROR(INDEX('Fiche Lot'!M:M,MATCH(A140,'Fiche Lot'!A:A,0)),"")</f>
        <v>#ERROR!</v>
      </c>
      <c r="S140" s="227" t="str">
        <f>IFERROR(INDEX('Fiche Lot'!G:G,MATCH(A140,'Fiche Lot'!A:A,0)),"")</f>
        <v>#ERROR!</v>
      </c>
      <c r="T140" s="227"/>
      <c r="U140" s="233"/>
    </row>
    <row r="141" ht="15.0" customHeight="1">
      <c r="A141" s="282"/>
      <c r="B141" s="270" t="str">
        <f>IFERROR(INDEX('Fiche Lot'!B:B,MATCH(A141,'Fiche Lot'!A:A,0)),"")</f>
        <v>#ERROR!</v>
      </c>
      <c r="C141" s="235" t="str">
        <f>IFERROR(INDEX('Fiche Lot'!C:C,MATCH(A141,'Fiche Lot'!A:A,0)),"")</f>
        <v>#ERROR!</v>
      </c>
      <c r="D141" s="235" t="str">
        <f>IFERROR(INDEX('Fiche Lot'!D:D,MATCH(A141,'Fiche Lot'!A:A,0)),"")</f>
        <v>#ERROR!</v>
      </c>
      <c r="E141" s="235" t="str">
        <f>IFERROR(INDEX('Fiche Lot'!E:E,MATCH(A141,'Fiche Lot'!A:A,0)),"")</f>
        <v>#ERROR!</v>
      </c>
      <c r="F141" s="235"/>
      <c r="G141" s="235" t="str">
        <f>IFERROR(INDEX('Fiche Lot'!H:H,MATCH(A141,'Fiche Lot'!A:A,0)),"")</f>
        <v>#ERROR!</v>
      </c>
      <c r="H141" s="235"/>
      <c r="I141" s="235"/>
      <c r="J141" s="237" t="str">
        <f>IFERROR(H141/G141,"")</f>
        <v>#ERROR!</v>
      </c>
      <c r="K141" s="283"/>
      <c r="L141" s="283"/>
      <c r="M141" s="283"/>
      <c r="N141" s="283" t="str">
        <f>IFERROR(K141-M141,"")</f>
        <v>#ERROR!</v>
      </c>
      <c r="O141" s="237" t="str">
        <f>IFERROR(N141/K141,"")</f>
        <v>#ERROR!</v>
      </c>
      <c r="P141" s="235" t="str">
        <f>IFERROR(INDEX('Fiche Lot'!J:J,MATCH(A141,'Fiche Lot'!A:A,0)),"")</f>
        <v>#ERROR!</v>
      </c>
      <c r="Q141" s="270" t="str">
        <f>IFERROR(INDEX('Fiche Lot'!L:L,MATCH(A141,'Fiche Lot'!A:A,0)),"")</f>
        <v>#ERROR!</v>
      </c>
      <c r="R141" s="235" t="str">
        <f>IFERROR(INDEX('Fiche Lot'!M:M,MATCH(A141,'Fiche Lot'!A:A,0)),"")</f>
        <v>#ERROR!</v>
      </c>
      <c r="S141" s="235" t="str">
        <f>IFERROR(INDEX('Fiche Lot'!G:G,MATCH(A141,'Fiche Lot'!A:A,0)),"")</f>
        <v>#ERROR!</v>
      </c>
      <c r="T141" s="235"/>
      <c r="U141" s="240"/>
    </row>
    <row r="142" ht="15.0" customHeight="1">
      <c r="A142" s="282"/>
      <c r="B142" s="266" t="str">
        <f>IFERROR(INDEX('Fiche Lot'!B:B,MATCH(A142,'Fiche Lot'!A:A,0)),"")</f>
        <v>#ERROR!</v>
      </c>
      <c r="C142" s="227" t="str">
        <f>IFERROR(INDEX('Fiche Lot'!C:C,MATCH(A142,'Fiche Lot'!A:A,0)),"")</f>
        <v>#ERROR!</v>
      </c>
      <c r="D142" s="227" t="str">
        <f>IFERROR(INDEX('Fiche Lot'!D:D,MATCH(A142,'Fiche Lot'!A:A,0)),"")</f>
        <v>#ERROR!</v>
      </c>
      <c r="E142" s="227" t="str">
        <f>IFERROR(INDEX('Fiche Lot'!E:E,MATCH(A142,'Fiche Lot'!A:A,0)),"")</f>
        <v>#ERROR!</v>
      </c>
      <c r="F142" s="227"/>
      <c r="G142" s="227" t="str">
        <f>IFERROR(INDEX('Fiche Lot'!H:H,MATCH(A142,'Fiche Lot'!A:A,0)),"")</f>
        <v>#ERROR!</v>
      </c>
      <c r="H142" s="227"/>
      <c r="I142" s="227"/>
      <c r="J142" s="230" t="str">
        <f>IFERROR(H142/G142,"")</f>
        <v>#ERROR!</v>
      </c>
      <c r="K142" s="281"/>
      <c r="L142" s="281"/>
      <c r="M142" s="281"/>
      <c r="N142" s="281" t="str">
        <f>IFERROR(K142-M142,"")</f>
        <v>#ERROR!</v>
      </c>
      <c r="O142" s="230" t="str">
        <f>IFERROR(N142/K142,"")</f>
        <v>#ERROR!</v>
      </c>
      <c r="P142" s="227" t="str">
        <f>IFERROR(INDEX('Fiche Lot'!J:J,MATCH(A142,'Fiche Lot'!A:A,0)),"")</f>
        <v>#ERROR!</v>
      </c>
      <c r="Q142" s="266" t="str">
        <f>IFERROR(INDEX('Fiche Lot'!L:L,MATCH(A142,'Fiche Lot'!A:A,0)),"")</f>
        <v>#ERROR!</v>
      </c>
      <c r="R142" s="227" t="str">
        <f>IFERROR(INDEX('Fiche Lot'!M:M,MATCH(A142,'Fiche Lot'!A:A,0)),"")</f>
        <v>#ERROR!</v>
      </c>
      <c r="S142" s="227" t="str">
        <f>IFERROR(INDEX('Fiche Lot'!G:G,MATCH(A142,'Fiche Lot'!A:A,0)),"")</f>
        <v>#ERROR!</v>
      </c>
      <c r="T142" s="227"/>
      <c r="U142" s="233"/>
    </row>
    <row r="143" ht="15.0" customHeight="1">
      <c r="A143" s="282"/>
      <c r="B143" s="270" t="str">
        <f>IFERROR(INDEX('Fiche Lot'!B:B,MATCH(A143,'Fiche Lot'!A:A,0)),"")</f>
        <v>#ERROR!</v>
      </c>
      <c r="C143" s="235" t="str">
        <f>IFERROR(INDEX('Fiche Lot'!C:C,MATCH(A143,'Fiche Lot'!A:A,0)),"")</f>
        <v>#ERROR!</v>
      </c>
      <c r="D143" s="235" t="str">
        <f>IFERROR(INDEX('Fiche Lot'!D:D,MATCH(A143,'Fiche Lot'!A:A,0)),"")</f>
        <v>#ERROR!</v>
      </c>
      <c r="E143" s="235" t="str">
        <f>IFERROR(INDEX('Fiche Lot'!E:E,MATCH(A143,'Fiche Lot'!A:A,0)),"")</f>
        <v>#ERROR!</v>
      </c>
      <c r="F143" s="235"/>
      <c r="G143" s="235" t="str">
        <f>IFERROR(INDEX('Fiche Lot'!H:H,MATCH(A143,'Fiche Lot'!A:A,0)),"")</f>
        <v>#ERROR!</v>
      </c>
      <c r="H143" s="235"/>
      <c r="I143" s="235"/>
      <c r="J143" s="237" t="str">
        <f>IFERROR(H143/G143,"")</f>
        <v>#ERROR!</v>
      </c>
      <c r="K143" s="283"/>
      <c r="L143" s="283"/>
      <c r="M143" s="283"/>
      <c r="N143" s="283" t="str">
        <f>IFERROR(K143-M143,"")</f>
        <v>#ERROR!</v>
      </c>
      <c r="O143" s="237" t="str">
        <f>IFERROR(N143/K143,"")</f>
        <v>#ERROR!</v>
      </c>
      <c r="P143" s="235" t="str">
        <f>IFERROR(INDEX('Fiche Lot'!J:J,MATCH(A143,'Fiche Lot'!A:A,0)),"")</f>
        <v>#ERROR!</v>
      </c>
      <c r="Q143" s="270" t="str">
        <f>IFERROR(INDEX('Fiche Lot'!L:L,MATCH(A143,'Fiche Lot'!A:A,0)),"")</f>
        <v>#ERROR!</v>
      </c>
      <c r="R143" s="235" t="str">
        <f>IFERROR(INDEX('Fiche Lot'!M:M,MATCH(A143,'Fiche Lot'!A:A,0)),"")</f>
        <v>#ERROR!</v>
      </c>
      <c r="S143" s="235" t="str">
        <f>IFERROR(INDEX('Fiche Lot'!G:G,MATCH(A143,'Fiche Lot'!A:A,0)),"")</f>
        <v>#ERROR!</v>
      </c>
      <c r="T143" s="235"/>
      <c r="U143" s="240"/>
    </row>
    <row r="144" ht="15.0" customHeight="1">
      <c r="A144" s="282"/>
      <c r="B144" s="266" t="str">
        <f>IFERROR(INDEX('Fiche Lot'!B:B,MATCH(A144,'Fiche Lot'!A:A,0)),"")</f>
        <v>#ERROR!</v>
      </c>
      <c r="C144" s="227" t="str">
        <f>IFERROR(INDEX('Fiche Lot'!C:C,MATCH(A144,'Fiche Lot'!A:A,0)),"")</f>
        <v>#ERROR!</v>
      </c>
      <c r="D144" s="227" t="str">
        <f>IFERROR(INDEX('Fiche Lot'!D:D,MATCH(A144,'Fiche Lot'!A:A,0)),"")</f>
        <v>#ERROR!</v>
      </c>
      <c r="E144" s="227" t="str">
        <f>IFERROR(INDEX('Fiche Lot'!E:E,MATCH(A144,'Fiche Lot'!A:A,0)),"")</f>
        <v>#ERROR!</v>
      </c>
      <c r="F144" s="227"/>
      <c r="G144" s="227" t="str">
        <f>IFERROR(INDEX('Fiche Lot'!H:H,MATCH(A144,'Fiche Lot'!A:A,0)),"")</f>
        <v>#ERROR!</v>
      </c>
      <c r="H144" s="227"/>
      <c r="I144" s="227"/>
      <c r="J144" s="230" t="str">
        <f>IFERROR(H144/G144,"")</f>
        <v>#ERROR!</v>
      </c>
      <c r="K144" s="281"/>
      <c r="L144" s="281"/>
      <c r="M144" s="281"/>
      <c r="N144" s="281" t="str">
        <f>IFERROR(K144-M144,"")</f>
        <v>#ERROR!</v>
      </c>
      <c r="O144" s="230" t="str">
        <f>IFERROR(N144/K144,"")</f>
        <v>#ERROR!</v>
      </c>
      <c r="P144" s="227" t="str">
        <f>IFERROR(INDEX('Fiche Lot'!J:J,MATCH(A144,'Fiche Lot'!A:A,0)),"")</f>
        <v>#ERROR!</v>
      </c>
      <c r="Q144" s="266" t="str">
        <f>IFERROR(INDEX('Fiche Lot'!L:L,MATCH(A144,'Fiche Lot'!A:A,0)),"")</f>
        <v>#ERROR!</v>
      </c>
      <c r="R144" s="227" t="str">
        <f>IFERROR(INDEX('Fiche Lot'!M:M,MATCH(A144,'Fiche Lot'!A:A,0)),"")</f>
        <v>#ERROR!</v>
      </c>
      <c r="S144" s="227" t="str">
        <f>IFERROR(INDEX('Fiche Lot'!G:G,MATCH(A144,'Fiche Lot'!A:A,0)),"")</f>
        <v>#ERROR!</v>
      </c>
      <c r="T144" s="227"/>
      <c r="U144" s="233"/>
    </row>
    <row r="145" ht="15.0" customHeight="1">
      <c r="A145" s="282"/>
      <c r="B145" s="270" t="str">
        <f>IFERROR(INDEX('Fiche Lot'!B:B,MATCH(A145,'Fiche Lot'!A:A,0)),"")</f>
        <v>#ERROR!</v>
      </c>
      <c r="C145" s="235" t="str">
        <f>IFERROR(INDEX('Fiche Lot'!C:C,MATCH(A145,'Fiche Lot'!A:A,0)),"")</f>
        <v>#ERROR!</v>
      </c>
      <c r="D145" s="235" t="str">
        <f>IFERROR(INDEX('Fiche Lot'!D:D,MATCH(A145,'Fiche Lot'!A:A,0)),"")</f>
        <v>#ERROR!</v>
      </c>
      <c r="E145" s="235" t="str">
        <f>IFERROR(INDEX('Fiche Lot'!E:E,MATCH(A145,'Fiche Lot'!A:A,0)),"")</f>
        <v>#ERROR!</v>
      </c>
      <c r="F145" s="235"/>
      <c r="G145" s="235" t="str">
        <f>IFERROR(INDEX('Fiche Lot'!H:H,MATCH(A145,'Fiche Lot'!A:A,0)),"")</f>
        <v>#ERROR!</v>
      </c>
      <c r="H145" s="235"/>
      <c r="I145" s="235"/>
      <c r="J145" s="237" t="str">
        <f>IFERROR(H145/G145,"")</f>
        <v>#ERROR!</v>
      </c>
      <c r="K145" s="283"/>
      <c r="L145" s="283"/>
      <c r="M145" s="283"/>
      <c r="N145" s="283" t="str">
        <f>IFERROR(K145-M145,"")</f>
        <v>#ERROR!</v>
      </c>
      <c r="O145" s="237" t="str">
        <f>IFERROR(N145/K145,"")</f>
        <v>#ERROR!</v>
      </c>
      <c r="P145" s="235" t="str">
        <f>IFERROR(INDEX('Fiche Lot'!J:J,MATCH(A145,'Fiche Lot'!A:A,0)),"")</f>
        <v>#ERROR!</v>
      </c>
      <c r="Q145" s="270" t="str">
        <f>IFERROR(INDEX('Fiche Lot'!L:L,MATCH(A145,'Fiche Lot'!A:A,0)),"")</f>
        <v>#ERROR!</v>
      </c>
      <c r="R145" s="235" t="str">
        <f>IFERROR(INDEX('Fiche Lot'!M:M,MATCH(A145,'Fiche Lot'!A:A,0)),"")</f>
        <v>#ERROR!</v>
      </c>
      <c r="S145" s="235" t="str">
        <f>IFERROR(INDEX('Fiche Lot'!G:G,MATCH(A145,'Fiche Lot'!A:A,0)),"")</f>
        <v>#ERROR!</v>
      </c>
      <c r="T145" s="235"/>
      <c r="U145" s="240"/>
    </row>
    <row r="146" ht="15.0" customHeight="1">
      <c r="A146" s="282"/>
      <c r="B146" s="266" t="str">
        <f>IFERROR(INDEX('Fiche Lot'!B:B,MATCH(A146,'Fiche Lot'!A:A,0)),"")</f>
        <v>#ERROR!</v>
      </c>
      <c r="C146" s="227" t="str">
        <f>IFERROR(INDEX('Fiche Lot'!C:C,MATCH(A146,'Fiche Lot'!A:A,0)),"")</f>
        <v>#ERROR!</v>
      </c>
      <c r="D146" s="227" t="str">
        <f>IFERROR(INDEX('Fiche Lot'!D:D,MATCH(A146,'Fiche Lot'!A:A,0)),"")</f>
        <v>#ERROR!</v>
      </c>
      <c r="E146" s="227" t="str">
        <f>IFERROR(INDEX('Fiche Lot'!E:E,MATCH(A146,'Fiche Lot'!A:A,0)),"")</f>
        <v>#ERROR!</v>
      </c>
      <c r="F146" s="227"/>
      <c r="G146" s="227" t="str">
        <f>IFERROR(INDEX('Fiche Lot'!H:H,MATCH(A146,'Fiche Lot'!A:A,0)),"")</f>
        <v>#ERROR!</v>
      </c>
      <c r="H146" s="227"/>
      <c r="I146" s="227"/>
      <c r="J146" s="230" t="str">
        <f>IFERROR(H146/G146,"")</f>
        <v>#ERROR!</v>
      </c>
      <c r="K146" s="281"/>
      <c r="L146" s="281"/>
      <c r="M146" s="281"/>
      <c r="N146" s="281" t="str">
        <f>IFERROR(K146-M146,"")</f>
        <v>#ERROR!</v>
      </c>
      <c r="O146" s="230" t="str">
        <f>IFERROR(N146/K146,"")</f>
        <v>#ERROR!</v>
      </c>
      <c r="P146" s="227" t="str">
        <f>IFERROR(INDEX('Fiche Lot'!J:J,MATCH(A146,'Fiche Lot'!A:A,0)),"")</f>
        <v>#ERROR!</v>
      </c>
      <c r="Q146" s="266" t="str">
        <f>IFERROR(INDEX('Fiche Lot'!L:L,MATCH(A146,'Fiche Lot'!A:A,0)),"")</f>
        <v>#ERROR!</v>
      </c>
      <c r="R146" s="227" t="str">
        <f>IFERROR(INDEX('Fiche Lot'!M:M,MATCH(A146,'Fiche Lot'!A:A,0)),"")</f>
        <v>#ERROR!</v>
      </c>
      <c r="S146" s="227" t="str">
        <f>IFERROR(INDEX('Fiche Lot'!G:G,MATCH(A146,'Fiche Lot'!A:A,0)),"")</f>
        <v>#ERROR!</v>
      </c>
      <c r="T146" s="227"/>
      <c r="U146" s="233"/>
    </row>
    <row r="147" ht="15.0" customHeight="1">
      <c r="A147" s="282"/>
      <c r="B147" s="270" t="str">
        <f>IFERROR(INDEX('Fiche Lot'!B:B,MATCH(A147,'Fiche Lot'!A:A,0)),"")</f>
        <v>#ERROR!</v>
      </c>
      <c r="C147" s="235" t="str">
        <f>IFERROR(INDEX('Fiche Lot'!C:C,MATCH(A147,'Fiche Lot'!A:A,0)),"")</f>
        <v>#ERROR!</v>
      </c>
      <c r="D147" s="235" t="str">
        <f>IFERROR(INDEX('Fiche Lot'!D:D,MATCH(A147,'Fiche Lot'!A:A,0)),"")</f>
        <v>#ERROR!</v>
      </c>
      <c r="E147" s="235" t="str">
        <f>IFERROR(INDEX('Fiche Lot'!E:E,MATCH(A147,'Fiche Lot'!A:A,0)),"")</f>
        <v>#ERROR!</v>
      </c>
      <c r="F147" s="235"/>
      <c r="G147" s="235" t="str">
        <f>IFERROR(INDEX('Fiche Lot'!H:H,MATCH(A147,'Fiche Lot'!A:A,0)),"")</f>
        <v>#ERROR!</v>
      </c>
      <c r="H147" s="235"/>
      <c r="I147" s="235"/>
      <c r="J147" s="237" t="str">
        <f>IFERROR(H147/G147,"")</f>
        <v>#ERROR!</v>
      </c>
      <c r="K147" s="283"/>
      <c r="L147" s="283"/>
      <c r="M147" s="283"/>
      <c r="N147" s="283" t="str">
        <f>IFERROR(K147-M147,"")</f>
        <v>#ERROR!</v>
      </c>
      <c r="O147" s="237" t="str">
        <f>IFERROR(N147/K147,"")</f>
        <v>#ERROR!</v>
      </c>
      <c r="P147" s="235" t="str">
        <f>IFERROR(INDEX('Fiche Lot'!J:J,MATCH(A147,'Fiche Lot'!A:A,0)),"")</f>
        <v>#ERROR!</v>
      </c>
      <c r="Q147" s="270" t="str">
        <f>IFERROR(INDEX('Fiche Lot'!L:L,MATCH(A147,'Fiche Lot'!A:A,0)),"")</f>
        <v>#ERROR!</v>
      </c>
      <c r="R147" s="235" t="str">
        <f>IFERROR(INDEX('Fiche Lot'!M:M,MATCH(A147,'Fiche Lot'!A:A,0)),"")</f>
        <v>#ERROR!</v>
      </c>
      <c r="S147" s="235" t="str">
        <f>IFERROR(INDEX('Fiche Lot'!G:G,MATCH(A147,'Fiche Lot'!A:A,0)),"")</f>
        <v>#ERROR!</v>
      </c>
      <c r="T147" s="235"/>
      <c r="U147" s="240"/>
    </row>
    <row r="148" ht="15.0" customHeight="1">
      <c r="A148" s="282"/>
      <c r="B148" s="266" t="str">
        <f>IFERROR(INDEX('Fiche Lot'!B:B,MATCH(A148,'Fiche Lot'!A:A,0)),"")</f>
        <v>#ERROR!</v>
      </c>
      <c r="C148" s="227" t="str">
        <f>IFERROR(INDEX('Fiche Lot'!C:C,MATCH(A148,'Fiche Lot'!A:A,0)),"")</f>
        <v>#ERROR!</v>
      </c>
      <c r="D148" s="227" t="str">
        <f>IFERROR(INDEX('Fiche Lot'!D:D,MATCH(A148,'Fiche Lot'!A:A,0)),"")</f>
        <v>#ERROR!</v>
      </c>
      <c r="E148" s="227" t="str">
        <f>IFERROR(INDEX('Fiche Lot'!E:E,MATCH(A148,'Fiche Lot'!A:A,0)),"")</f>
        <v>#ERROR!</v>
      </c>
      <c r="F148" s="227"/>
      <c r="G148" s="227" t="str">
        <f>IFERROR(INDEX('Fiche Lot'!H:H,MATCH(A148,'Fiche Lot'!A:A,0)),"")</f>
        <v>#ERROR!</v>
      </c>
      <c r="H148" s="227"/>
      <c r="I148" s="227"/>
      <c r="J148" s="230" t="str">
        <f>IFERROR(H148/G148,"")</f>
        <v>#ERROR!</v>
      </c>
      <c r="K148" s="281"/>
      <c r="L148" s="281"/>
      <c r="M148" s="281"/>
      <c r="N148" s="281" t="str">
        <f>IFERROR(K148-M148,"")</f>
        <v>#ERROR!</v>
      </c>
      <c r="O148" s="230" t="str">
        <f>IFERROR(N148/K148,"")</f>
        <v>#ERROR!</v>
      </c>
      <c r="P148" s="227" t="str">
        <f>IFERROR(INDEX('Fiche Lot'!J:J,MATCH(A148,'Fiche Lot'!A:A,0)),"")</f>
        <v>#ERROR!</v>
      </c>
      <c r="Q148" s="266" t="str">
        <f>IFERROR(INDEX('Fiche Lot'!L:L,MATCH(A148,'Fiche Lot'!A:A,0)),"")</f>
        <v>#ERROR!</v>
      </c>
      <c r="R148" s="227" t="str">
        <f>IFERROR(INDEX('Fiche Lot'!M:M,MATCH(A148,'Fiche Lot'!A:A,0)),"")</f>
        <v>#ERROR!</v>
      </c>
      <c r="S148" s="227" t="str">
        <f>IFERROR(INDEX('Fiche Lot'!G:G,MATCH(A148,'Fiche Lot'!A:A,0)),"")</f>
        <v>#ERROR!</v>
      </c>
      <c r="T148" s="227"/>
      <c r="U148" s="233"/>
    </row>
    <row r="149" ht="15.0" customHeight="1">
      <c r="A149" s="282"/>
      <c r="B149" s="270" t="str">
        <f>IFERROR(INDEX('Fiche Lot'!B:B,MATCH(A149,'Fiche Lot'!A:A,0)),"")</f>
        <v>#ERROR!</v>
      </c>
      <c r="C149" s="235" t="str">
        <f>IFERROR(INDEX('Fiche Lot'!C:C,MATCH(A149,'Fiche Lot'!A:A,0)),"")</f>
        <v>#ERROR!</v>
      </c>
      <c r="D149" s="235" t="str">
        <f>IFERROR(INDEX('Fiche Lot'!D:D,MATCH(A149,'Fiche Lot'!A:A,0)),"")</f>
        <v>#ERROR!</v>
      </c>
      <c r="E149" s="235" t="str">
        <f>IFERROR(INDEX('Fiche Lot'!E:E,MATCH(A149,'Fiche Lot'!A:A,0)),"")</f>
        <v>#ERROR!</v>
      </c>
      <c r="F149" s="235"/>
      <c r="G149" s="235" t="str">
        <f>IFERROR(INDEX('Fiche Lot'!H:H,MATCH(A149,'Fiche Lot'!A:A,0)),"")</f>
        <v>#ERROR!</v>
      </c>
      <c r="H149" s="235"/>
      <c r="I149" s="235"/>
      <c r="J149" s="237" t="str">
        <f>IFERROR(H149/G149,"")</f>
        <v>#ERROR!</v>
      </c>
      <c r="K149" s="283"/>
      <c r="L149" s="283"/>
      <c r="M149" s="283"/>
      <c r="N149" s="283" t="str">
        <f>IFERROR(K149-M149,"")</f>
        <v>#ERROR!</v>
      </c>
      <c r="O149" s="237" t="str">
        <f>IFERROR(N149/K149,"")</f>
        <v>#ERROR!</v>
      </c>
      <c r="P149" s="235" t="str">
        <f>IFERROR(INDEX('Fiche Lot'!J:J,MATCH(A149,'Fiche Lot'!A:A,0)),"")</f>
        <v>#ERROR!</v>
      </c>
      <c r="Q149" s="270" t="str">
        <f>IFERROR(INDEX('Fiche Lot'!L:L,MATCH(A149,'Fiche Lot'!A:A,0)),"")</f>
        <v>#ERROR!</v>
      </c>
      <c r="R149" s="235" t="str">
        <f>IFERROR(INDEX('Fiche Lot'!M:M,MATCH(A149,'Fiche Lot'!A:A,0)),"")</f>
        <v>#ERROR!</v>
      </c>
      <c r="S149" s="235" t="str">
        <f>IFERROR(INDEX('Fiche Lot'!G:G,MATCH(A149,'Fiche Lot'!A:A,0)),"")</f>
        <v>#ERROR!</v>
      </c>
      <c r="T149" s="235"/>
      <c r="U149" s="240"/>
    </row>
    <row r="150" ht="15.0" customHeight="1">
      <c r="A150" s="282"/>
      <c r="B150" s="266" t="str">
        <f>IFERROR(INDEX('Fiche Lot'!B:B,MATCH(A150,'Fiche Lot'!A:A,0)),"")</f>
        <v>#ERROR!</v>
      </c>
      <c r="C150" s="227" t="str">
        <f>IFERROR(INDEX('Fiche Lot'!C:C,MATCH(A150,'Fiche Lot'!A:A,0)),"")</f>
        <v>#ERROR!</v>
      </c>
      <c r="D150" s="227" t="str">
        <f>IFERROR(INDEX('Fiche Lot'!D:D,MATCH(A150,'Fiche Lot'!A:A,0)),"")</f>
        <v>#ERROR!</v>
      </c>
      <c r="E150" s="227" t="str">
        <f>IFERROR(INDEX('Fiche Lot'!E:E,MATCH(A150,'Fiche Lot'!A:A,0)),"")</f>
        <v>#ERROR!</v>
      </c>
      <c r="F150" s="227"/>
      <c r="G150" s="227" t="str">
        <f>IFERROR(INDEX('Fiche Lot'!H:H,MATCH(A150,'Fiche Lot'!A:A,0)),"")</f>
        <v>#ERROR!</v>
      </c>
      <c r="H150" s="227"/>
      <c r="I150" s="227"/>
      <c r="J150" s="230" t="str">
        <f>IFERROR(H150/G150,"")</f>
        <v>#ERROR!</v>
      </c>
      <c r="K150" s="281"/>
      <c r="L150" s="281"/>
      <c r="M150" s="281"/>
      <c r="N150" s="281" t="str">
        <f>IFERROR(K150-M150,"")</f>
        <v>#ERROR!</v>
      </c>
      <c r="O150" s="230" t="str">
        <f>IFERROR(N150/K150,"")</f>
        <v>#ERROR!</v>
      </c>
      <c r="P150" s="227" t="str">
        <f>IFERROR(INDEX('Fiche Lot'!J:J,MATCH(A150,'Fiche Lot'!A:A,0)),"")</f>
        <v>#ERROR!</v>
      </c>
      <c r="Q150" s="266" t="str">
        <f>IFERROR(INDEX('Fiche Lot'!L:L,MATCH(A150,'Fiche Lot'!A:A,0)),"")</f>
        <v>#ERROR!</v>
      </c>
      <c r="R150" s="227" t="str">
        <f>IFERROR(INDEX('Fiche Lot'!M:M,MATCH(A150,'Fiche Lot'!A:A,0)),"")</f>
        <v>#ERROR!</v>
      </c>
      <c r="S150" s="227" t="str">
        <f>IFERROR(INDEX('Fiche Lot'!G:G,MATCH(A150,'Fiche Lot'!A:A,0)),"")</f>
        <v>#ERROR!</v>
      </c>
      <c r="T150" s="227"/>
      <c r="U150" s="233"/>
    </row>
    <row r="151" ht="15.0" customHeight="1">
      <c r="A151" s="282"/>
      <c r="B151" s="270" t="str">
        <f>IFERROR(INDEX('Fiche Lot'!B:B,MATCH(A151,'Fiche Lot'!A:A,0)),"")</f>
        <v>#ERROR!</v>
      </c>
      <c r="C151" s="235" t="str">
        <f>IFERROR(INDEX('Fiche Lot'!C:C,MATCH(A151,'Fiche Lot'!A:A,0)),"")</f>
        <v>#ERROR!</v>
      </c>
      <c r="D151" s="235" t="str">
        <f>IFERROR(INDEX('Fiche Lot'!D:D,MATCH(A151,'Fiche Lot'!A:A,0)),"")</f>
        <v>#ERROR!</v>
      </c>
      <c r="E151" s="235" t="str">
        <f>IFERROR(INDEX('Fiche Lot'!E:E,MATCH(A151,'Fiche Lot'!A:A,0)),"")</f>
        <v>#ERROR!</v>
      </c>
      <c r="F151" s="235"/>
      <c r="G151" s="235" t="str">
        <f>IFERROR(INDEX('Fiche Lot'!H:H,MATCH(A151,'Fiche Lot'!A:A,0)),"")</f>
        <v>#ERROR!</v>
      </c>
      <c r="H151" s="235"/>
      <c r="I151" s="235"/>
      <c r="J151" s="237" t="str">
        <f>IFERROR(H151/G151,"")</f>
        <v>#ERROR!</v>
      </c>
      <c r="K151" s="283"/>
      <c r="L151" s="283"/>
      <c r="M151" s="283"/>
      <c r="N151" s="283" t="str">
        <f>IFERROR(K151-M151,"")</f>
        <v>#ERROR!</v>
      </c>
      <c r="O151" s="237" t="str">
        <f>IFERROR(N151/K151,"")</f>
        <v>#ERROR!</v>
      </c>
      <c r="P151" s="235" t="str">
        <f>IFERROR(INDEX('Fiche Lot'!J:J,MATCH(A151,'Fiche Lot'!A:A,0)),"")</f>
        <v>#ERROR!</v>
      </c>
      <c r="Q151" s="270" t="str">
        <f>IFERROR(INDEX('Fiche Lot'!L:L,MATCH(A151,'Fiche Lot'!A:A,0)),"")</f>
        <v>#ERROR!</v>
      </c>
      <c r="R151" s="235" t="str">
        <f>IFERROR(INDEX('Fiche Lot'!M:M,MATCH(A151,'Fiche Lot'!A:A,0)),"")</f>
        <v>#ERROR!</v>
      </c>
      <c r="S151" s="235" t="str">
        <f>IFERROR(INDEX('Fiche Lot'!G:G,MATCH(A151,'Fiche Lot'!A:A,0)),"")</f>
        <v>#ERROR!</v>
      </c>
      <c r="T151" s="235"/>
      <c r="U151" s="240"/>
    </row>
    <row r="152" ht="15.0" customHeight="1">
      <c r="A152" s="282"/>
      <c r="B152" s="266" t="str">
        <f>IFERROR(INDEX('Fiche Lot'!B:B,MATCH(A152,'Fiche Lot'!A:A,0)),"")</f>
        <v>#ERROR!</v>
      </c>
      <c r="C152" s="227" t="str">
        <f>IFERROR(INDEX('Fiche Lot'!C:C,MATCH(A152,'Fiche Lot'!A:A,0)),"")</f>
        <v>#ERROR!</v>
      </c>
      <c r="D152" s="227" t="str">
        <f>IFERROR(INDEX('Fiche Lot'!D:D,MATCH(A152,'Fiche Lot'!A:A,0)),"")</f>
        <v>#ERROR!</v>
      </c>
      <c r="E152" s="227" t="str">
        <f>IFERROR(INDEX('Fiche Lot'!E:E,MATCH(A152,'Fiche Lot'!A:A,0)),"")</f>
        <v>#ERROR!</v>
      </c>
      <c r="F152" s="227"/>
      <c r="G152" s="227" t="str">
        <f>IFERROR(INDEX('Fiche Lot'!H:H,MATCH(A152,'Fiche Lot'!A:A,0)),"")</f>
        <v>#ERROR!</v>
      </c>
      <c r="H152" s="227"/>
      <c r="I152" s="227"/>
      <c r="J152" s="230" t="str">
        <f>IFERROR(H152/G152,"")</f>
        <v>#ERROR!</v>
      </c>
      <c r="K152" s="281"/>
      <c r="L152" s="281"/>
      <c r="M152" s="281"/>
      <c r="N152" s="281" t="str">
        <f>IFERROR(K152-M152,"")</f>
        <v>#ERROR!</v>
      </c>
      <c r="O152" s="230" t="str">
        <f>IFERROR(N152/K152,"")</f>
        <v>#ERROR!</v>
      </c>
      <c r="P152" s="227" t="str">
        <f>IFERROR(INDEX('Fiche Lot'!J:J,MATCH(A152,'Fiche Lot'!A:A,0)),"")</f>
        <v>#ERROR!</v>
      </c>
      <c r="Q152" s="266" t="str">
        <f>IFERROR(INDEX('Fiche Lot'!L:L,MATCH(A152,'Fiche Lot'!A:A,0)),"")</f>
        <v>#ERROR!</v>
      </c>
      <c r="R152" s="227" t="str">
        <f>IFERROR(INDEX('Fiche Lot'!M:M,MATCH(A152,'Fiche Lot'!A:A,0)),"")</f>
        <v>#ERROR!</v>
      </c>
      <c r="S152" s="227" t="str">
        <f>IFERROR(INDEX('Fiche Lot'!G:G,MATCH(A152,'Fiche Lot'!A:A,0)),"")</f>
        <v>#ERROR!</v>
      </c>
      <c r="T152" s="227"/>
      <c r="U152" s="233"/>
    </row>
    <row r="153" ht="15.0" customHeight="1">
      <c r="A153" s="282"/>
      <c r="B153" s="270" t="str">
        <f>IFERROR(INDEX('Fiche Lot'!B:B,MATCH(A153,'Fiche Lot'!A:A,0)),"")</f>
        <v>#ERROR!</v>
      </c>
      <c r="C153" s="235" t="str">
        <f>IFERROR(INDEX('Fiche Lot'!C:C,MATCH(A153,'Fiche Lot'!A:A,0)),"")</f>
        <v>#ERROR!</v>
      </c>
      <c r="D153" s="235" t="str">
        <f>IFERROR(INDEX('Fiche Lot'!D:D,MATCH(A153,'Fiche Lot'!A:A,0)),"")</f>
        <v>#ERROR!</v>
      </c>
      <c r="E153" s="235" t="str">
        <f>IFERROR(INDEX('Fiche Lot'!E:E,MATCH(A153,'Fiche Lot'!A:A,0)),"")</f>
        <v>#ERROR!</v>
      </c>
      <c r="F153" s="235"/>
      <c r="G153" s="235" t="str">
        <f>IFERROR(INDEX('Fiche Lot'!H:H,MATCH(A153,'Fiche Lot'!A:A,0)),"")</f>
        <v>#ERROR!</v>
      </c>
      <c r="H153" s="235"/>
      <c r="I153" s="235"/>
      <c r="J153" s="237" t="str">
        <f>IFERROR(H153/G153,"")</f>
        <v>#ERROR!</v>
      </c>
      <c r="K153" s="283"/>
      <c r="L153" s="283"/>
      <c r="M153" s="283"/>
      <c r="N153" s="283" t="str">
        <f>IFERROR(K153-M153,"")</f>
        <v>#ERROR!</v>
      </c>
      <c r="O153" s="237" t="str">
        <f>IFERROR(N153/K153,"")</f>
        <v>#ERROR!</v>
      </c>
      <c r="P153" s="235" t="str">
        <f>IFERROR(INDEX('Fiche Lot'!J:J,MATCH(A153,'Fiche Lot'!A:A,0)),"")</f>
        <v>#ERROR!</v>
      </c>
      <c r="Q153" s="270" t="str">
        <f>IFERROR(INDEX('Fiche Lot'!L:L,MATCH(A153,'Fiche Lot'!A:A,0)),"")</f>
        <v>#ERROR!</v>
      </c>
      <c r="R153" s="235" t="str">
        <f>IFERROR(INDEX('Fiche Lot'!M:M,MATCH(A153,'Fiche Lot'!A:A,0)),"")</f>
        <v>#ERROR!</v>
      </c>
      <c r="S153" s="235" t="str">
        <f>IFERROR(INDEX('Fiche Lot'!G:G,MATCH(A153,'Fiche Lot'!A:A,0)),"")</f>
        <v>#ERROR!</v>
      </c>
      <c r="T153" s="235"/>
      <c r="U153" s="240"/>
    </row>
    <row r="154" ht="15.0" customHeight="1">
      <c r="A154" s="282"/>
      <c r="B154" s="266" t="str">
        <f>IFERROR(INDEX('Fiche Lot'!B:B,MATCH(A154,'Fiche Lot'!A:A,0)),"")</f>
        <v>#ERROR!</v>
      </c>
      <c r="C154" s="227" t="str">
        <f>IFERROR(INDEX('Fiche Lot'!C:C,MATCH(A154,'Fiche Lot'!A:A,0)),"")</f>
        <v>#ERROR!</v>
      </c>
      <c r="D154" s="227" t="str">
        <f>IFERROR(INDEX('Fiche Lot'!D:D,MATCH(A154,'Fiche Lot'!A:A,0)),"")</f>
        <v>#ERROR!</v>
      </c>
      <c r="E154" s="227" t="str">
        <f>IFERROR(INDEX('Fiche Lot'!E:E,MATCH(A154,'Fiche Lot'!A:A,0)),"")</f>
        <v>#ERROR!</v>
      </c>
      <c r="F154" s="227"/>
      <c r="G154" s="227" t="str">
        <f>IFERROR(INDEX('Fiche Lot'!H:H,MATCH(A154,'Fiche Lot'!A:A,0)),"")</f>
        <v>#ERROR!</v>
      </c>
      <c r="H154" s="227"/>
      <c r="I154" s="227"/>
      <c r="J154" s="230" t="str">
        <f>IFERROR(H154/G154,"")</f>
        <v>#ERROR!</v>
      </c>
      <c r="K154" s="281"/>
      <c r="L154" s="281"/>
      <c r="M154" s="281"/>
      <c r="N154" s="281" t="str">
        <f>IFERROR(K154-M154,"")</f>
        <v>#ERROR!</v>
      </c>
      <c r="O154" s="230" t="str">
        <f>IFERROR(N154/K154,"")</f>
        <v>#ERROR!</v>
      </c>
      <c r="P154" s="227" t="str">
        <f>IFERROR(INDEX('Fiche Lot'!J:J,MATCH(A154,'Fiche Lot'!A:A,0)),"")</f>
        <v>#ERROR!</v>
      </c>
      <c r="Q154" s="266" t="str">
        <f>IFERROR(INDEX('Fiche Lot'!L:L,MATCH(A154,'Fiche Lot'!A:A,0)),"")</f>
        <v>#ERROR!</v>
      </c>
      <c r="R154" s="227" t="str">
        <f>IFERROR(INDEX('Fiche Lot'!M:M,MATCH(A154,'Fiche Lot'!A:A,0)),"")</f>
        <v>#ERROR!</v>
      </c>
      <c r="S154" s="227" t="str">
        <f>IFERROR(INDEX('Fiche Lot'!G:G,MATCH(A154,'Fiche Lot'!A:A,0)),"")</f>
        <v>#ERROR!</v>
      </c>
      <c r="T154" s="227"/>
      <c r="U154" s="233"/>
    </row>
    <row r="155" ht="15.0" customHeight="1">
      <c r="A155" s="282"/>
      <c r="B155" s="270" t="str">
        <f>IFERROR(INDEX('Fiche Lot'!B:B,MATCH(A155,'Fiche Lot'!A:A,0)),"")</f>
        <v>#ERROR!</v>
      </c>
      <c r="C155" s="235" t="str">
        <f>IFERROR(INDEX('Fiche Lot'!C:C,MATCH(A155,'Fiche Lot'!A:A,0)),"")</f>
        <v>#ERROR!</v>
      </c>
      <c r="D155" s="235" t="str">
        <f>IFERROR(INDEX('Fiche Lot'!D:D,MATCH(A155,'Fiche Lot'!A:A,0)),"")</f>
        <v>#ERROR!</v>
      </c>
      <c r="E155" s="235" t="str">
        <f>IFERROR(INDEX('Fiche Lot'!E:E,MATCH(A155,'Fiche Lot'!A:A,0)),"")</f>
        <v>#ERROR!</v>
      </c>
      <c r="F155" s="235"/>
      <c r="G155" s="235" t="str">
        <f>IFERROR(INDEX('Fiche Lot'!H:H,MATCH(A155,'Fiche Lot'!A:A,0)),"")</f>
        <v>#ERROR!</v>
      </c>
      <c r="H155" s="235"/>
      <c r="I155" s="235"/>
      <c r="J155" s="237" t="str">
        <f>IFERROR(H155/G155,"")</f>
        <v>#ERROR!</v>
      </c>
      <c r="K155" s="283"/>
      <c r="L155" s="283"/>
      <c r="M155" s="283"/>
      <c r="N155" s="283" t="str">
        <f>IFERROR(K155-M155,"")</f>
        <v>#ERROR!</v>
      </c>
      <c r="O155" s="237" t="str">
        <f>IFERROR(N155/K155,"")</f>
        <v>#ERROR!</v>
      </c>
      <c r="P155" s="235" t="str">
        <f>IFERROR(INDEX('Fiche Lot'!J:J,MATCH(A155,'Fiche Lot'!A:A,0)),"")</f>
        <v>#ERROR!</v>
      </c>
      <c r="Q155" s="270" t="str">
        <f>IFERROR(INDEX('Fiche Lot'!L:L,MATCH(A155,'Fiche Lot'!A:A,0)),"")</f>
        <v>#ERROR!</v>
      </c>
      <c r="R155" s="235" t="str">
        <f>IFERROR(INDEX('Fiche Lot'!M:M,MATCH(A155,'Fiche Lot'!A:A,0)),"")</f>
        <v>#ERROR!</v>
      </c>
      <c r="S155" s="235" t="str">
        <f>IFERROR(INDEX('Fiche Lot'!G:G,MATCH(A155,'Fiche Lot'!A:A,0)),"")</f>
        <v>#ERROR!</v>
      </c>
      <c r="T155" s="235"/>
      <c r="U155" s="240"/>
    </row>
    <row r="156" ht="15.0" customHeight="1">
      <c r="A156" s="282"/>
      <c r="B156" s="266" t="str">
        <f>IFERROR(INDEX('Fiche Lot'!B:B,MATCH(A156,'Fiche Lot'!A:A,0)),"")</f>
        <v>#ERROR!</v>
      </c>
      <c r="C156" s="227" t="str">
        <f>IFERROR(INDEX('Fiche Lot'!C:C,MATCH(A156,'Fiche Lot'!A:A,0)),"")</f>
        <v>#ERROR!</v>
      </c>
      <c r="D156" s="227" t="str">
        <f>IFERROR(INDEX('Fiche Lot'!D:D,MATCH(A156,'Fiche Lot'!A:A,0)),"")</f>
        <v>#ERROR!</v>
      </c>
      <c r="E156" s="227" t="str">
        <f>IFERROR(INDEX('Fiche Lot'!E:E,MATCH(A156,'Fiche Lot'!A:A,0)),"")</f>
        <v>#ERROR!</v>
      </c>
      <c r="F156" s="227"/>
      <c r="G156" s="227" t="str">
        <f>IFERROR(INDEX('Fiche Lot'!H:H,MATCH(A156,'Fiche Lot'!A:A,0)),"")</f>
        <v>#ERROR!</v>
      </c>
      <c r="H156" s="227"/>
      <c r="I156" s="227"/>
      <c r="J156" s="230" t="str">
        <f>IFERROR(H156/G156,"")</f>
        <v>#ERROR!</v>
      </c>
      <c r="K156" s="281"/>
      <c r="L156" s="281"/>
      <c r="M156" s="281"/>
      <c r="N156" s="281" t="str">
        <f>IFERROR(K156-M156,"")</f>
        <v>#ERROR!</v>
      </c>
      <c r="O156" s="230" t="str">
        <f>IFERROR(N156/K156,"")</f>
        <v>#ERROR!</v>
      </c>
      <c r="P156" s="227" t="str">
        <f>IFERROR(INDEX('Fiche Lot'!J:J,MATCH(A156,'Fiche Lot'!A:A,0)),"")</f>
        <v>#ERROR!</v>
      </c>
      <c r="Q156" s="266" t="str">
        <f>IFERROR(INDEX('Fiche Lot'!L:L,MATCH(A156,'Fiche Lot'!A:A,0)),"")</f>
        <v>#ERROR!</v>
      </c>
      <c r="R156" s="227" t="str">
        <f>IFERROR(INDEX('Fiche Lot'!M:M,MATCH(A156,'Fiche Lot'!A:A,0)),"")</f>
        <v>#ERROR!</v>
      </c>
      <c r="S156" s="227" t="str">
        <f>IFERROR(INDEX('Fiche Lot'!G:G,MATCH(A156,'Fiche Lot'!A:A,0)),"")</f>
        <v>#ERROR!</v>
      </c>
      <c r="T156" s="227"/>
      <c r="U156" s="233"/>
    </row>
    <row r="157" ht="15.0" customHeight="1">
      <c r="A157" s="282"/>
      <c r="B157" s="270" t="str">
        <f>IFERROR(INDEX('Fiche Lot'!B:B,MATCH(A157,'Fiche Lot'!A:A,0)),"")</f>
        <v>#ERROR!</v>
      </c>
      <c r="C157" s="235" t="str">
        <f>IFERROR(INDEX('Fiche Lot'!C:C,MATCH(A157,'Fiche Lot'!A:A,0)),"")</f>
        <v>#ERROR!</v>
      </c>
      <c r="D157" s="235" t="str">
        <f>IFERROR(INDEX('Fiche Lot'!D:D,MATCH(A157,'Fiche Lot'!A:A,0)),"")</f>
        <v>#ERROR!</v>
      </c>
      <c r="E157" s="235" t="str">
        <f>IFERROR(INDEX('Fiche Lot'!E:E,MATCH(A157,'Fiche Lot'!A:A,0)),"")</f>
        <v>#ERROR!</v>
      </c>
      <c r="F157" s="235"/>
      <c r="G157" s="235" t="str">
        <f>IFERROR(INDEX('Fiche Lot'!H:H,MATCH(A157,'Fiche Lot'!A:A,0)),"")</f>
        <v>#ERROR!</v>
      </c>
      <c r="H157" s="235"/>
      <c r="I157" s="235"/>
      <c r="J157" s="237" t="str">
        <f>IFERROR(H157/G157,"")</f>
        <v>#ERROR!</v>
      </c>
      <c r="K157" s="283"/>
      <c r="L157" s="283"/>
      <c r="M157" s="283"/>
      <c r="N157" s="283" t="str">
        <f>IFERROR(K157-M157,"")</f>
        <v>#ERROR!</v>
      </c>
      <c r="O157" s="237" t="str">
        <f>IFERROR(N157/K157,"")</f>
        <v>#ERROR!</v>
      </c>
      <c r="P157" s="235" t="str">
        <f>IFERROR(INDEX('Fiche Lot'!J:J,MATCH(A157,'Fiche Lot'!A:A,0)),"")</f>
        <v>#ERROR!</v>
      </c>
      <c r="Q157" s="270" t="str">
        <f>IFERROR(INDEX('Fiche Lot'!L:L,MATCH(A157,'Fiche Lot'!A:A,0)),"")</f>
        <v>#ERROR!</v>
      </c>
      <c r="R157" s="235" t="str">
        <f>IFERROR(INDEX('Fiche Lot'!M:M,MATCH(A157,'Fiche Lot'!A:A,0)),"")</f>
        <v>#ERROR!</v>
      </c>
      <c r="S157" s="235" t="str">
        <f>IFERROR(INDEX('Fiche Lot'!G:G,MATCH(A157,'Fiche Lot'!A:A,0)),"")</f>
        <v>#ERROR!</v>
      </c>
      <c r="T157" s="235"/>
      <c r="U157" s="240"/>
    </row>
    <row r="158" ht="15.0" customHeight="1">
      <c r="A158" s="282"/>
      <c r="B158" s="266" t="str">
        <f>IFERROR(INDEX('Fiche Lot'!B:B,MATCH(A158,'Fiche Lot'!A:A,0)),"")</f>
        <v>#ERROR!</v>
      </c>
      <c r="C158" s="227" t="str">
        <f>IFERROR(INDEX('Fiche Lot'!C:C,MATCH(A158,'Fiche Lot'!A:A,0)),"")</f>
        <v>#ERROR!</v>
      </c>
      <c r="D158" s="227" t="str">
        <f>IFERROR(INDEX('Fiche Lot'!D:D,MATCH(A158,'Fiche Lot'!A:A,0)),"")</f>
        <v>#ERROR!</v>
      </c>
      <c r="E158" s="227" t="str">
        <f>IFERROR(INDEX('Fiche Lot'!E:E,MATCH(A158,'Fiche Lot'!A:A,0)),"")</f>
        <v>#ERROR!</v>
      </c>
      <c r="F158" s="227"/>
      <c r="G158" s="227" t="str">
        <f>IFERROR(INDEX('Fiche Lot'!H:H,MATCH(A158,'Fiche Lot'!A:A,0)),"")</f>
        <v>#ERROR!</v>
      </c>
      <c r="H158" s="227"/>
      <c r="I158" s="227"/>
      <c r="J158" s="230" t="str">
        <f>IFERROR(H158/G158,"")</f>
        <v>#ERROR!</v>
      </c>
      <c r="K158" s="281"/>
      <c r="L158" s="281"/>
      <c r="M158" s="281"/>
      <c r="N158" s="281" t="str">
        <f>IFERROR(K158-M158,"")</f>
        <v>#ERROR!</v>
      </c>
      <c r="O158" s="230" t="str">
        <f>IFERROR(N158/K158,"")</f>
        <v>#ERROR!</v>
      </c>
      <c r="P158" s="227" t="str">
        <f>IFERROR(INDEX('Fiche Lot'!J:J,MATCH(A158,'Fiche Lot'!A:A,0)),"")</f>
        <v>#ERROR!</v>
      </c>
      <c r="Q158" s="266" t="str">
        <f>IFERROR(INDEX('Fiche Lot'!L:L,MATCH(A158,'Fiche Lot'!A:A,0)),"")</f>
        <v>#ERROR!</v>
      </c>
      <c r="R158" s="227" t="str">
        <f>IFERROR(INDEX('Fiche Lot'!M:M,MATCH(A158,'Fiche Lot'!A:A,0)),"")</f>
        <v>#ERROR!</v>
      </c>
      <c r="S158" s="227" t="str">
        <f>IFERROR(INDEX('Fiche Lot'!G:G,MATCH(A158,'Fiche Lot'!A:A,0)),"")</f>
        <v>#ERROR!</v>
      </c>
      <c r="T158" s="227"/>
      <c r="U158" s="233"/>
    </row>
    <row r="159" ht="15.0" customHeight="1">
      <c r="A159" s="282"/>
      <c r="B159" s="270" t="str">
        <f>IFERROR(INDEX('Fiche Lot'!B:B,MATCH(A159,'Fiche Lot'!A:A,0)),"")</f>
        <v>#ERROR!</v>
      </c>
      <c r="C159" s="235" t="str">
        <f>IFERROR(INDEX('Fiche Lot'!C:C,MATCH(A159,'Fiche Lot'!A:A,0)),"")</f>
        <v>#ERROR!</v>
      </c>
      <c r="D159" s="235" t="str">
        <f>IFERROR(INDEX('Fiche Lot'!D:D,MATCH(A159,'Fiche Lot'!A:A,0)),"")</f>
        <v>#ERROR!</v>
      </c>
      <c r="E159" s="235" t="str">
        <f>IFERROR(INDEX('Fiche Lot'!E:E,MATCH(A159,'Fiche Lot'!A:A,0)),"")</f>
        <v>#ERROR!</v>
      </c>
      <c r="F159" s="235"/>
      <c r="G159" s="235" t="str">
        <f>IFERROR(INDEX('Fiche Lot'!H:H,MATCH(A159,'Fiche Lot'!A:A,0)),"")</f>
        <v>#ERROR!</v>
      </c>
      <c r="H159" s="235"/>
      <c r="I159" s="235"/>
      <c r="J159" s="237" t="str">
        <f>IFERROR(H159/G159,"")</f>
        <v>#ERROR!</v>
      </c>
      <c r="K159" s="283"/>
      <c r="L159" s="283"/>
      <c r="M159" s="283"/>
      <c r="N159" s="283" t="str">
        <f>IFERROR(K159-M159,"")</f>
        <v>#ERROR!</v>
      </c>
      <c r="O159" s="237" t="str">
        <f>IFERROR(N159/K159,"")</f>
        <v>#ERROR!</v>
      </c>
      <c r="P159" s="235" t="str">
        <f>IFERROR(INDEX('Fiche Lot'!J:J,MATCH(A159,'Fiche Lot'!A:A,0)),"")</f>
        <v>#ERROR!</v>
      </c>
      <c r="Q159" s="270" t="str">
        <f>IFERROR(INDEX('Fiche Lot'!L:L,MATCH(A159,'Fiche Lot'!A:A,0)),"")</f>
        <v>#ERROR!</v>
      </c>
      <c r="R159" s="235" t="str">
        <f>IFERROR(INDEX('Fiche Lot'!M:M,MATCH(A159,'Fiche Lot'!A:A,0)),"")</f>
        <v>#ERROR!</v>
      </c>
      <c r="S159" s="235" t="str">
        <f>IFERROR(INDEX('Fiche Lot'!G:G,MATCH(A159,'Fiche Lot'!A:A,0)),"")</f>
        <v>#ERROR!</v>
      </c>
      <c r="T159" s="235"/>
      <c r="U159" s="240"/>
    </row>
    <row r="160" ht="15.0" customHeight="1">
      <c r="A160" s="282"/>
      <c r="B160" s="266" t="str">
        <f>IFERROR(INDEX('Fiche Lot'!B:B,MATCH(A160,'Fiche Lot'!A:A,0)),"")</f>
        <v>#ERROR!</v>
      </c>
      <c r="C160" s="227" t="str">
        <f>IFERROR(INDEX('Fiche Lot'!C:C,MATCH(A160,'Fiche Lot'!A:A,0)),"")</f>
        <v>#ERROR!</v>
      </c>
      <c r="D160" s="227" t="str">
        <f>IFERROR(INDEX('Fiche Lot'!D:D,MATCH(A160,'Fiche Lot'!A:A,0)),"")</f>
        <v>#ERROR!</v>
      </c>
      <c r="E160" s="227" t="str">
        <f>IFERROR(INDEX('Fiche Lot'!E:E,MATCH(A160,'Fiche Lot'!A:A,0)),"")</f>
        <v>#ERROR!</v>
      </c>
      <c r="F160" s="227"/>
      <c r="G160" s="227" t="str">
        <f>IFERROR(INDEX('Fiche Lot'!H:H,MATCH(A160,'Fiche Lot'!A:A,0)),"")</f>
        <v>#ERROR!</v>
      </c>
      <c r="H160" s="227"/>
      <c r="I160" s="227"/>
      <c r="J160" s="230" t="str">
        <f>IFERROR(H160/G160,"")</f>
        <v>#ERROR!</v>
      </c>
      <c r="K160" s="281"/>
      <c r="L160" s="281"/>
      <c r="M160" s="281"/>
      <c r="N160" s="281" t="str">
        <f>IFERROR(K160-M160,"")</f>
        <v>#ERROR!</v>
      </c>
      <c r="O160" s="230" t="str">
        <f>IFERROR(N160/K160,"")</f>
        <v>#ERROR!</v>
      </c>
      <c r="P160" s="227" t="str">
        <f>IFERROR(INDEX('Fiche Lot'!J:J,MATCH(A160,'Fiche Lot'!A:A,0)),"")</f>
        <v>#ERROR!</v>
      </c>
      <c r="Q160" s="266" t="str">
        <f>IFERROR(INDEX('Fiche Lot'!L:L,MATCH(A160,'Fiche Lot'!A:A,0)),"")</f>
        <v>#ERROR!</v>
      </c>
      <c r="R160" s="227" t="str">
        <f>IFERROR(INDEX('Fiche Lot'!M:M,MATCH(A160,'Fiche Lot'!A:A,0)),"")</f>
        <v>#ERROR!</v>
      </c>
      <c r="S160" s="227" t="str">
        <f>IFERROR(INDEX('Fiche Lot'!G:G,MATCH(A160,'Fiche Lot'!A:A,0)),"")</f>
        <v>#ERROR!</v>
      </c>
      <c r="T160" s="227"/>
      <c r="U160" s="233"/>
    </row>
    <row r="161" ht="15.0" customHeight="1">
      <c r="A161" s="282"/>
      <c r="B161" s="270" t="str">
        <f>IFERROR(INDEX('Fiche Lot'!B:B,MATCH(A161,'Fiche Lot'!A:A,0)),"")</f>
        <v>#ERROR!</v>
      </c>
      <c r="C161" s="235" t="str">
        <f>IFERROR(INDEX('Fiche Lot'!C:C,MATCH(A161,'Fiche Lot'!A:A,0)),"")</f>
        <v>#ERROR!</v>
      </c>
      <c r="D161" s="235" t="str">
        <f>IFERROR(INDEX('Fiche Lot'!D:D,MATCH(A161,'Fiche Lot'!A:A,0)),"")</f>
        <v>#ERROR!</v>
      </c>
      <c r="E161" s="235" t="str">
        <f>IFERROR(INDEX('Fiche Lot'!E:E,MATCH(A161,'Fiche Lot'!A:A,0)),"")</f>
        <v>#ERROR!</v>
      </c>
      <c r="F161" s="235"/>
      <c r="G161" s="235" t="str">
        <f>IFERROR(INDEX('Fiche Lot'!H:H,MATCH(A161,'Fiche Lot'!A:A,0)),"")</f>
        <v>#ERROR!</v>
      </c>
      <c r="H161" s="235"/>
      <c r="I161" s="235"/>
      <c r="J161" s="237" t="str">
        <f>IFERROR(H161/G161,"")</f>
        <v>#ERROR!</v>
      </c>
      <c r="K161" s="283"/>
      <c r="L161" s="283"/>
      <c r="M161" s="283"/>
      <c r="N161" s="283" t="str">
        <f>IFERROR(K161-M161,"")</f>
        <v>#ERROR!</v>
      </c>
      <c r="O161" s="237" t="str">
        <f>IFERROR(N161/K161,"")</f>
        <v>#ERROR!</v>
      </c>
      <c r="P161" s="235" t="str">
        <f>IFERROR(INDEX('Fiche Lot'!J:J,MATCH(A161,'Fiche Lot'!A:A,0)),"")</f>
        <v>#ERROR!</v>
      </c>
      <c r="Q161" s="270" t="str">
        <f>IFERROR(INDEX('Fiche Lot'!L:L,MATCH(A161,'Fiche Lot'!A:A,0)),"")</f>
        <v>#ERROR!</v>
      </c>
      <c r="R161" s="235" t="str">
        <f>IFERROR(INDEX('Fiche Lot'!M:M,MATCH(A161,'Fiche Lot'!A:A,0)),"")</f>
        <v>#ERROR!</v>
      </c>
      <c r="S161" s="235" t="str">
        <f>IFERROR(INDEX('Fiche Lot'!G:G,MATCH(A161,'Fiche Lot'!A:A,0)),"")</f>
        <v>#ERROR!</v>
      </c>
      <c r="T161" s="235"/>
      <c r="U161" s="240"/>
    </row>
    <row r="162" ht="15.0" customHeight="1">
      <c r="A162" s="282"/>
      <c r="B162" s="266" t="str">
        <f>IFERROR(INDEX('Fiche Lot'!B:B,MATCH(A162,'Fiche Lot'!A:A,0)),"")</f>
        <v>#ERROR!</v>
      </c>
      <c r="C162" s="227" t="str">
        <f>IFERROR(INDEX('Fiche Lot'!C:C,MATCH(A162,'Fiche Lot'!A:A,0)),"")</f>
        <v>#ERROR!</v>
      </c>
      <c r="D162" s="227" t="str">
        <f>IFERROR(INDEX('Fiche Lot'!D:D,MATCH(A162,'Fiche Lot'!A:A,0)),"")</f>
        <v>#ERROR!</v>
      </c>
      <c r="E162" s="227" t="str">
        <f>IFERROR(INDEX('Fiche Lot'!E:E,MATCH(A162,'Fiche Lot'!A:A,0)),"")</f>
        <v>#ERROR!</v>
      </c>
      <c r="F162" s="227"/>
      <c r="G162" s="227" t="str">
        <f>IFERROR(INDEX('Fiche Lot'!H:H,MATCH(A162,'Fiche Lot'!A:A,0)),"")</f>
        <v>#ERROR!</v>
      </c>
      <c r="H162" s="227"/>
      <c r="I162" s="227"/>
      <c r="J162" s="230" t="str">
        <f>IFERROR(H162/G162,"")</f>
        <v>#ERROR!</v>
      </c>
      <c r="K162" s="281"/>
      <c r="L162" s="281"/>
      <c r="M162" s="281"/>
      <c r="N162" s="281" t="str">
        <f>IFERROR(K162-M162,"")</f>
        <v>#ERROR!</v>
      </c>
      <c r="O162" s="230" t="str">
        <f>IFERROR(N162/K162,"")</f>
        <v>#ERROR!</v>
      </c>
      <c r="P162" s="227" t="str">
        <f>IFERROR(INDEX('Fiche Lot'!J:J,MATCH(A162,'Fiche Lot'!A:A,0)),"")</f>
        <v>#ERROR!</v>
      </c>
      <c r="Q162" s="266" t="str">
        <f>IFERROR(INDEX('Fiche Lot'!L:L,MATCH(A162,'Fiche Lot'!A:A,0)),"")</f>
        <v>#ERROR!</v>
      </c>
      <c r="R162" s="227" t="str">
        <f>IFERROR(INDEX('Fiche Lot'!M:M,MATCH(A162,'Fiche Lot'!A:A,0)),"")</f>
        <v>#ERROR!</v>
      </c>
      <c r="S162" s="227" t="str">
        <f>IFERROR(INDEX('Fiche Lot'!G:G,MATCH(A162,'Fiche Lot'!A:A,0)),"")</f>
        <v>#ERROR!</v>
      </c>
      <c r="T162" s="227"/>
      <c r="U162" s="233"/>
    </row>
    <row r="163" ht="15.0" customHeight="1">
      <c r="A163" s="282"/>
      <c r="B163" s="270" t="str">
        <f>IFERROR(INDEX('Fiche Lot'!B:B,MATCH(A163,'Fiche Lot'!A:A,0)),"")</f>
        <v>#ERROR!</v>
      </c>
      <c r="C163" s="235" t="str">
        <f>IFERROR(INDEX('Fiche Lot'!C:C,MATCH(A163,'Fiche Lot'!A:A,0)),"")</f>
        <v>#ERROR!</v>
      </c>
      <c r="D163" s="235" t="str">
        <f>IFERROR(INDEX('Fiche Lot'!D:D,MATCH(A163,'Fiche Lot'!A:A,0)),"")</f>
        <v>#ERROR!</v>
      </c>
      <c r="E163" s="235" t="str">
        <f>IFERROR(INDEX('Fiche Lot'!E:E,MATCH(A163,'Fiche Lot'!A:A,0)),"")</f>
        <v>#ERROR!</v>
      </c>
      <c r="F163" s="235"/>
      <c r="G163" s="235" t="str">
        <f>IFERROR(INDEX('Fiche Lot'!H:H,MATCH(A163,'Fiche Lot'!A:A,0)),"")</f>
        <v>#ERROR!</v>
      </c>
      <c r="H163" s="235"/>
      <c r="I163" s="235"/>
      <c r="J163" s="237" t="str">
        <f>IFERROR(H163/G163,"")</f>
        <v>#ERROR!</v>
      </c>
      <c r="K163" s="283"/>
      <c r="L163" s="283"/>
      <c r="M163" s="283"/>
      <c r="N163" s="283" t="str">
        <f>IFERROR(K163-M163,"")</f>
        <v>#ERROR!</v>
      </c>
      <c r="O163" s="237" t="str">
        <f>IFERROR(N163/K163,"")</f>
        <v>#ERROR!</v>
      </c>
      <c r="P163" s="235" t="str">
        <f>IFERROR(INDEX('Fiche Lot'!J:J,MATCH(A163,'Fiche Lot'!A:A,0)),"")</f>
        <v>#ERROR!</v>
      </c>
      <c r="Q163" s="270" t="str">
        <f>IFERROR(INDEX('Fiche Lot'!L:L,MATCH(A163,'Fiche Lot'!A:A,0)),"")</f>
        <v>#ERROR!</v>
      </c>
      <c r="R163" s="235" t="str">
        <f>IFERROR(INDEX('Fiche Lot'!M:M,MATCH(A163,'Fiche Lot'!A:A,0)),"")</f>
        <v>#ERROR!</v>
      </c>
      <c r="S163" s="235" t="str">
        <f>IFERROR(INDEX('Fiche Lot'!G:G,MATCH(A163,'Fiche Lot'!A:A,0)),"")</f>
        <v>#ERROR!</v>
      </c>
      <c r="T163" s="235"/>
      <c r="U163" s="240"/>
    </row>
    <row r="164" ht="15.0" customHeight="1">
      <c r="A164" s="282"/>
      <c r="B164" s="266" t="str">
        <f>IFERROR(INDEX('Fiche Lot'!B:B,MATCH(A164,'Fiche Lot'!A:A,0)),"")</f>
        <v>#ERROR!</v>
      </c>
      <c r="C164" s="227" t="str">
        <f>IFERROR(INDEX('Fiche Lot'!C:C,MATCH(A164,'Fiche Lot'!A:A,0)),"")</f>
        <v>#ERROR!</v>
      </c>
      <c r="D164" s="227" t="str">
        <f>IFERROR(INDEX('Fiche Lot'!D:D,MATCH(A164,'Fiche Lot'!A:A,0)),"")</f>
        <v>#ERROR!</v>
      </c>
      <c r="E164" s="227" t="str">
        <f>IFERROR(INDEX('Fiche Lot'!E:E,MATCH(A164,'Fiche Lot'!A:A,0)),"")</f>
        <v>#ERROR!</v>
      </c>
      <c r="F164" s="227"/>
      <c r="G164" s="227" t="str">
        <f>IFERROR(INDEX('Fiche Lot'!H:H,MATCH(A164,'Fiche Lot'!A:A,0)),"")</f>
        <v>#ERROR!</v>
      </c>
      <c r="H164" s="227"/>
      <c r="I164" s="227"/>
      <c r="J164" s="230" t="str">
        <f>IFERROR(H164/G164,"")</f>
        <v>#ERROR!</v>
      </c>
      <c r="K164" s="281"/>
      <c r="L164" s="281"/>
      <c r="M164" s="281"/>
      <c r="N164" s="281" t="str">
        <f>IFERROR(K164-M164,"")</f>
        <v>#ERROR!</v>
      </c>
      <c r="O164" s="230" t="str">
        <f>IFERROR(N164/K164,"")</f>
        <v>#ERROR!</v>
      </c>
      <c r="P164" s="227" t="str">
        <f>IFERROR(INDEX('Fiche Lot'!J:J,MATCH(A164,'Fiche Lot'!A:A,0)),"")</f>
        <v>#ERROR!</v>
      </c>
      <c r="Q164" s="266" t="str">
        <f>IFERROR(INDEX('Fiche Lot'!L:L,MATCH(A164,'Fiche Lot'!A:A,0)),"")</f>
        <v>#ERROR!</v>
      </c>
      <c r="R164" s="227" t="str">
        <f>IFERROR(INDEX('Fiche Lot'!M:M,MATCH(A164,'Fiche Lot'!A:A,0)),"")</f>
        <v>#ERROR!</v>
      </c>
      <c r="S164" s="227" t="str">
        <f>IFERROR(INDEX('Fiche Lot'!G:G,MATCH(A164,'Fiche Lot'!A:A,0)),"")</f>
        <v>#ERROR!</v>
      </c>
      <c r="T164" s="227"/>
      <c r="U164" s="233"/>
    </row>
    <row r="165" ht="15.0" customHeight="1">
      <c r="A165" s="282"/>
      <c r="B165" s="270" t="str">
        <f>IFERROR(INDEX('Fiche Lot'!B:B,MATCH(A165,'Fiche Lot'!A:A,0)),"")</f>
        <v>#ERROR!</v>
      </c>
      <c r="C165" s="235" t="str">
        <f>IFERROR(INDEX('Fiche Lot'!C:C,MATCH(A165,'Fiche Lot'!A:A,0)),"")</f>
        <v>#ERROR!</v>
      </c>
      <c r="D165" s="235" t="str">
        <f>IFERROR(INDEX('Fiche Lot'!D:D,MATCH(A165,'Fiche Lot'!A:A,0)),"")</f>
        <v>#ERROR!</v>
      </c>
      <c r="E165" s="235" t="str">
        <f>IFERROR(INDEX('Fiche Lot'!E:E,MATCH(A165,'Fiche Lot'!A:A,0)),"")</f>
        <v>#ERROR!</v>
      </c>
      <c r="F165" s="235"/>
      <c r="G165" s="235" t="str">
        <f>IFERROR(INDEX('Fiche Lot'!H:H,MATCH(A165,'Fiche Lot'!A:A,0)),"")</f>
        <v>#ERROR!</v>
      </c>
      <c r="H165" s="235"/>
      <c r="I165" s="235"/>
      <c r="J165" s="237" t="str">
        <f>IFERROR(H165/G165,"")</f>
        <v>#ERROR!</v>
      </c>
      <c r="K165" s="283"/>
      <c r="L165" s="283"/>
      <c r="M165" s="283"/>
      <c r="N165" s="283" t="str">
        <f>IFERROR(K165-M165,"")</f>
        <v>#ERROR!</v>
      </c>
      <c r="O165" s="237" t="str">
        <f>IFERROR(N165/K165,"")</f>
        <v>#ERROR!</v>
      </c>
      <c r="P165" s="235" t="str">
        <f>IFERROR(INDEX('Fiche Lot'!J:J,MATCH(A165,'Fiche Lot'!A:A,0)),"")</f>
        <v>#ERROR!</v>
      </c>
      <c r="Q165" s="270" t="str">
        <f>IFERROR(INDEX('Fiche Lot'!L:L,MATCH(A165,'Fiche Lot'!A:A,0)),"")</f>
        <v>#ERROR!</v>
      </c>
      <c r="R165" s="235" t="str">
        <f>IFERROR(INDEX('Fiche Lot'!M:M,MATCH(A165,'Fiche Lot'!A:A,0)),"")</f>
        <v>#ERROR!</v>
      </c>
      <c r="S165" s="235" t="str">
        <f>IFERROR(INDEX('Fiche Lot'!G:G,MATCH(A165,'Fiche Lot'!A:A,0)),"")</f>
        <v>#ERROR!</v>
      </c>
      <c r="T165" s="235"/>
      <c r="U165" s="240"/>
    </row>
    <row r="166" ht="15.0" customHeight="1">
      <c r="A166" s="282"/>
      <c r="B166" s="266" t="str">
        <f>IFERROR(INDEX('Fiche Lot'!B:B,MATCH(A166,'Fiche Lot'!A:A,0)),"")</f>
        <v>#ERROR!</v>
      </c>
      <c r="C166" s="227" t="str">
        <f>IFERROR(INDEX('Fiche Lot'!C:C,MATCH(A166,'Fiche Lot'!A:A,0)),"")</f>
        <v>#ERROR!</v>
      </c>
      <c r="D166" s="227" t="str">
        <f>IFERROR(INDEX('Fiche Lot'!D:D,MATCH(A166,'Fiche Lot'!A:A,0)),"")</f>
        <v>#ERROR!</v>
      </c>
      <c r="E166" s="227" t="str">
        <f>IFERROR(INDEX('Fiche Lot'!E:E,MATCH(A166,'Fiche Lot'!A:A,0)),"")</f>
        <v>#ERROR!</v>
      </c>
      <c r="F166" s="227"/>
      <c r="G166" s="227" t="str">
        <f>IFERROR(INDEX('Fiche Lot'!H:H,MATCH(A166,'Fiche Lot'!A:A,0)),"")</f>
        <v>#ERROR!</v>
      </c>
      <c r="H166" s="227"/>
      <c r="I166" s="227"/>
      <c r="J166" s="230" t="str">
        <f>IFERROR(H166/G166,"")</f>
        <v>#ERROR!</v>
      </c>
      <c r="K166" s="281"/>
      <c r="L166" s="281"/>
      <c r="M166" s="281"/>
      <c r="N166" s="281" t="str">
        <f>IFERROR(K166-M166,"")</f>
        <v>#ERROR!</v>
      </c>
      <c r="O166" s="230" t="str">
        <f>IFERROR(N166/K166,"")</f>
        <v>#ERROR!</v>
      </c>
      <c r="P166" s="227" t="str">
        <f>IFERROR(INDEX('Fiche Lot'!J:J,MATCH(A166,'Fiche Lot'!A:A,0)),"")</f>
        <v>#ERROR!</v>
      </c>
      <c r="Q166" s="266" t="str">
        <f>IFERROR(INDEX('Fiche Lot'!L:L,MATCH(A166,'Fiche Lot'!A:A,0)),"")</f>
        <v>#ERROR!</v>
      </c>
      <c r="R166" s="227" t="str">
        <f>IFERROR(INDEX('Fiche Lot'!M:M,MATCH(A166,'Fiche Lot'!A:A,0)),"")</f>
        <v>#ERROR!</v>
      </c>
      <c r="S166" s="227" t="str">
        <f>IFERROR(INDEX('Fiche Lot'!G:G,MATCH(A166,'Fiche Lot'!A:A,0)),"")</f>
        <v>#ERROR!</v>
      </c>
      <c r="T166" s="227"/>
      <c r="U166" s="233"/>
    </row>
    <row r="167" ht="15.0" customHeight="1">
      <c r="A167" s="282"/>
      <c r="B167" s="270" t="str">
        <f>IFERROR(INDEX('Fiche Lot'!B:B,MATCH(A167,'Fiche Lot'!A:A,0)),"")</f>
        <v>#ERROR!</v>
      </c>
      <c r="C167" s="235" t="str">
        <f>IFERROR(INDEX('Fiche Lot'!C:C,MATCH(A167,'Fiche Lot'!A:A,0)),"")</f>
        <v>#ERROR!</v>
      </c>
      <c r="D167" s="235" t="str">
        <f>IFERROR(INDEX('Fiche Lot'!D:D,MATCH(A167,'Fiche Lot'!A:A,0)),"")</f>
        <v>#ERROR!</v>
      </c>
      <c r="E167" s="235" t="str">
        <f>IFERROR(INDEX('Fiche Lot'!E:E,MATCH(A167,'Fiche Lot'!A:A,0)),"")</f>
        <v>#ERROR!</v>
      </c>
      <c r="F167" s="235"/>
      <c r="G167" s="235" t="str">
        <f>IFERROR(INDEX('Fiche Lot'!H:H,MATCH(A167,'Fiche Lot'!A:A,0)),"")</f>
        <v>#ERROR!</v>
      </c>
      <c r="H167" s="235"/>
      <c r="I167" s="235"/>
      <c r="J167" s="237" t="str">
        <f>IFERROR(H167/G167,"")</f>
        <v>#ERROR!</v>
      </c>
      <c r="K167" s="283"/>
      <c r="L167" s="283"/>
      <c r="M167" s="283"/>
      <c r="N167" s="283" t="str">
        <f>IFERROR(K167-M167,"")</f>
        <v>#ERROR!</v>
      </c>
      <c r="O167" s="237" t="str">
        <f>IFERROR(N167/K167,"")</f>
        <v>#ERROR!</v>
      </c>
      <c r="P167" s="235" t="str">
        <f>IFERROR(INDEX('Fiche Lot'!J:J,MATCH(A167,'Fiche Lot'!A:A,0)),"")</f>
        <v>#ERROR!</v>
      </c>
      <c r="Q167" s="270" t="str">
        <f>IFERROR(INDEX('Fiche Lot'!L:L,MATCH(A167,'Fiche Lot'!A:A,0)),"")</f>
        <v>#ERROR!</v>
      </c>
      <c r="R167" s="235" t="str">
        <f>IFERROR(INDEX('Fiche Lot'!M:M,MATCH(A167,'Fiche Lot'!A:A,0)),"")</f>
        <v>#ERROR!</v>
      </c>
      <c r="S167" s="235" t="str">
        <f>IFERROR(INDEX('Fiche Lot'!G:G,MATCH(A167,'Fiche Lot'!A:A,0)),"")</f>
        <v>#ERROR!</v>
      </c>
      <c r="T167" s="235"/>
      <c r="U167" s="240"/>
    </row>
    <row r="168" ht="15.0" customHeight="1">
      <c r="A168" s="282"/>
      <c r="B168" s="266" t="str">
        <f>IFERROR(INDEX('Fiche Lot'!B:B,MATCH(A168,'Fiche Lot'!A:A,0)),"")</f>
        <v>#ERROR!</v>
      </c>
      <c r="C168" s="227" t="str">
        <f>IFERROR(INDEX('Fiche Lot'!C:C,MATCH(A168,'Fiche Lot'!A:A,0)),"")</f>
        <v>#ERROR!</v>
      </c>
      <c r="D168" s="227" t="str">
        <f>IFERROR(INDEX('Fiche Lot'!D:D,MATCH(A168,'Fiche Lot'!A:A,0)),"")</f>
        <v>#ERROR!</v>
      </c>
      <c r="E168" s="227" t="str">
        <f>IFERROR(INDEX('Fiche Lot'!E:E,MATCH(A168,'Fiche Lot'!A:A,0)),"")</f>
        <v>#ERROR!</v>
      </c>
      <c r="F168" s="227"/>
      <c r="G168" s="227" t="str">
        <f>IFERROR(INDEX('Fiche Lot'!H:H,MATCH(A168,'Fiche Lot'!A:A,0)),"")</f>
        <v>#ERROR!</v>
      </c>
      <c r="H168" s="227"/>
      <c r="I168" s="227"/>
      <c r="J168" s="230" t="str">
        <f>IFERROR(H168/G168,"")</f>
        <v>#ERROR!</v>
      </c>
      <c r="K168" s="281"/>
      <c r="L168" s="281"/>
      <c r="M168" s="281"/>
      <c r="N168" s="281" t="str">
        <f>IFERROR(K168-M168,"")</f>
        <v>#ERROR!</v>
      </c>
      <c r="O168" s="230" t="str">
        <f>IFERROR(N168/K168,"")</f>
        <v>#ERROR!</v>
      </c>
      <c r="P168" s="227" t="str">
        <f>IFERROR(INDEX('Fiche Lot'!J:J,MATCH(A168,'Fiche Lot'!A:A,0)),"")</f>
        <v>#ERROR!</v>
      </c>
      <c r="Q168" s="266" t="str">
        <f>IFERROR(INDEX('Fiche Lot'!L:L,MATCH(A168,'Fiche Lot'!A:A,0)),"")</f>
        <v>#ERROR!</v>
      </c>
      <c r="R168" s="227" t="str">
        <f>IFERROR(INDEX('Fiche Lot'!M:M,MATCH(A168,'Fiche Lot'!A:A,0)),"")</f>
        <v>#ERROR!</v>
      </c>
      <c r="S168" s="227" t="str">
        <f>IFERROR(INDEX('Fiche Lot'!G:G,MATCH(A168,'Fiche Lot'!A:A,0)),"")</f>
        <v>#ERROR!</v>
      </c>
      <c r="T168" s="227"/>
      <c r="U168" s="233"/>
    </row>
    <row r="169" ht="15.0" customHeight="1">
      <c r="A169" s="282"/>
      <c r="B169" s="270" t="str">
        <f>IFERROR(INDEX('Fiche Lot'!B:B,MATCH(A169,'Fiche Lot'!A:A,0)),"")</f>
        <v>#ERROR!</v>
      </c>
      <c r="C169" s="235" t="str">
        <f>IFERROR(INDEX('Fiche Lot'!C:C,MATCH(A169,'Fiche Lot'!A:A,0)),"")</f>
        <v>#ERROR!</v>
      </c>
      <c r="D169" s="235" t="str">
        <f>IFERROR(INDEX('Fiche Lot'!D:D,MATCH(A169,'Fiche Lot'!A:A,0)),"")</f>
        <v>#ERROR!</v>
      </c>
      <c r="E169" s="235" t="str">
        <f>IFERROR(INDEX('Fiche Lot'!E:E,MATCH(A169,'Fiche Lot'!A:A,0)),"")</f>
        <v>#ERROR!</v>
      </c>
      <c r="F169" s="235"/>
      <c r="G169" s="235" t="str">
        <f>IFERROR(INDEX('Fiche Lot'!H:H,MATCH(A169,'Fiche Lot'!A:A,0)),"")</f>
        <v>#ERROR!</v>
      </c>
      <c r="H169" s="235"/>
      <c r="I169" s="235"/>
      <c r="J169" s="237" t="str">
        <f>IFERROR(H169/G169,"")</f>
        <v>#ERROR!</v>
      </c>
      <c r="K169" s="283"/>
      <c r="L169" s="283"/>
      <c r="M169" s="283"/>
      <c r="N169" s="283" t="str">
        <f>IFERROR(K169-M169,"")</f>
        <v>#ERROR!</v>
      </c>
      <c r="O169" s="237" t="str">
        <f>IFERROR(N169/K169,"")</f>
        <v>#ERROR!</v>
      </c>
      <c r="P169" s="235" t="str">
        <f>IFERROR(INDEX('Fiche Lot'!J:J,MATCH(A169,'Fiche Lot'!A:A,0)),"")</f>
        <v>#ERROR!</v>
      </c>
      <c r="Q169" s="270" t="str">
        <f>IFERROR(INDEX('Fiche Lot'!L:L,MATCH(A169,'Fiche Lot'!A:A,0)),"")</f>
        <v>#ERROR!</v>
      </c>
      <c r="R169" s="235" t="str">
        <f>IFERROR(INDEX('Fiche Lot'!M:M,MATCH(A169,'Fiche Lot'!A:A,0)),"")</f>
        <v>#ERROR!</v>
      </c>
      <c r="S169" s="235" t="str">
        <f>IFERROR(INDEX('Fiche Lot'!G:G,MATCH(A169,'Fiche Lot'!A:A,0)),"")</f>
        <v>#ERROR!</v>
      </c>
      <c r="T169" s="235"/>
      <c r="U169" s="240"/>
    </row>
    <row r="170" ht="15.0" customHeight="1">
      <c r="A170" s="282"/>
      <c r="B170" s="266" t="str">
        <f>IFERROR(INDEX('Fiche Lot'!B:B,MATCH(A170,'Fiche Lot'!A:A,0)),"")</f>
        <v>#ERROR!</v>
      </c>
      <c r="C170" s="227" t="str">
        <f>IFERROR(INDEX('Fiche Lot'!C:C,MATCH(A170,'Fiche Lot'!A:A,0)),"")</f>
        <v>#ERROR!</v>
      </c>
      <c r="D170" s="227" t="str">
        <f>IFERROR(INDEX('Fiche Lot'!D:D,MATCH(A170,'Fiche Lot'!A:A,0)),"")</f>
        <v>#ERROR!</v>
      </c>
      <c r="E170" s="227" t="str">
        <f>IFERROR(INDEX('Fiche Lot'!E:E,MATCH(A170,'Fiche Lot'!A:A,0)),"")</f>
        <v>#ERROR!</v>
      </c>
      <c r="F170" s="227"/>
      <c r="G170" s="227" t="str">
        <f>IFERROR(INDEX('Fiche Lot'!H:H,MATCH(A170,'Fiche Lot'!A:A,0)),"")</f>
        <v>#ERROR!</v>
      </c>
      <c r="H170" s="227"/>
      <c r="I170" s="227"/>
      <c r="J170" s="230" t="str">
        <f>IFERROR(H170/G170,"")</f>
        <v>#ERROR!</v>
      </c>
      <c r="K170" s="281"/>
      <c r="L170" s="281"/>
      <c r="M170" s="281"/>
      <c r="N170" s="281" t="str">
        <f>IFERROR(K170-M170,"")</f>
        <v>#ERROR!</v>
      </c>
      <c r="O170" s="230" t="str">
        <f>IFERROR(N170/K170,"")</f>
        <v>#ERROR!</v>
      </c>
      <c r="P170" s="227" t="str">
        <f>IFERROR(INDEX('Fiche Lot'!J:J,MATCH(A170,'Fiche Lot'!A:A,0)),"")</f>
        <v>#ERROR!</v>
      </c>
      <c r="Q170" s="266" t="str">
        <f>IFERROR(INDEX('Fiche Lot'!L:L,MATCH(A170,'Fiche Lot'!A:A,0)),"")</f>
        <v>#ERROR!</v>
      </c>
      <c r="R170" s="227" t="str">
        <f>IFERROR(INDEX('Fiche Lot'!M:M,MATCH(A170,'Fiche Lot'!A:A,0)),"")</f>
        <v>#ERROR!</v>
      </c>
      <c r="S170" s="227" t="str">
        <f>IFERROR(INDEX('Fiche Lot'!G:G,MATCH(A170,'Fiche Lot'!A:A,0)),"")</f>
        <v>#ERROR!</v>
      </c>
      <c r="T170" s="227"/>
      <c r="U170" s="233"/>
    </row>
    <row r="171" ht="15.0" customHeight="1">
      <c r="A171" s="282"/>
      <c r="B171" s="270" t="str">
        <f>IFERROR(INDEX('Fiche Lot'!B:B,MATCH(A171,'Fiche Lot'!A:A,0)),"")</f>
        <v>#ERROR!</v>
      </c>
      <c r="C171" s="235" t="str">
        <f>IFERROR(INDEX('Fiche Lot'!C:C,MATCH(A171,'Fiche Lot'!A:A,0)),"")</f>
        <v>#ERROR!</v>
      </c>
      <c r="D171" s="235" t="str">
        <f>IFERROR(INDEX('Fiche Lot'!D:D,MATCH(A171,'Fiche Lot'!A:A,0)),"")</f>
        <v>#ERROR!</v>
      </c>
      <c r="E171" s="235" t="str">
        <f>IFERROR(INDEX('Fiche Lot'!E:E,MATCH(A171,'Fiche Lot'!A:A,0)),"")</f>
        <v>#ERROR!</v>
      </c>
      <c r="F171" s="235"/>
      <c r="G171" s="235" t="str">
        <f>IFERROR(INDEX('Fiche Lot'!H:H,MATCH(A171,'Fiche Lot'!A:A,0)),"")</f>
        <v>#ERROR!</v>
      </c>
      <c r="H171" s="235"/>
      <c r="I171" s="235"/>
      <c r="J171" s="237" t="str">
        <f>IFERROR(H171/G171,"")</f>
        <v>#ERROR!</v>
      </c>
      <c r="K171" s="283"/>
      <c r="L171" s="283"/>
      <c r="M171" s="283"/>
      <c r="N171" s="283" t="str">
        <f>IFERROR(K171-M171,"")</f>
        <v>#ERROR!</v>
      </c>
      <c r="O171" s="237" t="str">
        <f>IFERROR(N171/K171,"")</f>
        <v>#ERROR!</v>
      </c>
      <c r="P171" s="235" t="str">
        <f>IFERROR(INDEX('Fiche Lot'!J:J,MATCH(A171,'Fiche Lot'!A:A,0)),"")</f>
        <v>#ERROR!</v>
      </c>
      <c r="Q171" s="270" t="str">
        <f>IFERROR(INDEX('Fiche Lot'!L:L,MATCH(A171,'Fiche Lot'!A:A,0)),"")</f>
        <v>#ERROR!</v>
      </c>
      <c r="R171" s="235" t="str">
        <f>IFERROR(INDEX('Fiche Lot'!M:M,MATCH(A171,'Fiche Lot'!A:A,0)),"")</f>
        <v>#ERROR!</v>
      </c>
      <c r="S171" s="235" t="str">
        <f>IFERROR(INDEX('Fiche Lot'!G:G,MATCH(A171,'Fiche Lot'!A:A,0)),"")</f>
        <v>#ERROR!</v>
      </c>
      <c r="T171" s="235"/>
      <c r="U171" s="240"/>
    </row>
    <row r="172" ht="15.0" customHeight="1">
      <c r="A172" s="282"/>
      <c r="B172" s="266" t="str">
        <f>IFERROR(INDEX('Fiche Lot'!B:B,MATCH(A172,'Fiche Lot'!A:A,0)),"")</f>
        <v>#ERROR!</v>
      </c>
      <c r="C172" s="227" t="str">
        <f>IFERROR(INDEX('Fiche Lot'!C:C,MATCH(A172,'Fiche Lot'!A:A,0)),"")</f>
        <v>#ERROR!</v>
      </c>
      <c r="D172" s="227" t="str">
        <f>IFERROR(INDEX('Fiche Lot'!D:D,MATCH(A172,'Fiche Lot'!A:A,0)),"")</f>
        <v>#ERROR!</v>
      </c>
      <c r="E172" s="227" t="str">
        <f>IFERROR(INDEX('Fiche Lot'!E:E,MATCH(A172,'Fiche Lot'!A:A,0)),"")</f>
        <v>#ERROR!</v>
      </c>
      <c r="F172" s="227"/>
      <c r="G172" s="227" t="str">
        <f>IFERROR(INDEX('Fiche Lot'!H:H,MATCH(A172,'Fiche Lot'!A:A,0)),"")</f>
        <v>#ERROR!</v>
      </c>
      <c r="H172" s="227"/>
      <c r="I172" s="227"/>
      <c r="J172" s="230" t="str">
        <f>IFERROR(H172/G172,"")</f>
        <v>#ERROR!</v>
      </c>
      <c r="K172" s="281"/>
      <c r="L172" s="281"/>
      <c r="M172" s="281"/>
      <c r="N172" s="281" t="str">
        <f>IFERROR(K172-M172,"")</f>
        <v>#ERROR!</v>
      </c>
      <c r="O172" s="230" t="str">
        <f>IFERROR(N172/K172,"")</f>
        <v>#ERROR!</v>
      </c>
      <c r="P172" s="227" t="str">
        <f>IFERROR(INDEX('Fiche Lot'!J:J,MATCH(A172,'Fiche Lot'!A:A,0)),"")</f>
        <v>#ERROR!</v>
      </c>
      <c r="Q172" s="266" t="str">
        <f>IFERROR(INDEX('Fiche Lot'!L:L,MATCH(A172,'Fiche Lot'!A:A,0)),"")</f>
        <v>#ERROR!</v>
      </c>
      <c r="R172" s="227" t="str">
        <f>IFERROR(INDEX('Fiche Lot'!M:M,MATCH(A172,'Fiche Lot'!A:A,0)),"")</f>
        <v>#ERROR!</v>
      </c>
      <c r="S172" s="227" t="str">
        <f>IFERROR(INDEX('Fiche Lot'!G:G,MATCH(A172,'Fiche Lot'!A:A,0)),"")</f>
        <v>#ERROR!</v>
      </c>
      <c r="T172" s="227"/>
      <c r="U172" s="233"/>
    </row>
    <row r="173" ht="15.0" customHeight="1">
      <c r="A173" s="282"/>
      <c r="B173" s="270" t="str">
        <f>IFERROR(INDEX('Fiche Lot'!B:B,MATCH(A173,'Fiche Lot'!A:A,0)),"")</f>
        <v>#ERROR!</v>
      </c>
      <c r="C173" s="235" t="str">
        <f>IFERROR(INDEX('Fiche Lot'!C:C,MATCH(A173,'Fiche Lot'!A:A,0)),"")</f>
        <v>#ERROR!</v>
      </c>
      <c r="D173" s="235" t="str">
        <f>IFERROR(INDEX('Fiche Lot'!D:D,MATCH(A173,'Fiche Lot'!A:A,0)),"")</f>
        <v>#ERROR!</v>
      </c>
      <c r="E173" s="235" t="str">
        <f>IFERROR(INDEX('Fiche Lot'!E:E,MATCH(A173,'Fiche Lot'!A:A,0)),"")</f>
        <v>#ERROR!</v>
      </c>
      <c r="F173" s="235"/>
      <c r="G173" s="235" t="str">
        <f>IFERROR(INDEX('Fiche Lot'!H:H,MATCH(A173,'Fiche Lot'!A:A,0)),"")</f>
        <v>#ERROR!</v>
      </c>
      <c r="H173" s="235"/>
      <c r="I173" s="235"/>
      <c r="J173" s="237" t="str">
        <f>IFERROR(H173/G173,"")</f>
        <v>#ERROR!</v>
      </c>
      <c r="K173" s="283"/>
      <c r="L173" s="283"/>
      <c r="M173" s="283"/>
      <c r="N173" s="283" t="str">
        <f>IFERROR(K173-M173,"")</f>
        <v>#ERROR!</v>
      </c>
      <c r="O173" s="237" t="str">
        <f>IFERROR(N173/K173,"")</f>
        <v>#ERROR!</v>
      </c>
      <c r="P173" s="235" t="str">
        <f>IFERROR(INDEX('Fiche Lot'!J:J,MATCH(A173,'Fiche Lot'!A:A,0)),"")</f>
        <v>#ERROR!</v>
      </c>
      <c r="Q173" s="270" t="str">
        <f>IFERROR(INDEX('Fiche Lot'!L:L,MATCH(A173,'Fiche Lot'!A:A,0)),"")</f>
        <v>#ERROR!</v>
      </c>
      <c r="R173" s="235" t="str">
        <f>IFERROR(INDEX('Fiche Lot'!M:M,MATCH(A173,'Fiche Lot'!A:A,0)),"")</f>
        <v>#ERROR!</v>
      </c>
      <c r="S173" s="235" t="str">
        <f>IFERROR(INDEX('Fiche Lot'!G:G,MATCH(A173,'Fiche Lot'!A:A,0)),"")</f>
        <v>#ERROR!</v>
      </c>
      <c r="T173" s="235"/>
      <c r="U173" s="240"/>
    </row>
    <row r="174" ht="15.0" customHeight="1">
      <c r="A174" s="282"/>
      <c r="B174" s="266" t="str">
        <f>IFERROR(INDEX('Fiche Lot'!B:B,MATCH(A174,'Fiche Lot'!A:A,0)),"")</f>
        <v>#ERROR!</v>
      </c>
      <c r="C174" s="227" t="str">
        <f>IFERROR(INDEX('Fiche Lot'!C:C,MATCH(A174,'Fiche Lot'!A:A,0)),"")</f>
        <v>#ERROR!</v>
      </c>
      <c r="D174" s="227" t="str">
        <f>IFERROR(INDEX('Fiche Lot'!D:D,MATCH(A174,'Fiche Lot'!A:A,0)),"")</f>
        <v>#ERROR!</v>
      </c>
      <c r="E174" s="227" t="str">
        <f>IFERROR(INDEX('Fiche Lot'!E:E,MATCH(A174,'Fiche Lot'!A:A,0)),"")</f>
        <v>#ERROR!</v>
      </c>
      <c r="F174" s="227"/>
      <c r="G174" s="227" t="str">
        <f>IFERROR(INDEX('Fiche Lot'!H:H,MATCH(A174,'Fiche Lot'!A:A,0)),"")</f>
        <v>#ERROR!</v>
      </c>
      <c r="H174" s="227"/>
      <c r="I174" s="227"/>
      <c r="J174" s="230" t="str">
        <f>IFERROR(H174/G174,"")</f>
        <v>#ERROR!</v>
      </c>
      <c r="K174" s="281"/>
      <c r="L174" s="281"/>
      <c r="M174" s="281"/>
      <c r="N174" s="281" t="str">
        <f>IFERROR(K174-M174,"")</f>
        <v>#ERROR!</v>
      </c>
      <c r="O174" s="230" t="str">
        <f>IFERROR(N174/K174,"")</f>
        <v>#ERROR!</v>
      </c>
      <c r="P174" s="227" t="str">
        <f>IFERROR(INDEX('Fiche Lot'!J:J,MATCH(A174,'Fiche Lot'!A:A,0)),"")</f>
        <v>#ERROR!</v>
      </c>
      <c r="Q174" s="266" t="str">
        <f>IFERROR(INDEX('Fiche Lot'!L:L,MATCH(A174,'Fiche Lot'!A:A,0)),"")</f>
        <v>#ERROR!</v>
      </c>
      <c r="R174" s="227" t="str">
        <f>IFERROR(INDEX('Fiche Lot'!M:M,MATCH(A174,'Fiche Lot'!A:A,0)),"")</f>
        <v>#ERROR!</v>
      </c>
      <c r="S174" s="227" t="str">
        <f>IFERROR(INDEX('Fiche Lot'!G:G,MATCH(A174,'Fiche Lot'!A:A,0)),"")</f>
        <v>#ERROR!</v>
      </c>
      <c r="T174" s="227"/>
      <c r="U174" s="233"/>
    </row>
    <row r="175" ht="15.0" customHeight="1">
      <c r="A175" s="282"/>
      <c r="B175" s="270" t="str">
        <f>IFERROR(INDEX('Fiche Lot'!B:B,MATCH(A175,'Fiche Lot'!A:A,0)),"")</f>
        <v>#ERROR!</v>
      </c>
      <c r="C175" s="235" t="str">
        <f>IFERROR(INDEX('Fiche Lot'!C:C,MATCH(A175,'Fiche Lot'!A:A,0)),"")</f>
        <v>#ERROR!</v>
      </c>
      <c r="D175" s="235" t="str">
        <f>IFERROR(INDEX('Fiche Lot'!D:D,MATCH(A175,'Fiche Lot'!A:A,0)),"")</f>
        <v>#ERROR!</v>
      </c>
      <c r="E175" s="235" t="str">
        <f>IFERROR(INDEX('Fiche Lot'!E:E,MATCH(A175,'Fiche Lot'!A:A,0)),"")</f>
        <v>#ERROR!</v>
      </c>
      <c r="F175" s="235"/>
      <c r="G175" s="235" t="str">
        <f>IFERROR(INDEX('Fiche Lot'!H:H,MATCH(A175,'Fiche Lot'!A:A,0)),"")</f>
        <v>#ERROR!</v>
      </c>
      <c r="H175" s="235"/>
      <c r="I175" s="235"/>
      <c r="J175" s="237" t="str">
        <f>IFERROR(H175/G175,"")</f>
        <v>#ERROR!</v>
      </c>
      <c r="K175" s="283"/>
      <c r="L175" s="283"/>
      <c r="M175" s="283"/>
      <c r="N175" s="283" t="str">
        <f>IFERROR(K175-M175,"")</f>
        <v>#ERROR!</v>
      </c>
      <c r="O175" s="237" t="str">
        <f>IFERROR(N175/K175,"")</f>
        <v>#ERROR!</v>
      </c>
      <c r="P175" s="235" t="str">
        <f>IFERROR(INDEX('Fiche Lot'!J:J,MATCH(A175,'Fiche Lot'!A:A,0)),"")</f>
        <v>#ERROR!</v>
      </c>
      <c r="Q175" s="270" t="str">
        <f>IFERROR(INDEX('Fiche Lot'!L:L,MATCH(A175,'Fiche Lot'!A:A,0)),"")</f>
        <v>#ERROR!</v>
      </c>
      <c r="R175" s="235" t="str">
        <f>IFERROR(INDEX('Fiche Lot'!M:M,MATCH(A175,'Fiche Lot'!A:A,0)),"")</f>
        <v>#ERROR!</v>
      </c>
      <c r="S175" s="235" t="str">
        <f>IFERROR(INDEX('Fiche Lot'!G:G,MATCH(A175,'Fiche Lot'!A:A,0)),"")</f>
        <v>#ERROR!</v>
      </c>
      <c r="T175" s="235"/>
      <c r="U175" s="240"/>
    </row>
    <row r="176" ht="15.0" customHeight="1">
      <c r="A176" s="282"/>
      <c r="B176" s="266" t="str">
        <f>IFERROR(INDEX('Fiche Lot'!B:B,MATCH(A176,'Fiche Lot'!A:A,0)),"")</f>
        <v>#ERROR!</v>
      </c>
      <c r="C176" s="227" t="str">
        <f>IFERROR(INDEX('Fiche Lot'!C:C,MATCH(A176,'Fiche Lot'!A:A,0)),"")</f>
        <v>#ERROR!</v>
      </c>
      <c r="D176" s="227" t="str">
        <f>IFERROR(INDEX('Fiche Lot'!D:D,MATCH(A176,'Fiche Lot'!A:A,0)),"")</f>
        <v>#ERROR!</v>
      </c>
      <c r="E176" s="227" t="str">
        <f>IFERROR(INDEX('Fiche Lot'!E:E,MATCH(A176,'Fiche Lot'!A:A,0)),"")</f>
        <v>#ERROR!</v>
      </c>
      <c r="F176" s="227"/>
      <c r="G176" s="227" t="str">
        <f>IFERROR(INDEX('Fiche Lot'!H:H,MATCH(A176,'Fiche Lot'!A:A,0)),"")</f>
        <v>#ERROR!</v>
      </c>
      <c r="H176" s="227"/>
      <c r="I176" s="227"/>
      <c r="J176" s="230" t="str">
        <f>IFERROR(H176/G176,"")</f>
        <v>#ERROR!</v>
      </c>
      <c r="K176" s="281"/>
      <c r="L176" s="281"/>
      <c r="M176" s="281"/>
      <c r="N176" s="281" t="str">
        <f>IFERROR(K176-M176,"")</f>
        <v>#ERROR!</v>
      </c>
      <c r="O176" s="230" t="str">
        <f>IFERROR(N176/K176,"")</f>
        <v>#ERROR!</v>
      </c>
      <c r="P176" s="227" t="str">
        <f>IFERROR(INDEX('Fiche Lot'!J:J,MATCH(A176,'Fiche Lot'!A:A,0)),"")</f>
        <v>#ERROR!</v>
      </c>
      <c r="Q176" s="266" t="str">
        <f>IFERROR(INDEX('Fiche Lot'!L:L,MATCH(A176,'Fiche Lot'!A:A,0)),"")</f>
        <v>#ERROR!</v>
      </c>
      <c r="R176" s="227" t="str">
        <f>IFERROR(INDEX('Fiche Lot'!M:M,MATCH(A176,'Fiche Lot'!A:A,0)),"")</f>
        <v>#ERROR!</v>
      </c>
      <c r="S176" s="227" t="str">
        <f>IFERROR(INDEX('Fiche Lot'!G:G,MATCH(A176,'Fiche Lot'!A:A,0)),"")</f>
        <v>#ERROR!</v>
      </c>
      <c r="T176" s="227"/>
      <c r="U176" s="233"/>
    </row>
    <row r="177" ht="15.0" customHeight="1">
      <c r="A177" s="282"/>
      <c r="B177" s="270" t="str">
        <f>IFERROR(INDEX('Fiche Lot'!B:B,MATCH(A177,'Fiche Lot'!A:A,0)),"")</f>
        <v>#ERROR!</v>
      </c>
      <c r="C177" s="235" t="str">
        <f>IFERROR(INDEX('Fiche Lot'!C:C,MATCH(A177,'Fiche Lot'!A:A,0)),"")</f>
        <v>#ERROR!</v>
      </c>
      <c r="D177" s="235" t="str">
        <f>IFERROR(INDEX('Fiche Lot'!D:D,MATCH(A177,'Fiche Lot'!A:A,0)),"")</f>
        <v>#ERROR!</v>
      </c>
      <c r="E177" s="235" t="str">
        <f>IFERROR(INDEX('Fiche Lot'!E:E,MATCH(A177,'Fiche Lot'!A:A,0)),"")</f>
        <v>#ERROR!</v>
      </c>
      <c r="F177" s="235"/>
      <c r="G177" s="235" t="str">
        <f>IFERROR(INDEX('Fiche Lot'!H:H,MATCH(A177,'Fiche Lot'!A:A,0)),"")</f>
        <v>#ERROR!</v>
      </c>
      <c r="H177" s="235"/>
      <c r="I177" s="235"/>
      <c r="J177" s="237" t="str">
        <f>IFERROR(H177/G177,"")</f>
        <v>#ERROR!</v>
      </c>
      <c r="K177" s="283"/>
      <c r="L177" s="283"/>
      <c r="M177" s="283"/>
      <c r="N177" s="283" t="str">
        <f>IFERROR(K177-M177,"")</f>
        <v>#ERROR!</v>
      </c>
      <c r="O177" s="237" t="str">
        <f>IFERROR(N177/K177,"")</f>
        <v>#ERROR!</v>
      </c>
      <c r="P177" s="235" t="str">
        <f>IFERROR(INDEX('Fiche Lot'!J:J,MATCH(A177,'Fiche Lot'!A:A,0)),"")</f>
        <v>#ERROR!</v>
      </c>
      <c r="Q177" s="270" t="str">
        <f>IFERROR(INDEX('Fiche Lot'!L:L,MATCH(A177,'Fiche Lot'!A:A,0)),"")</f>
        <v>#ERROR!</v>
      </c>
      <c r="R177" s="235" t="str">
        <f>IFERROR(INDEX('Fiche Lot'!M:M,MATCH(A177,'Fiche Lot'!A:A,0)),"")</f>
        <v>#ERROR!</v>
      </c>
      <c r="S177" s="235" t="str">
        <f>IFERROR(INDEX('Fiche Lot'!G:G,MATCH(A177,'Fiche Lot'!A:A,0)),"")</f>
        <v>#ERROR!</v>
      </c>
      <c r="T177" s="235"/>
      <c r="U177" s="240"/>
    </row>
    <row r="178" ht="15.0" customHeight="1">
      <c r="A178" s="282"/>
      <c r="B178" s="266" t="str">
        <f>IFERROR(INDEX('Fiche Lot'!B:B,MATCH(A178,'Fiche Lot'!A:A,0)),"")</f>
        <v>#ERROR!</v>
      </c>
      <c r="C178" s="227" t="str">
        <f>IFERROR(INDEX('Fiche Lot'!C:C,MATCH(A178,'Fiche Lot'!A:A,0)),"")</f>
        <v>#ERROR!</v>
      </c>
      <c r="D178" s="227" t="str">
        <f>IFERROR(INDEX('Fiche Lot'!D:D,MATCH(A178,'Fiche Lot'!A:A,0)),"")</f>
        <v>#ERROR!</v>
      </c>
      <c r="E178" s="227" t="str">
        <f>IFERROR(INDEX('Fiche Lot'!E:E,MATCH(A178,'Fiche Lot'!A:A,0)),"")</f>
        <v>#ERROR!</v>
      </c>
      <c r="F178" s="227"/>
      <c r="G178" s="227" t="str">
        <f>IFERROR(INDEX('Fiche Lot'!H:H,MATCH(A178,'Fiche Lot'!A:A,0)),"")</f>
        <v>#ERROR!</v>
      </c>
      <c r="H178" s="227"/>
      <c r="I178" s="227"/>
      <c r="J178" s="230" t="str">
        <f>IFERROR(H178/G178,"")</f>
        <v>#ERROR!</v>
      </c>
      <c r="K178" s="281"/>
      <c r="L178" s="281"/>
      <c r="M178" s="281"/>
      <c r="N178" s="281" t="str">
        <f>IFERROR(K178-M178,"")</f>
        <v>#ERROR!</v>
      </c>
      <c r="O178" s="230" t="str">
        <f>IFERROR(N178/K178,"")</f>
        <v>#ERROR!</v>
      </c>
      <c r="P178" s="227" t="str">
        <f>IFERROR(INDEX('Fiche Lot'!J:J,MATCH(A178,'Fiche Lot'!A:A,0)),"")</f>
        <v>#ERROR!</v>
      </c>
      <c r="Q178" s="266" t="str">
        <f>IFERROR(INDEX('Fiche Lot'!L:L,MATCH(A178,'Fiche Lot'!A:A,0)),"")</f>
        <v>#ERROR!</v>
      </c>
      <c r="R178" s="227" t="str">
        <f>IFERROR(INDEX('Fiche Lot'!M:M,MATCH(A178,'Fiche Lot'!A:A,0)),"")</f>
        <v>#ERROR!</v>
      </c>
      <c r="S178" s="227" t="str">
        <f>IFERROR(INDEX('Fiche Lot'!G:G,MATCH(A178,'Fiche Lot'!A:A,0)),"")</f>
        <v>#ERROR!</v>
      </c>
      <c r="T178" s="227"/>
      <c r="U178" s="233"/>
    </row>
    <row r="179" ht="15.0" customHeight="1">
      <c r="A179" s="282"/>
      <c r="B179" s="270" t="str">
        <f>IFERROR(INDEX('Fiche Lot'!B:B,MATCH(A179,'Fiche Lot'!A:A,0)),"")</f>
        <v>#ERROR!</v>
      </c>
      <c r="C179" s="235" t="str">
        <f>IFERROR(INDEX('Fiche Lot'!C:C,MATCH(A179,'Fiche Lot'!A:A,0)),"")</f>
        <v>#ERROR!</v>
      </c>
      <c r="D179" s="235" t="str">
        <f>IFERROR(INDEX('Fiche Lot'!D:D,MATCH(A179,'Fiche Lot'!A:A,0)),"")</f>
        <v>#ERROR!</v>
      </c>
      <c r="E179" s="235" t="str">
        <f>IFERROR(INDEX('Fiche Lot'!E:E,MATCH(A179,'Fiche Lot'!A:A,0)),"")</f>
        <v>#ERROR!</v>
      </c>
      <c r="F179" s="235"/>
      <c r="G179" s="235" t="str">
        <f>IFERROR(INDEX('Fiche Lot'!H:H,MATCH(A179,'Fiche Lot'!A:A,0)),"")</f>
        <v>#ERROR!</v>
      </c>
      <c r="H179" s="235"/>
      <c r="I179" s="235"/>
      <c r="J179" s="237" t="str">
        <f>IFERROR(H179/G179,"")</f>
        <v>#ERROR!</v>
      </c>
      <c r="K179" s="283"/>
      <c r="L179" s="283"/>
      <c r="M179" s="283"/>
      <c r="N179" s="283" t="str">
        <f>IFERROR(K179-M179,"")</f>
        <v>#ERROR!</v>
      </c>
      <c r="O179" s="237" t="str">
        <f>IFERROR(N179/K179,"")</f>
        <v>#ERROR!</v>
      </c>
      <c r="P179" s="235" t="str">
        <f>IFERROR(INDEX('Fiche Lot'!J:J,MATCH(A179,'Fiche Lot'!A:A,0)),"")</f>
        <v>#ERROR!</v>
      </c>
      <c r="Q179" s="270" t="str">
        <f>IFERROR(INDEX('Fiche Lot'!L:L,MATCH(A179,'Fiche Lot'!A:A,0)),"")</f>
        <v>#ERROR!</v>
      </c>
      <c r="R179" s="235" t="str">
        <f>IFERROR(INDEX('Fiche Lot'!M:M,MATCH(A179,'Fiche Lot'!A:A,0)),"")</f>
        <v>#ERROR!</v>
      </c>
      <c r="S179" s="235" t="str">
        <f>IFERROR(INDEX('Fiche Lot'!G:G,MATCH(A179,'Fiche Lot'!A:A,0)),"")</f>
        <v>#ERROR!</v>
      </c>
      <c r="T179" s="235"/>
      <c r="U179" s="240"/>
    </row>
    <row r="180" ht="15.0" customHeight="1">
      <c r="A180" s="282"/>
      <c r="B180" s="266" t="str">
        <f>IFERROR(INDEX('Fiche Lot'!B:B,MATCH(A180,'Fiche Lot'!A:A,0)),"")</f>
        <v>#ERROR!</v>
      </c>
      <c r="C180" s="227" t="str">
        <f>IFERROR(INDEX('Fiche Lot'!C:C,MATCH(A180,'Fiche Lot'!A:A,0)),"")</f>
        <v>#ERROR!</v>
      </c>
      <c r="D180" s="227" t="str">
        <f>IFERROR(INDEX('Fiche Lot'!D:D,MATCH(A180,'Fiche Lot'!A:A,0)),"")</f>
        <v>#ERROR!</v>
      </c>
      <c r="E180" s="227" t="str">
        <f>IFERROR(INDEX('Fiche Lot'!E:E,MATCH(A180,'Fiche Lot'!A:A,0)),"")</f>
        <v>#ERROR!</v>
      </c>
      <c r="F180" s="227"/>
      <c r="G180" s="227" t="str">
        <f>IFERROR(INDEX('Fiche Lot'!H:H,MATCH(A180,'Fiche Lot'!A:A,0)),"")</f>
        <v>#ERROR!</v>
      </c>
      <c r="H180" s="227"/>
      <c r="I180" s="227"/>
      <c r="J180" s="230" t="str">
        <f>IFERROR(H180/G180,"")</f>
        <v>#ERROR!</v>
      </c>
      <c r="K180" s="281"/>
      <c r="L180" s="281"/>
      <c r="M180" s="281"/>
      <c r="N180" s="281" t="str">
        <f>IFERROR(K180-M180,"")</f>
        <v>#ERROR!</v>
      </c>
      <c r="O180" s="230" t="str">
        <f>IFERROR(N180/K180,"")</f>
        <v>#ERROR!</v>
      </c>
      <c r="P180" s="227" t="str">
        <f>IFERROR(INDEX('Fiche Lot'!J:J,MATCH(A180,'Fiche Lot'!A:A,0)),"")</f>
        <v>#ERROR!</v>
      </c>
      <c r="Q180" s="266" t="str">
        <f>IFERROR(INDEX('Fiche Lot'!L:L,MATCH(A180,'Fiche Lot'!A:A,0)),"")</f>
        <v>#ERROR!</v>
      </c>
      <c r="R180" s="227" t="str">
        <f>IFERROR(INDEX('Fiche Lot'!M:M,MATCH(A180,'Fiche Lot'!A:A,0)),"")</f>
        <v>#ERROR!</v>
      </c>
      <c r="S180" s="227" t="str">
        <f>IFERROR(INDEX('Fiche Lot'!G:G,MATCH(A180,'Fiche Lot'!A:A,0)),"")</f>
        <v>#ERROR!</v>
      </c>
      <c r="T180" s="227"/>
      <c r="U180" s="233"/>
    </row>
    <row r="181" ht="15.0" customHeight="1">
      <c r="A181" s="282"/>
      <c r="B181" s="270" t="str">
        <f>IFERROR(INDEX('Fiche Lot'!B:B,MATCH(A181,'Fiche Lot'!A:A,0)),"")</f>
        <v>#ERROR!</v>
      </c>
      <c r="C181" s="235" t="str">
        <f>IFERROR(INDEX('Fiche Lot'!C:C,MATCH(A181,'Fiche Lot'!A:A,0)),"")</f>
        <v>#ERROR!</v>
      </c>
      <c r="D181" s="235" t="str">
        <f>IFERROR(INDEX('Fiche Lot'!D:D,MATCH(A181,'Fiche Lot'!A:A,0)),"")</f>
        <v>#ERROR!</v>
      </c>
      <c r="E181" s="235" t="str">
        <f>IFERROR(INDEX('Fiche Lot'!E:E,MATCH(A181,'Fiche Lot'!A:A,0)),"")</f>
        <v>#ERROR!</v>
      </c>
      <c r="F181" s="235"/>
      <c r="G181" s="235" t="str">
        <f>IFERROR(INDEX('Fiche Lot'!H:H,MATCH(A181,'Fiche Lot'!A:A,0)),"")</f>
        <v>#ERROR!</v>
      </c>
      <c r="H181" s="235"/>
      <c r="I181" s="235"/>
      <c r="J181" s="237" t="str">
        <f>IFERROR(H181/G181,"")</f>
        <v>#ERROR!</v>
      </c>
      <c r="K181" s="283"/>
      <c r="L181" s="283"/>
      <c r="M181" s="283"/>
      <c r="N181" s="283" t="str">
        <f>IFERROR(K181-M181,"")</f>
        <v>#ERROR!</v>
      </c>
      <c r="O181" s="237" t="str">
        <f>IFERROR(N181/K181,"")</f>
        <v>#ERROR!</v>
      </c>
      <c r="P181" s="235" t="str">
        <f>IFERROR(INDEX('Fiche Lot'!J:J,MATCH(A181,'Fiche Lot'!A:A,0)),"")</f>
        <v>#ERROR!</v>
      </c>
      <c r="Q181" s="270" t="str">
        <f>IFERROR(INDEX('Fiche Lot'!L:L,MATCH(A181,'Fiche Lot'!A:A,0)),"")</f>
        <v>#ERROR!</v>
      </c>
      <c r="R181" s="235" t="str">
        <f>IFERROR(INDEX('Fiche Lot'!M:M,MATCH(A181,'Fiche Lot'!A:A,0)),"")</f>
        <v>#ERROR!</v>
      </c>
      <c r="S181" s="235" t="str">
        <f>IFERROR(INDEX('Fiche Lot'!G:G,MATCH(A181,'Fiche Lot'!A:A,0)),"")</f>
        <v>#ERROR!</v>
      </c>
      <c r="T181" s="235"/>
      <c r="U181" s="240"/>
    </row>
    <row r="182" ht="15.0" customHeight="1">
      <c r="A182" s="282"/>
      <c r="B182" s="266" t="str">
        <f>IFERROR(INDEX('Fiche Lot'!B:B,MATCH(A182,'Fiche Lot'!A:A,0)),"")</f>
        <v>#ERROR!</v>
      </c>
      <c r="C182" s="227" t="str">
        <f>IFERROR(INDEX('Fiche Lot'!C:C,MATCH(A182,'Fiche Lot'!A:A,0)),"")</f>
        <v>#ERROR!</v>
      </c>
      <c r="D182" s="227" t="str">
        <f>IFERROR(INDEX('Fiche Lot'!D:D,MATCH(A182,'Fiche Lot'!A:A,0)),"")</f>
        <v>#ERROR!</v>
      </c>
      <c r="E182" s="227" t="str">
        <f>IFERROR(INDEX('Fiche Lot'!E:E,MATCH(A182,'Fiche Lot'!A:A,0)),"")</f>
        <v>#ERROR!</v>
      </c>
      <c r="F182" s="227"/>
      <c r="G182" s="227" t="str">
        <f>IFERROR(INDEX('Fiche Lot'!H:H,MATCH(A182,'Fiche Lot'!A:A,0)),"")</f>
        <v>#ERROR!</v>
      </c>
      <c r="H182" s="227"/>
      <c r="I182" s="227"/>
      <c r="J182" s="230" t="str">
        <f>IFERROR(H182/G182,"")</f>
        <v>#ERROR!</v>
      </c>
      <c r="K182" s="281"/>
      <c r="L182" s="281"/>
      <c r="M182" s="281"/>
      <c r="N182" s="281" t="str">
        <f>IFERROR(K182-M182,"")</f>
        <v>#ERROR!</v>
      </c>
      <c r="O182" s="230" t="str">
        <f>IFERROR(N182/K182,"")</f>
        <v>#ERROR!</v>
      </c>
      <c r="P182" s="227" t="str">
        <f>IFERROR(INDEX('Fiche Lot'!J:J,MATCH(A182,'Fiche Lot'!A:A,0)),"")</f>
        <v>#ERROR!</v>
      </c>
      <c r="Q182" s="266" t="str">
        <f>IFERROR(INDEX('Fiche Lot'!L:L,MATCH(A182,'Fiche Lot'!A:A,0)),"")</f>
        <v>#ERROR!</v>
      </c>
      <c r="R182" s="227" t="str">
        <f>IFERROR(INDEX('Fiche Lot'!M:M,MATCH(A182,'Fiche Lot'!A:A,0)),"")</f>
        <v>#ERROR!</v>
      </c>
      <c r="S182" s="227" t="str">
        <f>IFERROR(INDEX('Fiche Lot'!G:G,MATCH(A182,'Fiche Lot'!A:A,0)),"")</f>
        <v>#ERROR!</v>
      </c>
      <c r="T182" s="227"/>
      <c r="U182" s="233"/>
    </row>
    <row r="183" ht="15.0" customHeight="1">
      <c r="A183" s="282"/>
      <c r="B183" s="270" t="str">
        <f>IFERROR(INDEX('Fiche Lot'!B:B,MATCH(A183,'Fiche Lot'!A:A,0)),"")</f>
        <v>#ERROR!</v>
      </c>
      <c r="C183" s="235" t="str">
        <f>IFERROR(INDEX('Fiche Lot'!C:C,MATCH(A183,'Fiche Lot'!A:A,0)),"")</f>
        <v>#ERROR!</v>
      </c>
      <c r="D183" s="235" t="str">
        <f>IFERROR(INDEX('Fiche Lot'!D:D,MATCH(A183,'Fiche Lot'!A:A,0)),"")</f>
        <v>#ERROR!</v>
      </c>
      <c r="E183" s="235" t="str">
        <f>IFERROR(INDEX('Fiche Lot'!E:E,MATCH(A183,'Fiche Lot'!A:A,0)),"")</f>
        <v>#ERROR!</v>
      </c>
      <c r="F183" s="235"/>
      <c r="G183" s="235" t="str">
        <f>IFERROR(INDEX('Fiche Lot'!H:H,MATCH(A183,'Fiche Lot'!A:A,0)),"")</f>
        <v>#ERROR!</v>
      </c>
      <c r="H183" s="235"/>
      <c r="I183" s="235"/>
      <c r="J183" s="237" t="str">
        <f>IFERROR(H183/G183,"")</f>
        <v>#ERROR!</v>
      </c>
      <c r="K183" s="283"/>
      <c r="L183" s="283"/>
      <c r="M183" s="283"/>
      <c r="N183" s="283" t="str">
        <f>IFERROR(K183-M183,"")</f>
        <v>#ERROR!</v>
      </c>
      <c r="O183" s="237" t="str">
        <f>IFERROR(N183/K183,"")</f>
        <v>#ERROR!</v>
      </c>
      <c r="P183" s="235" t="str">
        <f>IFERROR(INDEX('Fiche Lot'!J:J,MATCH(A183,'Fiche Lot'!A:A,0)),"")</f>
        <v>#ERROR!</v>
      </c>
      <c r="Q183" s="270" t="str">
        <f>IFERROR(INDEX('Fiche Lot'!L:L,MATCH(A183,'Fiche Lot'!A:A,0)),"")</f>
        <v>#ERROR!</v>
      </c>
      <c r="R183" s="235" t="str">
        <f>IFERROR(INDEX('Fiche Lot'!M:M,MATCH(A183,'Fiche Lot'!A:A,0)),"")</f>
        <v>#ERROR!</v>
      </c>
      <c r="S183" s="235" t="str">
        <f>IFERROR(INDEX('Fiche Lot'!G:G,MATCH(A183,'Fiche Lot'!A:A,0)),"")</f>
        <v>#ERROR!</v>
      </c>
      <c r="T183" s="235"/>
      <c r="U183" s="240"/>
    </row>
    <row r="184" ht="15.0" customHeight="1">
      <c r="A184" s="282"/>
      <c r="B184" s="266" t="str">
        <f>IFERROR(INDEX('Fiche Lot'!B:B,MATCH(A184,'Fiche Lot'!A:A,0)),"")</f>
        <v>#ERROR!</v>
      </c>
      <c r="C184" s="227" t="str">
        <f>IFERROR(INDEX('Fiche Lot'!C:C,MATCH(A184,'Fiche Lot'!A:A,0)),"")</f>
        <v>#ERROR!</v>
      </c>
      <c r="D184" s="227" t="str">
        <f>IFERROR(INDEX('Fiche Lot'!D:D,MATCH(A184,'Fiche Lot'!A:A,0)),"")</f>
        <v>#ERROR!</v>
      </c>
      <c r="E184" s="227" t="str">
        <f>IFERROR(INDEX('Fiche Lot'!E:E,MATCH(A184,'Fiche Lot'!A:A,0)),"")</f>
        <v>#ERROR!</v>
      </c>
      <c r="F184" s="227"/>
      <c r="G184" s="227" t="str">
        <f>IFERROR(INDEX('Fiche Lot'!H:H,MATCH(A184,'Fiche Lot'!A:A,0)),"")</f>
        <v>#ERROR!</v>
      </c>
      <c r="H184" s="227"/>
      <c r="I184" s="227"/>
      <c r="J184" s="230" t="str">
        <f>IFERROR(H184/G184,"")</f>
        <v>#ERROR!</v>
      </c>
      <c r="K184" s="281"/>
      <c r="L184" s="281"/>
      <c r="M184" s="281"/>
      <c r="N184" s="281" t="str">
        <f>IFERROR(K184-M184,"")</f>
        <v>#ERROR!</v>
      </c>
      <c r="O184" s="230" t="str">
        <f>IFERROR(N184/K184,"")</f>
        <v>#ERROR!</v>
      </c>
      <c r="P184" s="227" t="str">
        <f>IFERROR(INDEX('Fiche Lot'!J:J,MATCH(A184,'Fiche Lot'!A:A,0)),"")</f>
        <v>#ERROR!</v>
      </c>
      <c r="Q184" s="266" t="str">
        <f>IFERROR(INDEX('Fiche Lot'!L:L,MATCH(A184,'Fiche Lot'!A:A,0)),"")</f>
        <v>#ERROR!</v>
      </c>
      <c r="R184" s="227" t="str">
        <f>IFERROR(INDEX('Fiche Lot'!M:M,MATCH(A184,'Fiche Lot'!A:A,0)),"")</f>
        <v>#ERROR!</v>
      </c>
      <c r="S184" s="227" t="str">
        <f>IFERROR(INDEX('Fiche Lot'!G:G,MATCH(A184,'Fiche Lot'!A:A,0)),"")</f>
        <v>#ERROR!</v>
      </c>
      <c r="T184" s="227"/>
      <c r="U184" s="233"/>
    </row>
    <row r="185" ht="15.0" customHeight="1">
      <c r="A185" s="282"/>
      <c r="B185" s="270" t="str">
        <f>IFERROR(INDEX('Fiche Lot'!B:B,MATCH(A185,'Fiche Lot'!A:A,0)),"")</f>
        <v>#ERROR!</v>
      </c>
      <c r="C185" s="235" t="str">
        <f>IFERROR(INDEX('Fiche Lot'!C:C,MATCH(A185,'Fiche Lot'!A:A,0)),"")</f>
        <v>#ERROR!</v>
      </c>
      <c r="D185" s="235" t="str">
        <f>IFERROR(INDEX('Fiche Lot'!D:D,MATCH(A185,'Fiche Lot'!A:A,0)),"")</f>
        <v>#ERROR!</v>
      </c>
      <c r="E185" s="235" t="str">
        <f>IFERROR(INDEX('Fiche Lot'!E:E,MATCH(A185,'Fiche Lot'!A:A,0)),"")</f>
        <v>#ERROR!</v>
      </c>
      <c r="F185" s="235"/>
      <c r="G185" s="235" t="str">
        <f>IFERROR(INDEX('Fiche Lot'!H:H,MATCH(A185,'Fiche Lot'!A:A,0)),"")</f>
        <v>#ERROR!</v>
      </c>
      <c r="H185" s="235"/>
      <c r="I185" s="235"/>
      <c r="J185" s="237" t="str">
        <f>IFERROR(H185/G185,"")</f>
        <v>#ERROR!</v>
      </c>
      <c r="K185" s="283"/>
      <c r="L185" s="283"/>
      <c r="M185" s="283"/>
      <c r="N185" s="283" t="str">
        <f>IFERROR(K185-M185,"")</f>
        <v>#ERROR!</v>
      </c>
      <c r="O185" s="237" t="str">
        <f>IFERROR(N185/K185,"")</f>
        <v>#ERROR!</v>
      </c>
      <c r="P185" s="235" t="str">
        <f>IFERROR(INDEX('Fiche Lot'!J:J,MATCH(A185,'Fiche Lot'!A:A,0)),"")</f>
        <v>#ERROR!</v>
      </c>
      <c r="Q185" s="270" t="str">
        <f>IFERROR(INDEX('Fiche Lot'!L:L,MATCH(A185,'Fiche Lot'!A:A,0)),"")</f>
        <v>#ERROR!</v>
      </c>
      <c r="R185" s="235" t="str">
        <f>IFERROR(INDEX('Fiche Lot'!M:M,MATCH(A185,'Fiche Lot'!A:A,0)),"")</f>
        <v>#ERROR!</v>
      </c>
      <c r="S185" s="235" t="str">
        <f>IFERROR(INDEX('Fiche Lot'!G:G,MATCH(A185,'Fiche Lot'!A:A,0)),"")</f>
        <v>#ERROR!</v>
      </c>
      <c r="T185" s="235"/>
      <c r="U185" s="240"/>
    </row>
    <row r="186" ht="15.0" customHeight="1">
      <c r="A186" s="282"/>
      <c r="B186" s="266" t="str">
        <f>IFERROR(INDEX('Fiche Lot'!B:B,MATCH(A186,'Fiche Lot'!A:A,0)),"")</f>
        <v>#ERROR!</v>
      </c>
      <c r="C186" s="227" t="str">
        <f>IFERROR(INDEX('Fiche Lot'!C:C,MATCH(A186,'Fiche Lot'!A:A,0)),"")</f>
        <v>#ERROR!</v>
      </c>
      <c r="D186" s="227" t="str">
        <f>IFERROR(INDEX('Fiche Lot'!D:D,MATCH(A186,'Fiche Lot'!A:A,0)),"")</f>
        <v>#ERROR!</v>
      </c>
      <c r="E186" s="227" t="str">
        <f>IFERROR(INDEX('Fiche Lot'!E:E,MATCH(A186,'Fiche Lot'!A:A,0)),"")</f>
        <v>#ERROR!</v>
      </c>
      <c r="F186" s="227"/>
      <c r="G186" s="227" t="str">
        <f>IFERROR(INDEX('Fiche Lot'!H:H,MATCH(A186,'Fiche Lot'!A:A,0)),"")</f>
        <v>#ERROR!</v>
      </c>
      <c r="H186" s="227"/>
      <c r="I186" s="227"/>
      <c r="J186" s="230" t="str">
        <f>IFERROR(H186/G186,"")</f>
        <v>#ERROR!</v>
      </c>
      <c r="K186" s="281"/>
      <c r="L186" s="281"/>
      <c r="M186" s="281"/>
      <c r="N186" s="281" t="str">
        <f>IFERROR(K186-M186,"")</f>
        <v>#ERROR!</v>
      </c>
      <c r="O186" s="230" t="str">
        <f>IFERROR(N186/K186,"")</f>
        <v>#ERROR!</v>
      </c>
      <c r="P186" s="227" t="str">
        <f>IFERROR(INDEX('Fiche Lot'!J:J,MATCH(A186,'Fiche Lot'!A:A,0)),"")</f>
        <v>#ERROR!</v>
      </c>
      <c r="Q186" s="266" t="str">
        <f>IFERROR(INDEX('Fiche Lot'!L:L,MATCH(A186,'Fiche Lot'!A:A,0)),"")</f>
        <v>#ERROR!</v>
      </c>
      <c r="R186" s="227" t="str">
        <f>IFERROR(INDEX('Fiche Lot'!M:M,MATCH(A186,'Fiche Lot'!A:A,0)),"")</f>
        <v>#ERROR!</v>
      </c>
      <c r="S186" s="227" t="str">
        <f>IFERROR(INDEX('Fiche Lot'!G:G,MATCH(A186,'Fiche Lot'!A:A,0)),"")</f>
        <v>#ERROR!</v>
      </c>
      <c r="T186" s="227"/>
      <c r="U186" s="233"/>
    </row>
    <row r="187" ht="15.0" customHeight="1">
      <c r="A187" s="282"/>
      <c r="B187" s="270" t="str">
        <f>IFERROR(INDEX('Fiche Lot'!B:B,MATCH(A187,'Fiche Lot'!A:A,0)),"")</f>
        <v>#ERROR!</v>
      </c>
      <c r="C187" s="235" t="str">
        <f>IFERROR(INDEX('Fiche Lot'!C:C,MATCH(A187,'Fiche Lot'!A:A,0)),"")</f>
        <v>#ERROR!</v>
      </c>
      <c r="D187" s="235" t="str">
        <f>IFERROR(INDEX('Fiche Lot'!D:D,MATCH(A187,'Fiche Lot'!A:A,0)),"")</f>
        <v>#ERROR!</v>
      </c>
      <c r="E187" s="235" t="str">
        <f>IFERROR(INDEX('Fiche Lot'!E:E,MATCH(A187,'Fiche Lot'!A:A,0)),"")</f>
        <v>#ERROR!</v>
      </c>
      <c r="F187" s="235"/>
      <c r="G187" s="235" t="str">
        <f>IFERROR(INDEX('Fiche Lot'!H:H,MATCH(A187,'Fiche Lot'!A:A,0)),"")</f>
        <v>#ERROR!</v>
      </c>
      <c r="H187" s="235"/>
      <c r="I187" s="235"/>
      <c r="J187" s="237" t="str">
        <f>IFERROR(H187/G187,"")</f>
        <v>#ERROR!</v>
      </c>
      <c r="K187" s="283"/>
      <c r="L187" s="283"/>
      <c r="M187" s="283"/>
      <c r="N187" s="283" t="str">
        <f>IFERROR(K187-M187,"")</f>
        <v>#ERROR!</v>
      </c>
      <c r="O187" s="237" t="str">
        <f>IFERROR(N187/K187,"")</f>
        <v>#ERROR!</v>
      </c>
      <c r="P187" s="235" t="str">
        <f>IFERROR(INDEX('Fiche Lot'!J:J,MATCH(A187,'Fiche Lot'!A:A,0)),"")</f>
        <v>#ERROR!</v>
      </c>
      <c r="Q187" s="270" t="str">
        <f>IFERROR(INDEX('Fiche Lot'!L:L,MATCH(A187,'Fiche Lot'!A:A,0)),"")</f>
        <v>#ERROR!</v>
      </c>
      <c r="R187" s="235" t="str">
        <f>IFERROR(INDEX('Fiche Lot'!M:M,MATCH(A187,'Fiche Lot'!A:A,0)),"")</f>
        <v>#ERROR!</v>
      </c>
      <c r="S187" s="235" t="str">
        <f>IFERROR(INDEX('Fiche Lot'!G:G,MATCH(A187,'Fiche Lot'!A:A,0)),"")</f>
        <v>#ERROR!</v>
      </c>
      <c r="T187" s="235"/>
      <c r="U187" s="240"/>
    </row>
    <row r="188" ht="15.0" customHeight="1">
      <c r="A188" s="282"/>
      <c r="B188" s="266" t="str">
        <f>IFERROR(INDEX('Fiche Lot'!B:B,MATCH(A188,'Fiche Lot'!A:A,0)),"")</f>
        <v>#ERROR!</v>
      </c>
      <c r="C188" s="227" t="str">
        <f>IFERROR(INDEX('Fiche Lot'!C:C,MATCH(A188,'Fiche Lot'!A:A,0)),"")</f>
        <v>#ERROR!</v>
      </c>
      <c r="D188" s="227" t="str">
        <f>IFERROR(INDEX('Fiche Lot'!D:D,MATCH(A188,'Fiche Lot'!A:A,0)),"")</f>
        <v>#ERROR!</v>
      </c>
      <c r="E188" s="227" t="str">
        <f>IFERROR(INDEX('Fiche Lot'!E:E,MATCH(A188,'Fiche Lot'!A:A,0)),"")</f>
        <v>#ERROR!</v>
      </c>
      <c r="F188" s="227"/>
      <c r="G188" s="227" t="str">
        <f>IFERROR(INDEX('Fiche Lot'!H:H,MATCH(A188,'Fiche Lot'!A:A,0)),"")</f>
        <v>#ERROR!</v>
      </c>
      <c r="H188" s="227"/>
      <c r="I188" s="227"/>
      <c r="J188" s="230" t="str">
        <f>IFERROR(H188/G188,"")</f>
        <v>#ERROR!</v>
      </c>
      <c r="K188" s="281"/>
      <c r="L188" s="281"/>
      <c r="M188" s="281"/>
      <c r="N188" s="281" t="str">
        <f>IFERROR(K188-M188,"")</f>
        <v>#ERROR!</v>
      </c>
      <c r="O188" s="230" t="str">
        <f>IFERROR(N188/K188,"")</f>
        <v>#ERROR!</v>
      </c>
      <c r="P188" s="227" t="str">
        <f>IFERROR(INDEX('Fiche Lot'!J:J,MATCH(A188,'Fiche Lot'!A:A,0)),"")</f>
        <v>#ERROR!</v>
      </c>
      <c r="Q188" s="266" t="str">
        <f>IFERROR(INDEX('Fiche Lot'!L:L,MATCH(A188,'Fiche Lot'!A:A,0)),"")</f>
        <v>#ERROR!</v>
      </c>
      <c r="R188" s="227" t="str">
        <f>IFERROR(INDEX('Fiche Lot'!M:M,MATCH(A188,'Fiche Lot'!A:A,0)),"")</f>
        <v>#ERROR!</v>
      </c>
      <c r="S188" s="227" t="str">
        <f>IFERROR(INDEX('Fiche Lot'!G:G,MATCH(A188,'Fiche Lot'!A:A,0)),"")</f>
        <v>#ERROR!</v>
      </c>
      <c r="T188" s="227"/>
      <c r="U188" s="233"/>
    </row>
    <row r="189" ht="15.0" customHeight="1">
      <c r="A189" s="282"/>
      <c r="B189" s="270" t="str">
        <f>IFERROR(INDEX('Fiche Lot'!B:B,MATCH(A189,'Fiche Lot'!A:A,0)),"")</f>
        <v>#ERROR!</v>
      </c>
      <c r="C189" s="235" t="str">
        <f>IFERROR(INDEX('Fiche Lot'!C:C,MATCH(A189,'Fiche Lot'!A:A,0)),"")</f>
        <v>#ERROR!</v>
      </c>
      <c r="D189" s="235" t="str">
        <f>IFERROR(INDEX('Fiche Lot'!D:D,MATCH(A189,'Fiche Lot'!A:A,0)),"")</f>
        <v>#ERROR!</v>
      </c>
      <c r="E189" s="235" t="str">
        <f>IFERROR(INDEX('Fiche Lot'!E:E,MATCH(A189,'Fiche Lot'!A:A,0)),"")</f>
        <v>#ERROR!</v>
      </c>
      <c r="F189" s="235"/>
      <c r="G189" s="235" t="str">
        <f>IFERROR(INDEX('Fiche Lot'!H:H,MATCH(A189,'Fiche Lot'!A:A,0)),"")</f>
        <v>#ERROR!</v>
      </c>
      <c r="H189" s="235"/>
      <c r="I189" s="235"/>
      <c r="J189" s="237" t="str">
        <f>IFERROR(H189/G189,"")</f>
        <v>#ERROR!</v>
      </c>
      <c r="K189" s="283"/>
      <c r="L189" s="283"/>
      <c r="M189" s="283"/>
      <c r="N189" s="283" t="str">
        <f>IFERROR(K189-M189,"")</f>
        <v>#ERROR!</v>
      </c>
      <c r="O189" s="237" t="str">
        <f>IFERROR(N189/K189,"")</f>
        <v>#ERROR!</v>
      </c>
      <c r="P189" s="235" t="str">
        <f>IFERROR(INDEX('Fiche Lot'!J:J,MATCH(A189,'Fiche Lot'!A:A,0)),"")</f>
        <v>#ERROR!</v>
      </c>
      <c r="Q189" s="270" t="str">
        <f>IFERROR(INDEX('Fiche Lot'!L:L,MATCH(A189,'Fiche Lot'!A:A,0)),"")</f>
        <v>#ERROR!</v>
      </c>
      <c r="R189" s="235" t="str">
        <f>IFERROR(INDEX('Fiche Lot'!M:M,MATCH(A189,'Fiche Lot'!A:A,0)),"")</f>
        <v>#ERROR!</v>
      </c>
      <c r="S189" s="235" t="str">
        <f>IFERROR(INDEX('Fiche Lot'!G:G,MATCH(A189,'Fiche Lot'!A:A,0)),"")</f>
        <v>#ERROR!</v>
      </c>
      <c r="T189" s="235"/>
      <c r="U189" s="240"/>
    </row>
    <row r="190" ht="15.0" customHeight="1">
      <c r="A190" s="282"/>
      <c r="B190" s="266" t="str">
        <f>IFERROR(INDEX('Fiche Lot'!B:B,MATCH(A190,'Fiche Lot'!A:A,0)),"")</f>
        <v>#ERROR!</v>
      </c>
      <c r="C190" s="227" t="str">
        <f>IFERROR(INDEX('Fiche Lot'!C:C,MATCH(A190,'Fiche Lot'!A:A,0)),"")</f>
        <v>#ERROR!</v>
      </c>
      <c r="D190" s="227" t="str">
        <f>IFERROR(INDEX('Fiche Lot'!D:D,MATCH(A190,'Fiche Lot'!A:A,0)),"")</f>
        <v>#ERROR!</v>
      </c>
      <c r="E190" s="227" t="str">
        <f>IFERROR(INDEX('Fiche Lot'!E:E,MATCH(A190,'Fiche Lot'!A:A,0)),"")</f>
        <v>#ERROR!</v>
      </c>
      <c r="F190" s="227"/>
      <c r="G190" s="227" t="str">
        <f>IFERROR(INDEX('Fiche Lot'!H:H,MATCH(A190,'Fiche Lot'!A:A,0)),"")</f>
        <v>#ERROR!</v>
      </c>
      <c r="H190" s="227"/>
      <c r="I190" s="227"/>
      <c r="J190" s="230" t="str">
        <f>IFERROR(H190/G190,"")</f>
        <v>#ERROR!</v>
      </c>
      <c r="K190" s="281"/>
      <c r="L190" s="281"/>
      <c r="M190" s="281"/>
      <c r="N190" s="281" t="str">
        <f>IFERROR(K190-M190,"")</f>
        <v>#ERROR!</v>
      </c>
      <c r="O190" s="230" t="str">
        <f>IFERROR(N190/K190,"")</f>
        <v>#ERROR!</v>
      </c>
      <c r="P190" s="227" t="str">
        <f>IFERROR(INDEX('Fiche Lot'!J:J,MATCH(A190,'Fiche Lot'!A:A,0)),"")</f>
        <v>#ERROR!</v>
      </c>
      <c r="Q190" s="266" t="str">
        <f>IFERROR(INDEX('Fiche Lot'!L:L,MATCH(A190,'Fiche Lot'!A:A,0)),"")</f>
        <v>#ERROR!</v>
      </c>
      <c r="R190" s="227" t="str">
        <f>IFERROR(INDEX('Fiche Lot'!M:M,MATCH(A190,'Fiche Lot'!A:A,0)),"")</f>
        <v>#ERROR!</v>
      </c>
      <c r="S190" s="227" t="str">
        <f>IFERROR(INDEX('Fiche Lot'!G:G,MATCH(A190,'Fiche Lot'!A:A,0)),"")</f>
        <v>#ERROR!</v>
      </c>
      <c r="T190" s="227"/>
      <c r="U190" s="233"/>
    </row>
    <row r="191" ht="15.0" customHeight="1">
      <c r="A191" s="282"/>
      <c r="B191" s="270" t="str">
        <f>IFERROR(INDEX('Fiche Lot'!B:B,MATCH(A191,'Fiche Lot'!A:A,0)),"")</f>
        <v>#ERROR!</v>
      </c>
      <c r="C191" s="235" t="str">
        <f>IFERROR(INDEX('Fiche Lot'!C:C,MATCH(A191,'Fiche Lot'!A:A,0)),"")</f>
        <v>#ERROR!</v>
      </c>
      <c r="D191" s="235" t="str">
        <f>IFERROR(INDEX('Fiche Lot'!D:D,MATCH(A191,'Fiche Lot'!A:A,0)),"")</f>
        <v>#ERROR!</v>
      </c>
      <c r="E191" s="235" t="str">
        <f>IFERROR(INDEX('Fiche Lot'!E:E,MATCH(A191,'Fiche Lot'!A:A,0)),"")</f>
        <v>#ERROR!</v>
      </c>
      <c r="F191" s="235"/>
      <c r="G191" s="235" t="str">
        <f>IFERROR(INDEX('Fiche Lot'!H:H,MATCH(A191,'Fiche Lot'!A:A,0)),"")</f>
        <v>#ERROR!</v>
      </c>
      <c r="H191" s="235"/>
      <c r="I191" s="235"/>
      <c r="J191" s="237" t="str">
        <f>IFERROR(H191/G191,"")</f>
        <v>#ERROR!</v>
      </c>
      <c r="K191" s="283"/>
      <c r="L191" s="283"/>
      <c r="M191" s="283"/>
      <c r="N191" s="283" t="str">
        <f>IFERROR(K191-M191,"")</f>
        <v>#ERROR!</v>
      </c>
      <c r="O191" s="237" t="str">
        <f>IFERROR(N191/K191,"")</f>
        <v>#ERROR!</v>
      </c>
      <c r="P191" s="235" t="str">
        <f>IFERROR(INDEX('Fiche Lot'!J:J,MATCH(A191,'Fiche Lot'!A:A,0)),"")</f>
        <v>#ERROR!</v>
      </c>
      <c r="Q191" s="270" t="str">
        <f>IFERROR(INDEX('Fiche Lot'!L:L,MATCH(A191,'Fiche Lot'!A:A,0)),"")</f>
        <v>#ERROR!</v>
      </c>
      <c r="R191" s="235" t="str">
        <f>IFERROR(INDEX('Fiche Lot'!M:M,MATCH(A191,'Fiche Lot'!A:A,0)),"")</f>
        <v>#ERROR!</v>
      </c>
      <c r="S191" s="235" t="str">
        <f>IFERROR(INDEX('Fiche Lot'!G:G,MATCH(A191,'Fiche Lot'!A:A,0)),"")</f>
        <v>#ERROR!</v>
      </c>
      <c r="T191" s="235"/>
      <c r="U191" s="240"/>
    </row>
    <row r="192" ht="15.0" customHeight="1">
      <c r="A192" s="282"/>
      <c r="B192" s="266" t="str">
        <f>IFERROR(INDEX('Fiche Lot'!B:B,MATCH(A192,'Fiche Lot'!A:A,0)),"")</f>
        <v>#ERROR!</v>
      </c>
      <c r="C192" s="227" t="str">
        <f>IFERROR(INDEX('Fiche Lot'!C:C,MATCH(A192,'Fiche Lot'!A:A,0)),"")</f>
        <v>#ERROR!</v>
      </c>
      <c r="D192" s="227" t="str">
        <f>IFERROR(INDEX('Fiche Lot'!D:D,MATCH(A192,'Fiche Lot'!A:A,0)),"")</f>
        <v>#ERROR!</v>
      </c>
      <c r="E192" s="227" t="str">
        <f>IFERROR(INDEX('Fiche Lot'!E:E,MATCH(A192,'Fiche Lot'!A:A,0)),"")</f>
        <v>#ERROR!</v>
      </c>
      <c r="F192" s="227"/>
      <c r="G192" s="227" t="str">
        <f>IFERROR(INDEX('Fiche Lot'!H:H,MATCH(A192,'Fiche Lot'!A:A,0)),"")</f>
        <v>#ERROR!</v>
      </c>
      <c r="H192" s="227"/>
      <c r="I192" s="227"/>
      <c r="J192" s="230" t="str">
        <f>IFERROR(H192/G192,"")</f>
        <v>#ERROR!</v>
      </c>
      <c r="K192" s="281"/>
      <c r="L192" s="281"/>
      <c r="M192" s="281"/>
      <c r="N192" s="281" t="str">
        <f>IFERROR(K192-M192,"")</f>
        <v>#ERROR!</v>
      </c>
      <c r="O192" s="230" t="str">
        <f>IFERROR(N192/K192,"")</f>
        <v>#ERROR!</v>
      </c>
      <c r="P192" s="227" t="str">
        <f>IFERROR(INDEX('Fiche Lot'!J:J,MATCH(A192,'Fiche Lot'!A:A,0)),"")</f>
        <v>#ERROR!</v>
      </c>
      <c r="Q192" s="266" t="str">
        <f>IFERROR(INDEX('Fiche Lot'!L:L,MATCH(A192,'Fiche Lot'!A:A,0)),"")</f>
        <v>#ERROR!</v>
      </c>
      <c r="R192" s="227" t="str">
        <f>IFERROR(INDEX('Fiche Lot'!M:M,MATCH(A192,'Fiche Lot'!A:A,0)),"")</f>
        <v>#ERROR!</v>
      </c>
      <c r="S192" s="227" t="str">
        <f>IFERROR(INDEX('Fiche Lot'!G:G,MATCH(A192,'Fiche Lot'!A:A,0)),"")</f>
        <v>#ERROR!</v>
      </c>
      <c r="T192" s="227"/>
      <c r="U192" s="233"/>
    </row>
    <row r="193" ht="15.0" customHeight="1">
      <c r="A193" s="282"/>
      <c r="B193" s="270" t="str">
        <f>IFERROR(INDEX('Fiche Lot'!B:B,MATCH(A193,'Fiche Lot'!A:A,0)),"")</f>
        <v>#ERROR!</v>
      </c>
      <c r="C193" s="235" t="str">
        <f>IFERROR(INDEX('Fiche Lot'!C:C,MATCH(A193,'Fiche Lot'!A:A,0)),"")</f>
        <v>#ERROR!</v>
      </c>
      <c r="D193" s="235" t="str">
        <f>IFERROR(INDEX('Fiche Lot'!D:D,MATCH(A193,'Fiche Lot'!A:A,0)),"")</f>
        <v>#ERROR!</v>
      </c>
      <c r="E193" s="235" t="str">
        <f>IFERROR(INDEX('Fiche Lot'!E:E,MATCH(A193,'Fiche Lot'!A:A,0)),"")</f>
        <v>#ERROR!</v>
      </c>
      <c r="F193" s="235"/>
      <c r="G193" s="235" t="str">
        <f>IFERROR(INDEX('Fiche Lot'!H:H,MATCH(A193,'Fiche Lot'!A:A,0)),"")</f>
        <v>#ERROR!</v>
      </c>
      <c r="H193" s="235"/>
      <c r="I193" s="235"/>
      <c r="J193" s="237" t="str">
        <f>IFERROR(H193/G193,"")</f>
        <v>#ERROR!</v>
      </c>
      <c r="K193" s="283"/>
      <c r="L193" s="283"/>
      <c r="M193" s="283"/>
      <c r="N193" s="283" t="str">
        <f>IFERROR(K193-M193,"")</f>
        <v>#ERROR!</v>
      </c>
      <c r="O193" s="237" t="str">
        <f>IFERROR(N193/K193,"")</f>
        <v>#ERROR!</v>
      </c>
      <c r="P193" s="235" t="str">
        <f>IFERROR(INDEX('Fiche Lot'!J:J,MATCH(A193,'Fiche Lot'!A:A,0)),"")</f>
        <v>#ERROR!</v>
      </c>
      <c r="Q193" s="270" t="str">
        <f>IFERROR(INDEX('Fiche Lot'!L:L,MATCH(A193,'Fiche Lot'!A:A,0)),"")</f>
        <v>#ERROR!</v>
      </c>
      <c r="R193" s="235" t="str">
        <f>IFERROR(INDEX('Fiche Lot'!M:M,MATCH(A193,'Fiche Lot'!A:A,0)),"")</f>
        <v>#ERROR!</v>
      </c>
      <c r="S193" s="235" t="str">
        <f>IFERROR(INDEX('Fiche Lot'!G:G,MATCH(A193,'Fiche Lot'!A:A,0)),"")</f>
        <v>#ERROR!</v>
      </c>
      <c r="T193" s="235"/>
      <c r="U193" s="240"/>
    </row>
    <row r="194" ht="15.0" customHeight="1">
      <c r="A194" s="282"/>
      <c r="B194" s="266" t="str">
        <f>IFERROR(INDEX('Fiche Lot'!B:B,MATCH(A194,'Fiche Lot'!A:A,0)),"")</f>
        <v>#ERROR!</v>
      </c>
      <c r="C194" s="227" t="str">
        <f>IFERROR(INDEX('Fiche Lot'!C:C,MATCH(A194,'Fiche Lot'!A:A,0)),"")</f>
        <v>#ERROR!</v>
      </c>
      <c r="D194" s="227" t="str">
        <f>IFERROR(INDEX('Fiche Lot'!D:D,MATCH(A194,'Fiche Lot'!A:A,0)),"")</f>
        <v>#ERROR!</v>
      </c>
      <c r="E194" s="227" t="str">
        <f>IFERROR(INDEX('Fiche Lot'!E:E,MATCH(A194,'Fiche Lot'!A:A,0)),"")</f>
        <v>#ERROR!</v>
      </c>
      <c r="F194" s="227"/>
      <c r="G194" s="227" t="str">
        <f>IFERROR(INDEX('Fiche Lot'!H:H,MATCH(A194,'Fiche Lot'!A:A,0)),"")</f>
        <v>#ERROR!</v>
      </c>
      <c r="H194" s="227"/>
      <c r="I194" s="227"/>
      <c r="J194" s="230" t="str">
        <f>IFERROR(H194/G194,"")</f>
        <v>#ERROR!</v>
      </c>
      <c r="K194" s="281"/>
      <c r="L194" s="281"/>
      <c r="M194" s="281"/>
      <c r="N194" s="281" t="str">
        <f>IFERROR(K194-M194,"")</f>
        <v>#ERROR!</v>
      </c>
      <c r="O194" s="230" t="str">
        <f>IFERROR(N194/K194,"")</f>
        <v>#ERROR!</v>
      </c>
      <c r="P194" s="227" t="str">
        <f>IFERROR(INDEX('Fiche Lot'!J:J,MATCH(A194,'Fiche Lot'!A:A,0)),"")</f>
        <v>#ERROR!</v>
      </c>
      <c r="Q194" s="266" t="str">
        <f>IFERROR(INDEX('Fiche Lot'!L:L,MATCH(A194,'Fiche Lot'!A:A,0)),"")</f>
        <v>#ERROR!</v>
      </c>
      <c r="R194" s="227" t="str">
        <f>IFERROR(INDEX('Fiche Lot'!M:M,MATCH(A194,'Fiche Lot'!A:A,0)),"")</f>
        <v>#ERROR!</v>
      </c>
      <c r="S194" s="227" t="str">
        <f>IFERROR(INDEX('Fiche Lot'!G:G,MATCH(A194,'Fiche Lot'!A:A,0)),"")</f>
        <v>#ERROR!</v>
      </c>
      <c r="T194" s="227"/>
      <c r="U194" s="233"/>
    </row>
    <row r="195" ht="15.0" customHeight="1">
      <c r="A195" s="282"/>
      <c r="B195" s="270" t="str">
        <f>IFERROR(INDEX('Fiche Lot'!B:B,MATCH(A195,'Fiche Lot'!A:A,0)),"")</f>
        <v>#ERROR!</v>
      </c>
      <c r="C195" s="235" t="str">
        <f>IFERROR(INDEX('Fiche Lot'!C:C,MATCH(A195,'Fiche Lot'!A:A,0)),"")</f>
        <v>#ERROR!</v>
      </c>
      <c r="D195" s="235" t="str">
        <f>IFERROR(INDEX('Fiche Lot'!D:D,MATCH(A195,'Fiche Lot'!A:A,0)),"")</f>
        <v>#ERROR!</v>
      </c>
      <c r="E195" s="235" t="str">
        <f>IFERROR(INDEX('Fiche Lot'!E:E,MATCH(A195,'Fiche Lot'!A:A,0)),"")</f>
        <v>#ERROR!</v>
      </c>
      <c r="F195" s="235"/>
      <c r="G195" s="235" t="str">
        <f>IFERROR(INDEX('Fiche Lot'!H:H,MATCH(A195,'Fiche Lot'!A:A,0)),"")</f>
        <v>#ERROR!</v>
      </c>
      <c r="H195" s="235"/>
      <c r="I195" s="235"/>
      <c r="J195" s="237" t="str">
        <f>IFERROR(H195/G195,"")</f>
        <v>#ERROR!</v>
      </c>
      <c r="K195" s="283"/>
      <c r="L195" s="283"/>
      <c r="M195" s="283"/>
      <c r="N195" s="283" t="str">
        <f>IFERROR(K195-M195,"")</f>
        <v>#ERROR!</v>
      </c>
      <c r="O195" s="237" t="str">
        <f>IFERROR(N195/K195,"")</f>
        <v>#ERROR!</v>
      </c>
      <c r="P195" s="235" t="str">
        <f>IFERROR(INDEX('Fiche Lot'!J:J,MATCH(A195,'Fiche Lot'!A:A,0)),"")</f>
        <v>#ERROR!</v>
      </c>
      <c r="Q195" s="270" t="str">
        <f>IFERROR(INDEX('Fiche Lot'!L:L,MATCH(A195,'Fiche Lot'!A:A,0)),"")</f>
        <v>#ERROR!</v>
      </c>
      <c r="R195" s="235" t="str">
        <f>IFERROR(INDEX('Fiche Lot'!M:M,MATCH(A195,'Fiche Lot'!A:A,0)),"")</f>
        <v>#ERROR!</v>
      </c>
      <c r="S195" s="235" t="str">
        <f>IFERROR(INDEX('Fiche Lot'!G:G,MATCH(A195,'Fiche Lot'!A:A,0)),"")</f>
        <v>#ERROR!</v>
      </c>
      <c r="T195" s="235"/>
      <c r="U195" s="240"/>
    </row>
    <row r="196" ht="15.0" customHeight="1">
      <c r="A196" s="282"/>
      <c r="B196" s="266" t="str">
        <f>IFERROR(INDEX('Fiche Lot'!B:B,MATCH(A196,'Fiche Lot'!A:A,0)),"")</f>
        <v>#ERROR!</v>
      </c>
      <c r="C196" s="227" t="str">
        <f>IFERROR(INDEX('Fiche Lot'!C:C,MATCH(A196,'Fiche Lot'!A:A,0)),"")</f>
        <v>#ERROR!</v>
      </c>
      <c r="D196" s="227" t="str">
        <f>IFERROR(INDEX('Fiche Lot'!D:D,MATCH(A196,'Fiche Lot'!A:A,0)),"")</f>
        <v>#ERROR!</v>
      </c>
      <c r="E196" s="227" t="str">
        <f>IFERROR(INDEX('Fiche Lot'!E:E,MATCH(A196,'Fiche Lot'!A:A,0)),"")</f>
        <v>#ERROR!</v>
      </c>
      <c r="F196" s="227"/>
      <c r="G196" s="227" t="str">
        <f>IFERROR(INDEX('Fiche Lot'!H:H,MATCH(A196,'Fiche Lot'!A:A,0)),"")</f>
        <v>#ERROR!</v>
      </c>
      <c r="H196" s="227"/>
      <c r="I196" s="227"/>
      <c r="J196" s="230" t="str">
        <f>IFERROR(H196/G196,"")</f>
        <v>#ERROR!</v>
      </c>
      <c r="K196" s="281"/>
      <c r="L196" s="281"/>
      <c r="M196" s="281"/>
      <c r="N196" s="281" t="str">
        <f>IFERROR(K196-M196,"")</f>
        <v>#ERROR!</v>
      </c>
      <c r="O196" s="230" t="str">
        <f>IFERROR(N196/K196,"")</f>
        <v>#ERROR!</v>
      </c>
      <c r="P196" s="227" t="str">
        <f>IFERROR(INDEX('Fiche Lot'!J:J,MATCH(A196,'Fiche Lot'!A:A,0)),"")</f>
        <v>#ERROR!</v>
      </c>
      <c r="Q196" s="266" t="str">
        <f>IFERROR(INDEX('Fiche Lot'!L:L,MATCH(A196,'Fiche Lot'!A:A,0)),"")</f>
        <v>#ERROR!</v>
      </c>
      <c r="R196" s="227" t="str">
        <f>IFERROR(INDEX('Fiche Lot'!M:M,MATCH(A196,'Fiche Lot'!A:A,0)),"")</f>
        <v>#ERROR!</v>
      </c>
      <c r="S196" s="227" t="str">
        <f>IFERROR(INDEX('Fiche Lot'!G:G,MATCH(A196,'Fiche Lot'!A:A,0)),"")</f>
        <v>#ERROR!</v>
      </c>
      <c r="T196" s="227"/>
      <c r="U196" s="233"/>
    </row>
    <row r="197" ht="15.0" customHeight="1">
      <c r="A197" s="282"/>
      <c r="B197" s="270" t="str">
        <f>IFERROR(INDEX('Fiche Lot'!B:B,MATCH(A197,'Fiche Lot'!A:A,0)),"")</f>
        <v>#ERROR!</v>
      </c>
      <c r="C197" s="235" t="str">
        <f>IFERROR(INDEX('Fiche Lot'!C:C,MATCH(A197,'Fiche Lot'!A:A,0)),"")</f>
        <v>#ERROR!</v>
      </c>
      <c r="D197" s="235" t="str">
        <f>IFERROR(INDEX('Fiche Lot'!D:D,MATCH(A197,'Fiche Lot'!A:A,0)),"")</f>
        <v>#ERROR!</v>
      </c>
      <c r="E197" s="235" t="str">
        <f>IFERROR(INDEX('Fiche Lot'!E:E,MATCH(A197,'Fiche Lot'!A:A,0)),"")</f>
        <v>#ERROR!</v>
      </c>
      <c r="F197" s="235"/>
      <c r="G197" s="235" t="str">
        <f>IFERROR(INDEX('Fiche Lot'!H:H,MATCH(A197,'Fiche Lot'!A:A,0)),"")</f>
        <v>#ERROR!</v>
      </c>
      <c r="H197" s="235"/>
      <c r="I197" s="235"/>
      <c r="J197" s="237" t="str">
        <f>IFERROR(H197/G197,"")</f>
        <v>#ERROR!</v>
      </c>
      <c r="K197" s="283"/>
      <c r="L197" s="283"/>
      <c r="M197" s="283"/>
      <c r="N197" s="283" t="str">
        <f>IFERROR(K197-M197,"")</f>
        <v>#ERROR!</v>
      </c>
      <c r="O197" s="237" t="str">
        <f>IFERROR(N197/K197,"")</f>
        <v>#ERROR!</v>
      </c>
      <c r="P197" s="235" t="str">
        <f>IFERROR(INDEX('Fiche Lot'!J:J,MATCH(A197,'Fiche Lot'!A:A,0)),"")</f>
        <v>#ERROR!</v>
      </c>
      <c r="Q197" s="270" t="str">
        <f>IFERROR(INDEX('Fiche Lot'!L:L,MATCH(A197,'Fiche Lot'!A:A,0)),"")</f>
        <v>#ERROR!</v>
      </c>
      <c r="R197" s="235" t="str">
        <f>IFERROR(INDEX('Fiche Lot'!M:M,MATCH(A197,'Fiche Lot'!A:A,0)),"")</f>
        <v>#ERROR!</v>
      </c>
      <c r="S197" s="235" t="str">
        <f>IFERROR(INDEX('Fiche Lot'!G:G,MATCH(A197,'Fiche Lot'!A:A,0)),"")</f>
        <v>#ERROR!</v>
      </c>
      <c r="T197" s="235"/>
      <c r="U197" s="240"/>
    </row>
    <row r="198" ht="15.0" customHeight="1">
      <c r="A198" s="282"/>
      <c r="B198" s="266" t="str">
        <f>IFERROR(INDEX('Fiche Lot'!B:B,MATCH(A198,'Fiche Lot'!A:A,0)),"")</f>
        <v>#ERROR!</v>
      </c>
      <c r="C198" s="227" t="str">
        <f>IFERROR(INDEX('Fiche Lot'!C:C,MATCH(A198,'Fiche Lot'!A:A,0)),"")</f>
        <v>#ERROR!</v>
      </c>
      <c r="D198" s="227" t="str">
        <f>IFERROR(INDEX('Fiche Lot'!D:D,MATCH(A198,'Fiche Lot'!A:A,0)),"")</f>
        <v>#ERROR!</v>
      </c>
      <c r="E198" s="227" t="str">
        <f>IFERROR(INDEX('Fiche Lot'!E:E,MATCH(A198,'Fiche Lot'!A:A,0)),"")</f>
        <v>#ERROR!</v>
      </c>
      <c r="F198" s="227"/>
      <c r="G198" s="227" t="str">
        <f>IFERROR(INDEX('Fiche Lot'!H:H,MATCH(A198,'Fiche Lot'!A:A,0)),"")</f>
        <v>#ERROR!</v>
      </c>
      <c r="H198" s="227"/>
      <c r="I198" s="227"/>
      <c r="J198" s="230" t="str">
        <f>IFERROR(H198/G198,"")</f>
        <v>#ERROR!</v>
      </c>
      <c r="K198" s="281"/>
      <c r="L198" s="281"/>
      <c r="M198" s="281"/>
      <c r="N198" s="281" t="str">
        <f>IFERROR(K198-M198,"")</f>
        <v>#ERROR!</v>
      </c>
      <c r="O198" s="230" t="str">
        <f>IFERROR(N198/K198,"")</f>
        <v>#ERROR!</v>
      </c>
      <c r="P198" s="227" t="str">
        <f>IFERROR(INDEX('Fiche Lot'!J:J,MATCH(A198,'Fiche Lot'!A:A,0)),"")</f>
        <v>#ERROR!</v>
      </c>
      <c r="Q198" s="266" t="str">
        <f>IFERROR(INDEX('Fiche Lot'!L:L,MATCH(A198,'Fiche Lot'!A:A,0)),"")</f>
        <v>#ERROR!</v>
      </c>
      <c r="R198" s="227" t="str">
        <f>IFERROR(INDEX('Fiche Lot'!M:M,MATCH(A198,'Fiche Lot'!A:A,0)),"")</f>
        <v>#ERROR!</v>
      </c>
      <c r="S198" s="227" t="str">
        <f>IFERROR(INDEX('Fiche Lot'!G:G,MATCH(A198,'Fiche Lot'!A:A,0)),"")</f>
        <v>#ERROR!</v>
      </c>
      <c r="T198" s="227"/>
      <c r="U198" s="233"/>
    </row>
    <row r="199" ht="15.0" customHeight="1">
      <c r="A199" s="282"/>
      <c r="B199" s="270" t="str">
        <f>IFERROR(INDEX('Fiche Lot'!B:B,MATCH(A199,'Fiche Lot'!A:A,0)),"")</f>
        <v>#ERROR!</v>
      </c>
      <c r="C199" s="235" t="str">
        <f>IFERROR(INDEX('Fiche Lot'!C:C,MATCH(A199,'Fiche Lot'!A:A,0)),"")</f>
        <v>#ERROR!</v>
      </c>
      <c r="D199" s="235" t="str">
        <f>IFERROR(INDEX('Fiche Lot'!D:D,MATCH(A199,'Fiche Lot'!A:A,0)),"")</f>
        <v>#ERROR!</v>
      </c>
      <c r="E199" s="235" t="str">
        <f>IFERROR(INDEX('Fiche Lot'!E:E,MATCH(A199,'Fiche Lot'!A:A,0)),"")</f>
        <v>#ERROR!</v>
      </c>
      <c r="F199" s="235"/>
      <c r="G199" s="235" t="str">
        <f>IFERROR(INDEX('Fiche Lot'!H:H,MATCH(A199,'Fiche Lot'!A:A,0)),"")</f>
        <v>#ERROR!</v>
      </c>
      <c r="H199" s="235"/>
      <c r="I199" s="235"/>
      <c r="J199" s="237" t="str">
        <f>IFERROR(H199/G199,"")</f>
        <v>#ERROR!</v>
      </c>
      <c r="K199" s="283"/>
      <c r="L199" s="283"/>
      <c r="M199" s="283"/>
      <c r="N199" s="283" t="str">
        <f>IFERROR(K199-M199,"")</f>
        <v>#ERROR!</v>
      </c>
      <c r="O199" s="237" t="str">
        <f>IFERROR(N199/K199,"")</f>
        <v>#ERROR!</v>
      </c>
      <c r="P199" s="235" t="str">
        <f>IFERROR(INDEX('Fiche Lot'!J:J,MATCH(A199,'Fiche Lot'!A:A,0)),"")</f>
        <v>#ERROR!</v>
      </c>
      <c r="Q199" s="270" t="str">
        <f>IFERROR(INDEX('Fiche Lot'!L:L,MATCH(A199,'Fiche Lot'!A:A,0)),"")</f>
        <v>#ERROR!</v>
      </c>
      <c r="R199" s="235" t="str">
        <f>IFERROR(INDEX('Fiche Lot'!M:M,MATCH(A199,'Fiche Lot'!A:A,0)),"")</f>
        <v>#ERROR!</v>
      </c>
      <c r="S199" s="235" t="str">
        <f>IFERROR(INDEX('Fiche Lot'!G:G,MATCH(A199,'Fiche Lot'!A:A,0)),"")</f>
        <v>#ERROR!</v>
      </c>
      <c r="T199" s="235"/>
      <c r="U199" s="240"/>
    </row>
    <row r="200" ht="15.0" customHeight="1">
      <c r="A200" s="282"/>
      <c r="B200" s="266" t="str">
        <f>IFERROR(INDEX('Fiche Lot'!B:B,MATCH(A200,'Fiche Lot'!A:A,0)),"")</f>
        <v>#ERROR!</v>
      </c>
      <c r="C200" s="227" t="str">
        <f>IFERROR(INDEX('Fiche Lot'!C:C,MATCH(A200,'Fiche Lot'!A:A,0)),"")</f>
        <v>#ERROR!</v>
      </c>
      <c r="D200" s="227" t="str">
        <f>IFERROR(INDEX('Fiche Lot'!D:D,MATCH(A200,'Fiche Lot'!A:A,0)),"")</f>
        <v>#ERROR!</v>
      </c>
      <c r="E200" s="227" t="str">
        <f>IFERROR(INDEX('Fiche Lot'!E:E,MATCH(A200,'Fiche Lot'!A:A,0)),"")</f>
        <v>#ERROR!</v>
      </c>
      <c r="F200" s="227"/>
      <c r="G200" s="227" t="str">
        <f>IFERROR(INDEX('Fiche Lot'!H:H,MATCH(A200,'Fiche Lot'!A:A,0)),"")</f>
        <v>#ERROR!</v>
      </c>
      <c r="H200" s="227"/>
      <c r="I200" s="227"/>
      <c r="J200" s="230" t="str">
        <f>IFERROR(H200/G200,"")</f>
        <v>#ERROR!</v>
      </c>
      <c r="K200" s="281"/>
      <c r="L200" s="281"/>
      <c r="M200" s="281"/>
      <c r="N200" s="281" t="str">
        <f>IFERROR(K200-M200,"")</f>
        <v>#ERROR!</v>
      </c>
      <c r="O200" s="230" t="str">
        <f>IFERROR(N200/K200,"")</f>
        <v>#ERROR!</v>
      </c>
      <c r="P200" s="227" t="str">
        <f>IFERROR(INDEX('Fiche Lot'!J:J,MATCH(A200,'Fiche Lot'!A:A,0)),"")</f>
        <v>#ERROR!</v>
      </c>
      <c r="Q200" s="266" t="str">
        <f>IFERROR(INDEX('Fiche Lot'!L:L,MATCH(A200,'Fiche Lot'!A:A,0)),"")</f>
        <v>#ERROR!</v>
      </c>
      <c r="R200" s="227" t="str">
        <f>IFERROR(INDEX('Fiche Lot'!M:M,MATCH(A200,'Fiche Lot'!A:A,0)),"")</f>
        <v>#ERROR!</v>
      </c>
      <c r="S200" s="227" t="str">
        <f>IFERROR(INDEX('Fiche Lot'!G:G,MATCH(A200,'Fiche Lot'!A:A,0)),"")</f>
        <v>#ERROR!</v>
      </c>
      <c r="T200" s="227"/>
      <c r="U200" s="233"/>
    </row>
    <row r="201" ht="15.0" customHeight="1">
      <c r="A201" s="282"/>
      <c r="B201" s="270" t="str">
        <f>IFERROR(INDEX('Fiche Lot'!B:B,MATCH(A201,'Fiche Lot'!A:A,0)),"")</f>
        <v>#ERROR!</v>
      </c>
      <c r="C201" s="235" t="str">
        <f>IFERROR(INDEX('Fiche Lot'!C:C,MATCH(A201,'Fiche Lot'!A:A,0)),"")</f>
        <v>#ERROR!</v>
      </c>
      <c r="D201" s="235" t="str">
        <f>IFERROR(INDEX('Fiche Lot'!D:D,MATCH(A201,'Fiche Lot'!A:A,0)),"")</f>
        <v>#ERROR!</v>
      </c>
      <c r="E201" s="235" t="str">
        <f>IFERROR(INDEX('Fiche Lot'!E:E,MATCH(A201,'Fiche Lot'!A:A,0)),"")</f>
        <v>#ERROR!</v>
      </c>
      <c r="F201" s="235"/>
      <c r="G201" s="235" t="str">
        <f>IFERROR(INDEX('Fiche Lot'!H:H,MATCH(A201,'Fiche Lot'!A:A,0)),"")</f>
        <v>#ERROR!</v>
      </c>
      <c r="H201" s="235"/>
      <c r="I201" s="235"/>
      <c r="J201" s="237" t="str">
        <f>IFERROR(H201/G201,"")</f>
        <v>#ERROR!</v>
      </c>
      <c r="K201" s="283"/>
      <c r="L201" s="283"/>
      <c r="M201" s="283"/>
      <c r="N201" s="283" t="str">
        <f>IFERROR(K201-M201,"")</f>
        <v>#ERROR!</v>
      </c>
      <c r="O201" s="237" t="str">
        <f>IFERROR(N201/K201,"")</f>
        <v>#ERROR!</v>
      </c>
      <c r="P201" s="235" t="str">
        <f>IFERROR(INDEX('Fiche Lot'!J:J,MATCH(A201,'Fiche Lot'!A:A,0)),"")</f>
        <v>#ERROR!</v>
      </c>
      <c r="Q201" s="270" t="str">
        <f>IFERROR(INDEX('Fiche Lot'!L:L,MATCH(A201,'Fiche Lot'!A:A,0)),"")</f>
        <v>#ERROR!</v>
      </c>
      <c r="R201" s="235" t="str">
        <f>IFERROR(INDEX('Fiche Lot'!M:M,MATCH(A201,'Fiche Lot'!A:A,0)),"")</f>
        <v>#ERROR!</v>
      </c>
      <c r="S201" s="235" t="str">
        <f>IFERROR(INDEX('Fiche Lot'!G:G,MATCH(A201,'Fiche Lot'!A:A,0)),"")</f>
        <v>#ERROR!</v>
      </c>
      <c r="T201" s="235"/>
      <c r="U201" s="240"/>
    </row>
    <row r="202" ht="15.0" customHeight="1">
      <c r="A202" s="282"/>
      <c r="B202" s="266" t="str">
        <f>IFERROR(INDEX('Fiche Lot'!B:B,MATCH(A202,'Fiche Lot'!A:A,0)),"")</f>
        <v>#ERROR!</v>
      </c>
      <c r="C202" s="227" t="str">
        <f>IFERROR(INDEX('Fiche Lot'!C:C,MATCH(A202,'Fiche Lot'!A:A,0)),"")</f>
        <v>#ERROR!</v>
      </c>
      <c r="D202" s="227" t="str">
        <f>IFERROR(INDEX('Fiche Lot'!D:D,MATCH(A202,'Fiche Lot'!A:A,0)),"")</f>
        <v>#ERROR!</v>
      </c>
      <c r="E202" s="227" t="str">
        <f>IFERROR(INDEX('Fiche Lot'!E:E,MATCH(A202,'Fiche Lot'!A:A,0)),"")</f>
        <v>#ERROR!</v>
      </c>
      <c r="F202" s="227"/>
      <c r="G202" s="227" t="str">
        <f>IFERROR(INDEX('Fiche Lot'!H:H,MATCH(A202,'Fiche Lot'!A:A,0)),"")</f>
        <v>#ERROR!</v>
      </c>
      <c r="H202" s="227"/>
      <c r="I202" s="227"/>
      <c r="J202" s="230" t="str">
        <f>IFERROR(H202/G202,"")</f>
        <v>#ERROR!</v>
      </c>
      <c r="K202" s="281"/>
      <c r="L202" s="281"/>
      <c r="M202" s="281"/>
      <c r="N202" s="281" t="str">
        <f>IFERROR(K202-M202,"")</f>
        <v>#ERROR!</v>
      </c>
      <c r="O202" s="230" t="str">
        <f>IFERROR(N202/K202,"")</f>
        <v>#ERROR!</v>
      </c>
      <c r="P202" s="227" t="str">
        <f>IFERROR(INDEX('Fiche Lot'!J:J,MATCH(A202,'Fiche Lot'!A:A,0)),"")</f>
        <v>#ERROR!</v>
      </c>
      <c r="Q202" s="266" t="str">
        <f>IFERROR(INDEX('Fiche Lot'!L:L,MATCH(A202,'Fiche Lot'!A:A,0)),"")</f>
        <v>#ERROR!</v>
      </c>
      <c r="R202" s="227" t="str">
        <f>IFERROR(INDEX('Fiche Lot'!M:M,MATCH(A202,'Fiche Lot'!A:A,0)),"")</f>
        <v>#ERROR!</v>
      </c>
      <c r="S202" s="227" t="str">
        <f>IFERROR(INDEX('Fiche Lot'!G:G,MATCH(A202,'Fiche Lot'!A:A,0)),"")</f>
        <v>#ERROR!</v>
      </c>
      <c r="T202" s="227"/>
      <c r="U202" s="233"/>
    </row>
    <row r="203" ht="15.0" customHeight="1">
      <c r="A203" s="282"/>
      <c r="B203" s="270" t="str">
        <f>IFERROR(INDEX('Fiche Lot'!B:B,MATCH(A203,'Fiche Lot'!A:A,0)),"")</f>
        <v>#ERROR!</v>
      </c>
      <c r="C203" s="235" t="str">
        <f>IFERROR(INDEX('Fiche Lot'!C:C,MATCH(A203,'Fiche Lot'!A:A,0)),"")</f>
        <v>#ERROR!</v>
      </c>
      <c r="D203" s="235" t="str">
        <f>IFERROR(INDEX('Fiche Lot'!D:D,MATCH(A203,'Fiche Lot'!A:A,0)),"")</f>
        <v>#ERROR!</v>
      </c>
      <c r="E203" s="235" t="str">
        <f>IFERROR(INDEX('Fiche Lot'!E:E,MATCH(A203,'Fiche Lot'!A:A,0)),"")</f>
        <v>#ERROR!</v>
      </c>
      <c r="F203" s="235"/>
      <c r="G203" s="235" t="str">
        <f>IFERROR(INDEX('Fiche Lot'!H:H,MATCH(A203,'Fiche Lot'!A:A,0)),"")</f>
        <v>#ERROR!</v>
      </c>
      <c r="H203" s="235"/>
      <c r="I203" s="235"/>
      <c r="J203" s="237" t="str">
        <f>IFERROR(H203/G203,"")</f>
        <v>#ERROR!</v>
      </c>
      <c r="K203" s="283"/>
      <c r="L203" s="283"/>
      <c r="M203" s="283"/>
      <c r="N203" s="283" t="str">
        <f>IFERROR(K203-M203,"")</f>
        <v>#ERROR!</v>
      </c>
      <c r="O203" s="237" t="str">
        <f>IFERROR(N203/K203,"")</f>
        <v>#ERROR!</v>
      </c>
      <c r="P203" s="235" t="str">
        <f>IFERROR(INDEX('Fiche Lot'!J:J,MATCH(A203,'Fiche Lot'!A:A,0)),"")</f>
        <v>#ERROR!</v>
      </c>
      <c r="Q203" s="270" t="str">
        <f>IFERROR(INDEX('Fiche Lot'!L:L,MATCH(A203,'Fiche Lot'!A:A,0)),"")</f>
        <v>#ERROR!</v>
      </c>
      <c r="R203" s="235" t="str">
        <f>IFERROR(INDEX('Fiche Lot'!M:M,MATCH(A203,'Fiche Lot'!A:A,0)),"")</f>
        <v>#ERROR!</v>
      </c>
      <c r="S203" s="235" t="str">
        <f>IFERROR(INDEX('Fiche Lot'!G:G,MATCH(A203,'Fiche Lot'!A:A,0)),"")</f>
        <v>#ERROR!</v>
      </c>
      <c r="T203" s="235"/>
      <c r="U203" s="240"/>
    </row>
    <row r="204" ht="15.0" customHeight="1">
      <c r="A204" s="282"/>
      <c r="B204" s="266" t="str">
        <f>IFERROR(INDEX('Fiche Lot'!B:B,MATCH(A204,'Fiche Lot'!A:A,0)),"")</f>
        <v>#ERROR!</v>
      </c>
      <c r="C204" s="227" t="str">
        <f>IFERROR(INDEX('Fiche Lot'!C:C,MATCH(A204,'Fiche Lot'!A:A,0)),"")</f>
        <v>#ERROR!</v>
      </c>
      <c r="D204" s="227" t="str">
        <f>IFERROR(INDEX('Fiche Lot'!D:D,MATCH(A204,'Fiche Lot'!A:A,0)),"")</f>
        <v>#ERROR!</v>
      </c>
      <c r="E204" s="227" t="str">
        <f>IFERROR(INDEX('Fiche Lot'!E:E,MATCH(A204,'Fiche Lot'!A:A,0)),"")</f>
        <v>#ERROR!</v>
      </c>
      <c r="F204" s="227"/>
      <c r="G204" s="227" t="str">
        <f>IFERROR(INDEX('Fiche Lot'!H:H,MATCH(A204,'Fiche Lot'!A:A,0)),"")</f>
        <v>#ERROR!</v>
      </c>
      <c r="H204" s="227"/>
      <c r="I204" s="227"/>
      <c r="J204" s="230" t="str">
        <f>IFERROR(H204/G204,"")</f>
        <v>#ERROR!</v>
      </c>
      <c r="K204" s="281"/>
      <c r="L204" s="281"/>
      <c r="M204" s="281"/>
      <c r="N204" s="281" t="str">
        <f>IFERROR(K204-M204,"")</f>
        <v>#ERROR!</v>
      </c>
      <c r="O204" s="230" t="str">
        <f>IFERROR(N204/K204,"")</f>
        <v>#ERROR!</v>
      </c>
      <c r="P204" s="227" t="str">
        <f>IFERROR(INDEX('Fiche Lot'!J:J,MATCH(A204,'Fiche Lot'!A:A,0)),"")</f>
        <v>#ERROR!</v>
      </c>
      <c r="Q204" s="266" t="str">
        <f>IFERROR(INDEX('Fiche Lot'!L:L,MATCH(A204,'Fiche Lot'!A:A,0)),"")</f>
        <v>#ERROR!</v>
      </c>
      <c r="R204" s="227" t="str">
        <f>IFERROR(INDEX('Fiche Lot'!M:M,MATCH(A204,'Fiche Lot'!A:A,0)),"")</f>
        <v>#ERROR!</v>
      </c>
      <c r="S204" s="227" t="str">
        <f>IFERROR(INDEX('Fiche Lot'!G:G,MATCH(A204,'Fiche Lot'!A:A,0)),"")</f>
        <v>#ERROR!</v>
      </c>
      <c r="T204" s="227"/>
      <c r="U204" s="233"/>
    </row>
    <row r="205" ht="15.0" customHeight="1">
      <c r="A205" s="282"/>
      <c r="B205" s="270" t="str">
        <f>IFERROR(INDEX('Fiche Lot'!B:B,MATCH(A205,'Fiche Lot'!A:A,0)),"")</f>
        <v>#ERROR!</v>
      </c>
      <c r="C205" s="235" t="str">
        <f>IFERROR(INDEX('Fiche Lot'!C:C,MATCH(A205,'Fiche Lot'!A:A,0)),"")</f>
        <v>#ERROR!</v>
      </c>
      <c r="D205" s="235" t="str">
        <f>IFERROR(INDEX('Fiche Lot'!D:D,MATCH(A205,'Fiche Lot'!A:A,0)),"")</f>
        <v>#ERROR!</v>
      </c>
      <c r="E205" s="235" t="str">
        <f>IFERROR(INDEX('Fiche Lot'!E:E,MATCH(A205,'Fiche Lot'!A:A,0)),"")</f>
        <v>#ERROR!</v>
      </c>
      <c r="F205" s="235"/>
      <c r="G205" s="235" t="str">
        <f>IFERROR(INDEX('Fiche Lot'!H:H,MATCH(A205,'Fiche Lot'!A:A,0)),"")</f>
        <v>#ERROR!</v>
      </c>
      <c r="H205" s="235"/>
      <c r="I205" s="235"/>
      <c r="J205" s="237" t="str">
        <f>IFERROR(H205/G205,"")</f>
        <v>#ERROR!</v>
      </c>
      <c r="K205" s="283"/>
      <c r="L205" s="283"/>
      <c r="M205" s="283"/>
      <c r="N205" s="283" t="str">
        <f>IFERROR(K205-M205,"")</f>
        <v>#ERROR!</v>
      </c>
      <c r="O205" s="237" t="str">
        <f>IFERROR(N205/K205,"")</f>
        <v>#ERROR!</v>
      </c>
      <c r="P205" s="235" t="str">
        <f>IFERROR(INDEX('Fiche Lot'!J:J,MATCH(A205,'Fiche Lot'!A:A,0)),"")</f>
        <v>#ERROR!</v>
      </c>
      <c r="Q205" s="270" t="str">
        <f>IFERROR(INDEX('Fiche Lot'!L:L,MATCH(A205,'Fiche Lot'!A:A,0)),"")</f>
        <v>#ERROR!</v>
      </c>
      <c r="R205" s="235" t="str">
        <f>IFERROR(INDEX('Fiche Lot'!M:M,MATCH(A205,'Fiche Lot'!A:A,0)),"")</f>
        <v>#ERROR!</v>
      </c>
      <c r="S205" s="235" t="str">
        <f>IFERROR(INDEX('Fiche Lot'!G:G,MATCH(A205,'Fiche Lot'!A:A,0)),"")</f>
        <v>#ERROR!</v>
      </c>
      <c r="T205" s="235"/>
      <c r="U205" s="240"/>
    </row>
    <row r="206" ht="15.0" customHeight="1">
      <c r="A206" s="282"/>
      <c r="B206" s="266" t="str">
        <f>IFERROR(INDEX('Fiche Lot'!B:B,MATCH(A206,'Fiche Lot'!A:A,0)),"")</f>
        <v>#ERROR!</v>
      </c>
      <c r="C206" s="227" t="str">
        <f>IFERROR(INDEX('Fiche Lot'!C:C,MATCH(A206,'Fiche Lot'!A:A,0)),"")</f>
        <v>#ERROR!</v>
      </c>
      <c r="D206" s="227" t="str">
        <f>IFERROR(INDEX('Fiche Lot'!D:D,MATCH(A206,'Fiche Lot'!A:A,0)),"")</f>
        <v>#ERROR!</v>
      </c>
      <c r="E206" s="227" t="str">
        <f>IFERROR(INDEX('Fiche Lot'!E:E,MATCH(A206,'Fiche Lot'!A:A,0)),"")</f>
        <v>#ERROR!</v>
      </c>
      <c r="F206" s="227"/>
      <c r="G206" s="227" t="str">
        <f>IFERROR(INDEX('Fiche Lot'!H:H,MATCH(A206,'Fiche Lot'!A:A,0)),"")</f>
        <v>#ERROR!</v>
      </c>
      <c r="H206" s="227"/>
      <c r="I206" s="227"/>
      <c r="J206" s="230" t="str">
        <f>IFERROR(H206/G206,"")</f>
        <v>#ERROR!</v>
      </c>
      <c r="K206" s="281"/>
      <c r="L206" s="281"/>
      <c r="M206" s="281"/>
      <c r="N206" s="281" t="str">
        <f>IFERROR(K206-M206,"")</f>
        <v>#ERROR!</v>
      </c>
      <c r="O206" s="230" t="str">
        <f>IFERROR(N206/K206,"")</f>
        <v>#ERROR!</v>
      </c>
      <c r="P206" s="227" t="str">
        <f>IFERROR(INDEX('Fiche Lot'!J:J,MATCH(A206,'Fiche Lot'!A:A,0)),"")</f>
        <v>#ERROR!</v>
      </c>
      <c r="Q206" s="266" t="str">
        <f>IFERROR(INDEX('Fiche Lot'!L:L,MATCH(A206,'Fiche Lot'!A:A,0)),"")</f>
        <v>#ERROR!</v>
      </c>
      <c r="R206" s="227" t="str">
        <f>IFERROR(INDEX('Fiche Lot'!M:M,MATCH(A206,'Fiche Lot'!A:A,0)),"")</f>
        <v>#ERROR!</v>
      </c>
      <c r="S206" s="227" t="str">
        <f>IFERROR(INDEX('Fiche Lot'!G:G,MATCH(A206,'Fiche Lot'!A:A,0)),"")</f>
        <v>#ERROR!</v>
      </c>
      <c r="T206" s="227"/>
      <c r="U206" s="233"/>
    </row>
    <row r="207" ht="15.0" customHeight="1">
      <c r="A207" s="282"/>
      <c r="B207" s="270" t="str">
        <f>IFERROR(INDEX('Fiche Lot'!B:B,MATCH(A207,'Fiche Lot'!A:A,0)),"")</f>
        <v>#ERROR!</v>
      </c>
      <c r="C207" s="235" t="str">
        <f>IFERROR(INDEX('Fiche Lot'!C:C,MATCH(A207,'Fiche Lot'!A:A,0)),"")</f>
        <v>#ERROR!</v>
      </c>
      <c r="D207" s="235" t="str">
        <f>IFERROR(INDEX('Fiche Lot'!D:D,MATCH(A207,'Fiche Lot'!A:A,0)),"")</f>
        <v>#ERROR!</v>
      </c>
      <c r="E207" s="235" t="str">
        <f>IFERROR(INDEX('Fiche Lot'!E:E,MATCH(A207,'Fiche Lot'!A:A,0)),"")</f>
        <v>#ERROR!</v>
      </c>
      <c r="F207" s="235"/>
      <c r="G207" s="235" t="str">
        <f>IFERROR(INDEX('Fiche Lot'!H:H,MATCH(A207,'Fiche Lot'!A:A,0)),"")</f>
        <v>#ERROR!</v>
      </c>
      <c r="H207" s="235"/>
      <c r="I207" s="235"/>
      <c r="J207" s="237" t="str">
        <f>IFERROR(H207/G207,"")</f>
        <v>#ERROR!</v>
      </c>
      <c r="K207" s="283"/>
      <c r="L207" s="283"/>
      <c r="M207" s="283"/>
      <c r="N207" s="283" t="str">
        <f>IFERROR(K207-M207,"")</f>
        <v>#ERROR!</v>
      </c>
      <c r="O207" s="237" t="str">
        <f>IFERROR(N207/K207,"")</f>
        <v>#ERROR!</v>
      </c>
      <c r="P207" s="235" t="str">
        <f>IFERROR(INDEX('Fiche Lot'!J:J,MATCH(A207,'Fiche Lot'!A:A,0)),"")</f>
        <v>#ERROR!</v>
      </c>
      <c r="Q207" s="270" t="str">
        <f>IFERROR(INDEX('Fiche Lot'!L:L,MATCH(A207,'Fiche Lot'!A:A,0)),"")</f>
        <v>#ERROR!</v>
      </c>
      <c r="R207" s="235" t="str">
        <f>IFERROR(INDEX('Fiche Lot'!M:M,MATCH(A207,'Fiche Lot'!A:A,0)),"")</f>
        <v>#ERROR!</v>
      </c>
      <c r="S207" s="235" t="str">
        <f>IFERROR(INDEX('Fiche Lot'!G:G,MATCH(A207,'Fiche Lot'!A:A,0)),"")</f>
        <v>#ERROR!</v>
      </c>
      <c r="T207" s="235"/>
      <c r="U207" s="240"/>
    </row>
    <row r="208" ht="15.0" customHeight="1">
      <c r="A208" s="282"/>
      <c r="B208" s="266" t="str">
        <f>IFERROR(INDEX('Fiche Lot'!B:B,MATCH(A208,'Fiche Lot'!A:A,0)),"")</f>
        <v>#ERROR!</v>
      </c>
      <c r="C208" s="227" t="str">
        <f>IFERROR(INDEX('Fiche Lot'!C:C,MATCH(A208,'Fiche Lot'!A:A,0)),"")</f>
        <v>#ERROR!</v>
      </c>
      <c r="D208" s="227" t="str">
        <f>IFERROR(INDEX('Fiche Lot'!D:D,MATCH(A208,'Fiche Lot'!A:A,0)),"")</f>
        <v>#ERROR!</v>
      </c>
      <c r="E208" s="227" t="str">
        <f>IFERROR(INDEX('Fiche Lot'!E:E,MATCH(A208,'Fiche Lot'!A:A,0)),"")</f>
        <v>#ERROR!</v>
      </c>
      <c r="F208" s="227"/>
      <c r="G208" s="227" t="str">
        <f>IFERROR(INDEX('Fiche Lot'!H:H,MATCH(A208,'Fiche Lot'!A:A,0)),"")</f>
        <v>#ERROR!</v>
      </c>
      <c r="H208" s="227"/>
      <c r="I208" s="227"/>
      <c r="J208" s="230" t="str">
        <f>IFERROR(H208/G208,"")</f>
        <v>#ERROR!</v>
      </c>
      <c r="K208" s="281"/>
      <c r="L208" s="281"/>
      <c r="M208" s="281"/>
      <c r="N208" s="281" t="str">
        <f>IFERROR(K208-M208,"")</f>
        <v>#ERROR!</v>
      </c>
      <c r="O208" s="230" t="str">
        <f>IFERROR(N208/K208,"")</f>
        <v>#ERROR!</v>
      </c>
      <c r="P208" s="227" t="str">
        <f>IFERROR(INDEX('Fiche Lot'!J:J,MATCH(A208,'Fiche Lot'!A:A,0)),"")</f>
        <v>#ERROR!</v>
      </c>
      <c r="Q208" s="266" t="str">
        <f>IFERROR(INDEX('Fiche Lot'!L:L,MATCH(A208,'Fiche Lot'!A:A,0)),"")</f>
        <v>#ERROR!</v>
      </c>
      <c r="R208" s="227" t="str">
        <f>IFERROR(INDEX('Fiche Lot'!M:M,MATCH(A208,'Fiche Lot'!A:A,0)),"")</f>
        <v>#ERROR!</v>
      </c>
      <c r="S208" s="227" t="str">
        <f>IFERROR(INDEX('Fiche Lot'!G:G,MATCH(A208,'Fiche Lot'!A:A,0)),"")</f>
        <v>#ERROR!</v>
      </c>
      <c r="T208" s="227"/>
      <c r="U208" s="233"/>
    </row>
    <row r="209" ht="15.0" customHeight="1">
      <c r="A209" s="282"/>
      <c r="B209" s="270" t="str">
        <f>IFERROR(INDEX('Fiche Lot'!B:B,MATCH(A209,'Fiche Lot'!A:A,0)),"")</f>
        <v>#ERROR!</v>
      </c>
      <c r="C209" s="235" t="str">
        <f>IFERROR(INDEX('Fiche Lot'!C:C,MATCH(A209,'Fiche Lot'!A:A,0)),"")</f>
        <v>#ERROR!</v>
      </c>
      <c r="D209" s="235" t="str">
        <f>IFERROR(INDEX('Fiche Lot'!D:D,MATCH(A209,'Fiche Lot'!A:A,0)),"")</f>
        <v>#ERROR!</v>
      </c>
      <c r="E209" s="235" t="str">
        <f>IFERROR(INDEX('Fiche Lot'!E:E,MATCH(A209,'Fiche Lot'!A:A,0)),"")</f>
        <v>#ERROR!</v>
      </c>
      <c r="F209" s="235"/>
      <c r="G209" s="235" t="str">
        <f>IFERROR(INDEX('Fiche Lot'!H:H,MATCH(A209,'Fiche Lot'!A:A,0)),"")</f>
        <v>#ERROR!</v>
      </c>
      <c r="H209" s="235"/>
      <c r="I209" s="235"/>
      <c r="J209" s="237" t="str">
        <f>IFERROR(H209/G209,"")</f>
        <v>#ERROR!</v>
      </c>
      <c r="K209" s="283"/>
      <c r="L209" s="283"/>
      <c r="M209" s="283"/>
      <c r="N209" s="283" t="str">
        <f>IFERROR(K209-M209,"")</f>
        <v>#ERROR!</v>
      </c>
      <c r="O209" s="237" t="str">
        <f>IFERROR(N209/K209,"")</f>
        <v>#ERROR!</v>
      </c>
      <c r="P209" s="235" t="str">
        <f>IFERROR(INDEX('Fiche Lot'!J:J,MATCH(A209,'Fiche Lot'!A:A,0)),"")</f>
        <v>#ERROR!</v>
      </c>
      <c r="Q209" s="270" t="str">
        <f>IFERROR(INDEX('Fiche Lot'!L:L,MATCH(A209,'Fiche Lot'!A:A,0)),"")</f>
        <v>#ERROR!</v>
      </c>
      <c r="R209" s="235" t="str">
        <f>IFERROR(INDEX('Fiche Lot'!M:M,MATCH(A209,'Fiche Lot'!A:A,0)),"")</f>
        <v>#ERROR!</v>
      </c>
      <c r="S209" s="235" t="str">
        <f>IFERROR(INDEX('Fiche Lot'!G:G,MATCH(A209,'Fiche Lot'!A:A,0)),"")</f>
        <v>#ERROR!</v>
      </c>
      <c r="T209" s="235"/>
      <c r="U209" s="240"/>
    </row>
    <row r="210" ht="15.0" customHeight="1">
      <c r="A210" s="282"/>
      <c r="B210" s="266" t="str">
        <f>IFERROR(INDEX('Fiche Lot'!B:B,MATCH(A210,'Fiche Lot'!A:A,0)),"")</f>
        <v>#ERROR!</v>
      </c>
      <c r="C210" s="227" t="str">
        <f>IFERROR(INDEX('Fiche Lot'!C:C,MATCH(A210,'Fiche Lot'!A:A,0)),"")</f>
        <v>#ERROR!</v>
      </c>
      <c r="D210" s="227" t="str">
        <f>IFERROR(INDEX('Fiche Lot'!D:D,MATCH(A210,'Fiche Lot'!A:A,0)),"")</f>
        <v>#ERROR!</v>
      </c>
      <c r="E210" s="227" t="str">
        <f>IFERROR(INDEX('Fiche Lot'!E:E,MATCH(A210,'Fiche Lot'!A:A,0)),"")</f>
        <v>#ERROR!</v>
      </c>
      <c r="F210" s="227"/>
      <c r="G210" s="227" t="str">
        <f>IFERROR(INDEX('Fiche Lot'!H:H,MATCH(A210,'Fiche Lot'!A:A,0)),"")</f>
        <v>#ERROR!</v>
      </c>
      <c r="H210" s="227"/>
      <c r="I210" s="227"/>
      <c r="J210" s="230" t="str">
        <f>IFERROR(H210/G210,"")</f>
        <v>#ERROR!</v>
      </c>
      <c r="K210" s="281"/>
      <c r="L210" s="281"/>
      <c r="M210" s="281"/>
      <c r="N210" s="281" t="str">
        <f>IFERROR(K210-M210,"")</f>
        <v>#ERROR!</v>
      </c>
      <c r="O210" s="230" t="str">
        <f>IFERROR(N210/K210,"")</f>
        <v>#ERROR!</v>
      </c>
      <c r="P210" s="227" t="str">
        <f>IFERROR(INDEX('Fiche Lot'!J:J,MATCH(A210,'Fiche Lot'!A:A,0)),"")</f>
        <v>#ERROR!</v>
      </c>
      <c r="Q210" s="266" t="str">
        <f>IFERROR(INDEX('Fiche Lot'!L:L,MATCH(A210,'Fiche Lot'!A:A,0)),"")</f>
        <v>#ERROR!</v>
      </c>
      <c r="R210" s="227" t="str">
        <f>IFERROR(INDEX('Fiche Lot'!M:M,MATCH(A210,'Fiche Lot'!A:A,0)),"")</f>
        <v>#ERROR!</v>
      </c>
      <c r="S210" s="227" t="str">
        <f>IFERROR(INDEX('Fiche Lot'!G:G,MATCH(A210,'Fiche Lot'!A:A,0)),"")</f>
        <v>#ERROR!</v>
      </c>
      <c r="T210" s="227"/>
      <c r="U210" s="233"/>
    </row>
    <row r="211" ht="15.0" customHeight="1">
      <c r="A211" s="282"/>
      <c r="B211" s="270" t="str">
        <f>IFERROR(INDEX('Fiche Lot'!B:B,MATCH(A211,'Fiche Lot'!A:A,0)),"")</f>
        <v>#ERROR!</v>
      </c>
      <c r="C211" s="235" t="str">
        <f>IFERROR(INDEX('Fiche Lot'!C:C,MATCH(A211,'Fiche Lot'!A:A,0)),"")</f>
        <v>#ERROR!</v>
      </c>
      <c r="D211" s="235" t="str">
        <f>IFERROR(INDEX('Fiche Lot'!D:D,MATCH(A211,'Fiche Lot'!A:A,0)),"")</f>
        <v>#ERROR!</v>
      </c>
      <c r="E211" s="235" t="str">
        <f>IFERROR(INDEX('Fiche Lot'!E:E,MATCH(A211,'Fiche Lot'!A:A,0)),"")</f>
        <v>#ERROR!</v>
      </c>
      <c r="F211" s="235"/>
      <c r="G211" s="235" t="str">
        <f>IFERROR(INDEX('Fiche Lot'!H:H,MATCH(A211,'Fiche Lot'!A:A,0)),"")</f>
        <v>#ERROR!</v>
      </c>
      <c r="H211" s="235"/>
      <c r="I211" s="235"/>
      <c r="J211" s="237" t="str">
        <f>IFERROR(H211/G211,"")</f>
        <v>#ERROR!</v>
      </c>
      <c r="K211" s="283"/>
      <c r="L211" s="283"/>
      <c r="M211" s="283"/>
      <c r="N211" s="283" t="str">
        <f>IFERROR(K211-M211,"")</f>
        <v>#ERROR!</v>
      </c>
      <c r="O211" s="237" t="str">
        <f>IFERROR(N211/K211,"")</f>
        <v>#ERROR!</v>
      </c>
      <c r="P211" s="235" t="str">
        <f>IFERROR(INDEX('Fiche Lot'!J:J,MATCH(A211,'Fiche Lot'!A:A,0)),"")</f>
        <v>#ERROR!</v>
      </c>
      <c r="Q211" s="270" t="str">
        <f>IFERROR(INDEX('Fiche Lot'!L:L,MATCH(A211,'Fiche Lot'!A:A,0)),"")</f>
        <v>#ERROR!</v>
      </c>
      <c r="R211" s="235" t="str">
        <f>IFERROR(INDEX('Fiche Lot'!M:M,MATCH(A211,'Fiche Lot'!A:A,0)),"")</f>
        <v>#ERROR!</v>
      </c>
      <c r="S211" s="235" t="str">
        <f>IFERROR(INDEX('Fiche Lot'!G:G,MATCH(A211,'Fiche Lot'!A:A,0)),"")</f>
        <v>#ERROR!</v>
      </c>
      <c r="T211" s="235"/>
      <c r="U211" s="240"/>
    </row>
    <row r="212" ht="15.0" customHeight="1">
      <c r="A212" s="282"/>
      <c r="B212" s="266" t="str">
        <f>IFERROR(INDEX('Fiche Lot'!B:B,MATCH(A212,'Fiche Lot'!A:A,0)),"")</f>
        <v>#ERROR!</v>
      </c>
      <c r="C212" s="227" t="str">
        <f>IFERROR(INDEX('Fiche Lot'!C:C,MATCH(A212,'Fiche Lot'!A:A,0)),"")</f>
        <v>#ERROR!</v>
      </c>
      <c r="D212" s="227" t="str">
        <f>IFERROR(INDEX('Fiche Lot'!D:D,MATCH(A212,'Fiche Lot'!A:A,0)),"")</f>
        <v>#ERROR!</v>
      </c>
      <c r="E212" s="227" t="str">
        <f>IFERROR(INDEX('Fiche Lot'!E:E,MATCH(A212,'Fiche Lot'!A:A,0)),"")</f>
        <v>#ERROR!</v>
      </c>
      <c r="F212" s="227"/>
      <c r="G212" s="227" t="str">
        <f>IFERROR(INDEX('Fiche Lot'!H:H,MATCH(A212,'Fiche Lot'!A:A,0)),"")</f>
        <v>#ERROR!</v>
      </c>
      <c r="H212" s="227"/>
      <c r="I212" s="227"/>
      <c r="J212" s="230" t="str">
        <f>IFERROR(H212/G212,"")</f>
        <v>#ERROR!</v>
      </c>
      <c r="K212" s="281"/>
      <c r="L212" s="281"/>
      <c r="M212" s="281"/>
      <c r="N212" s="281" t="str">
        <f>IFERROR(K212-M212,"")</f>
        <v>#ERROR!</v>
      </c>
      <c r="O212" s="230" t="str">
        <f>IFERROR(N212/K212,"")</f>
        <v>#ERROR!</v>
      </c>
      <c r="P212" s="227" t="str">
        <f>IFERROR(INDEX('Fiche Lot'!J:J,MATCH(A212,'Fiche Lot'!A:A,0)),"")</f>
        <v>#ERROR!</v>
      </c>
      <c r="Q212" s="266" t="str">
        <f>IFERROR(INDEX('Fiche Lot'!L:L,MATCH(A212,'Fiche Lot'!A:A,0)),"")</f>
        <v>#ERROR!</v>
      </c>
      <c r="R212" s="227" t="str">
        <f>IFERROR(INDEX('Fiche Lot'!M:M,MATCH(A212,'Fiche Lot'!A:A,0)),"")</f>
        <v>#ERROR!</v>
      </c>
      <c r="S212" s="227" t="str">
        <f>IFERROR(INDEX('Fiche Lot'!G:G,MATCH(A212,'Fiche Lot'!A:A,0)),"")</f>
        <v>#ERROR!</v>
      </c>
      <c r="T212" s="227"/>
      <c r="U212" s="233"/>
    </row>
    <row r="213" ht="15.0" customHeight="1">
      <c r="A213" s="282"/>
      <c r="B213" s="270" t="str">
        <f>IFERROR(INDEX('Fiche Lot'!B:B,MATCH(A213,'Fiche Lot'!A:A,0)),"")</f>
        <v>#ERROR!</v>
      </c>
      <c r="C213" s="235" t="str">
        <f>IFERROR(INDEX('Fiche Lot'!C:C,MATCH(A213,'Fiche Lot'!A:A,0)),"")</f>
        <v>#ERROR!</v>
      </c>
      <c r="D213" s="235" t="str">
        <f>IFERROR(INDEX('Fiche Lot'!D:D,MATCH(A213,'Fiche Lot'!A:A,0)),"")</f>
        <v>#ERROR!</v>
      </c>
      <c r="E213" s="235" t="str">
        <f>IFERROR(INDEX('Fiche Lot'!E:E,MATCH(A213,'Fiche Lot'!A:A,0)),"")</f>
        <v>#ERROR!</v>
      </c>
      <c r="F213" s="235"/>
      <c r="G213" s="235" t="str">
        <f>IFERROR(INDEX('Fiche Lot'!H:H,MATCH(A213,'Fiche Lot'!A:A,0)),"")</f>
        <v>#ERROR!</v>
      </c>
      <c r="H213" s="235"/>
      <c r="I213" s="235"/>
      <c r="J213" s="237" t="str">
        <f>IFERROR(H213/G213,"")</f>
        <v>#ERROR!</v>
      </c>
      <c r="K213" s="283"/>
      <c r="L213" s="283"/>
      <c r="M213" s="283"/>
      <c r="N213" s="283" t="str">
        <f>IFERROR(K213-M213,"")</f>
        <v>#ERROR!</v>
      </c>
      <c r="O213" s="237" t="str">
        <f>IFERROR(N213/K213,"")</f>
        <v>#ERROR!</v>
      </c>
      <c r="P213" s="235" t="str">
        <f>IFERROR(INDEX('Fiche Lot'!J:J,MATCH(A213,'Fiche Lot'!A:A,0)),"")</f>
        <v>#ERROR!</v>
      </c>
      <c r="Q213" s="270" t="str">
        <f>IFERROR(INDEX('Fiche Lot'!L:L,MATCH(A213,'Fiche Lot'!A:A,0)),"")</f>
        <v>#ERROR!</v>
      </c>
      <c r="R213" s="235" t="str">
        <f>IFERROR(INDEX('Fiche Lot'!M:M,MATCH(A213,'Fiche Lot'!A:A,0)),"")</f>
        <v>#ERROR!</v>
      </c>
      <c r="S213" s="235" t="str">
        <f>IFERROR(INDEX('Fiche Lot'!G:G,MATCH(A213,'Fiche Lot'!A:A,0)),"")</f>
        <v>#ERROR!</v>
      </c>
      <c r="T213" s="235"/>
      <c r="U213" s="240"/>
    </row>
    <row r="214" ht="15.0" customHeight="1">
      <c r="A214" s="282"/>
      <c r="B214" s="266" t="str">
        <f>IFERROR(INDEX('Fiche Lot'!B:B,MATCH(A214,'Fiche Lot'!A:A,0)),"")</f>
        <v>#ERROR!</v>
      </c>
      <c r="C214" s="227" t="str">
        <f>IFERROR(INDEX('Fiche Lot'!C:C,MATCH(A214,'Fiche Lot'!A:A,0)),"")</f>
        <v>#ERROR!</v>
      </c>
      <c r="D214" s="227" t="str">
        <f>IFERROR(INDEX('Fiche Lot'!D:D,MATCH(A214,'Fiche Lot'!A:A,0)),"")</f>
        <v>#ERROR!</v>
      </c>
      <c r="E214" s="227" t="str">
        <f>IFERROR(INDEX('Fiche Lot'!E:E,MATCH(A214,'Fiche Lot'!A:A,0)),"")</f>
        <v>#ERROR!</v>
      </c>
      <c r="F214" s="227"/>
      <c r="G214" s="227" t="str">
        <f>IFERROR(INDEX('Fiche Lot'!H:H,MATCH(A214,'Fiche Lot'!A:A,0)),"")</f>
        <v>#ERROR!</v>
      </c>
      <c r="H214" s="227"/>
      <c r="I214" s="227"/>
      <c r="J214" s="230" t="str">
        <f>IFERROR(H214/G214,"")</f>
        <v>#ERROR!</v>
      </c>
      <c r="K214" s="281"/>
      <c r="L214" s="281"/>
      <c r="M214" s="281"/>
      <c r="N214" s="281" t="str">
        <f>IFERROR(K214-M214,"")</f>
        <v>#ERROR!</v>
      </c>
      <c r="O214" s="230" t="str">
        <f>IFERROR(N214/K214,"")</f>
        <v>#ERROR!</v>
      </c>
      <c r="P214" s="227" t="str">
        <f>IFERROR(INDEX('Fiche Lot'!J:J,MATCH(A214,'Fiche Lot'!A:A,0)),"")</f>
        <v>#ERROR!</v>
      </c>
      <c r="Q214" s="266" t="str">
        <f>IFERROR(INDEX('Fiche Lot'!L:L,MATCH(A214,'Fiche Lot'!A:A,0)),"")</f>
        <v>#ERROR!</v>
      </c>
      <c r="R214" s="227" t="str">
        <f>IFERROR(INDEX('Fiche Lot'!M:M,MATCH(A214,'Fiche Lot'!A:A,0)),"")</f>
        <v>#ERROR!</v>
      </c>
      <c r="S214" s="227" t="str">
        <f>IFERROR(INDEX('Fiche Lot'!G:G,MATCH(A214,'Fiche Lot'!A:A,0)),"")</f>
        <v>#ERROR!</v>
      </c>
      <c r="T214" s="227"/>
      <c r="U214" s="233"/>
    </row>
    <row r="215" ht="15.0" customHeight="1">
      <c r="A215" s="282"/>
      <c r="B215" s="270" t="str">
        <f>IFERROR(INDEX('Fiche Lot'!B:B,MATCH(A215,'Fiche Lot'!A:A,0)),"")</f>
        <v>#ERROR!</v>
      </c>
      <c r="C215" s="235" t="str">
        <f>IFERROR(INDEX('Fiche Lot'!C:C,MATCH(A215,'Fiche Lot'!A:A,0)),"")</f>
        <v>#ERROR!</v>
      </c>
      <c r="D215" s="235" t="str">
        <f>IFERROR(INDEX('Fiche Lot'!D:D,MATCH(A215,'Fiche Lot'!A:A,0)),"")</f>
        <v>#ERROR!</v>
      </c>
      <c r="E215" s="235" t="str">
        <f>IFERROR(INDEX('Fiche Lot'!E:E,MATCH(A215,'Fiche Lot'!A:A,0)),"")</f>
        <v>#ERROR!</v>
      </c>
      <c r="F215" s="235"/>
      <c r="G215" s="235" t="str">
        <f>IFERROR(INDEX('Fiche Lot'!H:H,MATCH(A215,'Fiche Lot'!A:A,0)),"")</f>
        <v>#ERROR!</v>
      </c>
      <c r="H215" s="235"/>
      <c r="I215" s="235"/>
      <c r="J215" s="237" t="str">
        <f>IFERROR(H215/G215,"")</f>
        <v>#ERROR!</v>
      </c>
      <c r="K215" s="283"/>
      <c r="L215" s="283"/>
      <c r="M215" s="283"/>
      <c r="N215" s="283" t="str">
        <f>IFERROR(K215-M215,"")</f>
        <v>#ERROR!</v>
      </c>
      <c r="O215" s="237" t="str">
        <f>IFERROR(N215/K215,"")</f>
        <v>#ERROR!</v>
      </c>
      <c r="P215" s="235" t="str">
        <f>IFERROR(INDEX('Fiche Lot'!J:J,MATCH(A215,'Fiche Lot'!A:A,0)),"")</f>
        <v>#ERROR!</v>
      </c>
      <c r="Q215" s="270" t="str">
        <f>IFERROR(INDEX('Fiche Lot'!L:L,MATCH(A215,'Fiche Lot'!A:A,0)),"")</f>
        <v>#ERROR!</v>
      </c>
      <c r="R215" s="235" t="str">
        <f>IFERROR(INDEX('Fiche Lot'!M:M,MATCH(A215,'Fiche Lot'!A:A,0)),"")</f>
        <v>#ERROR!</v>
      </c>
      <c r="S215" s="235" t="str">
        <f>IFERROR(INDEX('Fiche Lot'!G:G,MATCH(A215,'Fiche Lot'!A:A,0)),"")</f>
        <v>#ERROR!</v>
      </c>
      <c r="T215" s="235"/>
      <c r="U215" s="240"/>
    </row>
    <row r="216" ht="15.0" customHeight="1">
      <c r="A216" s="282"/>
      <c r="B216" s="266" t="str">
        <f>IFERROR(INDEX('Fiche Lot'!B:B,MATCH(A216,'Fiche Lot'!A:A,0)),"")</f>
        <v>#ERROR!</v>
      </c>
      <c r="C216" s="227" t="str">
        <f>IFERROR(INDEX('Fiche Lot'!C:C,MATCH(A216,'Fiche Lot'!A:A,0)),"")</f>
        <v>#ERROR!</v>
      </c>
      <c r="D216" s="227" t="str">
        <f>IFERROR(INDEX('Fiche Lot'!D:D,MATCH(A216,'Fiche Lot'!A:A,0)),"")</f>
        <v>#ERROR!</v>
      </c>
      <c r="E216" s="227" t="str">
        <f>IFERROR(INDEX('Fiche Lot'!E:E,MATCH(A216,'Fiche Lot'!A:A,0)),"")</f>
        <v>#ERROR!</v>
      </c>
      <c r="F216" s="227"/>
      <c r="G216" s="227" t="str">
        <f>IFERROR(INDEX('Fiche Lot'!H:H,MATCH(A216,'Fiche Lot'!A:A,0)),"")</f>
        <v>#ERROR!</v>
      </c>
      <c r="H216" s="227"/>
      <c r="I216" s="227"/>
      <c r="J216" s="230" t="str">
        <f>IFERROR(H216/G216,"")</f>
        <v>#ERROR!</v>
      </c>
      <c r="K216" s="281"/>
      <c r="L216" s="281"/>
      <c r="M216" s="281"/>
      <c r="N216" s="281" t="str">
        <f>IFERROR(K216-M216,"")</f>
        <v>#ERROR!</v>
      </c>
      <c r="O216" s="230" t="str">
        <f>IFERROR(N216/K216,"")</f>
        <v>#ERROR!</v>
      </c>
      <c r="P216" s="227" t="str">
        <f>IFERROR(INDEX('Fiche Lot'!J:J,MATCH(A216,'Fiche Lot'!A:A,0)),"")</f>
        <v>#ERROR!</v>
      </c>
      <c r="Q216" s="266" t="str">
        <f>IFERROR(INDEX('Fiche Lot'!L:L,MATCH(A216,'Fiche Lot'!A:A,0)),"")</f>
        <v>#ERROR!</v>
      </c>
      <c r="R216" s="227" t="str">
        <f>IFERROR(INDEX('Fiche Lot'!M:M,MATCH(A216,'Fiche Lot'!A:A,0)),"")</f>
        <v>#ERROR!</v>
      </c>
      <c r="S216" s="227" t="str">
        <f>IFERROR(INDEX('Fiche Lot'!G:G,MATCH(A216,'Fiche Lot'!A:A,0)),"")</f>
        <v>#ERROR!</v>
      </c>
      <c r="T216" s="227"/>
      <c r="U216" s="233"/>
    </row>
    <row r="217" ht="15.0" customHeight="1">
      <c r="A217" s="282"/>
      <c r="B217" s="270" t="str">
        <f>IFERROR(INDEX('Fiche Lot'!B:B,MATCH(A217,'Fiche Lot'!A:A,0)),"")</f>
        <v>#ERROR!</v>
      </c>
      <c r="C217" s="235" t="str">
        <f>IFERROR(INDEX('Fiche Lot'!C:C,MATCH(A217,'Fiche Lot'!A:A,0)),"")</f>
        <v>#ERROR!</v>
      </c>
      <c r="D217" s="235" t="str">
        <f>IFERROR(INDEX('Fiche Lot'!D:D,MATCH(A217,'Fiche Lot'!A:A,0)),"")</f>
        <v>#ERROR!</v>
      </c>
      <c r="E217" s="235" t="str">
        <f>IFERROR(INDEX('Fiche Lot'!E:E,MATCH(A217,'Fiche Lot'!A:A,0)),"")</f>
        <v>#ERROR!</v>
      </c>
      <c r="F217" s="235"/>
      <c r="G217" s="235" t="str">
        <f>IFERROR(INDEX('Fiche Lot'!H:H,MATCH(A217,'Fiche Lot'!A:A,0)),"")</f>
        <v>#ERROR!</v>
      </c>
      <c r="H217" s="235"/>
      <c r="I217" s="235"/>
      <c r="J217" s="237" t="str">
        <f>IFERROR(H217/G217,"")</f>
        <v>#ERROR!</v>
      </c>
      <c r="K217" s="283"/>
      <c r="L217" s="283"/>
      <c r="M217" s="283"/>
      <c r="N217" s="283" t="str">
        <f>IFERROR(K217-M217,"")</f>
        <v>#ERROR!</v>
      </c>
      <c r="O217" s="237" t="str">
        <f>IFERROR(N217/K217,"")</f>
        <v>#ERROR!</v>
      </c>
      <c r="P217" s="235" t="str">
        <f>IFERROR(INDEX('Fiche Lot'!J:J,MATCH(A217,'Fiche Lot'!A:A,0)),"")</f>
        <v>#ERROR!</v>
      </c>
      <c r="Q217" s="270" t="str">
        <f>IFERROR(INDEX('Fiche Lot'!L:L,MATCH(A217,'Fiche Lot'!A:A,0)),"")</f>
        <v>#ERROR!</v>
      </c>
      <c r="R217" s="235" t="str">
        <f>IFERROR(INDEX('Fiche Lot'!M:M,MATCH(A217,'Fiche Lot'!A:A,0)),"")</f>
        <v>#ERROR!</v>
      </c>
      <c r="S217" s="235" t="str">
        <f>IFERROR(INDEX('Fiche Lot'!G:G,MATCH(A217,'Fiche Lot'!A:A,0)),"")</f>
        <v>#ERROR!</v>
      </c>
      <c r="T217" s="235"/>
      <c r="U217" s="240"/>
    </row>
    <row r="218" ht="15.0" customHeight="1">
      <c r="A218" s="282"/>
      <c r="B218" s="266" t="str">
        <f>IFERROR(INDEX('Fiche Lot'!B:B,MATCH(A218,'Fiche Lot'!A:A,0)),"")</f>
        <v>#ERROR!</v>
      </c>
      <c r="C218" s="227" t="str">
        <f>IFERROR(INDEX('Fiche Lot'!C:C,MATCH(A218,'Fiche Lot'!A:A,0)),"")</f>
        <v>#ERROR!</v>
      </c>
      <c r="D218" s="227" t="str">
        <f>IFERROR(INDEX('Fiche Lot'!D:D,MATCH(A218,'Fiche Lot'!A:A,0)),"")</f>
        <v>#ERROR!</v>
      </c>
      <c r="E218" s="227" t="str">
        <f>IFERROR(INDEX('Fiche Lot'!E:E,MATCH(A218,'Fiche Lot'!A:A,0)),"")</f>
        <v>#ERROR!</v>
      </c>
      <c r="F218" s="227"/>
      <c r="G218" s="227" t="str">
        <f>IFERROR(INDEX('Fiche Lot'!H:H,MATCH(A218,'Fiche Lot'!A:A,0)),"")</f>
        <v>#ERROR!</v>
      </c>
      <c r="H218" s="227"/>
      <c r="I218" s="227"/>
      <c r="J218" s="230" t="str">
        <f>IFERROR(H218/G218,"")</f>
        <v>#ERROR!</v>
      </c>
      <c r="K218" s="281"/>
      <c r="L218" s="281"/>
      <c r="M218" s="281"/>
      <c r="N218" s="281" t="str">
        <f>IFERROR(K218-M218,"")</f>
        <v>#ERROR!</v>
      </c>
      <c r="O218" s="230" t="str">
        <f>IFERROR(N218/K218,"")</f>
        <v>#ERROR!</v>
      </c>
      <c r="P218" s="227" t="str">
        <f>IFERROR(INDEX('Fiche Lot'!J:J,MATCH(A218,'Fiche Lot'!A:A,0)),"")</f>
        <v>#ERROR!</v>
      </c>
      <c r="Q218" s="266" t="str">
        <f>IFERROR(INDEX('Fiche Lot'!L:L,MATCH(A218,'Fiche Lot'!A:A,0)),"")</f>
        <v>#ERROR!</v>
      </c>
      <c r="R218" s="227" t="str">
        <f>IFERROR(INDEX('Fiche Lot'!M:M,MATCH(A218,'Fiche Lot'!A:A,0)),"")</f>
        <v>#ERROR!</v>
      </c>
      <c r="S218" s="227" t="str">
        <f>IFERROR(INDEX('Fiche Lot'!G:G,MATCH(A218,'Fiche Lot'!A:A,0)),"")</f>
        <v>#ERROR!</v>
      </c>
      <c r="T218" s="227"/>
      <c r="U218" s="233"/>
    </row>
    <row r="219" ht="15.0" customHeight="1">
      <c r="A219" s="282"/>
      <c r="B219" s="270" t="str">
        <f>IFERROR(INDEX('Fiche Lot'!B:B,MATCH(A219,'Fiche Lot'!A:A,0)),"")</f>
        <v>#ERROR!</v>
      </c>
      <c r="C219" s="235" t="str">
        <f>IFERROR(INDEX('Fiche Lot'!C:C,MATCH(A219,'Fiche Lot'!A:A,0)),"")</f>
        <v>#ERROR!</v>
      </c>
      <c r="D219" s="235" t="str">
        <f>IFERROR(INDEX('Fiche Lot'!D:D,MATCH(A219,'Fiche Lot'!A:A,0)),"")</f>
        <v>#ERROR!</v>
      </c>
      <c r="E219" s="235" t="str">
        <f>IFERROR(INDEX('Fiche Lot'!E:E,MATCH(A219,'Fiche Lot'!A:A,0)),"")</f>
        <v>#ERROR!</v>
      </c>
      <c r="F219" s="235"/>
      <c r="G219" s="235" t="str">
        <f>IFERROR(INDEX('Fiche Lot'!H:H,MATCH(A219,'Fiche Lot'!A:A,0)),"")</f>
        <v>#ERROR!</v>
      </c>
      <c r="H219" s="235"/>
      <c r="I219" s="235"/>
      <c r="J219" s="237" t="str">
        <f>IFERROR(H219/G219,"")</f>
        <v>#ERROR!</v>
      </c>
      <c r="K219" s="283"/>
      <c r="L219" s="283"/>
      <c r="M219" s="283"/>
      <c r="N219" s="283" t="str">
        <f>IFERROR(K219-M219,"")</f>
        <v>#ERROR!</v>
      </c>
      <c r="O219" s="237" t="str">
        <f>IFERROR(N219/K219,"")</f>
        <v>#ERROR!</v>
      </c>
      <c r="P219" s="235" t="str">
        <f>IFERROR(INDEX('Fiche Lot'!J:J,MATCH(A219,'Fiche Lot'!A:A,0)),"")</f>
        <v>#ERROR!</v>
      </c>
      <c r="Q219" s="270" t="str">
        <f>IFERROR(INDEX('Fiche Lot'!L:L,MATCH(A219,'Fiche Lot'!A:A,0)),"")</f>
        <v>#ERROR!</v>
      </c>
      <c r="R219" s="235" t="str">
        <f>IFERROR(INDEX('Fiche Lot'!M:M,MATCH(A219,'Fiche Lot'!A:A,0)),"")</f>
        <v>#ERROR!</v>
      </c>
      <c r="S219" s="235" t="str">
        <f>IFERROR(INDEX('Fiche Lot'!G:G,MATCH(A219,'Fiche Lot'!A:A,0)),"")</f>
        <v>#ERROR!</v>
      </c>
      <c r="T219" s="235"/>
      <c r="U219" s="240"/>
    </row>
    <row r="220" ht="15.0" customHeight="1">
      <c r="A220" s="282"/>
      <c r="B220" s="266" t="str">
        <f>IFERROR(INDEX('Fiche Lot'!B:B,MATCH(A220,'Fiche Lot'!A:A,0)),"")</f>
        <v>#ERROR!</v>
      </c>
      <c r="C220" s="227" t="str">
        <f>IFERROR(INDEX('Fiche Lot'!C:C,MATCH(A220,'Fiche Lot'!A:A,0)),"")</f>
        <v>#ERROR!</v>
      </c>
      <c r="D220" s="227" t="str">
        <f>IFERROR(INDEX('Fiche Lot'!D:D,MATCH(A220,'Fiche Lot'!A:A,0)),"")</f>
        <v>#ERROR!</v>
      </c>
      <c r="E220" s="227" t="str">
        <f>IFERROR(INDEX('Fiche Lot'!E:E,MATCH(A220,'Fiche Lot'!A:A,0)),"")</f>
        <v>#ERROR!</v>
      </c>
      <c r="F220" s="227"/>
      <c r="G220" s="227" t="str">
        <f>IFERROR(INDEX('Fiche Lot'!H:H,MATCH(A220,'Fiche Lot'!A:A,0)),"")</f>
        <v>#ERROR!</v>
      </c>
      <c r="H220" s="227"/>
      <c r="I220" s="227"/>
      <c r="J220" s="230" t="str">
        <f>IFERROR(H220/G220,"")</f>
        <v>#ERROR!</v>
      </c>
      <c r="K220" s="281"/>
      <c r="L220" s="281"/>
      <c r="M220" s="281"/>
      <c r="N220" s="281" t="str">
        <f>IFERROR(K220-M220,"")</f>
        <v>#ERROR!</v>
      </c>
      <c r="O220" s="230" t="str">
        <f>IFERROR(N220/K220,"")</f>
        <v>#ERROR!</v>
      </c>
      <c r="P220" s="227" t="str">
        <f>IFERROR(INDEX('Fiche Lot'!J:J,MATCH(A220,'Fiche Lot'!A:A,0)),"")</f>
        <v>#ERROR!</v>
      </c>
      <c r="Q220" s="266" t="str">
        <f>IFERROR(INDEX('Fiche Lot'!L:L,MATCH(A220,'Fiche Lot'!A:A,0)),"")</f>
        <v>#ERROR!</v>
      </c>
      <c r="R220" s="227" t="str">
        <f>IFERROR(INDEX('Fiche Lot'!M:M,MATCH(A220,'Fiche Lot'!A:A,0)),"")</f>
        <v>#ERROR!</v>
      </c>
      <c r="S220" s="227" t="str">
        <f>IFERROR(INDEX('Fiche Lot'!G:G,MATCH(A220,'Fiche Lot'!A:A,0)),"")</f>
        <v>#ERROR!</v>
      </c>
      <c r="T220" s="227"/>
      <c r="U220" s="233"/>
    </row>
    <row r="221" ht="15.0" customHeight="1">
      <c r="A221" s="282"/>
      <c r="B221" s="270" t="str">
        <f>IFERROR(INDEX('Fiche Lot'!B:B,MATCH(A221,'Fiche Lot'!A:A,0)),"")</f>
        <v>#ERROR!</v>
      </c>
      <c r="C221" s="235" t="str">
        <f>IFERROR(INDEX('Fiche Lot'!C:C,MATCH(A221,'Fiche Lot'!A:A,0)),"")</f>
        <v>#ERROR!</v>
      </c>
      <c r="D221" s="235" t="str">
        <f>IFERROR(INDEX('Fiche Lot'!D:D,MATCH(A221,'Fiche Lot'!A:A,0)),"")</f>
        <v>#ERROR!</v>
      </c>
      <c r="E221" s="235" t="str">
        <f>IFERROR(INDEX('Fiche Lot'!E:E,MATCH(A221,'Fiche Lot'!A:A,0)),"")</f>
        <v>#ERROR!</v>
      </c>
      <c r="F221" s="235"/>
      <c r="G221" s="235" t="str">
        <f>IFERROR(INDEX('Fiche Lot'!H:H,MATCH(A221,'Fiche Lot'!A:A,0)),"")</f>
        <v>#ERROR!</v>
      </c>
      <c r="H221" s="235"/>
      <c r="I221" s="235"/>
      <c r="J221" s="237" t="str">
        <f>IFERROR(H221/G221,"")</f>
        <v>#ERROR!</v>
      </c>
      <c r="K221" s="283"/>
      <c r="L221" s="283"/>
      <c r="M221" s="283"/>
      <c r="N221" s="283" t="str">
        <f>IFERROR(K221-M221,"")</f>
        <v>#ERROR!</v>
      </c>
      <c r="O221" s="237" t="str">
        <f>IFERROR(N221/K221,"")</f>
        <v>#ERROR!</v>
      </c>
      <c r="P221" s="235" t="str">
        <f>IFERROR(INDEX('Fiche Lot'!J:J,MATCH(A221,'Fiche Lot'!A:A,0)),"")</f>
        <v>#ERROR!</v>
      </c>
      <c r="Q221" s="270" t="str">
        <f>IFERROR(INDEX('Fiche Lot'!L:L,MATCH(A221,'Fiche Lot'!A:A,0)),"")</f>
        <v>#ERROR!</v>
      </c>
      <c r="R221" s="235" t="str">
        <f>IFERROR(INDEX('Fiche Lot'!M:M,MATCH(A221,'Fiche Lot'!A:A,0)),"")</f>
        <v>#ERROR!</v>
      </c>
      <c r="S221" s="235" t="str">
        <f>IFERROR(INDEX('Fiche Lot'!G:G,MATCH(A221,'Fiche Lot'!A:A,0)),"")</f>
        <v>#ERROR!</v>
      </c>
      <c r="T221" s="235"/>
      <c r="U221" s="240"/>
    </row>
    <row r="222" ht="15.0" customHeight="1">
      <c r="A222" s="282"/>
      <c r="B222" s="266" t="str">
        <f>IFERROR(INDEX('Fiche Lot'!B:B,MATCH(A222,'Fiche Lot'!A:A,0)),"")</f>
        <v>#ERROR!</v>
      </c>
      <c r="C222" s="227" t="str">
        <f>IFERROR(INDEX('Fiche Lot'!C:C,MATCH(A222,'Fiche Lot'!A:A,0)),"")</f>
        <v>#ERROR!</v>
      </c>
      <c r="D222" s="227" t="str">
        <f>IFERROR(INDEX('Fiche Lot'!D:D,MATCH(A222,'Fiche Lot'!A:A,0)),"")</f>
        <v>#ERROR!</v>
      </c>
      <c r="E222" s="227" t="str">
        <f>IFERROR(INDEX('Fiche Lot'!E:E,MATCH(A222,'Fiche Lot'!A:A,0)),"")</f>
        <v>#ERROR!</v>
      </c>
      <c r="F222" s="227"/>
      <c r="G222" s="227" t="str">
        <f>IFERROR(INDEX('Fiche Lot'!H:H,MATCH(A222,'Fiche Lot'!A:A,0)),"")</f>
        <v>#ERROR!</v>
      </c>
      <c r="H222" s="227"/>
      <c r="I222" s="227"/>
      <c r="J222" s="230" t="str">
        <f>IFERROR(H222/G222,"")</f>
        <v>#ERROR!</v>
      </c>
      <c r="K222" s="281"/>
      <c r="L222" s="281"/>
      <c r="M222" s="281"/>
      <c r="N222" s="281" t="str">
        <f>IFERROR(K222-M222,"")</f>
        <v>#ERROR!</v>
      </c>
      <c r="O222" s="230" t="str">
        <f>IFERROR(N222/K222,"")</f>
        <v>#ERROR!</v>
      </c>
      <c r="P222" s="227" t="str">
        <f>IFERROR(INDEX('Fiche Lot'!J:J,MATCH(A222,'Fiche Lot'!A:A,0)),"")</f>
        <v>#ERROR!</v>
      </c>
      <c r="Q222" s="266" t="str">
        <f>IFERROR(INDEX('Fiche Lot'!L:L,MATCH(A222,'Fiche Lot'!A:A,0)),"")</f>
        <v>#ERROR!</v>
      </c>
      <c r="R222" s="227" t="str">
        <f>IFERROR(INDEX('Fiche Lot'!M:M,MATCH(A222,'Fiche Lot'!A:A,0)),"")</f>
        <v>#ERROR!</v>
      </c>
      <c r="S222" s="227" t="str">
        <f>IFERROR(INDEX('Fiche Lot'!G:G,MATCH(A222,'Fiche Lot'!A:A,0)),"")</f>
        <v>#ERROR!</v>
      </c>
      <c r="T222" s="227"/>
      <c r="U222" s="233"/>
    </row>
    <row r="223" ht="15.0" customHeight="1">
      <c r="A223" s="282"/>
      <c r="B223" s="270" t="str">
        <f>IFERROR(INDEX('Fiche Lot'!B:B,MATCH(A223,'Fiche Lot'!A:A,0)),"")</f>
        <v>#ERROR!</v>
      </c>
      <c r="C223" s="235" t="str">
        <f>IFERROR(INDEX('Fiche Lot'!C:C,MATCH(A223,'Fiche Lot'!A:A,0)),"")</f>
        <v>#ERROR!</v>
      </c>
      <c r="D223" s="235" t="str">
        <f>IFERROR(INDEX('Fiche Lot'!D:D,MATCH(A223,'Fiche Lot'!A:A,0)),"")</f>
        <v>#ERROR!</v>
      </c>
      <c r="E223" s="235" t="str">
        <f>IFERROR(INDEX('Fiche Lot'!E:E,MATCH(A223,'Fiche Lot'!A:A,0)),"")</f>
        <v>#ERROR!</v>
      </c>
      <c r="F223" s="235"/>
      <c r="G223" s="235" t="str">
        <f>IFERROR(INDEX('Fiche Lot'!H:H,MATCH(A223,'Fiche Lot'!A:A,0)),"")</f>
        <v>#ERROR!</v>
      </c>
      <c r="H223" s="235"/>
      <c r="I223" s="235"/>
      <c r="J223" s="237" t="str">
        <f>IFERROR(H223/G223,"")</f>
        <v>#ERROR!</v>
      </c>
      <c r="K223" s="283"/>
      <c r="L223" s="283"/>
      <c r="M223" s="283"/>
      <c r="N223" s="283" t="str">
        <f>IFERROR(K223-M223,"")</f>
        <v>#ERROR!</v>
      </c>
      <c r="O223" s="237" t="str">
        <f>IFERROR(N223/K223,"")</f>
        <v>#ERROR!</v>
      </c>
      <c r="P223" s="235" t="str">
        <f>IFERROR(INDEX('Fiche Lot'!J:J,MATCH(A223,'Fiche Lot'!A:A,0)),"")</f>
        <v>#ERROR!</v>
      </c>
      <c r="Q223" s="270" t="str">
        <f>IFERROR(INDEX('Fiche Lot'!L:L,MATCH(A223,'Fiche Lot'!A:A,0)),"")</f>
        <v>#ERROR!</v>
      </c>
      <c r="R223" s="235" t="str">
        <f>IFERROR(INDEX('Fiche Lot'!M:M,MATCH(A223,'Fiche Lot'!A:A,0)),"")</f>
        <v>#ERROR!</v>
      </c>
      <c r="S223" s="235" t="str">
        <f>IFERROR(INDEX('Fiche Lot'!G:G,MATCH(A223,'Fiche Lot'!A:A,0)),"")</f>
        <v>#ERROR!</v>
      </c>
      <c r="T223" s="235"/>
      <c r="U223" s="240"/>
    </row>
    <row r="224" ht="15.0" customHeight="1">
      <c r="A224" s="282"/>
      <c r="B224" s="266" t="str">
        <f>IFERROR(INDEX('Fiche Lot'!B:B,MATCH(A224,'Fiche Lot'!A:A,0)),"")</f>
        <v>#ERROR!</v>
      </c>
      <c r="C224" s="227" t="str">
        <f>IFERROR(INDEX('Fiche Lot'!C:C,MATCH(A224,'Fiche Lot'!A:A,0)),"")</f>
        <v>#ERROR!</v>
      </c>
      <c r="D224" s="227" t="str">
        <f>IFERROR(INDEX('Fiche Lot'!D:D,MATCH(A224,'Fiche Lot'!A:A,0)),"")</f>
        <v>#ERROR!</v>
      </c>
      <c r="E224" s="227" t="str">
        <f>IFERROR(INDEX('Fiche Lot'!E:E,MATCH(A224,'Fiche Lot'!A:A,0)),"")</f>
        <v>#ERROR!</v>
      </c>
      <c r="F224" s="227"/>
      <c r="G224" s="227" t="str">
        <f>IFERROR(INDEX('Fiche Lot'!H:H,MATCH(A224,'Fiche Lot'!A:A,0)),"")</f>
        <v>#ERROR!</v>
      </c>
      <c r="H224" s="227"/>
      <c r="I224" s="227"/>
      <c r="J224" s="230" t="str">
        <f>IFERROR(H224/G224,"")</f>
        <v>#ERROR!</v>
      </c>
      <c r="K224" s="281"/>
      <c r="L224" s="281"/>
      <c r="M224" s="281"/>
      <c r="N224" s="281" t="str">
        <f>IFERROR(K224-M224,"")</f>
        <v>#ERROR!</v>
      </c>
      <c r="O224" s="230" t="str">
        <f>IFERROR(N224/K224,"")</f>
        <v>#ERROR!</v>
      </c>
      <c r="P224" s="227" t="str">
        <f>IFERROR(INDEX('Fiche Lot'!J:J,MATCH(A224,'Fiche Lot'!A:A,0)),"")</f>
        <v>#ERROR!</v>
      </c>
      <c r="Q224" s="266" t="str">
        <f>IFERROR(INDEX('Fiche Lot'!L:L,MATCH(A224,'Fiche Lot'!A:A,0)),"")</f>
        <v>#ERROR!</v>
      </c>
      <c r="R224" s="227" t="str">
        <f>IFERROR(INDEX('Fiche Lot'!M:M,MATCH(A224,'Fiche Lot'!A:A,0)),"")</f>
        <v>#ERROR!</v>
      </c>
      <c r="S224" s="227" t="str">
        <f>IFERROR(INDEX('Fiche Lot'!G:G,MATCH(A224,'Fiche Lot'!A:A,0)),"")</f>
        <v>#ERROR!</v>
      </c>
      <c r="T224" s="227"/>
      <c r="U224" s="233"/>
    </row>
    <row r="225" ht="15.0" customHeight="1">
      <c r="A225" s="282"/>
      <c r="B225" s="270" t="str">
        <f>IFERROR(INDEX('Fiche Lot'!B:B,MATCH(A225,'Fiche Lot'!A:A,0)),"")</f>
        <v>#ERROR!</v>
      </c>
      <c r="C225" s="235" t="str">
        <f>IFERROR(INDEX('Fiche Lot'!C:C,MATCH(A225,'Fiche Lot'!A:A,0)),"")</f>
        <v>#ERROR!</v>
      </c>
      <c r="D225" s="235" t="str">
        <f>IFERROR(INDEX('Fiche Lot'!D:D,MATCH(A225,'Fiche Lot'!A:A,0)),"")</f>
        <v>#ERROR!</v>
      </c>
      <c r="E225" s="235" t="str">
        <f>IFERROR(INDEX('Fiche Lot'!E:E,MATCH(A225,'Fiche Lot'!A:A,0)),"")</f>
        <v>#ERROR!</v>
      </c>
      <c r="F225" s="235"/>
      <c r="G225" s="235" t="str">
        <f>IFERROR(INDEX('Fiche Lot'!H:H,MATCH(A225,'Fiche Lot'!A:A,0)),"")</f>
        <v>#ERROR!</v>
      </c>
      <c r="H225" s="235"/>
      <c r="I225" s="235"/>
      <c r="J225" s="237" t="str">
        <f>IFERROR(H225/G225,"")</f>
        <v>#ERROR!</v>
      </c>
      <c r="K225" s="283"/>
      <c r="L225" s="283"/>
      <c r="M225" s="283"/>
      <c r="N225" s="283" t="str">
        <f>IFERROR(K225-M225,"")</f>
        <v>#ERROR!</v>
      </c>
      <c r="O225" s="237" t="str">
        <f>IFERROR(N225/K225,"")</f>
        <v>#ERROR!</v>
      </c>
      <c r="P225" s="235" t="str">
        <f>IFERROR(INDEX('Fiche Lot'!J:J,MATCH(A225,'Fiche Lot'!A:A,0)),"")</f>
        <v>#ERROR!</v>
      </c>
      <c r="Q225" s="270" t="str">
        <f>IFERROR(INDEX('Fiche Lot'!L:L,MATCH(A225,'Fiche Lot'!A:A,0)),"")</f>
        <v>#ERROR!</v>
      </c>
      <c r="R225" s="235" t="str">
        <f>IFERROR(INDEX('Fiche Lot'!M:M,MATCH(A225,'Fiche Lot'!A:A,0)),"")</f>
        <v>#ERROR!</v>
      </c>
      <c r="S225" s="235" t="str">
        <f>IFERROR(INDEX('Fiche Lot'!G:G,MATCH(A225,'Fiche Lot'!A:A,0)),"")</f>
        <v>#ERROR!</v>
      </c>
      <c r="T225" s="235"/>
      <c r="U225" s="240"/>
    </row>
    <row r="226" ht="15.0" customHeight="1">
      <c r="A226" s="282"/>
      <c r="B226" s="266" t="str">
        <f>IFERROR(INDEX('Fiche Lot'!B:B,MATCH(A226,'Fiche Lot'!A:A,0)),"")</f>
        <v>#ERROR!</v>
      </c>
      <c r="C226" s="227" t="str">
        <f>IFERROR(INDEX('Fiche Lot'!C:C,MATCH(A226,'Fiche Lot'!A:A,0)),"")</f>
        <v>#ERROR!</v>
      </c>
      <c r="D226" s="227" t="str">
        <f>IFERROR(INDEX('Fiche Lot'!D:D,MATCH(A226,'Fiche Lot'!A:A,0)),"")</f>
        <v>#ERROR!</v>
      </c>
      <c r="E226" s="227" t="str">
        <f>IFERROR(INDEX('Fiche Lot'!E:E,MATCH(A226,'Fiche Lot'!A:A,0)),"")</f>
        <v>#ERROR!</v>
      </c>
      <c r="F226" s="227"/>
      <c r="G226" s="227" t="str">
        <f>IFERROR(INDEX('Fiche Lot'!H:H,MATCH(A226,'Fiche Lot'!A:A,0)),"")</f>
        <v>#ERROR!</v>
      </c>
      <c r="H226" s="227"/>
      <c r="I226" s="227"/>
      <c r="J226" s="230" t="str">
        <f>IFERROR(H226/G226,"")</f>
        <v>#ERROR!</v>
      </c>
      <c r="K226" s="281"/>
      <c r="L226" s="281"/>
      <c r="M226" s="281"/>
      <c r="N226" s="281" t="str">
        <f>IFERROR(K226-M226,"")</f>
        <v>#ERROR!</v>
      </c>
      <c r="O226" s="230" t="str">
        <f>IFERROR(N226/K226,"")</f>
        <v>#ERROR!</v>
      </c>
      <c r="P226" s="227" t="str">
        <f>IFERROR(INDEX('Fiche Lot'!J:J,MATCH(A226,'Fiche Lot'!A:A,0)),"")</f>
        <v>#ERROR!</v>
      </c>
      <c r="Q226" s="266" t="str">
        <f>IFERROR(INDEX('Fiche Lot'!L:L,MATCH(A226,'Fiche Lot'!A:A,0)),"")</f>
        <v>#ERROR!</v>
      </c>
      <c r="R226" s="227" t="str">
        <f>IFERROR(INDEX('Fiche Lot'!M:M,MATCH(A226,'Fiche Lot'!A:A,0)),"")</f>
        <v>#ERROR!</v>
      </c>
      <c r="S226" s="227" t="str">
        <f>IFERROR(INDEX('Fiche Lot'!G:G,MATCH(A226,'Fiche Lot'!A:A,0)),"")</f>
        <v>#ERROR!</v>
      </c>
      <c r="T226" s="227"/>
      <c r="U226" s="233"/>
    </row>
    <row r="227" ht="15.0" customHeight="1">
      <c r="A227" s="282"/>
      <c r="B227" s="270" t="str">
        <f>IFERROR(INDEX('Fiche Lot'!B:B,MATCH(A227,'Fiche Lot'!A:A,0)),"")</f>
        <v>#ERROR!</v>
      </c>
      <c r="C227" s="235" t="str">
        <f>IFERROR(INDEX('Fiche Lot'!C:C,MATCH(A227,'Fiche Lot'!A:A,0)),"")</f>
        <v>#ERROR!</v>
      </c>
      <c r="D227" s="235" t="str">
        <f>IFERROR(INDEX('Fiche Lot'!D:D,MATCH(A227,'Fiche Lot'!A:A,0)),"")</f>
        <v>#ERROR!</v>
      </c>
      <c r="E227" s="235" t="str">
        <f>IFERROR(INDEX('Fiche Lot'!E:E,MATCH(A227,'Fiche Lot'!A:A,0)),"")</f>
        <v>#ERROR!</v>
      </c>
      <c r="F227" s="235"/>
      <c r="G227" s="235" t="str">
        <f>IFERROR(INDEX('Fiche Lot'!H:H,MATCH(A227,'Fiche Lot'!A:A,0)),"")</f>
        <v>#ERROR!</v>
      </c>
      <c r="H227" s="235"/>
      <c r="I227" s="235"/>
      <c r="J227" s="237" t="str">
        <f>IFERROR(H227/G227,"")</f>
        <v>#ERROR!</v>
      </c>
      <c r="K227" s="283"/>
      <c r="L227" s="283"/>
      <c r="M227" s="283"/>
      <c r="N227" s="283" t="str">
        <f>IFERROR(K227-M227,"")</f>
        <v>#ERROR!</v>
      </c>
      <c r="O227" s="237" t="str">
        <f>IFERROR(N227/K227,"")</f>
        <v>#ERROR!</v>
      </c>
      <c r="P227" s="235" t="str">
        <f>IFERROR(INDEX('Fiche Lot'!J:J,MATCH(A227,'Fiche Lot'!A:A,0)),"")</f>
        <v>#ERROR!</v>
      </c>
      <c r="Q227" s="270" t="str">
        <f>IFERROR(INDEX('Fiche Lot'!L:L,MATCH(A227,'Fiche Lot'!A:A,0)),"")</f>
        <v>#ERROR!</v>
      </c>
      <c r="R227" s="235" t="str">
        <f>IFERROR(INDEX('Fiche Lot'!M:M,MATCH(A227,'Fiche Lot'!A:A,0)),"")</f>
        <v>#ERROR!</v>
      </c>
      <c r="S227" s="235" t="str">
        <f>IFERROR(INDEX('Fiche Lot'!G:G,MATCH(A227,'Fiche Lot'!A:A,0)),"")</f>
        <v>#ERROR!</v>
      </c>
      <c r="T227" s="235"/>
      <c r="U227" s="240"/>
    </row>
    <row r="228" ht="15.0" customHeight="1">
      <c r="A228" s="282"/>
      <c r="B228" s="266" t="str">
        <f>IFERROR(INDEX('Fiche Lot'!B:B,MATCH(A228,'Fiche Lot'!A:A,0)),"")</f>
        <v>#ERROR!</v>
      </c>
      <c r="C228" s="227" t="str">
        <f>IFERROR(INDEX('Fiche Lot'!C:C,MATCH(A228,'Fiche Lot'!A:A,0)),"")</f>
        <v>#ERROR!</v>
      </c>
      <c r="D228" s="227" t="str">
        <f>IFERROR(INDEX('Fiche Lot'!D:D,MATCH(A228,'Fiche Lot'!A:A,0)),"")</f>
        <v>#ERROR!</v>
      </c>
      <c r="E228" s="227" t="str">
        <f>IFERROR(INDEX('Fiche Lot'!E:E,MATCH(A228,'Fiche Lot'!A:A,0)),"")</f>
        <v>#ERROR!</v>
      </c>
      <c r="F228" s="227"/>
      <c r="G228" s="227" t="str">
        <f>IFERROR(INDEX('Fiche Lot'!H:H,MATCH(A228,'Fiche Lot'!A:A,0)),"")</f>
        <v>#ERROR!</v>
      </c>
      <c r="H228" s="227"/>
      <c r="I228" s="227"/>
      <c r="J228" s="230" t="str">
        <f>IFERROR(H228/G228,"")</f>
        <v>#ERROR!</v>
      </c>
      <c r="K228" s="281"/>
      <c r="L228" s="281"/>
      <c r="M228" s="281"/>
      <c r="N228" s="281" t="str">
        <f>IFERROR(K228-M228,"")</f>
        <v>#ERROR!</v>
      </c>
      <c r="O228" s="230" t="str">
        <f>IFERROR(N228/K228,"")</f>
        <v>#ERROR!</v>
      </c>
      <c r="P228" s="227" t="str">
        <f>IFERROR(INDEX('Fiche Lot'!J:J,MATCH(A228,'Fiche Lot'!A:A,0)),"")</f>
        <v>#ERROR!</v>
      </c>
      <c r="Q228" s="266" t="str">
        <f>IFERROR(INDEX('Fiche Lot'!L:L,MATCH(A228,'Fiche Lot'!A:A,0)),"")</f>
        <v>#ERROR!</v>
      </c>
      <c r="R228" s="227" t="str">
        <f>IFERROR(INDEX('Fiche Lot'!M:M,MATCH(A228,'Fiche Lot'!A:A,0)),"")</f>
        <v>#ERROR!</v>
      </c>
      <c r="S228" s="227" t="str">
        <f>IFERROR(INDEX('Fiche Lot'!G:G,MATCH(A228,'Fiche Lot'!A:A,0)),"")</f>
        <v>#ERROR!</v>
      </c>
      <c r="T228" s="227"/>
      <c r="U228" s="233"/>
    </row>
    <row r="229" ht="15.0" customHeight="1">
      <c r="A229" s="282"/>
      <c r="B229" s="270" t="str">
        <f>IFERROR(INDEX('Fiche Lot'!B:B,MATCH(A229,'Fiche Lot'!A:A,0)),"")</f>
        <v>#ERROR!</v>
      </c>
      <c r="C229" s="235" t="str">
        <f>IFERROR(INDEX('Fiche Lot'!C:C,MATCH(A229,'Fiche Lot'!A:A,0)),"")</f>
        <v>#ERROR!</v>
      </c>
      <c r="D229" s="235" t="str">
        <f>IFERROR(INDEX('Fiche Lot'!D:D,MATCH(A229,'Fiche Lot'!A:A,0)),"")</f>
        <v>#ERROR!</v>
      </c>
      <c r="E229" s="235" t="str">
        <f>IFERROR(INDEX('Fiche Lot'!E:E,MATCH(A229,'Fiche Lot'!A:A,0)),"")</f>
        <v>#ERROR!</v>
      </c>
      <c r="F229" s="235"/>
      <c r="G229" s="235" t="str">
        <f>IFERROR(INDEX('Fiche Lot'!H:H,MATCH(A229,'Fiche Lot'!A:A,0)),"")</f>
        <v>#ERROR!</v>
      </c>
      <c r="H229" s="235"/>
      <c r="I229" s="235"/>
      <c r="J229" s="237" t="str">
        <f>IFERROR(H229/G229,"")</f>
        <v>#ERROR!</v>
      </c>
      <c r="K229" s="283"/>
      <c r="L229" s="283"/>
      <c r="M229" s="283"/>
      <c r="N229" s="283" t="str">
        <f>IFERROR(K229-M229,"")</f>
        <v>#ERROR!</v>
      </c>
      <c r="O229" s="237" t="str">
        <f>IFERROR(N229/K229,"")</f>
        <v>#ERROR!</v>
      </c>
      <c r="P229" s="235" t="str">
        <f>IFERROR(INDEX('Fiche Lot'!J:J,MATCH(A229,'Fiche Lot'!A:A,0)),"")</f>
        <v>#ERROR!</v>
      </c>
      <c r="Q229" s="270" t="str">
        <f>IFERROR(INDEX('Fiche Lot'!L:L,MATCH(A229,'Fiche Lot'!A:A,0)),"")</f>
        <v>#ERROR!</v>
      </c>
      <c r="R229" s="235" t="str">
        <f>IFERROR(INDEX('Fiche Lot'!M:M,MATCH(A229,'Fiche Lot'!A:A,0)),"")</f>
        <v>#ERROR!</v>
      </c>
      <c r="S229" s="235" t="str">
        <f>IFERROR(INDEX('Fiche Lot'!G:G,MATCH(A229,'Fiche Lot'!A:A,0)),"")</f>
        <v>#ERROR!</v>
      </c>
      <c r="T229" s="235"/>
      <c r="U229" s="240"/>
    </row>
    <row r="230" ht="15.0" customHeight="1">
      <c r="A230" s="282"/>
      <c r="B230" s="266" t="str">
        <f>IFERROR(INDEX('Fiche Lot'!B:B,MATCH(A230,'Fiche Lot'!A:A,0)),"")</f>
        <v>#ERROR!</v>
      </c>
      <c r="C230" s="227" t="str">
        <f>IFERROR(INDEX('Fiche Lot'!C:C,MATCH(A230,'Fiche Lot'!A:A,0)),"")</f>
        <v>#ERROR!</v>
      </c>
      <c r="D230" s="227" t="str">
        <f>IFERROR(INDEX('Fiche Lot'!D:D,MATCH(A230,'Fiche Lot'!A:A,0)),"")</f>
        <v>#ERROR!</v>
      </c>
      <c r="E230" s="227" t="str">
        <f>IFERROR(INDEX('Fiche Lot'!E:E,MATCH(A230,'Fiche Lot'!A:A,0)),"")</f>
        <v>#ERROR!</v>
      </c>
      <c r="F230" s="227"/>
      <c r="G230" s="227" t="str">
        <f>IFERROR(INDEX('Fiche Lot'!H:H,MATCH(A230,'Fiche Lot'!A:A,0)),"")</f>
        <v>#ERROR!</v>
      </c>
      <c r="H230" s="227"/>
      <c r="I230" s="227"/>
      <c r="J230" s="230" t="str">
        <f>IFERROR(H230/G230,"")</f>
        <v>#ERROR!</v>
      </c>
      <c r="K230" s="281"/>
      <c r="L230" s="281"/>
      <c r="M230" s="281"/>
      <c r="N230" s="281" t="str">
        <f>IFERROR(K230-M230,"")</f>
        <v>#ERROR!</v>
      </c>
      <c r="O230" s="230" t="str">
        <f>IFERROR(N230/K230,"")</f>
        <v>#ERROR!</v>
      </c>
      <c r="P230" s="227" t="str">
        <f>IFERROR(INDEX('Fiche Lot'!J:J,MATCH(A230,'Fiche Lot'!A:A,0)),"")</f>
        <v>#ERROR!</v>
      </c>
      <c r="Q230" s="266" t="str">
        <f>IFERROR(INDEX('Fiche Lot'!L:L,MATCH(A230,'Fiche Lot'!A:A,0)),"")</f>
        <v>#ERROR!</v>
      </c>
      <c r="R230" s="227" t="str">
        <f>IFERROR(INDEX('Fiche Lot'!M:M,MATCH(A230,'Fiche Lot'!A:A,0)),"")</f>
        <v>#ERROR!</v>
      </c>
      <c r="S230" s="227" t="str">
        <f>IFERROR(INDEX('Fiche Lot'!G:G,MATCH(A230,'Fiche Lot'!A:A,0)),"")</f>
        <v>#ERROR!</v>
      </c>
      <c r="T230" s="227"/>
      <c r="U230" s="233"/>
    </row>
    <row r="231" ht="15.0" customHeight="1">
      <c r="A231" s="282"/>
      <c r="B231" s="270" t="str">
        <f>IFERROR(INDEX('Fiche Lot'!B:B,MATCH(A231,'Fiche Lot'!A:A,0)),"")</f>
        <v>#ERROR!</v>
      </c>
      <c r="C231" s="235" t="str">
        <f>IFERROR(INDEX('Fiche Lot'!C:C,MATCH(A231,'Fiche Lot'!A:A,0)),"")</f>
        <v>#ERROR!</v>
      </c>
      <c r="D231" s="235" t="str">
        <f>IFERROR(INDEX('Fiche Lot'!D:D,MATCH(A231,'Fiche Lot'!A:A,0)),"")</f>
        <v>#ERROR!</v>
      </c>
      <c r="E231" s="235" t="str">
        <f>IFERROR(INDEX('Fiche Lot'!E:E,MATCH(A231,'Fiche Lot'!A:A,0)),"")</f>
        <v>#ERROR!</v>
      </c>
      <c r="F231" s="235"/>
      <c r="G231" s="235" t="str">
        <f>IFERROR(INDEX('Fiche Lot'!H:H,MATCH(A231,'Fiche Lot'!A:A,0)),"")</f>
        <v>#ERROR!</v>
      </c>
      <c r="H231" s="235"/>
      <c r="I231" s="235"/>
      <c r="J231" s="237" t="str">
        <f>IFERROR(H231/G231,"")</f>
        <v>#ERROR!</v>
      </c>
      <c r="K231" s="283"/>
      <c r="L231" s="283"/>
      <c r="M231" s="283"/>
      <c r="N231" s="283" t="str">
        <f>IFERROR(K231-M231,"")</f>
        <v>#ERROR!</v>
      </c>
      <c r="O231" s="237" t="str">
        <f>IFERROR(N231/K231,"")</f>
        <v>#ERROR!</v>
      </c>
      <c r="P231" s="235" t="str">
        <f>IFERROR(INDEX('Fiche Lot'!J:J,MATCH(A231,'Fiche Lot'!A:A,0)),"")</f>
        <v>#ERROR!</v>
      </c>
      <c r="Q231" s="270" t="str">
        <f>IFERROR(INDEX('Fiche Lot'!L:L,MATCH(A231,'Fiche Lot'!A:A,0)),"")</f>
        <v>#ERROR!</v>
      </c>
      <c r="R231" s="235" t="str">
        <f>IFERROR(INDEX('Fiche Lot'!M:M,MATCH(A231,'Fiche Lot'!A:A,0)),"")</f>
        <v>#ERROR!</v>
      </c>
      <c r="S231" s="235" t="str">
        <f>IFERROR(INDEX('Fiche Lot'!G:G,MATCH(A231,'Fiche Lot'!A:A,0)),"")</f>
        <v>#ERROR!</v>
      </c>
      <c r="T231" s="235"/>
      <c r="U231" s="240"/>
    </row>
    <row r="232" ht="15.0" customHeight="1">
      <c r="A232" s="282"/>
      <c r="B232" s="266" t="str">
        <f>IFERROR(INDEX('Fiche Lot'!B:B,MATCH(A232,'Fiche Lot'!A:A,0)),"")</f>
        <v>#ERROR!</v>
      </c>
      <c r="C232" s="227" t="str">
        <f>IFERROR(INDEX('Fiche Lot'!C:C,MATCH(A232,'Fiche Lot'!A:A,0)),"")</f>
        <v>#ERROR!</v>
      </c>
      <c r="D232" s="227" t="str">
        <f>IFERROR(INDEX('Fiche Lot'!D:D,MATCH(A232,'Fiche Lot'!A:A,0)),"")</f>
        <v>#ERROR!</v>
      </c>
      <c r="E232" s="227" t="str">
        <f>IFERROR(INDEX('Fiche Lot'!E:E,MATCH(A232,'Fiche Lot'!A:A,0)),"")</f>
        <v>#ERROR!</v>
      </c>
      <c r="F232" s="227"/>
      <c r="G232" s="227" t="str">
        <f>IFERROR(INDEX('Fiche Lot'!H:H,MATCH(A232,'Fiche Lot'!A:A,0)),"")</f>
        <v>#ERROR!</v>
      </c>
      <c r="H232" s="227"/>
      <c r="I232" s="227"/>
      <c r="J232" s="230" t="str">
        <f>IFERROR(H232/G232,"")</f>
        <v>#ERROR!</v>
      </c>
      <c r="K232" s="281"/>
      <c r="L232" s="281"/>
      <c r="M232" s="281"/>
      <c r="N232" s="281" t="str">
        <f>IFERROR(K232-M232,"")</f>
        <v>#ERROR!</v>
      </c>
      <c r="O232" s="230" t="str">
        <f>IFERROR(N232/K232,"")</f>
        <v>#ERROR!</v>
      </c>
      <c r="P232" s="227" t="str">
        <f>IFERROR(INDEX('Fiche Lot'!J:J,MATCH(A232,'Fiche Lot'!A:A,0)),"")</f>
        <v>#ERROR!</v>
      </c>
      <c r="Q232" s="266" t="str">
        <f>IFERROR(INDEX('Fiche Lot'!L:L,MATCH(A232,'Fiche Lot'!A:A,0)),"")</f>
        <v>#ERROR!</v>
      </c>
      <c r="R232" s="227" t="str">
        <f>IFERROR(INDEX('Fiche Lot'!M:M,MATCH(A232,'Fiche Lot'!A:A,0)),"")</f>
        <v>#ERROR!</v>
      </c>
      <c r="S232" s="227" t="str">
        <f>IFERROR(INDEX('Fiche Lot'!G:G,MATCH(A232,'Fiche Lot'!A:A,0)),"")</f>
        <v>#ERROR!</v>
      </c>
      <c r="T232" s="227"/>
      <c r="U232" s="233"/>
    </row>
    <row r="233" ht="15.0" customHeight="1">
      <c r="A233" s="282"/>
      <c r="B233" s="270" t="str">
        <f>IFERROR(INDEX('Fiche Lot'!B:B,MATCH(A233,'Fiche Lot'!A:A,0)),"")</f>
        <v>#ERROR!</v>
      </c>
      <c r="C233" s="235" t="str">
        <f>IFERROR(INDEX('Fiche Lot'!C:C,MATCH(A233,'Fiche Lot'!A:A,0)),"")</f>
        <v>#ERROR!</v>
      </c>
      <c r="D233" s="235" t="str">
        <f>IFERROR(INDEX('Fiche Lot'!D:D,MATCH(A233,'Fiche Lot'!A:A,0)),"")</f>
        <v>#ERROR!</v>
      </c>
      <c r="E233" s="235" t="str">
        <f>IFERROR(INDEX('Fiche Lot'!E:E,MATCH(A233,'Fiche Lot'!A:A,0)),"")</f>
        <v>#ERROR!</v>
      </c>
      <c r="F233" s="235"/>
      <c r="G233" s="235" t="str">
        <f>IFERROR(INDEX('Fiche Lot'!H:H,MATCH(A233,'Fiche Lot'!A:A,0)),"")</f>
        <v>#ERROR!</v>
      </c>
      <c r="H233" s="235"/>
      <c r="I233" s="235"/>
      <c r="J233" s="237" t="str">
        <f>IFERROR(H233/G233,"")</f>
        <v>#ERROR!</v>
      </c>
      <c r="K233" s="283"/>
      <c r="L233" s="283"/>
      <c r="M233" s="283"/>
      <c r="N233" s="283" t="str">
        <f>IFERROR(K233-M233,"")</f>
        <v>#ERROR!</v>
      </c>
      <c r="O233" s="237" t="str">
        <f>IFERROR(N233/K233,"")</f>
        <v>#ERROR!</v>
      </c>
      <c r="P233" s="235" t="str">
        <f>IFERROR(INDEX('Fiche Lot'!J:J,MATCH(A233,'Fiche Lot'!A:A,0)),"")</f>
        <v>#ERROR!</v>
      </c>
      <c r="Q233" s="270" t="str">
        <f>IFERROR(INDEX('Fiche Lot'!L:L,MATCH(A233,'Fiche Lot'!A:A,0)),"")</f>
        <v>#ERROR!</v>
      </c>
      <c r="R233" s="235" t="str">
        <f>IFERROR(INDEX('Fiche Lot'!M:M,MATCH(A233,'Fiche Lot'!A:A,0)),"")</f>
        <v>#ERROR!</v>
      </c>
      <c r="S233" s="235" t="str">
        <f>IFERROR(INDEX('Fiche Lot'!G:G,MATCH(A233,'Fiche Lot'!A:A,0)),"")</f>
        <v>#ERROR!</v>
      </c>
      <c r="T233" s="235"/>
      <c r="U233" s="240"/>
    </row>
    <row r="234" ht="15.0" customHeight="1">
      <c r="A234" s="282"/>
      <c r="B234" s="266" t="str">
        <f>IFERROR(INDEX('Fiche Lot'!B:B,MATCH(A234,'Fiche Lot'!A:A,0)),"")</f>
        <v>#ERROR!</v>
      </c>
      <c r="C234" s="227" t="str">
        <f>IFERROR(INDEX('Fiche Lot'!C:C,MATCH(A234,'Fiche Lot'!A:A,0)),"")</f>
        <v>#ERROR!</v>
      </c>
      <c r="D234" s="227" t="str">
        <f>IFERROR(INDEX('Fiche Lot'!D:D,MATCH(A234,'Fiche Lot'!A:A,0)),"")</f>
        <v>#ERROR!</v>
      </c>
      <c r="E234" s="227" t="str">
        <f>IFERROR(INDEX('Fiche Lot'!E:E,MATCH(A234,'Fiche Lot'!A:A,0)),"")</f>
        <v>#ERROR!</v>
      </c>
      <c r="F234" s="227"/>
      <c r="G234" s="227" t="str">
        <f>IFERROR(INDEX('Fiche Lot'!H:H,MATCH(A234,'Fiche Lot'!A:A,0)),"")</f>
        <v>#ERROR!</v>
      </c>
      <c r="H234" s="227"/>
      <c r="I234" s="227"/>
      <c r="J234" s="230" t="str">
        <f>IFERROR(H234/G234,"")</f>
        <v>#ERROR!</v>
      </c>
      <c r="K234" s="281"/>
      <c r="L234" s="281"/>
      <c r="M234" s="281"/>
      <c r="N234" s="281" t="str">
        <f>IFERROR(K234-M234,"")</f>
        <v>#ERROR!</v>
      </c>
      <c r="O234" s="230" t="str">
        <f>IFERROR(N234/K234,"")</f>
        <v>#ERROR!</v>
      </c>
      <c r="P234" s="227" t="str">
        <f>IFERROR(INDEX('Fiche Lot'!J:J,MATCH(A234,'Fiche Lot'!A:A,0)),"")</f>
        <v>#ERROR!</v>
      </c>
      <c r="Q234" s="266" t="str">
        <f>IFERROR(INDEX('Fiche Lot'!L:L,MATCH(A234,'Fiche Lot'!A:A,0)),"")</f>
        <v>#ERROR!</v>
      </c>
      <c r="R234" s="227" t="str">
        <f>IFERROR(INDEX('Fiche Lot'!M:M,MATCH(A234,'Fiche Lot'!A:A,0)),"")</f>
        <v>#ERROR!</v>
      </c>
      <c r="S234" s="227" t="str">
        <f>IFERROR(INDEX('Fiche Lot'!G:G,MATCH(A234,'Fiche Lot'!A:A,0)),"")</f>
        <v>#ERROR!</v>
      </c>
      <c r="T234" s="227"/>
      <c r="U234" s="233"/>
    </row>
    <row r="235" ht="15.0" customHeight="1">
      <c r="A235" s="282"/>
      <c r="B235" s="270" t="str">
        <f>IFERROR(INDEX('Fiche Lot'!B:B,MATCH(A235,'Fiche Lot'!A:A,0)),"")</f>
        <v>#ERROR!</v>
      </c>
      <c r="C235" s="235" t="str">
        <f>IFERROR(INDEX('Fiche Lot'!C:C,MATCH(A235,'Fiche Lot'!A:A,0)),"")</f>
        <v>#ERROR!</v>
      </c>
      <c r="D235" s="235" t="str">
        <f>IFERROR(INDEX('Fiche Lot'!D:D,MATCH(A235,'Fiche Lot'!A:A,0)),"")</f>
        <v>#ERROR!</v>
      </c>
      <c r="E235" s="235" t="str">
        <f>IFERROR(INDEX('Fiche Lot'!E:E,MATCH(A235,'Fiche Lot'!A:A,0)),"")</f>
        <v>#ERROR!</v>
      </c>
      <c r="F235" s="235"/>
      <c r="G235" s="235" t="str">
        <f>IFERROR(INDEX('Fiche Lot'!H:H,MATCH(A235,'Fiche Lot'!A:A,0)),"")</f>
        <v>#ERROR!</v>
      </c>
      <c r="H235" s="235"/>
      <c r="I235" s="235"/>
      <c r="J235" s="237" t="str">
        <f>IFERROR(H235/G235,"")</f>
        <v>#ERROR!</v>
      </c>
      <c r="K235" s="283"/>
      <c r="L235" s="283"/>
      <c r="M235" s="283"/>
      <c r="N235" s="283" t="str">
        <f>IFERROR(K235-M235,"")</f>
        <v>#ERROR!</v>
      </c>
      <c r="O235" s="237" t="str">
        <f>IFERROR(N235/K235,"")</f>
        <v>#ERROR!</v>
      </c>
      <c r="P235" s="235" t="str">
        <f>IFERROR(INDEX('Fiche Lot'!J:J,MATCH(A235,'Fiche Lot'!A:A,0)),"")</f>
        <v>#ERROR!</v>
      </c>
      <c r="Q235" s="270" t="str">
        <f>IFERROR(INDEX('Fiche Lot'!L:L,MATCH(A235,'Fiche Lot'!A:A,0)),"")</f>
        <v>#ERROR!</v>
      </c>
      <c r="R235" s="235" t="str">
        <f>IFERROR(INDEX('Fiche Lot'!M:M,MATCH(A235,'Fiche Lot'!A:A,0)),"")</f>
        <v>#ERROR!</v>
      </c>
      <c r="S235" s="235" t="str">
        <f>IFERROR(INDEX('Fiche Lot'!G:G,MATCH(A235,'Fiche Lot'!A:A,0)),"")</f>
        <v>#ERROR!</v>
      </c>
      <c r="T235" s="235"/>
      <c r="U235" s="240"/>
    </row>
    <row r="236" ht="15.0" customHeight="1">
      <c r="A236" s="282"/>
      <c r="B236" s="266" t="str">
        <f>IFERROR(INDEX('Fiche Lot'!B:B,MATCH(A236,'Fiche Lot'!A:A,0)),"")</f>
        <v>#ERROR!</v>
      </c>
      <c r="C236" s="227" t="str">
        <f>IFERROR(INDEX('Fiche Lot'!C:C,MATCH(A236,'Fiche Lot'!A:A,0)),"")</f>
        <v>#ERROR!</v>
      </c>
      <c r="D236" s="227" t="str">
        <f>IFERROR(INDEX('Fiche Lot'!D:D,MATCH(A236,'Fiche Lot'!A:A,0)),"")</f>
        <v>#ERROR!</v>
      </c>
      <c r="E236" s="227" t="str">
        <f>IFERROR(INDEX('Fiche Lot'!E:E,MATCH(A236,'Fiche Lot'!A:A,0)),"")</f>
        <v>#ERROR!</v>
      </c>
      <c r="F236" s="227"/>
      <c r="G236" s="227" t="str">
        <f>IFERROR(INDEX('Fiche Lot'!H:H,MATCH(A236,'Fiche Lot'!A:A,0)),"")</f>
        <v>#ERROR!</v>
      </c>
      <c r="H236" s="227"/>
      <c r="I236" s="227"/>
      <c r="J236" s="230" t="str">
        <f>IFERROR(H236/G236,"")</f>
        <v>#ERROR!</v>
      </c>
      <c r="K236" s="281"/>
      <c r="L236" s="281"/>
      <c r="M236" s="281"/>
      <c r="N236" s="281" t="str">
        <f>IFERROR(K236-M236,"")</f>
        <v>#ERROR!</v>
      </c>
      <c r="O236" s="230" t="str">
        <f>IFERROR(N236/K236,"")</f>
        <v>#ERROR!</v>
      </c>
      <c r="P236" s="227" t="str">
        <f>IFERROR(INDEX('Fiche Lot'!J:J,MATCH(A236,'Fiche Lot'!A:A,0)),"")</f>
        <v>#ERROR!</v>
      </c>
      <c r="Q236" s="266" t="str">
        <f>IFERROR(INDEX('Fiche Lot'!L:L,MATCH(A236,'Fiche Lot'!A:A,0)),"")</f>
        <v>#ERROR!</v>
      </c>
      <c r="R236" s="227" t="str">
        <f>IFERROR(INDEX('Fiche Lot'!M:M,MATCH(A236,'Fiche Lot'!A:A,0)),"")</f>
        <v>#ERROR!</v>
      </c>
      <c r="S236" s="227" t="str">
        <f>IFERROR(INDEX('Fiche Lot'!G:G,MATCH(A236,'Fiche Lot'!A:A,0)),"")</f>
        <v>#ERROR!</v>
      </c>
      <c r="T236" s="227"/>
      <c r="U236" s="233"/>
    </row>
    <row r="237" ht="15.0" customHeight="1">
      <c r="A237" s="282"/>
      <c r="B237" s="270" t="str">
        <f>IFERROR(INDEX('Fiche Lot'!B:B,MATCH(A237,'Fiche Lot'!A:A,0)),"")</f>
        <v>#ERROR!</v>
      </c>
      <c r="C237" s="235" t="str">
        <f>IFERROR(INDEX('Fiche Lot'!C:C,MATCH(A237,'Fiche Lot'!A:A,0)),"")</f>
        <v>#ERROR!</v>
      </c>
      <c r="D237" s="235" t="str">
        <f>IFERROR(INDEX('Fiche Lot'!D:D,MATCH(A237,'Fiche Lot'!A:A,0)),"")</f>
        <v>#ERROR!</v>
      </c>
      <c r="E237" s="235" t="str">
        <f>IFERROR(INDEX('Fiche Lot'!E:E,MATCH(A237,'Fiche Lot'!A:A,0)),"")</f>
        <v>#ERROR!</v>
      </c>
      <c r="F237" s="235"/>
      <c r="G237" s="235" t="str">
        <f>IFERROR(INDEX('Fiche Lot'!H:H,MATCH(A237,'Fiche Lot'!A:A,0)),"")</f>
        <v>#ERROR!</v>
      </c>
      <c r="H237" s="235"/>
      <c r="I237" s="235"/>
      <c r="J237" s="237" t="str">
        <f>IFERROR(H237/G237,"")</f>
        <v>#ERROR!</v>
      </c>
      <c r="K237" s="283"/>
      <c r="L237" s="283"/>
      <c r="M237" s="283"/>
      <c r="N237" s="283" t="str">
        <f>IFERROR(K237-M237,"")</f>
        <v>#ERROR!</v>
      </c>
      <c r="O237" s="237" t="str">
        <f>IFERROR(N237/K237,"")</f>
        <v>#ERROR!</v>
      </c>
      <c r="P237" s="235" t="str">
        <f>IFERROR(INDEX('Fiche Lot'!J:J,MATCH(A237,'Fiche Lot'!A:A,0)),"")</f>
        <v>#ERROR!</v>
      </c>
      <c r="Q237" s="270" t="str">
        <f>IFERROR(INDEX('Fiche Lot'!L:L,MATCH(A237,'Fiche Lot'!A:A,0)),"")</f>
        <v>#ERROR!</v>
      </c>
      <c r="R237" s="235" t="str">
        <f>IFERROR(INDEX('Fiche Lot'!M:M,MATCH(A237,'Fiche Lot'!A:A,0)),"")</f>
        <v>#ERROR!</v>
      </c>
      <c r="S237" s="235" t="str">
        <f>IFERROR(INDEX('Fiche Lot'!G:G,MATCH(A237,'Fiche Lot'!A:A,0)),"")</f>
        <v>#ERROR!</v>
      </c>
      <c r="T237" s="235"/>
      <c r="U237" s="240"/>
    </row>
    <row r="238" ht="15.0" customHeight="1">
      <c r="A238" s="282"/>
      <c r="B238" s="266" t="str">
        <f>IFERROR(INDEX('Fiche Lot'!B:B,MATCH(A238,'Fiche Lot'!A:A,0)),"")</f>
        <v>#ERROR!</v>
      </c>
      <c r="C238" s="227" t="str">
        <f>IFERROR(INDEX('Fiche Lot'!C:C,MATCH(A238,'Fiche Lot'!A:A,0)),"")</f>
        <v>#ERROR!</v>
      </c>
      <c r="D238" s="227" t="str">
        <f>IFERROR(INDEX('Fiche Lot'!D:D,MATCH(A238,'Fiche Lot'!A:A,0)),"")</f>
        <v>#ERROR!</v>
      </c>
      <c r="E238" s="227" t="str">
        <f>IFERROR(INDEX('Fiche Lot'!E:E,MATCH(A238,'Fiche Lot'!A:A,0)),"")</f>
        <v>#ERROR!</v>
      </c>
      <c r="F238" s="227"/>
      <c r="G238" s="227" t="str">
        <f>IFERROR(INDEX('Fiche Lot'!H:H,MATCH(A238,'Fiche Lot'!A:A,0)),"")</f>
        <v>#ERROR!</v>
      </c>
      <c r="H238" s="227"/>
      <c r="I238" s="227"/>
      <c r="J238" s="230" t="str">
        <f>IFERROR(H238/G238,"")</f>
        <v>#ERROR!</v>
      </c>
      <c r="K238" s="281"/>
      <c r="L238" s="281"/>
      <c r="M238" s="281"/>
      <c r="N238" s="281" t="str">
        <f>IFERROR(K238-M238,"")</f>
        <v>#ERROR!</v>
      </c>
      <c r="O238" s="230" t="str">
        <f>IFERROR(N238/K238,"")</f>
        <v>#ERROR!</v>
      </c>
      <c r="P238" s="227" t="str">
        <f>IFERROR(INDEX('Fiche Lot'!J:J,MATCH(A238,'Fiche Lot'!A:A,0)),"")</f>
        <v>#ERROR!</v>
      </c>
      <c r="Q238" s="266" t="str">
        <f>IFERROR(INDEX('Fiche Lot'!L:L,MATCH(A238,'Fiche Lot'!A:A,0)),"")</f>
        <v>#ERROR!</v>
      </c>
      <c r="R238" s="227" t="str">
        <f>IFERROR(INDEX('Fiche Lot'!M:M,MATCH(A238,'Fiche Lot'!A:A,0)),"")</f>
        <v>#ERROR!</v>
      </c>
      <c r="S238" s="227" t="str">
        <f>IFERROR(INDEX('Fiche Lot'!G:G,MATCH(A238,'Fiche Lot'!A:A,0)),"")</f>
        <v>#ERROR!</v>
      </c>
      <c r="T238" s="227"/>
      <c r="U238" s="233"/>
    </row>
    <row r="239" ht="15.0" customHeight="1">
      <c r="A239" s="282"/>
      <c r="B239" s="270" t="str">
        <f>IFERROR(INDEX('Fiche Lot'!B:B,MATCH(A239,'Fiche Lot'!A:A,0)),"")</f>
        <v>#ERROR!</v>
      </c>
      <c r="C239" s="235" t="str">
        <f>IFERROR(INDEX('Fiche Lot'!C:C,MATCH(A239,'Fiche Lot'!A:A,0)),"")</f>
        <v>#ERROR!</v>
      </c>
      <c r="D239" s="235" t="str">
        <f>IFERROR(INDEX('Fiche Lot'!D:D,MATCH(A239,'Fiche Lot'!A:A,0)),"")</f>
        <v>#ERROR!</v>
      </c>
      <c r="E239" s="235" t="str">
        <f>IFERROR(INDEX('Fiche Lot'!E:E,MATCH(A239,'Fiche Lot'!A:A,0)),"")</f>
        <v>#ERROR!</v>
      </c>
      <c r="F239" s="235"/>
      <c r="G239" s="235" t="str">
        <f>IFERROR(INDEX('Fiche Lot'!H:H,MATCH(A239,'Fiche Lot'!A:A,0)),"")</f>
        <v>#ERROR!</v>
      </c>
      <c r="H239" s="235"/>
      <c r="I239" s="235"/>
      <c r="J239" s="237" t="str">
        <f>IFERROR(H239/G239,"")</f>
        <v>#ERROR!</v>
      </c>
      <c r="K239" s="283"/>
      <c r="L239" s="283"/>
      <c r="M239" s="283"/>
      <c r="N239" s="283" t="str">
        <f>IFERROR(K239-M239,"")</f>
        <v>#ERROR!</v>
      </c>
      <c r="O239" s="237" t="str">
        <f>IFERROR(N239/K239,"")</f>
        <v>#ERROR!</v>
      </c>
      <c r="P239" s="235" t="str">
        <f>IFERROR(INDEX('Fiche Lot'!J:J,MATCH(A239,'Fiche Lot'!A:A,0)),"")</f>
        <v>#ERROR!</v>
      </c>
      <c r="Q239" s="270" t="str">
        <f>IFERROR(INDEX('Fiche Lot'!L:L,MATCH(A239,'Fiche Lot'!A:A,0)),"")</f>
        <v>#ERROR!</v>
      </c>
      <c r="R239" s="235" t="str">
        <f>IFERROR(INDEX('Fiche Lot'!M:M,MATCH(A239,'Fiche Lot'!A:A,0)),"")</f>
        <v>#ERROR!</v>
      </c>
      <c r="S239" s="235" t="str">
        <f>IFERROR(INDEX('Fiche Lot'!G:G,MATCH(A239,'Fiche Lot'!A:A,0)),"")</f>
        <v>#ERROR!</v>
      </c>
      <c r="T239" s="235"/>
      <c r="U239" s="240"/>
    </row>
    <row r="240" ht="15.0" customHeight="1">
      <c r="A240" s="282"/>
      <c r="B240" s="266" t="str">
        <f>IFERROR(INDEX('Fiche Lot'!B:B,MATCH(A240,'Fiche Lot'!A:A,0)),"")</f>
        <v>#ERROR!</v>
      </c>
      <c r="C240" s="227" t="str">
        <f>IFERROR(INDEX('Fiche Lot'!C:C,MATCH(A240,'Fiche Lot'!A:A,0)),"")</f>
        <v>#ERROR!</v>
      </c>
      <c r="D240" s="227" t="str">
        <f>IFERROR(INDEX('Fiche Lot'!D:D,MATCH(A240,'Fiche Lot'!A:A,0)),"")</f>
        <v>#ERROR!</v>
      </c>
      <c r="E240" s="227" t="str">
        <f>IFERROR(INDEX('Fiche Lot'!E:E,MATCH(A240,'Fiche Lot'!A:A,0)),"")</f>
        <v>#ERROR!</v>
      </c>
      <c r="F240" s="227"/>
      <c r="G240" s="227" t="str">
        <f>IFERROR(INDEX('Fiche Lot'!H:H,MATCH(A240,'Fiche Lot'!A:A,0)),"")</f>
        <v>#ERROR!</v>
      </c>
      <c r="H240" s="227"/>
      <c r="I240" s="227"/>
      <c r="J240" s="230" t="str">
        <f>IFERROR(H240/G240,"")</f>
        <v>#ERROR!</v>
      </c>
      <c r="K240" s="281"/>
      <c r="L240" s="281"/>
      <c r="M240" s="281"/>
      <c r="N240" s="281" t="str">
        <f>IFERROR(K240-M240,"")</f>
        <v>#ERROR!</v>
      </c>
      <c r="O240" s="230" t="str">
        <f>IFERROR(N240/K240,"")</f>
        <v>#ERROR!</v>
      </c>
      <c r="P240" s="227" t="str">
        <f>IFERROR(INDEX('Fiche Lot'!J:J,MATCH(A240,'Fiche Lot'!A:A,0)),"")</f>
        <v>#ERROR!</v>
      </c>
      <c r="Q240" s="266" t="str">
        <f>IFERROR(INDEX('Fiche Lot'!L:L,MATCH(A240,'Fiche Lot'!A:A,0)),"")</f>
        <v>#ERROR!</v>
      </c>
      <c r="R240" s="227" t="str">
        <f>IFERROR(INDEX('Fiche Lot'!M:M,MATCH(A240,'Fiche Lot'!A:A,0)),"")</f>
        <v>#ERROR!</v>
      </c>
      <c r="S240" s="227" t="str">
        <f>IFERROR(INDEX('Fiche Lot'!G:G,MATCH(A240,'Fiche Lot'!A:A,0)),"")</f>
        <v>#ERROR!</v>
      </c>
      <c r="T240" s="227"/>
      <c r="U240" s="233"/>
    </row>
    <row r="241" ht="15.0" customHeight="1">
      <c r="A241" s="282"/>
      <c r="B241" s="270" t="str">
        <f>IFERROR(INDEX('Fiche Lot'!B:B,MATCH(A241,'Fiche Lot'!A:A,0)),"")</f>
        <v>#ERROR!</v>
      </c>
      <c r="C241" s="235" t="str">
        <f>IFERROR(INDEX('Fiche Lot'!C:C,MATCH(A241,'Fiche Lot'!A:A,0)),"")</f>
        <v>#ERROR!</v>
      </c>
      <c r="D241" s="235" t="str">
        <f>IFERROR(INDEX('Fiche Lot'!D:D,MATCH(A241,'Fiche Lot'!A:A,0)),"")</f>
        <v>#ERROR!</v>
      </c>
      <c r="E241" s="235" t="str">
        <f>IFERROR(INDEX('Fiche Lot'!E:E,MATCH(A241,'Fiche Lot'!A:A,0)),"")</f>
        <v>#ERROR!</v>
      </c>
      <c r="F241" s="235"/>
      <c r="G241" s="235" t="str">
        <f>IFERROR(INDEX('Fiche Lot'!H:H,MATCH(A241,'Fiche Lot'!A:A,0)),"")</f>
        <v>#ERROR!</v>
      </c>
      <c r="H241" s="235"/>
      <c r="I241" s="235"/>
      <c r="J241" s="237" t="str">
        <f>IFERROR(H241/G241,"")</f>
        <v>#ERROR!</v>
      </c>
      <c r="K241" s="283"/>
      <c r="L241" s="283"/>
      <c r="M241" s="283"/>
      <c r="N241" s="283" t="str">
        <f>IFERROR(K241-M241,"")</f>
        <v>#ERROR!</v>
      </c>
      <c r="O241" s="237" t="str">
        <f>IFERROR(N241/K241,"")</f>
        <v>#ERROR!</v>
      </c>
      <c r="P241" s="235" t="str">
        <f>IFERROR(INDEX('Fiche Lot'!J:J,MATCH(A241,'Fiche Lot'!A:A,0)),"")</f>
        <v>#ERROR!</v>
      </c>
      <c r="Q241" s="270" t="str">
        <f>IFERROR(INDEX('Fiche Lot'!L:L,MATCH(A241,'Fiche Lot'!A:A,0)),"")</f>
        <v>#ERROR!</v>
      </c>
      <c r="R241" s="235" t="str">
        <f>IFERROR(INDEX('Fiche Lot'!M:M,MATCH(A241,'Fiche Lot'!A:A,0)),"")</f>
        <v>#ERROR!</v>
      </c>
      <c r="S241" s="235" t="str">
        <f>IFERROR(INDEX('Fiche Lot'!G:G,MATCH(A241,'Fiche Lot'!A:A,0)),"")</f>
        <v>#ERROR!</v>
      </c>
      <c r="T241" s="235"/>
      <c r="U241" s="240"/>
    </row>
    <row r="242" ht="15.0" customHeight="1">
      <c r="A242" s="282"/>
      <c r="B242" s="266" t="str">
        <f>IFERROR(INDEX('Fiche Lot'!B:B,MATCH(A242,'Fiche Lot'!A:A,0)),"")</f>
        <v>#ERROR!</v>
      </c>
      <c r="C242" s="227" t="str">
        <f>IFERROR(INDEX('Fiche Lot'!C:C,MATCH(A242,'Fiche Lot'!A:A,0)),"")</f>
        <v>#ERROR!</v>
      </c>
      <c r="D242" s="227" t="str">
        <f>IFERROR(INDEX('Fiche Lot'!D:D,MATCH(A242,'Fiche Lot'!A:A,0)),"")</f>
        <v>#ERROR!</v>
      </c>
      <c r="E242" s="227" t="str">
        <f>IFERROR(INDEX('Fiche Lot'!E:E,MATCH(A242,'Fiche Lot'!A:A,0)),"")</f>
        <v>#ERROR!</v>
      </c>
      <c r="F242" s="227"/>
      <c r="G242" s="227" t="str">
        <f>IFERROR(INDEX('Fiche Lot'!H:H,MATCH(A242,'Fiche Lot'!A:A,0)),"")</f>
        <v>#ERROR!</v>
      </c>
      <c r="H242" s="227"/>
      <c r="I242" s="227"/>
      <c r="J242" s="230" t="str">
        <f>IFERROR(H242/G242,"")</f>
        <v>#ERROR!</v>
      </c>
      <c r="K242" s="281"/>
      <c r="L242" s="281"/>
      <c r="M242" s="281"/>
      <c r="N242" s="281" t="str">
        <f>IFERROR(K242-M242,"")</f>
        <v>#ERROR!</v>
      </c>
      <c r="O242" s="230" t="str">
        <f>IFERROR(N242/K242,"")</f>
        <v>#ERROR!</v>
      </c>
      <c r="P242" s="227" t="str">
        <f>IFERROR(INDEX('Fiche Lot'!J:J,MATCH(A242,'Fiche Lot'!A:A,0)),"")</f>
        <v>#ERROR!</v>
      </c>
      <c r="Q242" s="266" t="str">
        <f>IFERROR(INDEX('Fiche Lot'!L:L,MATCH(A242,'Fiche Lot'!A:A,0)),"")</f>
        <v>#ERROR!</v>
      </c>
      <c r="R242" s="227" t="str">
        <f>IFERROR(INDEX('Fiche Lot'!M:M,MATCH(A242,'Fiche Lot'!A:A,0)),"")</f>
        <v>#ERROR!</v>
      </c>
      <c r="S242" s="227" t="str">
        <f>IFERROR(INDEX('Fiche Lot'!G:G,MATCH(A242,'Fiche Lot'!A:A,0)),"")</f>
        <v>#ERROR!</v>
      </c>
      <c r="T242" s="227"/>
      <c r="U242" s="233"/>
    </row>
    <row r="243" ht="15.0" customHeight="1">
      <c r="A243" s="282"/>
      <c r="B243" s="270" t="str">
        <f>IFERROR(INDEX('Fiche Lot'!B:B,MATCH(A243,'Fiche Lot'!A:A,0)),"")</f>
        <v>#ERROR!</v>
      </c>
      <c r="C243" s="235" t="str">
        <f>IFERROR(INDEX('Fiche Lot'!C:C,MATCH(A243,'Fiche Lot'!A:A,0)),"")</f>
        <v>#ERROR!</v>
      </c>
      <c r="D243" s="235" t="str">
        <f>IFERROR(INDEX('Fiche Lot'!D:D,MATCH(A243,'Fiche Lot'!A:A,0)),"")</f>
        <v>#ERROR!</v>
      </c>
      <c r="E243" s="235" t="str">
        <f>IFERROR(INDEX('Fiche Lot'!E:E,MATCH(A243,'Fiche Lot'!A:A,0)),"")</f>
        <v>#ERROR!</v>
      </c>
      <c r="F243" s="235"/>
      <c r="G243" s="235" t="str">
        <f>IFERROR(INDEX('Fiche Lot'!H:H,MATCH(A243,'Fiche Lot'!A:A,0)),"")</f>
        <v>#ERROR!</v>
      </c>
      <c r="H243" s="235"/>
      <c r="I243" s="235"/>
      <c r="J243" s="237" t="str">
        <f>IFERROR(H243/G243,"")</f>
        <v>#ERROR!</v>
      </c>
      <c r="K243" s="283"/>
      <c r="L243" s="283"/>
      <c r="M243" s="283"/>
      <c r="N243" s="283" t="str">
        <f>IFERROR(K243-M243,"")</f>
        <v>#ERROR!</v>
      </c>
      <c r="O243" s="237" t="str">
        <f>IFERROR(N243/K243,"")</f>
        <v>#ERROR!</v>
      </c>
      <c r="P243" s="235" t="str">
        <f>IFERROR(INDEX('Fiche Lot'!J:J,MATCH(A243,'Fiche Lot'!A:A,0)),"")</f>
        <v>#ERROR!</v>
      </c>
      <c r="Q243" s="270" t="str">
        <f>IFERROR(INDEX('Fiche Lot'!L:L,MATCH(A243,'Fiche Lot'!A:A,0)),"")</f>
        <v>#ERROR!</v>
      </c>
      <c r="R243" s="235" t="str">
        <f>IFERROR(INDEX('Fiche Lot'!M:M,MATCH(A243,'Fiche Lot'!A:A,0)),"")</f>
        <v>#ERROR!</v>
      </c>
      <c r="S243" s="235" t="str">
        <f>IFERROR(INDEX('Fiche Lot'!G:G,MATCH(A243,'Fiche Lot'!A:A,0)),"")</f>
        <v>#ERROR!</v>
      </c>
      <c r="T243" s="235"/>
      <c r="U243" s="240"/>
    </row>
    <row r="244" ht="15.0" customHeight="1">
      <c r="A244" s="282"/>
      <c r="B244" s="266" t="str">
        <f>IFERROR(INDEX('Fiche Lot'!B:B,MATCH(A244,'Fiche Lot'!A:A,0)),"")</f>
        <v>#ERROR!</v>
      </c>
      <c r="C244" s="227" t="str">
        <f>IFERROR(INDEX('Fiche Lot'!C:C,MATCH(A244,'Fiche Lot'!A:A,0)),"")</f>
        <v>#ERROR!</v>
      </c>
      <c r="D244" s="227" t="str">
        <f>IFERROR(INDEX('Fiche Lot'!D:D,MATCH(A244,'Fiche Lot'!A:A,0)),"")</f>
        <v>#ERROR!</v>
      </c>
      <c r="E244" s="227" t="str">
        <f>IFERROR(INDEX('Fiche Lot'!E:E,MATCH(A244,'Fiche Lot'!A:A,0)),"")</f>
        <v>#ERROR!</v>
      </c>
      <c r="F244" s="227"/>
      <c r="G244" s="227" t="str">
        <f>IFERROR(INDEX('Fiche Lot'!H:H,MATCH(A244,'Fiche Lot'!A:A,0)),"")</f>
        <v>#ERROR!</v>
      </c>
      <c r="H244" s="227"/>
      <c r="I244" s="227"/>
      <c r="J244" s="230" t="str">
        <f>IFERROR(H244/G244,"")</f>
        <v>#ERROR!</v>
      </c>
      <c r="K244" s="281"/>
      <c r="L244" s="281"/>
      <c r="M244" s="281"/>
      <c r="N244" s="281" t="str">
        <f>IFERROR(K244-M244,"")</f>
        <v>#ERROR!</v>
      </c>
      <c r="O244" s="230" t="str">
        <f>IFERROR(N244/K244,"")</f>
        <v>#ERROR!</v>
      </c>
      <c r="P244" s="227" t="str">
        <f>IFERROR(INDEX('Fiche Lot'!J:J,MATCH(A244,'Fiche Lot'!A:A,0)),"")</f>
        <v>#ERROR!</v>
      </c>
      <c r="Q244" s="266" t="str">
        <f>IFERROR(INDEX('Fiche Lot'!L:L,MATCH(A244,'Fiche Lot'!A:A,0)),"")</f>
        <v>#ERROR!</v>
      </c>
      <c r="R244" s="227" t="str">
        <f>IFERROR(INDEX('Fiche Lot'!M:M,MATCH(A244,'Fiche Lot'!A:A,0)),"")</f>
        <v>#ERROR!</v>
      </c>
      <c r="S244" s="227" t="str">
        <f>IFERROR(INDEX('Fiche Lot'!G:G,MATCH(A244,'Fiche Lot'!A:A,0)),"")</f>
        <v>#ERROR!</v>
      </c>
      <c r="T244" s="227"/>
      <c r="U244" s="233"/>
    </row>
    <row r="245" ht="15.0" customHeight="1">
      <c r="A245" s="282"/>
      <c r="B245" s="270" t="str">
        <f>IFERROR(INDEX('Fiche Lot'!B:B,MATCH(A245,'Fiche Lot'!A:A,0)),"")</f>
        <v>#ERROR!</v>
      </c>
      <c r="C245" s="235" t="str">
        <f>IFERROR(INDEX('Fiche Lot'!C:C,MATCH(A245,'Fiche Lot'!A:A,0)),"")</f>
        <v>#ERROR!</v>
      </c>
      <c r="D245" s="235" t="str">
        <f>IFERROR(INDEX('Fiche Lot'!D:D,MATCH(A245,'Fiche Lot'!A:A,0)),"")</f>
        <v>#ERROR!</v>
      </c>
      <c r="E245" s="235" t="str">
        <f>IFERROR(INDEX('Fiche Lot'!E:E,MATCH(A245,'Fiche Lot'!A:A,0)),"")</f>
        <v>#ERROR!</v>
      </c>
      <c r="F245" s="235"/>
      <c r="G245" s="235" t="str">
        <f>IFERROR(INDEX('Fiche Lot'!H:H,MATCH(A245,'Fiche Lot'!A:A,0)),"")</f>
        <v>#ERROR!</v>
      </c>
      <c r="H245" s="235"/>
      <c r="I245" s="235"/>
      <c r="J245" s="237" t="str">
        <f>IFERROR(H245/G245,"")</f>
        <v>#ERROR!</v>
      </c>
      <c r="K245" s="283"/>
      <c r="L245" s="283"/>
      <c r="M245" s="283"/>
      <c r="N245" s="283" t="str">
        <f>IFERROR(K245-M245,"")</f>
        <v>#ERROR!</v>
      </c>
      <c r="O245" s="237" t="str">
        <f>IFERROR(N245/K245,"")</f>
        <v>#ERROR!</v>
      </c>
      <c r="P245" s="235" t="str">
        <f>IFERROR(INDEX('Fiche Lot'!J:J,MATCH(A245,'Fiche Lot'!A:A,0)),"")</f>
        <v>#ERROR!</v>
      </c>
      <c r="Q245" s="270" t="str">
        <f>IFERROR(INDEX('Fiche Lot'!L:L,MATCH(A245,'Fiche Lot'!A:A,0)),"")</f>
        <v>#ERROR!</v>
      </c>
      <c r="R245" s="235" t="str">
        <f>IFERROR(INDEX('Fiche Lot'!M:M,MATCH(A245,'Fiche Lot'!A:A,0)),"")</f>
        <v>#ERROR!</v>
      </c>
      <c r="S245" s="235" t="str">
        <f>IFERROR(INDEX('Fiche Lot'!G:G,MATCH(A245,'Fiche Lot'!A:A,0)),"")</f>
        <v>#ERROR!</v>
      </c>
      <c r="T245" s="235"/>
      <c r="U245" s="240"/>
    </row>
    <row r="246" ht="15.0" customHeight="1">
      <c r="A246" s="282"/>
      <c r="B246" s="266" t="str">
        <f>IFERROR(INDEX('Fiche Lot'!B:B,MATCH(A246,'Fiche Lot'!A:A,0)),"")</f>
        <v>#ERROR!</v>
      </c>
      <c r="C246" s="227" t="str">
        <f>IFERROR(INDEX('Fiche Lot'!C:C,MATCH(A246,'Fiche Lot'!A:A,0)),"")</f>
        <v>#ERROR!</v>
      </c>
      <c r="D246" s="227" t="str">
        <f>IFERROR(INDEX('Fiche Lot'!D:D,MATCH(A246,'Fiche Lot'!A:A,0)),"")</f>
        <v>#ERROR!</v>
      </c>
      <c r="E246" s="227" t="str">
        <f>IFERROR(INDEX('Fiche Lot'!E:E,MATCH(A246,'Fiche Lot'!A:A,0)),"")</f>
        <v>#ERROR!</v>
      </c>
      <c r="F246" s="227"/>
      <c r="G246" s="227" t="str">
        <f>IFERROR(INDEX('Fiche Lot'!H:H,MATCH(A246,'Fiche Lot'!A:A,0)),"")</f>
        <v>#ERROR!</v>
      </c>
      <c r="H246" s="227"/>
      <c r="I246" s="227"/>
      <c r="J246" s="230" t="str">
        <f>IFERROR(H246/G246,"")</f>
        <v>#ERROR!</v>
      </c>
      <c r="K246" s="281"/>
      <c r="L246" s="281"/>
      <c r="M246" s="281"/>
      <c r="N246" s="281" t="str">
        <f>IFERROR(K246-M246,"")</f>
        <v>#ERROR!</v>
      </c>
      <c r="O246" s="230" t="str">
        <f>IFERROR(N246/K246,"")</f>
        <v>#ERROR!</v>
      </c>
      <c r="P246" s="227" t="str">
        <f>IFERROR(INDEX('Fiche Lot'!J:J,MATCH(A246,'Fiche Lot'!A:A,0)),"")</f>
        <v>#ERROR!</v>
      </c>
      <c r="Q246" s="266" t="str">
        <f>IFERROR(INDEX('Fiche Lot'!L:L,MATCH(A246,'Fiche Lot'!A:A,0)),"")</f>
        <v>#ERROR!</v>
      </c>
      <c r="R246" s="227" t="str">
        <f>IFERROR(INDEX('Fiche Lot'!M:M,MATCH(A246,'Fiche Lot'!A:A,0)),"")</f>
        <v>#ERROR!</v>
      </c>
      <c r="S246" s="227" t="str">
        <f>IFERROR(INDEX('Fiche Lot'!G:G,MATCH(A246,'Fiche Lot'!A:A,0)),"")</f>
        <v>#ERROR!</v>
      </c>
      <c r="T246" s="227"/>
      <c r="U246" s="233"/>
    </row>
    <row r="247" ht="15.0" customHeight="1">
      <c r="A247" s="282"/>
      <c r="B247" s="270" t="str">
        <f>IFERROR(INDEX('Fiche Lot'!B:B,MATCH(A247,'Fiche Lot'!A:A,0)),"")</f>
        <v>#ERROR!</v>
      </c>
      <c r="C247" s="235" t="str">
        <f>IFERROR(INDEX('Fiche Lot'!C:C,MATCH(A247,'Fiche Lot'!A:A,0)),"")</f>
        <v>#ERROR!</v>
      </c>
      <c r="D247" s="235" t="str">
        <f>IFERROR(INDEX('Fiche Lot'!D:D,MATCH(A247,'Fiche Lot'!A:A,0)),"")</f>
        <v>#ERROR!</v>
      </c>
      <c r="E247" s="235" t="str">
        <f>IFERROR(INDEX('Fiche Lot'!E:E,MATCH(A247,'Fiche Lot'!A:A,0)),"")</f>
        <v>#ERROR!</v>
      </c>
      <c r="F247" s="235"/>
      <c r="G247" s="235" t="str">
        <f>IFERROR(INDEX('Fiche Lot'!H:H,MATCH(A247,'Fiche Lot'!A:A,0)),"")</f>
        <v>#ERROR!</v>
      </c>
      <c r="H247" s="235"/>
      <c r="I247" s="235"/>
      <c r="J247" s="237" t="str">
        <f>IFERROR(H247/G247,"")</f>
        <v>#ERROR!</v>
      </c>
      <c r="K247" s="283"/>
      <c r="L247" s="283"/>
      <c r="M247" s="283"/>
      <c r="N247" s="283" t="str">
        <f>IFERROR(K247-M247,"")</f>
        <v>#ERROR!</v>
      </c>
      <c r="O247" s="237" t="str">
        <f>IFERROR(N247/K247,"")</f>
        <v>#ERROR!</v>
      </c>
      <c r="P247" s="235" t="str">
        <f>IFERROR(INDEX('Fiche Lot'!J:J,MATCH(A247,'Fiche Lot'!A:A,0)),"")</f>
        <v>#ERROR!</v>
      </c>
      <c r="Q247" s="270" t="str">
        <f>IFERROR(INDEX('Fiche Lot'!L:L,MATCH(A247,'Fiche Lot'!A:A,0)),"")</f>
        <v>#ERROR!</v>
      </c>
      <c r="R247" s="235" t="str">
        <f>IFERROR(INDEX('Fiche Lot'!M:M,MATCH(A247,'Fiche Lot'!A:A,0)),"")</f>
        <v>#ERROR!</v>
      </c>
      <c r="S247" s="235" t="str">
        <f>IFERROR(INDEX('Fiche Lot'!G:G,MATCH(A247,'Fiche Lot'!A:A,0)),"")</f>
        <v>#ERROR!</v>
      </c>
      <c r="T247" s="235"/>
      <c r="U247" s="240"/>
    </row>
    <row r="248" ht="15.0" customHeight="1">
      <c r="A248" s="282"/>
      <c r="B248" s="266" t="str">
        <f>IFERROR(INDEX('Fiche Lot'!B:B,MATCH(A248,'Fiche Lot'!A:A,0)),"")</f>
        <v>#ERROR!</v>
      </c>
      <c r="C248" s="227" t="str">
        <f>IFERROR(INDEX('Fiche Lot'!C:C,MATCH(A248,'Fiche Lot'!A:A,0)),"")</f>
        <v>#ERROR!</v>
      </c>
      <c r="D248" s="227" t="str">
        <f>IFERROR(INDEX('Fiche Lot'!D:D,MATCH(A248,'Fiche Lot'!A:A,0)),"")</f>
        <v>#ERROR!</v>
      </c>
      <c r="E248" s="227" t="str">
        <f>IFERROR(INDEX('Fiche Lot'!E:E,MATCH(A248,'Fiche Lot'!A:A,0)),"")</f>
        <v>#ERROR!</v>
      </c>
      <c r="F248" s="227"/>
      <c r="G248" s="227" t="str">
        <f>IFERROR(INDEX('Fiche Lot'!H:H,MATCH(A248,'Fiche Lot'!A:A,0)),"")</f>
        <v>#ERROR!</v>
      </c>
      <c r="H248" s="227"/>
      <c r="I248" s="227"/>
      <c r="J248" s="230" t="str">
        <f>IFERROR(H248/G248,"")</f>
        <v>#ERROR!</v>
      </c>
      <c r="K248" s="281"/>
      <c r="L248" s="281"/>
      <c r="M248" s="281"/>
      <c r="N248" s="281" t="str">
        <f>IFERROR(K248-M248,"")</f>
        <v>#ERROR!</v>
      </c>
      <c r="O248" s="230" t="str">
        <f>IFERROR(N248/K248,"")</f>
        <v>#ERROR!</v>
      </c>
      <c r="P248" s="227" t="str">
        <f>IFERROR(INDEX('Fiche Lot'!J:J,MATCH(A248,'Fiche Lot'!A:A,0)),"")</f>
        <v>#ERROR!</v>
      </c>
      <c r="Q248" s="266" t="str">
        <f>IFERROR(INDEX('Fiche Lot'!L:L,MATCH(A248,'Fiche Lot'!A:A,0)),"")</f>
        <v>#ERROR!</v>
      </c>
      <c r="R248" s="227" t="str">
        <f>IFERROR(INDEX('Fiche Lot'!M:M,MATCH(A248,'Fiche Lot'!A:A,0)),"")</f>
        <v>#ERROR!</v>
      </c>
      <c r="S248" s="227" t="str">
        <f>IFERROR(INDEX('Fiche Lot'!G:G,MATCH(A248,'Fiche Lot'!A:A,0)),"")</f>
        <v>#ERROR!</v>
      </c>
      <c r="T248" s="227"/>
      <c r="U248" s="233"/>
    </row>
    <row r="249" ht="15.0" customHeight="1">
      <c r="A249" s="282"/>
      <c r="B249" s="270" t="str">
        <f>IFERROR(INDEX('Fiche Lot'!B:B,MATCH(A249,'Fiche Lot'!A:A,0)),"")</f>
        <v>#ERROR!</v>
      </c>
      <c r="C249" s="235" t="str">
        <f>IFERROR(INDEX('Fiche Lot'!C:C,MATCH(A249,'Fiche Lot'!A:A,0)),"")</f>
        <v>#ERROR!</v>
      </c>
      <c r="D249" s="235" t="str">
        <f>IFERROR(INDEX('Fiche Lot'!D:D,MATCH(A249,'Fiche Lot'!A:A,0)),"")</f>
        <v>#ERROR!</v>
      </c>
      <c r="E249" s="235" t="str">
        <f>IFERROR(INDEX('Fiche Lot'!E:E,MATCH(A249,'Fiche Lot'!A:A,0)),"")</f>
        <v>#ERROR!</v>
      </c>
      <c r="F249" s="235"/>
      <c r="G249" s="235" t="str">
        <f>IFERROR(INDEX('Fiche Lot'!H:H,MATCH(A249,'Fiche Lot'!A:A,0)),"")</f>
        <v>#ERROR!</v>
      </c>
      <c r="H249" s="235"/>
      <c r="I249" s="235"/>
      <c r="J249" s="237" t="str">
        <f>IFERROR(H249/G249,"")</f>
        <v>#ERROR!</v>
      </c>
      <c r="K249" s="283"/>
      <c r="L249" s="283"/>
      <c r="M249" s="283"/>
      <c r="N249" s="283" t="str">
        <f>IFERROR(K249-M249,"")</f>
        <v>#ERROR!</v>
      </c>
      <c r="O249" s="237" t="str">
        <f>IFERROR(N249/K249,"")</f>
        <v>#ERROR!</v>
      </c>
      <c r="P249" s="235" t="str">
        <f>IFERROR(INDEX('Fiche Lot'!J:J,MATCH(A249,'Fiche Lot'!A:A,0)),"")</f>
        <v>#ERROR!</v>
      </c>
      <c r="Q249" s="270" t="str">
        <f>IFERROR(INDEX('Fiche Lot'!L:L,MATCH(A249,'Fiche Lot'!A:A,0)),"")</f>
        <v>#ERROR!</v>
      </c>
      <c r="R249" s="235" t="str">
        <f>IFERROR(INDEX('Fiche Lot'!M:M,MATCH(A249,'Fiche Lot'!A:A,0)),"")</f>
        <v>#ERROR!</v>
      </c>
      <c r="S249" s="235" t="str">
        <f>IFERROR(INDEX('Fiche Lot'!G:G,MATCH(A249,'Fiche Lot'!A:A,0)),"")</f>
        <v>#ERROR!</v>
      </c>
      <c r="T249" s="235"/>
      <c r="U249" s="240"/>
    </row>
    <row r="250" ht="15.0" customHeight="1">
      <c r="A250" s="282"/>
      <c r="B250" s="266" t="str">
        <f>IFERROR(INDEX('Fiche Lot'!B:B,MATCH(A250,'Fiche Lot'!A:A,0)),"")</f>
        <v>#ERROR!</v>
      </c>
      <c r="C250" s="227" t="str">
        <f>IFERROR(INDEX('Fiche Lot'!C:C,MATCH(A250,'Fiche Lot'!A:A,0)),"")</f>
        <v>#ERROR!</v>
      </c>
      <c r="D250" s="227" t="str">
        <f>IFERROR(INDEX('Fiche Lot'!D:D,MATCH(A250,'Fiche Lot'!A:A,0)),"")</f>
        <v>#ERROR!</v>
      </c>
      <c r="E250" s="227" t="str">
        <f>IFERROR(INDEX('Fiche Lot'!E:E,MATCH(A250,'Fiche Lot'!A:A,0)),"")</f>
        <v>#ERROR!</v>
      </c>
      <c r="F250" s="227"/>
      <c r="G250" s="227" t="str">
        <f>IFERROR(INDEX('Fiche Lot'!H:H,MATCH(A250,'Fiche Lot'!A:A,0)),"")</f>
        <v>#ERROR!</v>
      </c>
      <c r="H250" s="227"/>
      <c r="I250" s="227"/>
      <c r="J250" s="230" t="str">
        <f>IFERROR(H250/G250,"")</f>
        <v>#ERROR!</v>
      </c>
      <c r="K250" s="281"/>
      <c r="L250" s="281"/>
      <c r="M250" s="281"/>
      <c r="N250" s="281" t="str">
        <f>IFERROR(K250-M250,"")</f>
        <v>#ERROR!</v>
      </c>
      <c r="O250" s="230" t="str">
        <f>IFERROR(N250/K250,"")</f>
        <v>#ERROR!</v>
      </c>
      <c r="P250" s="227" t="str">
        <f>IFERROR(INDEX('Fiche Lot'!J:J,MATCH(A250,'Fiche Lot'!A:A,0)),"")</f>
        <v>#ERROR!</v>
      </c>
      <c r="Q250" s="266" t="str">
        <f>IFERROR(INDEX('Fiche Lot'!L:L,MATCH(A250,'Fiche Lot'!A:A,0)),"")</f>
        <v>#ERROR!</v>
      </c>
      <c r="R250" s="227" t="str">
        <f>IFERROR(INDEX('Fiche Lot'!M:M,MATCH(A250,'Fiche Lot'!A:A,0)),"")</f>
        <v>#ERROR!</v>
      </c>
      <c r="S250" s="227" t="str">
        <f>IFERROR(INDEX('Fiche Lot'!G:G,MATCH(A250,'Fiche Lot'!A:A,0)),"")</f>
        <v>#ERROR!</v>
      </c>
      <c r="T250" s="227"/>
      <c r="U250" s="233"/>
    </row>
    <row r="251" ht="15.0" customHeight="1">
      <c r="A251" s="282"/>
      <c r="B251" s="270" t="str">
        <f>IFERROR(INDEX('Fiche Lot'!B:B,MATCH(A251,'Fiche Lot'!A:A,0)),"")</f>
        <v>#ERROR!</v>
      </c>
      <c r="C251" s="235" t="str">
        <f>IFERROR(INDEX('Fiche Lot'!C:C,MATCH(A251,'Fiche Lot'!A:A,0)),"")</f>
        <v>#ERROR!</v>
      </c>
      <c r="D251" s="235" t="str">
        <f>IFERROR(INDEX('Fiche Lot'!D:D,MATCH(A251,'Fiche Lot'!A:A,0)),"")</f>
        <v>#ERROR!</v>
      </c>
      <c r="E251" s="235" t="str">
        <f>IFERROR(INDEX('Fiche Lot'!E:E,MATCH(A251,'Fiche Lot'!A:A,0)),"")</f>
        <v>#ERROR!</v>
      </c>
      <c r="F251" s="235"/>
      <c r="G251" s="235" t="str">
        <f>IFERROR(INDEX('Fiche Lot'!H:H,MATCH(A251,'Fiche Lot'!A:A,0)),"")</f>
        <v>#ERROR!</v>
      </c>
      <c r="H251" s="235"/>
      <c r="I251" s="235"/>
      <c r="J251" s="237" t="str">
        <f>IFERROR(H251/G251,"")</f>
        <v>#ERROR!</v>
      </c>
      <c r="K251" s="283"/>
      <c r="L251" s="283"/>
      <c r="M251" s="283"/>
      <c r="N251" s="283" t="str">
        <f>IFERROR(K251-M251,"")</f>
        <v>#ERROR!</v>
      </c>
      <c r="O251" s="237" t="str">
        <f>IFERROR(N251/K251,"")</f>
        <v>#ERROR!</v>
      </c>
      <c r="P251" s="235" t="str">
        <f>IFERROR(INDEX('Fiche Lot'!J:J,MATCH(A251,'Fiche Lot'!A:A,0)),"")</f>
        <v>#ERROR!</v>
      </c>
      <c r="Q251" s="270" t="str">
        <f>IFERROR(INDEX('Fiche Lot'!L:L,MATCH(A251,'Fiche Lot'!A:A,0)),"")</f>
        <v>#ERROR!</v>
      </c>
      <c r="R251" s="235" t="str">
        <f>IFERROR(INDEX('Fiche Lot'!M:M,MATCH(A251,'Fiche Lot'!A:A,0)),"")</f>
        <v>#ERROR!</v>
      </c>
      <c r="S251" s="235" t="str">
        <f>IFERROR(INDEX('Fiche Lot'!G:G,MATCH(A251,'Fiche Lot'!A:A,0)),"")</f>
        <v>#ERROR!</v>
      </c>
      <c r="T251" s="235"/>
      <c r="U251" s="240"/>
    </row>
    <row r="252" ht="15.0" customHeight="1">
      <c r="A252" s="282"/>
      <c r="B252" s="266" t="str">
        <f>IFERROR(INDEX('Fiche Lot'!B:B,MATCH(A252,'Fiche Lot'!A:A,0)),"")</f>
        <v>#ERROR!</v>
      </c>
      <c r="C252" s="227" t="str">
        <f>IFERROR(INDEX('Fiche Lot'!C:C,MATCH(A252,'Fiche Lot'!A:A,0)),"")</f>
        <v>#ERROR!</v>
      </c>
      <c r="D252" s="227" t="str">
        <f>IFERROR(INDEX('Fiche Lot'!D:D,MATCH(A252,'Fiche Lot'!A:A,0)),"")</f>
        <v>#ERROR!</v>
      </c>
      <c r="E252" s="227" t="str">
        <f>IFERROR(INDEX('Fiche Lot'!E:E,MATCH(A252,'Fiche Lot'!A:A,0)),"")</f>
        <v>#ERROR!</v>
      </c>
      <c r="F252" s="227"/>
      <c r="G252" s="227" t="str">
        <f>IFERROR(INDEX('Fiche Lot'!H:H,MATCH(A252,'Fiche Lot'!A:A,0)),"")</f>
        <v>#ERROR!</v>
      </c>
      <c r="H252" s="227"/>
      <c r="I252" s="227"/>
      <c r="J252" s="230" t="str">
        <f>IFERROR(H252/G252,"")</f>
        <v>#ERROR!</v>
      </c>
      <c r="K252" s="281"/>
      <c r="L252" s="281"/>
      <c r="M252" s="281"/>
      <c r="N252" s="281" t="str">
        <f>IFERROR(K252-M252,"")</f>
        <v>#ERROR!</v>
      </c>
      <c r="O252" s="230" t="str">
        <f>IFERROR(N252/K252,"")</f>
        <v>#ERROR!</v>
      </c>
      <c r="P252" s="227" t="str">
        <f>IFERROR(INDEX('Fiche Lot'!J:J,MATCH(A252,'Fiche Lot'!A:A,0)),"")</f>
        <v>#ERROR!</v>
      </c>
      <c r="Q252" s="266" t="str">
        <f>IFERROR(INDEX('Fiche Lot'!L:L,MATCH(A252,'Fiche Lot'!A:A,0)),"")</f>
        <v>#ERROR!</v>
      </c>
      <c r="R252" s="227" t="str">
        <f>IFERROR(INDEX('Fiche Lot'!M:M,MATCH(A252,'Fiche Lot'!A:A,0)),"")</f>
        <v>#ERROR!</v>
      </c>
      <c r="S252" s="227" t="str">
        <f>IFERROR(INDEX('Fiche Lot'!G:G,MATCH(A252,'Fiche Lot'!A:A,0)),"")</f>
        <v>#ERROR!</v>
      </c>
      <c r="T252" s="227"/>
      <c r="U252" s="233"/>
    </row>
    <row r="253" ht="15.0" customHeight="1">
      <c r="A253" s="282"/>
      <c r="B253" s="270" t="str">
        <f>IFERROR(INDEX('Fiche Lot'!B:B,MATCH(A253,'Fiche Lot'!A:A,0)),"")</f>
        <v>#ERROR!</v>
      </c>
      <c r="C253" s="235" t="str">
        <f>IFERROR(INDEX('Fiche Lot'!C:C,MATCH(A253,'Fiche Lot'!A:A,0)),"")</f>
        <v>#ERROR!</v>
      </c>
      <c r="D253" s="235" t="str">
        <f>IFERROR(INDEX('Fiche Lot'!D:D,MATCH(A253,'Fiche Lot'!A:A,0)),"")</f>
        <v>#ERROR!</v>
      </c>
      <c r="E253" s="235" t="str">
        <f>IFERROR(INDEX('Fiche Lot'!E:E,MATCH(A253,'Fiche Lot'!A:A,0)),"")</f>
        <v>#ERROR!</v>
      </c>
      <c r="F253" s="235"/>
      <c r="G253" s="235" t="str">
        <f>IFERROR(INDEX('Fiche Lot'!H:H,MATCH(A253,'Fiche Lot'!A:A,0)),"")</f>
        <v>#ERROR!</v>
      </c>
      <c r="H253" s="235"/>
      <c r="I253" s="235"/>
      <c r="J253" s="237" t="str">
        <f>IFERROR(H253/G253,"")</f>
        <v>#ERROR!</v>
      </c>
      <c r="K253" s="283"/>
      <c r="L253" s="283"/>
      <c r="M253" s="283"/>
      <c r="N253" s="283" t="str">
        <f>IFERROR(K253-M253,"")</f>
        <v>#ERROR!</v>
      </c>
      <c r="O253" s="237" t="str">
        <f>IFERROR(N253/K253,"")</f>
        <v>#ERROR!</v>
      </c>
      <c r="P253" s="235" t="str">
        <f>IFERROR(INDEX('Fiche Lot'!J:J,MATCH(A253,'Fiche Lot'!A:A,0)),"")</f>
        <v>#ERROR!</v>
      </c>
      <c r="Q253" s="270" t="str">
        <f>IFERROR(INDEX('Fiche Lot'!L:L,MATCH(A253,'Fiche Lot'!A:A,0)),"")</f>
        <v>#ERROR!</v>
      </c>
      <c r="R253" s="235" t="str">
        <f>IFERROR(INDEX('Fiche Lot'!M:M,MATCH(A253,'Fiche Lot'!A:A,0)),"")</f>
        <v>#ERROR!</v>
      </c>
      <c r="S253" s="235" t="str">
        <f>IFERROR(INDEX('Fiche Lot'!G:G,MATCH(A253,'Fiche Lot'!A:A,0)),"")</f>
        <v>#ERROR!</v>
      </c>
      <c r="T253" s="235"/>
      <c r="U253" s="240"/>
    </row>
    <row r="254" ht="15.0" customHeight="1">
      <c r="A254" s="282"/>
      <c r="B254" s="266" t="str">
        <f>IFERROR(INDEX('Fiche Lot'!B:B,MATCH(A254,'Fiche Lot'!A:A,0)),"")</f>
        <v>#ERROR!</v>
      </c>
      <c r="C254" s="227" t="str">
        <f>IFERROR(INDEX('Fiche Lot'!C:C,MATCH(A254,'Fiche Lot'!A:A,0)),"")</f>
        <v>#ERROR!</v>
      </c>
      <c r="D254" s="227" t="str">
        <f>IFERROR(INDEX('Fiche Lot'!D:D,MATCH(A254,'Fiche Lot'!A:A,0)),"")</f>
        <v>#ERROR!</v>
      </c>
      <c r="E254" s="227" t="str">
        <f>IFERROR(INDEX('Fiche Lot'!E:E,MATCH(A254,'Fiche Lot'!A:A,0)),"")</f>
        <v>#ERROR!</v>
      </c>
      <c r="F254" s="227"/>
      <c r="G254" s="227" t="str">
        <f>IFERROR(INDEX('Fiche Lot'!H:H,MATCH(A254,'Fiche Lot'!A:A,0)),"")</f>
        <v>#ERROR!</v>
      </c>
      <c r="H254" s="227"/>
      <c r="I254" s="227"/>
      <c r="J254" s="230" t="str">
        <f>IFERROR(H254/G254,"")</f>
        <v>#ERROR!</v>
      </c>
      <c r="K254" s="281"/>
      <c r="L254" s="281"/>
      <c r="M254" s="281"/>
      <c r="N254" s="281" t="str">
        <f>IFERROR(K254-M254,"")</f>
        <v>#ERROR!</v>
      </c>
      <c r="O254" s="230" t="str">
        <f>IFERROR(N254/K254,"")</f>
        <v>#ERROR!</v>
      </c>
      <c r="P254" s="227" t="str">
        <f>IFERROR(INDEX('Fiche Lot'!J:J,MATCH(A254,'Fiche Lot'!A:A,0)),"")</f>
        <v>#ERROR!</v>
      </c>
      <c r="Q254" s="266" t="str">
        <f>IFERROR(INDEX('Fiche Lot'!L:L,MATCH(A254,'Fiche Lot'!A:A,0)),"")</f>
        <v>#ERROR!</v>
      </c>
      <c r="R254" s="227" t="str">
        <f>IFERROR(INDEX('Fiche Lot'!M:M,MATCH(A254,'Fiche Lot'!A:A,0)),"")</f>
        <v>#ERROR!</v>
      </c>
      <c r="S254" s="227" t="str">
        <f>IFERROR(INDEX('Fiche Lot'!G:G,MATCH(A254,'Fiche Lot'!A:A,0)),"")</f>
        <v>#ERROR!</v>
      </c>
      <c r="T254" s="227"/>
      <c r="U254" s="233"/>
    </row>
    <row r="255" ht="15.0" customHeight="1">
      <c r="A255" s="282"/>
      <c r="B255" s="270" t="str">
        <f>IFERROR(INDEX('Fiche Lot'!B:B,MATCH(A255,'Fiche Lot'!A:A,0)),"")</f>
        <v>#ERROR!</v>
      </c>
      <c r="C255" s="235" t="str">
        <f>IFERROR(INDEX('Fiche Lot'!C:C,MATCH(A255,'Fiche Lot'!A:A,0)),"")</f>
        <v>#ERROR!</v>
      </c>
      <c r="D255" s="235" t="str">
        <f>IFERROR(INDEX('Fiche Lot'!D:D,MATCH(A255,'Fiche Lot'!A:A,0)),"")</f>
        <v>#ERROR!</v>
      </c>
      <c r="E255" s="235" t="str">
        <f>IFERROR(INDEX('Fiche Lot'!E:E,MATCH(A255,'Fiche Lot'!A:A,0)),"")</f>
        <v>#ERROR!</v>
      </c>
      <c r="F255" s="235"/>
      <c r="G255" s="235" t="str">
        <f>IFERROR(INDEX('Fiche Lot'!H:H,MATCH(A255,'Fiche Lot'!A:A,0)),"")</f>
        <v>#ERROR!</v>
      </c>
      <c r="H255" s="235"/>
      <c r="I255" s="235"/>
      <c r="J255" s="237" t="str">
        <f>IFERROR(H255/G255,"")</f>
        <v>#ERROR!</v>
      </c>
      <c r="K255" s="283"/>
      <c r="L255" s="283"/>
      <c r="M255" s="283"/>
      <c r="N255" s="283" t="str">
        <f>IFERROR(K255-M255,"")</f>
        <v>#ERROR!</v>
      </c>
      <c r="O255" s="237" t="str">
        <f>IFERROR(N255/K255,"")</f>
        <v>#ERROR!</v>
      </c>
      <c r="P255" s="235" t="str">
        <f>IFERROR(INDEX('Fiche Lot'!J:J,MATCH(A255,'Fiche Lot'!A:A,0)),"")</f>
        <v>#ERROR!</v>
      </c>
      <c r="Q255" s="270" t="str">
        <f>IFERROR(INDEX('Fiche Lot'!L:L,MATCH(A255,'Fiche Lot'!A:A,0)),"")</f>
        <v>#ERROR!</v>
      </c>
      <c r="R255" s="235" t="str">
        <f>IFERROR(INDEX('Fiche Lot'!M:M,MATCH(A255,'Fiche Lot'!A:A,0)),"")</f>
        <v>#ERROR!</v>
      </c>
      <c r="S255" s="235" t="str">
        <f>IFERROR(INDEX('Fiche Lot'!G:G,MATCH(A255,'Fiche Lot'!A:A,0)),"")</f>
        <v>#ERROR!</v>
      </c>
      <c r="T255" s="235"/>
      <c r="U255" s="240"/>
    </row>
    <row r="256" ht="15.0" customHeight="1">
      <c r="A256" s="282"/>
      <c r="B256" s="266" t="str">
        <f>IFERROR(INDEX('Fiche Lot'!B:B,MATCH(A256,'Fiche Lot'!A:A,0)),"")</f>
        <v>#ERROR!</v>
      </c>
      <c r="C256" s="227" t="str">
        <f>IFERROR(INDEX('Fiche Lot'!C:C,MATCH(A256,'Fiche Lot'!A:A,0)),"")</f>
        <v>#ERROR!</v>
      </c>
      <c r="D256" s="227" t="str">
        <f>IFERROR(INDEX('Fiche Lot'!D:D,MATCH(A256,'Fiche Lot'!A:A,0)),"")</f>
        <v>#ERROR!</v>
      </c>
      <c r="E256" s="227" t="str">
        <f>IFERROR(INDEX('Fiche Lot'!E:E,MATCH(A256,'Fiche Lot'!A:A,0)),"")</f>
        <v>#ERROR!</v>
      </c>
      <c r="F256" s="227"/>
      <c r="G256" s="227" t="str">
        <f>IFERROR(INDEX('Fiche Lot'!H:H,MATCH(A256,'Fiche Lot'!A:A,0)),"")</f>
        <v>#ERROR!</v>
      </c>
      <c r="H256" s="227"/>
      <c r="I256" s="227"/>
      <c r="J256" s="230" t="str">
        <f>IFERROR(H256/G256,"")</f>
        <v>#ERROR!</v>
      </c>
      <c r="K256" s="281"/>
      <c r="L256" s="281"/>
      <c r="M256" s="281"/>
      <c r="N256" s="281" t="str">
        <f>IFERROR(K256-M256,"")</f>
        <v>#ERROR!</v>
      </c>
      <c r="O256" s="230" t="str">
        <f>IFERROR(N256/K256,"")</f>
        <v>#ERROR!</v>
      </c>
      <c r="P256" s="227" t="str">
        <f>IFERROR(INDEX('Fiche Lot'!J:J,MATCH(A256,'Fiche Lot'!A:A,0)),"")</f>
        <v>#ERROR!</v>
      </c>
      <c r="Q256" s="266" t="str">
        <f>IFERROR(INDEX('Fiche Lot'!L:L,MATCH(A256,'Fiche Lot'!A:A,0)),"")</f>
        <v>#ERROR!</v>
      </c>
      <c r="R256" s="227" t="str">
        <f>IFERROR(INDEX('Fiche Lot'!M:M,MATCH(A256,'Fiche Lot'!A:A,0)),"")</f>
        <v>#ERROR!</v>
      </c>
      <c r="S256" s="227" t="str">
        <f>IFERROR(INDEX('Fiche Lot'!G:G,MATCH(A256,'Fiche Lot'!A:A,0)),"")</f>
        <v>#ERROR!</v>
      </c>
      <c r="T256" s="227"/>
      <c r="U256" s="233"/>
    </row>
    <row r="257" ht="15.0" customHeight="1">
      <c r="A257" s="282"/>
      <c r="B257" s="270" t="str">
        <f>IFERROR(INDEX('Fiche Lot'!B:B,MATCH(A257,'Fiche Lot'!A:A,0)),"")</f>
        <v>#ERROR!</v>
      </c>
      <c r="C257" s="235" t="str">
        <f>IFERROR(INDEX('Fiche Lot'!C:C,MATCH(A257,'Fiche Lot'!A:A,0)),"")</f>
        <v>#ERROR!</v>
      </c>
      <c r="D257" s="235" t="str">
        <f>IFERROR(INDEX('Fiche Lot'!D:D,MATCH(A257,'Fiche Lot'!A:A,0)),"")</f>
        <v>#ERROR!</v>
      </c>
      <c r="E257" s="235" t="str">
        <f>IFERROR(INDEX('Fiche Lot'!E:E,MATCH(A257,'Fiche Lot'!A:A,0)),"")</f>
        <v>#ERROR!</v>
      </c>
      <c r="F257" s="235"/>
      <c r="G257" s="235" t="str">
        <f>IFERROR(INDEX('Fiche Lot'!H:H,MATCH(A257,'Fiche Lot'!A:A,0)),"")</f>
        <v>#ERROR!</v>
      </c>
      <c r="H257" s="235"/>
      <c r="I257" s="235"/>
      <c r="J257" s="237" t="str">
        <f>IFERROR(H257/G257,"")</f>
        <v>#ERROR!</v>
      </c>
      <c r="K257" s="283"/>
      <c r="L257" s="283"/>
      <c r="M257" s="283"/>
      <c r="N257" s="283" t="str">
        <f>IFERROR(K257-M257,"")</f>
        <v>#ERROR!</v>
      </c>
      <c r="O257" s="237" t="str">
        <f>IFERROR(N257/K257,"")</f>
        <v>#ERROR!</v>
      </c>
      <c r="P257" s="235" t="str">
        <f>IFERROR(INDEX('Fiche Lot'!J:J,MATCH(A257,'Fiche Lot'!A:A,0)),"")</f>
        <v>#ERROR!</v>
      </c>
      <c r="Q257" s="270" t="str">
        <f>IFERROR(INDEX('Fiche Lot'!L:L,MATCH(A257,'Fiche Lot'!A:A,0)),"")</f>
        <v>#ERROR!</v>
      </c>
      <c r="R257" s="235" t="str">
        <f>IFERROR(INDEX('Fiche Lot'!M:M,MATCH(A257,'Fiche Lot'!A:A,0)),"")</f>
        <v>#ERROR!</v>
      </c>
      <c r="S257" s="235" t="str">
        <f>IFERROR(INDEX('Fiche Lot'!G:G,MATCH(A257,'Fiche Lot'!A:A,0)),"")</f>
        <v>#ERROR!</v>
      </c>
      <c r="T257" s="235"/>
      <c r="U257" s="240"/>
    </row>
    <row r="258" ht="15.0" customHeight="1">
      <c r="A258" s="282"/>
      <c r="B258" s="266" t="str">
        <f>IFERROR(INDEX('Fiche Lot'!B:B,MATCH(A258,'Fiche Lot'!A:A,0)),"")</f>
        <v>#ERROR!</v>
      </c>
      <c r="C258" s="227" t="str">
        <f>IFERROR(INDEX('Fiche Lot'!C:C,MATCH(A258,'Fiche Lot'!A:A,0)),"")</f>
        <v>#ERROR!</v>
      </c>
      <c r="D258" s="227" t="str">
        <f>IFERROR(INDEX('Fiche Lot'!D:D,MATCH(A258,'Fiche Lot'!A:A,0)),"")</f>
        <v>#ERROR!</v>
      </c>
      <c r="E258" s="227" t="str">
        <f>IFERROR(INDEX('Fiche Lot'!E:E,MATCH(A258,'Fiche Lot'!A:A,0)),"")</f>
        <v>#ERROR!</v>
      </c>
      <c r="F258" s="227"/>
      <c r="G258" s="227" t="str">
        <f>IFERROR(INDEX('Fiche Lot'!H:H,MATCH(A258,'Fiche Lot'!A:A,0)),"")</f>
        <v>#ERROR!</v>
      </c>
      <c r="H258" s="227"/>
      <c r="I258" s="227"/>
      <c r="J258" s="230" t="str">
        <f>IFERROR(H258/G258,"")</f>
        <v>#ERROR!</v>
      </c>
      <c r="K258" s="281"/>
      <c r="L258" s="281"/>
      <c r="M258" s="281"/>
      <c r="N258" s="281" t="str">
        <f>IFERROR(K258-M258,"")</f>
        <v>#ERROR!</v>
      </c>
      <c r="O258" s="230" t="str">
        <f>IFERROR(N258/K258,"")</f>
        <v>#ERROR!</v>
      </c>
      <c r="P258" s="227" t="str">
        <f>IFERROR(INDEX('Fiche Lot'!J:J,MATCH(A258,'Fiche Lot'!A:A,0)),"")</f>
        <v>#ERROR!</v>
      </c>
      <c r="Q258" s="266" t="str">
        <f>IFERROR(INDEX('Fiche Lot'!L:L,MATCH(A258,'Fiche Lot'!A:A,0)),"")</f>
        <v>#ERROR!</v>
      </c>
      <c r="R258" s="227" t="str">
        <f>IFERROR(INDEX('Fiche Lot'!M:M,MATCH(A258,'Fiche Lot'!A:A,0)),"")</f>
        <v>#ERROR!</v>
      </c>
      <c r="S258" s="227" t="str">
        <f>IFERROR(INDEX('Fiche Lot'!G:G,MATCH(A258,'Fiche Lot'!A:A,0)),"")</f>
        <v>#ERROR!</v>
      </c>
      <c r="T258" s="227"/>
      <c r="U258" s="233"/>
    </row>
    <row r="259" ht="15.0" customHeight="1">
      <c r="A259" s="282"/>
      <c r="B259" s="270" t="str">
        <f>IFERROR(INDEX('Fiche Lot'!B:B,MATCH(A259,'Fiche Lot'!A:A,0)),"")</f>
        <v>#ERROR!</v>
      </c>
      <c r="C259" s="235" t="str">
        <f>IFERROR(INDEX('Fiche Lot'!C:C,MATCH(A259,'Fiche Lot'!A:A,0)),"")</f>
        <v>#ERROR!</v>
      </c>
      <c r="D259" s="235" t="str">
        <f>IFERROR(INDEX('Fiche Lot'!D:D,MATCH(A259,'Fiche Lot'!A:A,0)),"")</f>
        <v>#ERROR!</v>
      </c>
      <c r="E259" s="235" t="str">
        <f>IFERROR(INDEX('Fiche Lot'!E:E,MATCH(A259,'Fiche Lot'!A:A,0)),"")</f>
        <v>#ERROR!</v>
      </c>
      <c r="F259" s="235"/>
      <c r="G259" s="235" t="str">
        <f>IFERROR(INDEX('Fiche Lot'!H:H,MATCH(A259,'Fiche Lot'!A:A,0)),"")</f>
        <v>#ERROR!</v>
      </c>
      <c r="H259" s="235"/>
      <c r="I259" s="235"/>
      <c r="J259" s="237" t="str">
        <f>IFERROR(H259/G259,"")</f>
        <v>#ERROR!</v>
      </c>
      <c r="K259" s="283"/>
      <c r="L259" s="283"/>
      <c r="M259" s="283"/>
      <c r="N259" s="283" t="str">
        <f>IFERROR(K259-M259,"")</f>
        <v>#ERROR!</v>
      </c>
      <c r="O259" s="237" t="str">
        <f>IFERROR(N259/K259,"")</f>
        <v>#ERROR!</v>
      </c>
      <c r="P259" s="235" t="str">
        <f>IFERROR(INDEX('Fiche Lot'!J:J,MATCH(A259,'Fiche Lot'!A:A,0)),"")</f>
        <v>#ERROR!</v>
      </c>
      <c r="Q259" s="270" t="str">
        <f>IFERROR(INDEX('Fiche Lot'!L:L,MATCH(A259,'Fiche Lot'!A:A,0)),"")</f>
        <v>#ERROR!</v>
      </c>
      <c r="R259" s="235" t="str">
        <f>IFERROR(INDEX('Fiche Lot'!M:M,MATCH(A259,'Fiche Lot'!A:A,0)),"")</f>
        <v>#ERROR!</v>
      </c>
      <c r="S259" s="235" t="str">
        <f>IFERROR(INDEX('Fiche Lot'!G:G,MATCH(A259,'Fiche Lot'!A:A,0)),"")</f>
        <v>#ERROR!</v>
      </c>
      <c r="T259" s="235"/>
      <c r="U259" s="240"/>
    </row>
    <row r="260" ht="15.0" customHeight="1">
      <c r="A260" s="282"/>
      <c r="B260" s="266" t="str">
        <f>IFERROR(INDEX('Fiche Lot'!B:B,MATCH(A260,'Fiche Lot'!A:A,0)),"")</f>
        <v>#ERROR!</v>
      </c>
      <c r="C260" s="227" t="str">
        <f>IFERROR(INDEX('Fiche Lot'!C:C,MATCH(A260,'Fiche Lot'!A:A,0)),"")</f>
        <v>#ERROR!</v>
      </c>
      <c r="D260" s="227" t="str">
        <f>IFERROR(INDEX('Fiche Lot'!D:D,MATCH(A260,'Fiche Lot'!A:A,0)),"")</f>
        <v>#ERROR!</v>
      </c>
      <c r="E260" s="227" t="str">
        <f>IFERROR(INDEX('Fiche Lot'!E:E,MATCH(A260,'Fiche Lot'!A:A,0)),"")</f>
        <v>#ERROR!</v>
      </c>
      <c r="F260" s="227"/>
      <c r="G260" s="227" t="str">
        <f>IFERROR(INDEX('Fiche Lot'!H:H,MATCH(A260,'Fiche Lot'!A:A,0)),"")</f>
        <v>#ERROR!</v>
      </c>
      <c r="H260" s="227"/>
      <c r="I260" s="227"/>
      <c r="J260" s="230" t="str">
        <f>IFERROR(H260/G260,"")</f>
        <v>#ERROR!</v>
      </c>
      <c r="K260" s="281"/>
      <c r="L260" s="281"/>
      <c r="M260" s="281"/>
      <c r="N260" s="281" t="str">
        <f>IFERROR(K260-M260,"")</f>
        <v>#ERROR!</v>
      </c>
      <c r="O260" s="230" t="str">
        <f>IFERROR(N260/K260,"")</f>
        <v>#ERROR!</v>
      </c>
      <c r="P260" s="227" t="str">
        <f>IFERROR(INDEX('Fiche Lot'!J:J,MATCH(A260,'Fiche Lot'!A:A,0)),"")</f>
        <v>#ERROR!</v>
      </c>
      <c r="Q260" s="266" t="str">
        <f>IFERROR(INDEX('Fiche Lot'!L:L,MATCH(A260,'Fiche Lot'!A:A,0)),"")</f>
        <v>#ERROR!</v>
      </c>
      <c r="R260" s="227" t="str">
        <f>IFERROR(INDEX('Fiche Lot'!M:M,MATCH(A260,'Fiche Lot'!A:A,0)),"")</f>
        <v>#ERROR!</v>
      </c>
      <c r="S260" s="227" t="str">
        <f>IFERROR(INDEX('Fiche Lot'!G:G,MATCH(A260,'Fiche Lot'!A:A,0)),"")</f>
        <v>#ERROR!</v>
      </c>
      <c r="T260" s="227"/>
      <c r="U260" s="233"/>
    </row>
    <row r="261" ht="15.0" customHeight="1">
      <c r="A261" s="282"/>
      <c r="B261" s="270" t="str">
        <f>IFERROR(INDEX('Fiche Lot'!B:B,MATCH(A261,'Fiche Lot'!A:A,0)),"")</f>
        <v>#ERROR!</v>
      </c>
      <c r="C261" s="235" t="str">
        <f>IFERROR(INDEX('Fiche Lot'!C:C,MATCH(A261,'Fiche Lot'!A:A,0)),"")</f>
        <v>#ERROR!</v>
      </c>
      <c r="D261" s="235" t="str">
        <f>IFERROR(INDEX('Fiche Lot'!D:D,MATCH(A261,'Fiche Lot'!A:A,0)),"")</f>
        <v>#ERROR!</v>
      </c>
      <c r="E261" s="235" t="str">
        <f>IFERROR(INDEX('Fiche Lot'!E:E,MATCH(A261,'Fiche Lot'!A:A,0)),"")</f>
        <v>#ERROR!</v>
      </c>
      <c r="F261" s="235"/>
      <c r="G261" s="235" t="str">
        <f>IFERROR(INDEX('Fiche Lot'!H:H,MATCH(A261,'Fiche Lot'!A:A,0)),"")</f>
        <v>#ERROR!</v>
      </c>
      <c r="H261" s="235"/>
      <c r="I261" s="235"/>
      <c r="J261" s="237" t="str">
        <f>IFERROR(H261/G261,"")</f>
        <v>#ERROR!</v>
      </c>
      <c r="K261" s="283"/>
      <c r="L261" s="283"/>
      <c r="M261" s="283"/>
      <c r="N261" s="283" t="str">
        <f>IFERROR(K261-M261,"")</f>
        <v>#ERROR!</v>
      </c>
      <c r="O261" s="237" t="str">
        <f>IFERROR(N261/K261,"")</f>
        <v>#ERROR!</v>
      </c>
      <c r="P261" s="235" t="str">
        <f>IFERROR(INDEX('Fiche Lot'!J:J,MATCH(A261,'Fiche Lot'!A:A,0)),"")</f>
        <v>#ERROR!</v>
      </c>
      <c r="Q261" s="270" t="str">
        <f>IFERROR(INDEX('Fiche Lot'!L:L,MATCH(A261,'Fiche Lot'!A:A,0)),"")</f>
        <v>#ERROR!</v>
      </c>
      <c r="R261" s="235" t="str">
        <f>IFERROR(INDEX('Fiche Lot'!M:M,MATCH(A261,'Fiche Lot'!A:A,0)),"")</f>
        <v>#ERROR!</v>
      </c>
      <c r="S261" s="235" t="str">
        <f>IFERROR(INDEX('Fiche Lot'!G:G,MATCH(A261,'Fiche Lot'!A:A,0)),"")</f>
        <v>#ERROR!</v>
      </c>
      <c r="T261" s="235"/>
      <c r="U261" s="240"/>
    </row>
    <row r="262" ht="15.0" customHeight="1">
      <c r="A262" s="282"/>
      <c r="B262" s="266" t="str">
        <f>IFERROR(INDEX('Fiche Lot'!B:B,MATCH(A262,'Fiche Lot'!A:A,0)),"")</f>
        <v>#ERROR!</v>
      </c>
      <c r="C262" s="227" t="str">
        <f>IFERROR(INDEX('Fiche Lot'!C:C,MATCH(A262,'Fiche Lot'!A:A,0)),"")</f>
        <v>#ERROR!</v>
      </c>
      <c r="D262" s="227" t="str">
        <f>IFERROR(INDEX('Fiche Lot'!D:D,MATCH(A262,'Fiche Lot'!A:A,0)),"")</f>
        <v>#ERROR!</v>
      </c>
      <c r="E262" s="227" t="str">
        <f>IFERROR(INDEX('Fiche Lot'!E:E,MATCH(A262,'Fiche Lot'!A:A,0)),"")</f>
        <v>#ERROR!</v>
      </c>
      <c r="F262" s="227"/>
      <c r="G262" s="227" t="str">
        <f>IFERROR(INDEX('Fiche Lot'!H:H,MATCH(A262,'Fiche Lot'!A:A,0)),"")</f>
        <v>#ERROR!</v>
      </c>
      <c r="H262" s="227"/>
      <c r="I262" s="227"/>
      <c r="J262" s="230" t="str">
        <f>IFERROR(H262/G262,"")</f>
        <v>#ERROR!</v>
      </c>
      <c r="K262" s="281"/>
      <c r="L262" s="281"/>
      <c r="M262" s="281"/>
      <c r="N262" s="281" t="str">
        <f>IFERROR(K262-M262,"")</f>
        <v>#ERROR!</v>
      </c>
      <c r="O262" s="230" t="str">
        <f>IFERROR(N262/K262,"")</f>
        <v>#ERROR!</v>
      </c>
      <c r="P262" s="227" t="str">
        <f>IFERROR(INDEX('Fiche Lot'!J:J,MATCH(A262,'Fiche Lot'!A:A,0)),"")</f>
        <v>#ERROR!</v>
      </c>
      <c r="Q262" s="266" t="str">
        <f>IFERROR(INDEX('Fiche Lot'!L:L,MATCH(A262,'Fiche Lot'!A:A,0)),"")</f>
        <v>#ERROR!</v>
      </c>
      <c r="R262" s="227" t="str">
        <f>IFERROR(INDEX('Fiche Lot'!M:M,MATCH(A262,'Fiche Lot'!A:A,0)),"")</f>
        <v>#ERROR!</v>
      </c>
      <c r="S262" s="227" t="str">
        <f>IFERROR(INDEX('Fiche Lot'!G:G,MATCH(A262,'Fiche Lot'!A:A,0)),"")</f>
        <v>#ERROR!</v>
      </c>
      <c r="T262" s="227"/>
      <c r="U262" s="233"/>
    </row>
    <row r="263" ht="15.0" customHeight="1">
      <c r="A263" s="282"/>
      <c r="B263" s="270" t="str">
        <f>IFERROR(INDEX('Fiche Lot'!B:B,MATCH(A263,'Fiche Lot'!A:A,0)),"")</f>
        <v>#ERROR!</v>
      </c>
      <c r="C263" s="235" t="str">
        <f>IFERROR(INDEX('Fiche Lot'!C:C,MATCH(A263,'Fiche Lot'!A:A,0)),"")</f>
        <v>#ERROR!</v>
      </c>
      <c r="D263" s="235" t="str">
        <f>IFERROR(INDEX('Fiche Lot'!D:D,MATCH(A263,'Fiche Lot'!A:A,0)),"")</f>
        <v>#ERROR!</v>
      </c>
      <c r="E263" s="235" t="str">
        <f>IFERROR(INDEX('Fiche Lot'!E:E,MATCH(A263,'Fiche Lot'!A:A,0)),"")</f>
        <v>#ERROR!</v>
      </c>
      <c r="F263" s="235"/>
      <c r="G263" s="235" t="str">
        <f>IFERROR(INDEX('Fiche Lot'!H:H,MATCH(A263,'Fiche Lot'!A:A,0)),"")</f>
        <v>#ERROR!</v>
      </c>
      <c r="H263" s="235"/>
      <c r="I263" s="235"/>
      <c r="J263" s="237" t="str">
        <f>IFERROR(H263/G263,"")</f>
        <v>#ERROR!</v>
      </c>
      <c r="K263" s="283"/>
      <c r="L263" s="283"/>
      <c r="M263" s="283"/>
      <c r="N263" s="283" t="str">
        <f>IFERROR(K263-M263,"")</f>
        <v>#ERROR!</v>
      </c>
      <c r="O263" s="237" t="str">
        <f>IFERROR(N263/K263,"")</f>
        <v>#ERROR!</v>
      </c>
      <c r="P263" s="235" t="str">
        <f>IFERROR(INDEX('Fiche Lot'!J:J,MATCH(A263,'Fiche Lot'!A:A,0)),"")</f>
        <v>#ERROR!</v>
      </c>
      <c r="Q263" s="270" t="str">
        <f>IFERROR(INDEX('Fiche Lot'!L:L,MATCH(A263,'Fiche Lot'!A:A,0)),"")</f>
        <v>#ERROR!</v>
      </c>
      <c r="R263" s="235" t="str">
        <f>IFERROR(INDEX('Fiche Lot'!M:M,MATCH(A263,'Fiche Lot'!A:A,0)),"")</f>
        <v>#ERROR!</v>
      </c>
      <c r="S263" s="235" t="str">
        <f>IFERROR(INDEX('Fiche Lot'!G:G,MATCH(A263,'Fiche Lot'!A:A,0)),"")</f>
        <v>#ERROR!</v>
      </c>
      <c r="T263" s="235"/>
      <c r="U263" s="240"/>
    </row>
    <row r="264" ht="15.0" customHeight="1">
      <c r="A264" s="282"/>
      <c r="B264" s="266" t="str">
        <f>IFERROR(INDEX('Fiche Lot'!B:B,MATCH(A264,'Fiche Lot'!A:A,0)),"")</f>
        <v>#ERROR!</v>
      </c>
      <c r="C264" s="227" t="str">
        <f>IFERROR(INDEX('Fiche Lot'!C:C,MATCH(A264,'Fiche Lot'!A:A,0)),"")</f>
        <v>#ERROR!</v>
      </c>
      <c r="D264" s="227" t="str">
        <f>IFERROR(INDEX('Fiche Lot'!D:D,MATCH(A264,'Fiche Lot'!A:A,0)),"")</f>
        <v>#ERROR!</v>
      </c>
      <c r="E264" s="227" t="str">
        <f>IFERROR(INDEX('Fiche Lot'!E:E,MATCH(A264,'Fiche Lot'!A:A,0)),"")</f>
        <v>#ERROR!</v>
      </c>
      <c r="F264" s="227"/>
      <c r="G264" s="227" t="str">
        <f>IFERROR(INDEX('Fiche Lot'!H:H,MATCH(A264,'Fiche Lot'!A:A,0)),"")</f>
        <v>#ERROR!</v>
      </c>
      <c r="H264" s="227"/>
      <c r="I264" s="227"/>
      <c r="J264" s="230" t="str">
        <f>IFERROR(H264/G264,"")</f>
        <v>#ERROR!</v>
      </c>
      <c r="K264" s="281"/>
      <c r="L264" s="281"/>
      <c r="M264" s="281"/>
      <c r="N264" s="281" t="str">
        <f>IFERROR(K264-M264,"")</f>
        <v>#ERROR!</v>
      </c>
      <c r="O264" s="230" t="str">
        <f>IFERROR(N264/K264,"")</f>
        <v>#ERROR!</v>
      </c>
      <c r="P264" s="227" t="str">
        <f>IFERROR(INDEX('Fiche Lot'!J:J,MATCH(A264,'Fiche Lot'!A:A,0)),"")</f>
        <v>#ERROR!</v>
      </c>
      <c r="Q264" s="266" t="str">
        <f>IFERROR(INDEX('Fiche Lot'!L:L,MATCH(A264,'Fiche Lot'!A:A,0)),"")</f>
        <v>#ERROR!</v>
      </c>
      <c r="R264" s="227" t="str">
        <f>IFERROR(INDEX('Fiche Lot'!M:M,MATCH(A264,'Fiche Lot'!A:A,0)),"")</f>
        <v>#ERROR!</v>
      </c>
      <c r="S264" s="227" t="str">
        <f>IFERROR(INDEX('Fiche Lot'!G:G,MATCH(A264,'Fiche Lot'!A:A,0)),"")</f>
        <v>#ERROR!</v>
      </c>
      <c r="T264" s="227"/>
      <c r="U264" s="233"/>
    </row>
    <row r="265" ht="15.0" customHeight="1">
      <c r="A265" s="282"/>
      <c r="B265" s="270" t="str">
        <f>IFERROR(INDEX('Fiche Lot'!B:B,MATCH(A265,'Fiche Lot'!A:A,0)),"")</f>
        <v>#ERROR!</v>
      </c>
      <c r="C265" s="235" t="str">
        <f>IFERROR(INDEX('Fiche Lot'!C:C,MATCH(A265,'Fiche Lot'!A:A,0)),"")</f>
        <v>#ERROR!</v>
      </c>
      <c r="D265" s="235" t="str">
        <f>IFERROR(INDEX('Fiche Lot'!D:D,MATCH(A265,'Fiche Lot'!A:A,0)),"")</f>
        <v>#ERROR!</v>
      </c>
      <c r="E265" s="235" t="str">
        <f>IFERROR(INDEX('Fiche Lot'!E:E,MATCH(A265,'Fiche Lot'!A:A,0)),"")</f>
        <v>#ERROR!</v>
      </c>
      <c r="F265" s="235"/>
      <c r="G265" s="235" t="str">
        <f>IFERROR(INDEX('Fiche Lot'!H:H,MATCH(A265,'Fiche Lot'!A:A,0)),"")</f>
        <v>#ERROR!</v>
      </c>
      <c r="H265" s="235"/>
      <c r="I265" s="235"/>
      <c r="J265" s="237" t="str">
        <f>IFERROR(H265/G265,"")</f>
        <v>#ERROR!</v>
      </c>
      <c r="K265" s="283"/>
      <c r="L265" s="283"/>
      <c r="M265" s="283"/>
      <c r="N265" s="283" t="str">
        <f>IFERROR(K265-M265,"")</f>
        <v>#ERROR!</v>
      </c>
      <c r="O265" s="237" t="str">
        <f>IFERROR(N265/K265,"")</f>
        <v>#ERROR!</v>
      </c>
      <c r="P265" s="235" t="str">
        <f>IFERROR(INDEX('Fiche Lot'!J:J,MATCH(A265,'Fiche Lot'!A:A,0)),"")</f>
        <v>#ERROR!</v>
      </c>
      <c r="Q265" s="270" t="str">
        <f>IFERROR(INDEX('Fiche Lot'!L:L,MATCH(A265,'Fiche Lot'!A:A,0)),"")</f>
        <v>#ERROR!</v>
      </c>
      <c r="R265" s="235" t="str">
        <f>IFERROR(INDEX('Fiche Lot'!M:M,MATCH(A265,'Fiche Lot'!A:A,0)),"")</f>
        <v>#ERROR!</v>
      </c>
      <c r="S265" s="235" t="str">
        <f>IFERROR(INDEX('Fiche Lot'!G:G,MATCH(A265,'Fiche Lot'!A:A,0)),"")</f>
        <v>#ERROR!</v>
      </c>
      <c r="T265" s="235"/>
      <c r="U265" s="240"/>
    </row>
    <row r="266" ht="15.0" customHeight="1">
      <c r="A266" s="282"/>
      <c r="B266" s="266" t="str">
        <f>IFERROR(INDEX('Fiche Lot'!B:B,MATCH(A266,'Fiche Lot'!A:A,0)),"")</f>
        <v>#ERROR!</v>
      </c>
      <c r="C266" s="227" t="str">
        <f>IFERROR(INDEX('Fiche Lot'!C:C,MATCH(A266,'Fiche Lot'!A:A,0)),"")</f>
        <v>#ERROR!</v>
      </c>
      <c r="D266" s="227" t="str">
        <f>IFERROR(INDEX('Fiche Lot'!D:D,MATCH(A266,'Fiche Lot'!A:A,0)),"")</f>
        <v>#ERROR!</v>
      </c>
      <c r="E266" s="227" t="str">
        <f>IFERROR(INDEX('Fiche Lot'!E:E,MATCH(A266,'Fiche Lot'!A:A,0)),"")</f>
        <v>#ERROR!</v>
      </c>
      <c r="F266" s="227"/>
      <c r="G266" s="227" t="str">
        <f>IFERROR(INDEX('Fiche Lot'!H:H,MATCH(A266,'Fiche Lot'!A:A,0)),"")</f>
        <v>#ERROR!</v>
      </c>
      <c r="H266" s="227"/>
      <c r="I266" s="227"/>
      <c r="J266" s="230" t="str">
        <f>IFERROR(H266/G266,"")</f>
        <v>#ERROR!</v>
      </c>
      <c r="K266" s="281"/>
      <c r="L266" s="281"/>
      <c r="M266" s="281"/>
      <c r="N266" s="281" t="str">
        <f>IFERROR(K266-M266,"")</f>
        <v>#ERROR!</v>
      </c>
      <c r="O266" s="230" t="str">
        <f>IFERROR(N266/K266,"")</f>
        <v>#ERROR!</v>
      </c>
      <c r="P266" s="227" t="str">
        <f>IFERROR(INDEX('Fiche Lot'!J:J,MATCH(A266,'Fiche Lot'!A:A,0)),"")</f>
        <v>#ERROR!</v>
      </c>
      <c r="Q266" s="266" t="str">
        <f>IFERROR(INDEX('Fiche Lot'!L:L,MATCH(A266,'Fiche Lot'!A:A,0)),"")</f>
        <v>#ERROR!</v>
      </c>
      <c r="R266" s="227" t="str">
        <f>IFERROR(INDEX('Fiche Lot'!M:M,MATCH(A266,'Fiche Lot'!A:A,0)),"")</f>
        <v>#ERROR!</v>
      </c>
      <c r="S266" s="227" t="str">
        <f>IFERROR(INDEX('Fiche Lot'!G:G,MATCH(A266,'Fiche Lot'!A:A,0)),"")</f>
        <v>#ERROR!</v>
      </c>
      <c r="T266" s="227"/>
      <c r="U266" s="233"/>
    </row>
    <row r="267" ht="15.0" customHeight="1">
      <c r="A267" s="282"/>
      <c r="B267" s="270" t="str">
        <f>IFERROR(INDEX('Fiche Lot'!B:B,MATCH(A267,'Fiche Lot'!A:A,0)),"")</f>
        <v>#ERROR!</v>
      </c>
      <c r="C267" s="235" t="str">
        <f>IFERROR(INDEX('Fiche Lot'!C:C,MATCH(A267,'Fiche Lot'!A:A,0)),"")</f>
        <v>#ERROR!</v>
      </c>
      <c r="D267" s="235" t="str">
        <f>IFERROR(INDEX('Fiche Lot'!D:D,MATCH(A267,'Fiche Lot'!A:A,0)),"")</f>
        <v>#ERROR!</v>
      </c>
      <c r="E267" s="235" t="str">
        <f>IFERROR(INDEX('Fiche Lot'!E:E,MATCH(A267,'Fiche Lot'!A:A,0)),"")</f>
        <v>#ERROR!</v>
      </c>
      <c r="F267" s="235"/>
      <c r="G267" s="235" t="str">
        <f>IFERROR(INDEX('Fiche Lot'!H:H,MATCH(A267,'Fiche Lot'!A:A,0)),"")</f>
        <v>#ERROR!</v>
      </c>
      <c r="H267" s="235"/>
      <c r="I267" s="235"/>
      <c r="J267" s="237" t="str">
        <f>IFERROR(H267/G267,"")</f>
        <v>#ERROR!</v>
      </c>
      <c r="K267" s="283"/>
      <c r="L267" s="283"/>
      <c r="M267" s="283"/>
      <c r="N267" s="283" t="str">
        <f>IFERROR(K267-M267,"")</f>
        <v>#ERROR!</v>
      </c>
      <c r="O267" s="237" t="str">
        <f>IFERROR(N267/K267,"")</f>
        <v>#ERROR!</v>
      </c>
      <c r="P267" s="235" t="str">
        <f>IFERROR(INDEX('Fiche Lot'!J:J,MATCH(A267,'Fiche Lot'!A:A,0)),"")</f>
        <v>#ERROR!</v>
      </c>
      <c r="Q267" s="270" t="str">
        <f>IFERROR(INDEX('Fiche Lot'!L:L,MATCH(A267,'Fiche Lot'!A:A,0)),"")</f>
        <v>#ERROR!</v>
      </c>
      <c r="R267" s="235" t="str">
        <f>IFERROR(INDEX('Fiche Lot'!M:M,MATCH(A267,'Fiche Lot'!A:A,0)),"")</f>
        <v>#ERROR!</v>
      </c>
      <c r="S267" s="235" t="str">
        <f>IFERROR(INDEX('Fiche Lot'!G:G,MATCH(A267,'Fiche Lot'!A:A,0)),"")</f>
        <v>#ERROR!</v>
      </c>
      <c r="T267" s="235"/>
      <c r="U267" s="240"/>
    </row>
    <row r="268" ht="15.0" customHeight="1">
      <c r="A268" s="282"/>
      <c r="B268" s="266" t="str">
        <f>IFERROR(INDEX('Fiche Lot'!B:B,MATCH(A268,'Fiche Lot'!A:A,0)),"")</f>
        <v>#ERROR!</v>
      </c>
      <c r="C268" s="227" t="str">
        <f>IFERROR(INDEX('Fiche Lot'!C:C,MATCH(A268,'Fiche Lot'!A:A,0)),"")</f>
        <v>#ERROR!</v>
      </c>
      <c r="D268" s="227" t="str">
        <f>IFERROR(INDEX('Fiche Lot'!D:D,MATCH(A268,'Fiche Lot'!A:A,0)),"")</f>
        <v>#ERROR!</v>
      </c>
      <c r="E268" s="227" t="str">
        <f>IFERROR(INDEX('Fiche Lot'!E:E,MATCH(A268,'Fiche Lot'!A:A,0)),"")</f>
        <v>#ERROR!</v>
      </c>
      <c r="F268" s="227"/>
      <c r="G268" s="227" t="str">
        <f>IFERROR(INDEX('Fiche Lot'!H:H,MATCH(A268,'Fiche Lot'!A:A,0)),"")</f>
        <v>#ERROR!</v>
      </c>
      <c r="H268" s="227"/>
      <c r="I268" s="227"/>
      <c r="J268" s="230" t="str">
        <f>IFERROR(H268/G268,"")</f>
        <v>#ERROR!</v>
      </c>
      <c r="K268" s="281"/>
      <c r="L268" s="281"/>
      <c r="M268" s="281"/>
      <c r="N268" s="281" t="str">
        <f>IFERROR(K268-M268,"")</f>
        <v>#ERROR!</v>
      </c>
      <c r="O268" s="230" t="str">
        <f>IFERROR(N268/K268,"")</f>
        <v>#ERROR!</v>
      </c>
      <c r="P268" s="227" t="str">
        <f>IFERROR(INDEX('Fiche Lot'!J:J,MATCH(A268,'Fiche Lot'!A:A,0)),"")</f>
        <v>#ERROR!</v>
      </c>
      <c r="Q268" s="266" t="str">
        <f>IFERROR(INDEX('Fiche Lot'!L:L,MATCH(A268,'Fiche Lot'!A:A,0)),"")</f>
        <v>#ERROR!</v>
      </c>
      <c r="R268" s="227" t="str">
        <f>IFERROR(INDEX('Fiche Lot'!M:M,MATCH(A268,'Fiche Lot'!A:A,0)),"")</f>
        <v>#ERROR!</v>
      </c>
      <c r="S268" s="227" t="str">
        <f>IFERROR(INDEX('Fiche Lot'!G:G,MATCH(A268,'Fiche Lot'!A:A,0)),"")</f>
        <v>#ERROR!</v>
      </c>
      <c r="T268" s="227"/>
      <c r="U268" s="233"/>
    </row>
    <row r="269" ht="15.0" customHeight="1">
      <c r="A269" s="282"/>
      <c r="B269" s="270" t="str">
        <f>IFERROR(INDEX('Fiche Lot'!B:B,MATCH(A269,'Fiche Lot'!A:A,0)),"")</f>
        <v>#ERROR!</v>
      </c>
      <c r="C269" s="235" t="str">
        <f>IFERROR(INDEX('Fiche Lot'!C:C,MATCH(A269,'Fiche Lot'!A:A,0)),"")</f>
        <v>#ERROR!</v>
      </c>
      <c r="D269" s="235" t="str">
        <f>IFERROR(INDEX('Fiche Lot'!D:D,MATCH(A269,'Fiche Lot'!A:A,0)),"")</f>
        <v>#ERROR!</v>
      </c>
      <c r="E269" s="235" t="str">
        <f>IFERROR(INDEX('Fiche Lot'!E:E,MATCH(A269,'Fiche Lot'!A:A,0)),"")</f>
        <v>#ERROR!</v>
      </c>
      <c r="F269" s="235"/>
      <c r="G269" s="235" t="str">
        <f>IFERROR(INDEX('Fiche Lot'!H:H,MATCH(A269,'Fiche Lot'!A:A,0)),"")</f>
        <v>#ERROR!</v>
      </c>
      <c r="H269" s="235"/>
      <c r="I269" s="235"/>
      <c r="J269" s="237" t="str">
        <f>IFERROR(H269/G269,"")</f>
        <v>#ERROR!</v>
      </c>
      <c r="K269" s="283"/>
      <c r="L269" s="283"/>
      <c r="M269" s="283"/>
      <c r="N269" s="283" t="str">
        <f>IFERROR(K269-M269,"")</f>
        <v>#ERROR!</v>
      </c>
      <c r="O269" s="237" t="str">
        <f>IFERROR(N269/K269,"")</f>
        <v>#ERROR!</v>
      </c>
      <c r="P269" s="235" t="str">
        <f>IFERROR(INDEX('Fiche Lot'!J:J,MATCH(A269,'Fiche Lot'!A:A,0)),"")</f>
        <v>#ERROR!</v>
      </c>
      <c r="Q269" s="270" t="str">
        <f>IFERROR(INDEX('Fiche Lot'!L:L,MATCH(A269,'Fiche Lot'!A:A,0)),"")</f>
        <v>#ERROR!</v>
      </c>
      <c r="R269" s="235" t="str">
        <f>IFERROR(INDEX('Fiche Lot'!M:M,MATCH(A269,'Fiche Lot'!A:A,0)),"")</f>
        <v>#ERROR!</v>
      </c>
      <c r="S269" s="235" t="str">
        <f>IFERROR(INDEX('Fiche Lot'!G:G,MATCH(A269,'Fiche Lot'!A:A,0)),"")</f>
        <v>#ERROR!</v>
      </c>
      <c r="T269" s="235"/>
      <c r="U269" s="240"/>
    </row>
    <row r="270" ht="15.0" customHeight="1">
      <c r="A270" s="282"/>
      <c r="B270" s="266" t="str">
        <f>IFERROR(INDEX('Fiche Lot'!B:B,MATCH(A270,'Fiche Lot'!A:A,0)),"")</f>
        <v>#ERROR!</v>
      </c>
      <c r="C270" s="227" t="str">
        <f>IFERROR(INDEX('Fiche Lot'!C:C,MATCH(A270,'Fiche Lot'!A:A,0)),"")</f>
        <v>#ERROR!</v>
      </c>
      <c r="D270" s="227" t="str">
        <f>IFERROR(INDEX('Fiche Lot'!D:D,MATCH(A270,'Fiche Lot'!A:A,0)),"")</f>
        <v>#ERROR!</v>
      </c>
      <c r="E270" s="227" t="str">
        <f>IFERROR(INDEX('Fiche Lot'!E:E,MATCH(A270,'Fiche Lot'!A:A,0)),"")</f>
        <v>#ERROR!</v>
      </c>
      <c r="F270" s="227"/>
      <c r="G270" s="227" t="str">
        <f>IFERROR(INDEX('Fiche Lot'!H:H,MATCH(A270,'Fiche Lot'!A:A,0)),"")</f>
        <v>#ERROR!</v>
      </c>
      <c r="H270" s="227"/>
      <c r="I270" s="227"/>
      <c r="J270" s="230" t="str">
        <f>IFERROR(H270/G270,"")</f>
        <v>#ERROR!</v>
      </c>
      <c r="K270" s="281"/>
      <c r="L270" s="281"/>
      <c r="M270" s="281"/>
      <c r="N270" s="281" t="str">
        <f>IFERROR(K270-M270,"")</f>
        <v>#ERROR!</v>
      </c>
      <c r="O270" s="230" t="str">
        <f>IFERROR(N270/K270,"")</f>
        <v>#ERROR!</v>
      </c>
      <c r="P270" s="227" t="str">
        <f>IFERROR(INDEX('Fiche Lot'!J:J,MATCH(A270,'Fiche Lot'!A:A,0)),"")</f>
        <v>#ERROR!</v>
      </c>
      <c r="Q270" s="266" t="str">
        <f>IFERROR(INDEX('Fiche Lot'!L:L,MATCH(A270,'Fiche Lot'!A:A,0)),"")</f>
        <v>#ERROR!</v>
      </c>
      <c r="R270" s="227" t="str">
        <f>IFERROR(INDEX('Fiche Lot'!M:M,MATCH(A270,'Fiche Lot'!A:A,0)),"")</f>
        <v>#ERROR!</v>
      </c>
      <c r="S270" s="227" t="str">
        <f>IFERROR(INDEX('Fiche Lot'!G:G,MATCH(A270,'Fiche Lot'!A:A,0)),"")</f>
        <v>#ERROR!</v>
      </c>
      <c r="T270" s="227"/>
      <c r="U270" s="233"/>
    </row>
    <row r="271" ht="15.0" customHeight="1">
      <c r="A271" s="282"/>
      <c r="B271" s="270" t="str">
        <f>IFERROR(INDEX('Fiche Lot'!B:B,MATCH(A271,'Fiche Lot'!A:A,0)),"")</f>
        <v>#ERROR!</v>
      </c>
      <c r="C271" s="235" t="str">
        <f>IFERROR(INDEX('Fiche Lot'!C:C,MATCH(A271,'Fiche Lot'!A:A,0)),"")</f>
        <v>#ERROR!</v>
      </c>
      <c r="D271" s="235" t="str">
        <f>IFERROR(INDEX('Fiche Lot'!D:D,MATCH(A271,'Fiche Lot'!A:A,0)),"")</f>
        <v>#ERROR!</v>
      </c>
      <c r="E271" s="235" t="str">
        <f>IFERROR(INDEX('Fiche Lot'!E:E,MATCH(A271,'Fiche Lot'!A:A,0)),"")</f>
        <v>#ERROR!</v>
      </c>
      <c r="F271" s="235"/>
      <c r="G271" s="235" t="str">
        <f>IFERROR(INDEX('Fiche Lot'!H:H,MATCH(A271,'Fiche Lot'!A:A,0)),"")</f>
        <v>#ERROR!</v>
      </c>
      <c r="H271" s="235"/>
      <c r="I271" s="235"/>
      <c r="J271" s="237" t="str">
        <f>IFERROR(H271/G271,"")</f>
        <v>#ERROR!</v>
      </c>
      <c r="K271" s="283"/>
      <c r="L271" s="283"/>
      <c r="M271" s="283"/>
      <c r="N271" s="283" t="str">
        <f>IFERROR(K271-M271,"")</f>
        <v>#ERROR!</v>
      </c>
      <c r="O271" s="237" t="str">
        <f>IFERROR(N271/K271,"")</f>
        <v>#ERROR!</v>
      </c>
      <c r="P271" s="235" t="str">
        <f>IFERROR(INDEX('Fiche Lot'!J:J,MATCH(A271,'Fiche Lot'!A:A,0)),"")</f>
        <v>#ERROR!</v>
      </c>
      <c r="Q271" s="270" t="str">
        <f>IFERROR(INDEX('Fiche Lot'!L:L,MATCH(A271,'Fiche Lot'!A:A,0)),"")</f>
        <v>#ERROR!</v>
      </c>
      <c r="R271" s="235" t="str">
        <f>IFERROR(INDEX('Fiche Lot'!M:M,MATCH(A271,'Fiche Lot'!A:A,0)),"")</f>
        <v>#ERROR!</v>
      </c>
      <c r="S271" s="235" t="str">
        <f>IFERROR(INDEX('Fiche Lot'!G:G,MATCH(A271,'Fiche Lot'!A:A,0)),"")</f>
        <v>#ERROR!</v>
      </c>
      <c r="T271" s="235"/>
      <c r="U271" s="240"/>
    </row>
    <row r="272" ht="15.0" customHeight="1">
      <c r="A272" s="282"/>
      <c r="B272" s="266" t="str">
        <f>IFERROR(INDEX('Fiche Lot'!B:B,MATCH(A272,'Fiche Lot'!A:A,0)),"")</f>
        <v>#ERROR!</v>
      </c>
      <c r="C272" s="227" t="str">
        <f>IFERROR(INDEX('Fiche Lot'!C:C,MATCH(A272,'Fiche Lot'!A:A,0)),"")</f>
        <v>#ERROR!</v>
      </c>
      <c r="D272" s="227" t="str">
        <f>IFERROR(INDEX('Fiche Lot'!D:D,MATCH(A272,'Fiche Lot'!A:A,0)),"")</f>
        <v>#ERROR!</v>
      </c>
      <c r="E272" s="227" t="str">
        <f>IFERROR(INDEX('Fiche Lot'!E:E,MATCH(A272,'Fiche Lot'!A:A,0)),"")</f>
        <v>#ERROR!</v>
      </c>
      <c r="F272" s="227"/>
      <c r="G272" s="227" t="str">
        <f>IFERROR(INDEX('Fiche Lot'!H:H,MATCH(A272,'Fiche Lot'!A:A,0)),"")</f>
        <v>#ERROR!</v>
      </c>
      <c r="H272" s="227"/>
      <c r="I272" s="227"/>
      <c r="J272" s="230" t="str">
        <f>IFERROR(H272/G272,"")</f>
        <v>#ERROR!</v>
      </c>
      <c r="K272" s="281"/>
      <c r="L272" s="281"/>
      <c r="M272" s="281"/>
      <c r="N272" s="281" t="str">
        <f>IFERROR(K272-M272,"")</f>
        <v>#ERROR!</v>
      </c>
      <c r="O272" s="230" t="str">
        <f>IFERROR(N272/K272,"")</f>
        <v>#ERROR!</v>
      </c>
      <c r="P272" s="227" t="str">
        <f>IFERROR(INDEX('Fiche Lot'!J:J,MATCH(A272,'Fiche Lot'!A:A,0)),"")</f>
        <v>#ERROR!</v>
      </c>
      <c r="Q272" s="266" t="str">
        <f>IFERROR(INDEX('Fiche Lot'!L:L,MATCH(A272,'Fiche Lot'!A:A,0)),"")</f>
        <v>#ERROR!</v>
      </c>
      <c r="R272" s="227" t="str">
        <f>IFERROR(INDEX('Fiche Lot'!M:M,MATCH(A272,'Fiche Lot'!A:A,0)),"")</f>
        <v>#ERROR!</v>
      </c>
      <c r="S272" s="227" t="str">
        <f>IFERROR(INDEX('Fiche Lot'!G:G,MATCH(A272,'Fiche Lot'!A:A,0)),"")</f>
        <v>#ERROR!</v>
      </c>
      <c r="T272" s="227"/>
      <c r="U272" s="233"/>
    </row>
    <row r="273" ht="15.0" customHeight="1">
      <c r="A273" s="282"/>
      <c r="B273" s="270" t="str">
        <f>IFERROR(INDEX('Fiche Lot'!B:B,MATCH(A273,'Fiche Lot'!A:A,0)),"")</f>
        <v>#ERROR!</v>
      </c>
      <c r="C273" s="235" t="str">
        <f>IFERROR(INDEX('Fiche Lot'!C:C,MATCH(A273,'Fiche Lot'!A:A,0)),"")</f>
        <v>#ERROR!</v>
      </c>
      <c r="D273" s="235" t="str">
        <f>IFERROR(INDEX('Fiche Lot'!D:D,MATCH(A273,'Fiche Lot'!A:A,0)),"")</f>
        <v>#ERROR!</v>
      </c>
      <c r="E273" s="235" t="str">
        <f>IFERROR(INDEX('Fiche Lot'!E:E,MATCH(A273,'Fiche Lot'!A:A,0)),"")</f>
        <v>#ERROR!</v>
      </c>
      <c r="F273" s="235"/>
      <c r="G273" s="235" t="str">
        <f>IFERROR(INDEX('Fiche Lot'!H:H,MATCH(A273,'Fiche Lot'!A:A,0)),"")</f>
        <v>#ERROR!</v>
      </c>
      <c r="H273" s="235"/>
      <c r="I273" s="235"/>
      <c r="J273" s="237" t="str">
        <f>IFERROR(H273/G273,"")</f>
        <v>#ERROR!</v>
      </c>
      <c r="K273" s="283"/>
      <c r="L273" s="283"/>
      <c r="M273" s="283"/>
      <c r="N273" s="283" t="str">
        <f>IFERROR(K273-M273,"")</f>
        <v>#ERROR!</v>
      </c>
      <c r="O273" s="237" t="str">
        <f>IFERROR(N273/K273,"")</f>
        <v>#ERROR!</v>
      </c>
      <c r="P273" s="235" t="str">
        <f>IFERROR(INDEX('Fiche Lot'!J:J,MATCH(A273,'Fiche Lot'!A:A,0)),"")</f>
        <v>#ERROR!</v>
      </c>
      <c r="Q273" s="270" t="str">
        <f>IFERROR(INDEX('Fiche Lot'!L:L,MATCH(A273,'Fiche Lot'!A:A,0)),"")</f>
        <v>#ERROR!</v>
      </c>
      <c r="R273" s="235" t="str">
        <f>IFERROR(INDEX('Fiche Lot'!M:M,MATCH(A273,'Fiche Lot'!A:A,0)),"")</f>
        <v>#ERROR!</v>
      </c>
      <c r="S273" s="235" t="str">
        <f>IFERROR(INDEX('Fiche Lot'!G:G,MATCH(A273,'Fiche Lot'!A:A,0)),"")</f>
        <v>#ERROR!</v>
      </c>
      <c r="T273" s="235"/>
      <c r="U273" s="240"/>
    </row>
    <row r="274" ht="15.0" customHeight="1">
      <c r="A274" s="282"/>
      <c r="B274" s="266" t="str">
        <f>IFERROR(INDEX('Fiche Lot'!B:B,MATCH(A274,'Fiche Lot'!A:A,0)),"")</f>
        <v>#ERROR!</v>
      </c>
      <c r="C274" s="227" t="str">
        <f>IFERROR(INDEX('Fiche Lot'!C:C,MATCH(A274,'Fiche Lot'!A:A,0)),"")</f>
        <v>#ERROR!</v>
      </c>
      <c r="D274" s="227" t="str">
        <f>IFERROR(INDEX('Fiche Lot'!D:D,MATCH(A274,'Fiche Lot'!A:A,0)),"")</f>
        <v>#ERROR!</v>
      </c>
      <c r="E274" s="227" t="str">
        <f>IFERROR(INDEX('Fiche Lot'!E:E,MATCH(A274,'Fiche Lot'!A:A,0)),"")</f>
        <v>#ERROR!</v>
      </c>
      <c r="F274" s="227"/>
      <c r="G274" s="227" t="str">
        <f>IFERROR(INDEX('Fiche Lot'!H:H,MATCH(A274,'Fiche Lot'!A:A,0)),"")</f>
        <v>#ERROR!</v>
      </c>
      <c r="H274" s="227"/>
      <c r="I274" s="227"/>
      <c r="J274" s="230" t="str">
        <f>IFERROR(H274/G274,"")</f>
        <v>#ERROR!</v>
      </c>
      <c r="K274" s="281"/>
      <c r="L274" s="281"/>
      <c r="M274" s="281"/>
      <c r="N274" s="281" t="str">
        <f>IFERROR(K274-M274,"")</f>
        <v>#ERROR!</v>
      </c>
      <c r="O274" s="230" t="str">
        <f>IFERROR(N274/K274,"")</f>
        <v>#ERROR!</v>
      </c>
      <c r="P274" s="227" t="str">
        <f>IFERROR(INDEX('Fiche Lot'!J:J,MATCH(A274,'Fiche Lot'!A:A,0)),"")</f>
        <v>#ERROR!</v>
      </c>
      <c r="Q274" s="266" t="str">
        <f>IFERROR(INDEX('Fiche Lot'!L:L,MATCH(A274,'Fiche Lot'!A:A,0)),"")</f>
        <v>#ERROR!</v>
      </c>
      <c r="R274" s="227" t="str">
        <f>IFERROR(INDEX('Fiche Lot'!M:M,MATCH(A274,'Fiche Lot'!A:A,0)),"")</f>
        <v>#ERROR!</v>
      </c>
      <c r="S274" s="227" t="str">
        <f>IFERROR(INDEX('Fiche Lot'!G:G,MATCH(A274,'Fiche Lot'!A:A,0)),"")</f>
        <v>#ERROR!</v>
      </c>
      <c r="T274" s="227"/>
      <c r="U274" s="233"/>
    </row>
    <row r="275" ht="15.0" customHeight="1">
      <c r="A275" s="282"/>
      <c r="B275" s="270" t="str">
        <f>IFERROR(INDEX('Fiche Lot'!B:B,MATCH(A275,'Fiche Lot'!A:A,0)),"")</f>
        <v>#ERROR!</v>
      </c>
      <c r="C275" s="235" t="str">
        <f>IFERROR(INDEX('Fiche Lot'!C:C,MATCH(A275,'Fiche Lot'!A:A,0)),"")</f>
        <v>#ERROR!</v>
      </c>
      <c r="D275" s="235" t="str">
        <f>IFERROR(INDEX('Fiche Lot'!D:D,MATCH(A275,'Fiche Lot'!A:A,0)),"")</f>
        <v>#ERROR!</v>
      </c>
      <c r="E275" s="235" t="str">
        <f>IFERROR(INDEX('Fiche Lot'!E:E,MATCH(A275,'Fiche Lot'!A:A,0)),"")</f>
        <v>#ERROR!</v>
      </c>
      <c r="F275" s="235"/>
      <c r="G275" s="235" t="str">
        <f>IFERROR(INDEX('Fiche Lot'!H:H,MATCH(A275,'Fiche Lot'!A:A,0)),"")</f>
        <v>#ERROR!</v>
      </c>
      <c r="H275" s="235"/>
      <c r="I275" s="235"/>
      <c r="J275" s="237" t="str">
        <f>IFERROR(H275/G275,"")</f>
        <v>#ERROR!</v>
      </c>
      <c r="K275" s="283"/>
      <c r="L275" s="283"/>
      <c r="M275" s="283"/>
      <c r="N275" s="283" t="str">
        <f>IFERROR(K275-M275,"")</f>
        <v>#ERROR!</v>
      </c>
      <c r="O275" s="237" t="str">
        <f>IFERROR(N275/K275,"")</f>
        <v>#ERROR!</v>
      </c>
      <c r="P275" s="235" t="str">
        <f>IFERROR(INDEX('Fiche Lot'!J:J,MATCH(A275,'Fiche Lot'!A:A,0)),"")</f>
        <v>#ERROR!</v>
      </c>
      <c r="Q275" s="270" t="str">
        <f>IFERROR(INDEX('Fiche Lot'!L:L,MATCH(A275,'Fiche Lot'!A:A,0)),"")</f>
        <v>#ERROR!</v>
      </c>
      <c r="R275" s="235" t="str">
        <f>IFERROR(INDEX('Fiche Lot'!M:M,MATCH(A275,'Fiche Lot'!A:A,0)),"")</f>
        <v>#ERROR!</v>
      </c>
      <c r="S275" s="235" t="str">
        <f>IFERROR(INDEX('Fiche Lot'!G:G,MATCH(A275,'Fiche Lot'!A:A,0)),"")</f>
        <v>#ERROR!</v>
      </c>
      <c r="T275" s="235"/>
      <c r="U275" s="240"/>
    </row>
    <row r="276" ht="15.0" customHeight="1">
      <c r="A276" s="282"/>
      <c r="B276" s="266" t="str">
        <f>IFERROR(INDEX('Fiche Lot'!B:B,MATCH(A276,'Fiche Lot'!A:A,0)),"")</f>
        <v>#ERROR!</v>
      </c>
      <c r="C276" s="227" t="str">
        <f>IFERROR(INDEX('Fiche Lot'!C:C,MATCH(A276,'Fiche Lot'!A:A,0)),"")</f>
        <v>#ERROR!</v>
      </c>
      <c r="D276" s="227" t="str">
        <f>IFERROR(INDEX('Fiche Lot'!D:D,MATCH(A276,'Fiche Lot'!A:A,0)),"")</f>
        <v>#ERROR!</v>
      </c>
      <c r="E276" s="227" t="str">
        <f>IFERROR(INDEX('Fiche Lot'!E:E,MATCH(A276,'Fiche Lot'!A:A,0)),"")</f>
        <v>#ERROR!</v>
      </c>
      <c r="F276" s="227"/>
      <c r="G276" s="227" t="str">
        <f>IFERROR(INDEX('Fiche Lot'!H:H,MATCH(A276,'Fiche Lot'!A:A,0)),"")</f>
        <v>#ERROR!</v>
      </c>
      <c r="H276" s="227"/>
      <c r="I276" s="227"/>
      <c r="J276" s="230" t="str">
        <f>IFERROR(H276/G276,"")</f>
        <v>#ERROR!</v>
      </c>
      <c r="K276" s="281"/>
      <c r="L276" s="281"/>
      <c r="M276" s="281"/>
      <c r="N276" s="281" t="str">
        <f>IFERROR(K276-M276,"")</f>
        <v>#ERROR!</v>
      </c>
      <c r="O276" s="230" t="str">
        <f>IFERROR(N276/K276,"")</f>
        <v>#ERROR!</v>
      </c>
      <c r="P276" s="227" t="str">
        <f>IFERROR(INDEX('Fiche Lot'!J:J,MATCH(A276,'Fiche Lot'!A:A,0)),"")</f>
        <v>#ERROR!</v>
      </c>
      <c r="Q276" s="266" t="str">
        <f>IFERROR(INDEX('Fiche Lot'!L:L,MATCH(A276,'Fiche Lot'!A:A,0)),"")</f>
        <v>#ERROR!</v>
      </c>
      <c r="R276" s="227" t="str">
        <f>IFERROR(INDEX('Fiche Lot'!M:M,MATCH(A276,'Fiche Lot'!A:A,0)),"")</f>
        <v>#ERROR!</v>
      </c>
      <c r="S276" s="227" t="str">
        <f>IFERROR(INDEX('Fiche Lot'!G:G,MATCH(A276,'Fiche Lot'!A:A,0)),"")</f>
        <v>#ERROR!</v>
      </c>
      <c r="T276" s="227"/>
      <c r="U276" s="233"/>
    </row>
    <row r="277" ht="15.0" customHeight="1">
      <c r="A277" s="282"/>
      <c r="B277" s="270" t="str">
        <f>IFERROR(INDEX('Fiche Lot'!B:B,MATCH(A277,'Fiche Lot'!A:A,0)),"")</f>
        <v>#ERROR!</v>
      </c>
      <c r="C277" s="235" t="str">
        <f>IFERROR(INDEX('Fiche Lot'!C:C,MATCH(A277,'Fiche Lot'!A:A,0)),"")</f>
        <v>#ERROR!</v>
      </c>
      <c r="D277" s="235" t="str">
        <f>IFERROR(INDEX('Fiche Lot'!D:D,MATCH(A277,'Fiche Lot'!A:A,0)),"")</f>
        <v>#ERROR!</v>
      </c>
      <c r="E277" s="235" t="str">
        <f>IFERROR(INDEX('Fiche Lot'!E:E,MATCH(A277,'Fiche Lot'!A:A,0)),"")</f>
        <v>#ERROR!</v>
      </c>
      <c r="F277" s="235"/>
      <c r="G277" s="235" t="str">
        <f>IFERROR(INDEX('Fiche Lot'!H:H,MATCH(A277,'Fiche Lot'!A:A,0)),"")</f>
        <v>#ERROR!</v>
      </c>
      <c r="H277" s="235"/>
      <c r="I277" s="235"/>
      <c r="J277" s="237" t="str">
        <f>IFERROR(H277/G277,"")</f>
        <v>#ERROR!</v>
      </c>
      <c r="K277" s="283"/>
      <c r="L277" s="283"/>
      <c r="M277" s="283"/>
      <c r="N277" s="283" t="str">
        <f>IFERROR(K277-M277,"")</f>
        <v>#ERROR!</v>
      </c>
      <c r="O277" s="237" t="str">
        <f>IFERROR(N277/K277,"")</f>
        <v>#ERROR!</v>
      </c>
      <c r="P277" s="235" t="str">
        <f>IFERROR(INDEX('Fiche Lot'!J:J,MATCH(A277,'Fiche Lot'!A:A,0)),"")</f>
        <v>#ERROR!</v>
      </c>
      <c r="Q277" s="270" t="str">
        <f>IFERROR(INDEX('Fiche Lot'!L:L,MATCH(A277,'Fiche Lot'!A:A,0)),"")</f>
        <v>#ERROR!</v>
      </c>
      <c r="R277" s="235" t="str">
        <f>IFERROR(INDEX('Fiche Lot'!M:M,MATCH(A277,'Fiche Lot'!A:A,0)),"")</f>
        <v>#ERROR!</v>
      </c>
      <c r="S277" s="235" t="str">
        <f>IFERROR(INDEX('Fiche Lot'!G:G,MATCH(A277,'Fiche Lot'!A:A,0)),"")</f>
        <v>#ERROR!</v>
      </c>
      <c r="T277" s="235"/>
      <c r="U277" s="240"/>
    </row>
    <row r="278" ht="15.0" customHeight="1">
      <c r="A278" s="282"/>
      <c r="B278" s="266" t="str">
        <f>IFERROR(INDEX('Fiche Lot'!B:B,MATCH(A278,'Fiche Lot'!A:A,0)),"")</f>
        <v>#ERROR!</v>
      </c>
      <c r="C278" s="227" t="str">
        <f>IFERROR(INDEX('Fiche Lot'!C:C,MATCH(A278,'Fiche Lot'!A:A,0)),"")</f>
        <v>#ERROR!</v>
      </c>
      <c r="D278" s="227" t="str">
        <f>IFERROR(INDEX('Fiche Lot'!D:D,MATCH(A278,'Fiche Lot'!A:A,0)),"")</f>
        <v>#ERROR!</v>
      </c>
      <c r="E278" s="227" t="str">
        <f>IFERROR(INDEX('Fiche Lot'!E:E,MATCH(A278,'Fiche Lot'!A:A,0)),"")</f>
        <v>#ERROR!</v>
      </c>
      <c r="F278" s="227"/>
      <c r="G278" s="227" t="str">
        <f>IFERROR(INDEX('Fiche Lot'!H:H,MATCH(A278,'Fiche Lot'!A:A,0)),"")</f>
        <v>#ERROR!</v>
      </c>
      <c r="H278" s="227"/>
      <c r="I278" s="227"/>
      <c r="J278" s="230" t="str">
        <f>IFERROR(H278/G278,"")</f>
        <v>#ERROR!</v>
      </c>
      <c r="K278" s="281"/>
      <c r="L278" s="281"/>
      <c r="M278" s="281"/>
      <c r="N278" s="281" t="str">
        <f>IFERROR(K278-M278,"")</f>
        <v>#ERROR!</v>
      </c>
      <c r="O278" s="230" t="str">
        <f>IFERROR(N278/K278,"")</f>
        <v>#ERROR!</v>
      </c>
      <c r="P278" s="227" t="str">
        <f>IFERROR(INDEX('Fiche Lot'!J:J,MATCH(A278,'Fiche Lot'!A:A,0)),"")</f>
        <v>#ERROR!</v>
      </c>
      <c r="Q278" s="266" t="str">
        <f>IFERROR(INDEX('Fiche Lot'!L:L,MATCH(A278,'Fiche Lot'!A:A,0)),"")</f>
        <v>#ERROR!</v>
      </c>
      <c r="R278" s="227" t="str">
        <f>IFERROR(INDEX('Fiche Lot'!M:M,MATCH(A278,'Fiche Lot'!A:A,0)),"")</f>
        <v>#ERROR!</v>
      </c>
      <c r="S278" s="227" t="str">
        <f>IFERROR(INDEX('Fiche Lot'!G:G,MATCH(A278,'Fiche Lot'!A:A,0)),"")</f>
        <v>#ERROR!</v>
      </c>
      <c r="T278" s="227"/>
      <c r="U278" s="233"/>
    </row>
    <row r="279" ht="15.0" customHeight="1">
      <c r="A279" s="282"/>
      <c r="B279" s="270" t="str">
        <f>IFERROR(INDEX('Fiche Lot'!B:B,MATCH(A279,'Fiche Lot'!A:A,0)),"")</f>
        <v>#ERROR!</v>
      </c>
      <c r="C279" s="235" t="str">
        <f>IFERROR(INDEX('Fiche Lot'!C:C,MATCH(A279,'Fiche Lot'!A:A,0)),"")</f>
        <v>#ERROR!</v>
      </c>
      <c r="D279" s="235" t="str">
        <f>IFERROR(INDEX('Fiche Lot'!D:D,MATCH(A279,'Fiche Lot'!A:A,0)),"")</f>
        <v>#ERROR!</v>
      </c>
      <c r="E279" s="235" t="str">
        <f>IFERROR(INDEX('Fiche Lot'!E:E,MATCH(A279,'Fiche Lot'!A:A,0)),"")</f>
        <v>#ERROR!</v>
      </c>
      <c r="F279" s="235"/>
      <c r="G279" s="235" t="str">
        <f>IFERROR(INDEX('Fiche Lot'!H:H,MATCH(A279,'Fiche Lot'!A:A,0)),"")</f>
        <v>#ERROR!</v>
      </c>
      <c r="H279" s="235"/>
      <c r="I279" s="235"/>
      <c r="J279" s="237" t="str">
        <f>IFERROR(H279/G279,"")</f>
        <v>#ERROR!</v>
      </c>
      <c r="K279" s="283"/>
      <c r="L279" s="283"/>
      <c r="M279" s="283"/>
      <c r="N279" s="283" t="str">
        <f>IFERROR(K279-M279,"")</f>
        <v>#ERROR!</v>
      </c>
      <c r="O279" s="237" t="str">
        <f>IFERROR(N279/K279,"")</f>
        <v>#ERROR!</v>
      </c>
      <c r="P279" s="235" t="str">
        <f>IFERROR(INDEX('Fiche Lot'!J:J,MATCH(A279,'Fiche Lot'!A:A,0)),"")</f>
        <v>#ERROR!</v>
      </c>
      <c r="Q279" s="270" t="str">
        <f>IFERROR(INDEX('Fiche Lot'!L:L,MATCH(A279,'Fiche Lot'!A:A,0)),"")</f>
        <v>#ERROR!</v>
      </c>
      <c r="R279" s="235" t="str">
        <f>IFERROR(INDEX('Fiche Lot'!M:M,MATCH(A279,'Fiche Lot'!A:A,0)),"")</f>
        <v>#ERROR!</v>
      </c>
      <c r="S279" s="235" t="str">
        <f>IFERROR(INDEX('Fiche Lot'!G:G,MATCH(A279,'Fiche Lot'!A:A,0)),"")</f>
        <v>#ERROR!</v>
      </c>
      <c r="T279" s="235"/>
      <c r="U279" s="240"/>
    </row>
    <row r="280" ht="15.0" customHeight="1">
      <c r="A280" s="282"/>
      <c r="B280" s="266" t="str">
        <f>IFERROR(INDEX('Fiche Lot'!B:B,MATCH(A280,'Fiche Lot'!A:A,0)),"")</f>
        <v>#ERROR!</v>
      </c>
      <c r="C280" s="227" t="str">
        <f>IFERROR(INDEX('Fiche Lot'!C:C,MATCH(A280,'Fiche Lot'!A:A,0)),"")</f>
        <v>#ERROR!</v>
      </c>
      <c r="D280" s="227" t="str">
        <f>IFERROR(INDEX('Fiche Lot'!D:D,MATCH(A280,'Fiche Lot'!A:A,0)),"")</f>
        <v>#ERROR!</v>
      </c>
      <c r="E280" s="227" t="str">
        <f>IFERROR(INDEX('Fiche Lot'!E:E,MATCH(A280,'Fiche Lot'!A:A,0)),"")</f>
        <v>#ERROR!</v>
      </c>
      <c r="F280" s="227"/>
      <c r="G280" s="227" t="str">
        <f>IFERROR(INDEX('Fiche Lot'!H:H,MATCH(A280,'Fiche Lot'!A:A,0)),"")</f>
        <v>#ERROR!</v>
      </c>
      <c r="H280" s="227"/>
      <c r="I280" s="227"/>
      <c r="J280" s="230" t="str">
        <f>IFERROR(H280/G280,"")</f>
        <v>#ERROR!</v>
      </c>
      <c r="K280" s="281"/>
      <c r="L280" s="281"/>
      <c r="M280" s="281"/>
      <c r="N280" s="281" t="str">
        <f>IFERROR(K280-M280,"")</f>
        <v>#ERROR!</v>
      </c>
      <c r="O280" s="230" t="str">
        <f>IFERROR(N280/K280,"")</f>
        <v>#ERROR!</v>
      </c>
      <c r="P280" s="227" t="str">
        <f>IFERROR(INDEX('Fiche Lot'!J:J,MATCH(A280,'Fiche Lot'!A:A,0)),"")</f>
        <v>#ERROR!</v>
      </c>
      <c r="Q280" s="266" t="str">
        <f>IFERROR(INDEX('Fiche Lot'!L:L,MATCH(A280,'Fiche Lot'!A:A,0)),"")</f>
        <v>#ERROR!</v>
      </c>
      <c r="R280" s="227" t="str">
        <f>IFERROR(INDEX('Fiche Lot'!M:M,MATCH(A280,'Fiche Lot'!A:A,0)),"")</f>
        <v>#ERROR!</v>
      </c>
      <c r="S280" s="227" t="str">
        <f>IFERROR(INDEX('Fiche Lot'!G:G,MATCH(A280,'Fiche Lot'!A:A,0)),"")</f>
        <v>#ERROR!</v>
      </c>
      <c r="T280" s="227"/>
      <c r="U280" s="233"/>
    </row>
    <row r="281" ht="15.0" customHeight="1">
      <c r="A281" s="282"/>
      <c r="B281" s="270" t="str">
        <f>IFERROR(INDEX('Fiche Lot'!B:B,MATCH(A281,'Fiche Lot'!A:A,0)),"")</f>
        <v>#ERROR!</v>
      </c>
      <c r="C281" s="235" t="str">
        <f>IFERROR(INDEX('Fiche Lot'!C:C,MATCH(A281,'Fiche Lot'!A:A,0)),"")</f>
        <v>#ERROR!</v>
      </c>
      <c r="D281" s="235" t="str">
        <f>IFERROR(INDEX('Fiche Lot'!D:D,MATCH(A281,'Fiche Lot'!A:A,0)),"")</f>
        <v>#ERROR!</v>
      </c>
      <c r="E281" s="235" t="str">
        <f>IFERROR(INDEX('Fiche Lot'!E:E,MATCH(A281,'Fiche Lot'!A:A,0)),"")</f>
        <v>#ERROR!</v>
      </c>
      <c r="F281" s="235"/>
      <c r="G281" s="235" t="str">
        <f>IFERROR(INDEX('Fiche Lot'!H:H,MATCH(A281,'Fiche Lot'!A:A,0)),"")</f>
        <v>#ERROR!</v>
      </c>
      <c r="H281" s="235"/>
      <c r="I281" s="235"/>
      <c r="J281" s="237" t="str">
        <f>IFERROR(H281/G281,"")</f>
        <v>#ERROR!</v>
      </c>
      <c r="K281" s="283"/>
      <c r="L281" s="283"/>
      <c r="M281" s="283"/>
      <c r="N281" s="283" t="str">
        <f>IFERROR(K281-M281,"")</f>
        <v>#ERROR!</v>
      </c>
      <c r="O281" s="237" t="str">
        <f>IFERROR(N281/K281,"")</f>
        <v>#ERROR!</v>
      </c>
      <c r="P281" s="235" t="str">
        <f>IFERROR(INDEX('Fiche Lot'!J:J,MATCH(A281,'Fiche Lot'!A:A,0)),"")</f>
        <v>#ERROR!</v>
      </c>
      <c r="Q281" s="270" t="str">
        <f>IFERROR(INDEX('Fiche Lot'!L:L,MATCH(A281,'Fiche Lot'!A:A,0)),"")</f>
        <v>#ERROR!</v>
      </c>
      <c r="R281" s="235" t="str">
        <f>IFERROR(INDEX('Fiche Lot'!M:M,MATCH(A281,'Fiche Lot'!A:A,0)),"")</f>
        <v>#ERROR!</v>
      </c>
      <c r="S281" s="235" t="str">
        <f>IFERROR(INDEX('Fiche Lot'!G:G,MATCH(A281,'Fiche Lot'!A:A,0)),"")</f>
        <v>#ERROR!</v>
      </c>
      <c r="T281" s="235"/>
      <c r="U281" s="240"/>
    </row>
    <row r="282" ht="15.0" customHeight="1">
      <c r="A282" s="282"/>
      <c r="B282" s="266" t="str">
        <f>IFERROR(INDEX('Fiche Lot'!B:B,MATCH(A282,'Fiche Lot'!A:A,0)),"")</f>
        <v>#ERROR!</v>
      </c>
      <c r="C282" s="227" t="str">
        <f>IFERROR(INDEX('Fiche Lot'!C:C,MATCH(A282,'Fiche Lot'!A:A,0)),"")</f>
        <v>#ERROR!</v>
      </c>
      <c r="D282" s="227" t="str">
        <f>IFERROR(INDEX('Fiche Lot'!D:D,MATCH(A282,'Fiche Lot'!A:A,0)),"")</f>
        <v>#ERROR!</v>
      </c>
      <c r="E282" s="227" t="str">
        <f>IFERROR(INDEX('Fiche Lot'!E:E,MATCH(A282,'Fiche Lot'!A:A,0)),"")</f>
        <v>#ERROR!</v>
      </c>
      <c r="F282" s="227"/>
      <c r="G282" s="227" t="str">
        <f>IFERROR(INDEX('Fiche Lot'!H:H,MATCH(A282,'Fiche Lot'!A:A,0)),"")</f>
        <v>#ERROR!</v>
      </c>
      <c r="H282" s="227"/>
      <c r="I282" s="227"/>
      <c r="J282" s="230" t="str">
        <f>IFERROR(H282/G282,"")</f>
        <v>#ERROR!</v>
      </c>
      <c r="K282" s="281"/>
      <c r="L282" s="281"/>
      <c r="M282" s="281"/>
      <c r="N282" s="281" t="str">
        <f>IFERROR(K282-M282,"")</f>
        <v>#ERROR!</v>
      </c>
      <c r="O282" s="230" t="str">
        <f>IFERROR(N282/K282,"")</f>
        <v>#ERROR!</v>
      </c>
      <c r="P282" s="227" t="str">
        <f>IFERROR(INDEX('Fiche Lot'!J:J,MATCH(A282,'Fiche Lot'!A:A,0)),"")</f>
        <v>#ERROR!</v>
      </c>
      <c r="Q282" s="266" t="str">
        <f>IFERROR(INDEX('Fiche Lot'!L:L,MATCH(A282,'Fiche Lot'!A:A,0)),"")</f>
        <v>#ERROR!</v>
      </c>
      <c r="R282" s="227" t="str">
        <f>IFERROR(INDEX('Fiche Lot'!M:M,MATCH(A282,'Fiche Lot'!A:A,0)),"")</f>
        <v>#ERROR!</v>
      </c>
      <c r="S282" s="227" t="str">
        <f>IFERROR(INDEX('Fiche Lot'!G:G,MATCH(A282,'Fiche Lot'!A:A,0)),"")</f>
        <v>#ERROR!</v>
      </c>
      <c r="T282" s="227"/>
      <c r="U282" s="233"/>
    </row>
    <row r="283" ht="15.0" customHeight="1">
      <c r="A283" s="282"/>
      <c r="B283" s="270" t="str">
        <f>IFERROR(INDEX('Fiche Lot'!B:B,MATCH(A283,'Fiche Lot'!A:A,0)),"")</f>
        <v>#ERROR!</v>
      </c>
      <c r="C283" s="235" t="str">
        <f>IFERROR(INDEX('Fiche Lot'!C:C,MATCH(A283,'Fiche Lot'!A:A,0)),"")</f>
        <v>#ERROR!</v>
      </c>
      <c r="D283" s="235" t="str">
        <f>IFERROR(INDEX('Fiche Lot'!D:D,MATCH(A283,'Fiche Lot'!A:A,0)),"")</f>
        <v>#ERROR!</v>
      </c>
      <c r="E283" s="235" t="str">
        <f>IFERROR(INDEX('Fiche Lot'!E:E,MATCH(A283,'Fiche Lot'!A:A,0)),"")</f>
        <v>#ERROR!</v>
      </c>
      <c r="F283" s="235"/>
      <c r="G283" s="235" t="str">
        <f>IFERROR(INDEX('Fiche Lot'!H:H,MATCH(A283,'Fiche Lot'!A:A,0)),"")</f>
        <v>#ERROR!</v>
      </c>
      <c r="H283" s="235"/>
      <c r="I283" s="235"/>
      <c r="J283" s="237" t="str">
        <f>IFERROR(H283/G283,"")</f>
        <v>#ERROR!</v>
      </c>
      <c r="K283" s="283"/>
      <c r="L283" s="283"/>
      <c r="M283" s="283"/>
      <c r="N283" s="283" t="str">
        <f>IFERROR(K283-M283,"")</f>
        <v>#ERROR!</v>
      </c>
      <c r="O283" s="237" t="str">
        <f>IFERROR(N283/K283,"")</f>
        <v>#ERROR!</v>
      </c>
      <c r="P283" s="235" t="str">
        <f>IFERROR(INDEX('Fiche Lot'!J:J,MATCH(A283,'Fiche Lot'!A:A,0)),"")</f>
        <v>#ERROR!</v>
      </c>
      <c r="Q283" s="270" t="str">
        <f>IFERROR(INDEX('Fiche Lot'!L:L,MATCH(A283,'Fiche Lot'!A:A,0)),"")</f>
        <v>#ERROR!</v>
      </c>
      <c r="R283" s="235" t="str">
        <f>IFERROR(INDEX('Fiche Lot'!M:M,MATCH(A283,'Fiche Lot'!A:A,0)),"")</f>
        <v>#ERROR!</v>
      </c>
      <c r="S283" s="235" t="str">
        <f>IFERROR(INDEX('Fiche Lot'!G:G,MATCH(A283,'Fiche Lot'!A:A,0)),"")</f>
        <v>#ERROR!</v>
      </c>
      <c r="T283" s="235"/>
      <c r="U283" s="240"/>
    </row>
    <row r="284" ht="15.0" customHeight="1">
      <c r="A284" s="282"/>
      <c r="B284" s="266" t="str">
        <f>IFERROR(INDEX('Fiche Lot'!B:B,MATCH(A284,'Fiche Lot'!A:A,0)),"")</f>
        <v>#ERROR!</v>
      </c>
      <c r="C284" s="227" t="str">
        <f>IFERROR(INDEX('Fiche Lot'!C:C,MATCH(A284,'Fiche Lot'!A:A,0)),"")</f>
        <v>#ERROR!</v>
      </c>
      <c r="D284" s="227" t="str">
        <f>IFERROR(INDEX('Fiche Lot'!D:D,MATCH(A284,'Fiche Lot'!A:A,0)),"")</f>
        <v>#ERROR!</v>
      </c>
      <c r="E284" s="227" t="str">
        <f>IFERROR(INDEX('Fiche Lot'!E:E,MATCH(A284,'Fiche Lot'!A:A,0)),"")</f>
        <v>#ERROR!</v>
      </c>
      <c r="F284" s="227"/>
      <c r="G284" s="227" t="str">
        <f>IFERROR(INDEX('Fiche Lot'!H:H,MATCH(A284,'Fiche Lot'!A:A,0)),"")</f>
        <v>#ERROR!</v>
      </c>
      <c r="H284" s="227"/>
      <c r="I284" s="227"/>
      <c r="J284" s="230" t="str">
        <f>IFERROR(H284/G284,"")</f>
        <v>#ERROR!</v>
      </c>
      <c r="K284" s="281"/>
      <c r="L284" s="281"/>
      <c r="M284" s="281"/>
      <c r="N284" s="281" t="str">
        <f>IFERROR(K284-M284,"")</f>
        <v>#ERROR!</v>
      </c>
      <c r="O284" s="230" t="str">
        <f>IFERROR(N284/K284,"")</f>
        <v>#ERROR!</v>
      </c>
      <c r="P284" s="227" t="str">
        <f>IFERROR(INDEX('Fiche Lot'!J:J,MATCH(A284,'Fiche Lot'!A:A,0)),"")</f>
        <v>#ERROR!</v>
      </c>
      <c r="Q284" s="266" t="str">
        <f>IFERROR(INDEX('Fiche Lot'!L:L,MATCH(A284,'Fiche Lot'!A:A,0)),"")</f>
        <v>#ERROR!</v>
      </c>
      <c r="R284" s="227" t="str">
        <f>IFERROR(INDEX('Fiche Lot'!M:M,MATCH(A284,'Fiche Lot'!A:A,0)),"")</f>
        <v>#ERROR!</v>
      </c>
      <c r="S284" s="227" t="str">
        <f>IFERROR(INDEX('Fiche Lot'!G:G,MATCH(A284,'Fiche Lot'!A:A,0)),"")</f>
        <v>#ERROR!</v>
      </c>
      <c r="T284" s="227"/>
      <c r="U284" s="233"/>
    </row>
    <row r="285" ht="15.0" customHeight="1">
      <c r="A285" s="282"/>
      <c r="B285" s="270" t="str">
        <f>IFERROR(INDEX('Fiche Lot'!B:B,MATCH(A285,'Fiche Lot'!A:A,0)),"")</f>
        <v>#ERROR!</v>
      </c>
      <c r="C285" s="235" t="str">
        <f>IFERROR(INDEX('Fiche Lot'!C:C,MATCH(A285,'Fiche Lot'!A:A,0)),"")</f>
        <v>#ERROR!</v>
      </c>
      <c r="D285" s="235" t="str">
        <f>IFERROR(INDEX('Fiche Lot'!D:D,MATCH(A285,'Fiche Lot'!A:A,0)),"")</f>
        <v>#ERROR!</v>
      </c>
      <c r="E285" s="235" t="str">
        <f>IFERROR(INDEX('Fiche Lot'!E:E,MATCH(A285,'Fiche Lot'!A:A,0)),"")</f>
        <v>#ERROR!</v>
      </c>
      <c r="F285" s="235"/>
      <c r="G285" s="235" t="str">
        <f>IFERROR(INDEX('Fiche Lot'!H:H,MATCH(A285,'Fiche Lot'!A:A,0)),"")</f>
        <v>#ERROR!</v>
      </c>
      <c r="H285" s="235"/>
      <c r="I285" s="235"/>
      <c r="J285" s="237" t="str">
        <f>IFERROR(H285/G285,"")</f>
        <v>#ERROR!</v>
      </c>
      <c r="K285" s="283"/>
      <c r="L285" s="283"/>
      <c r="M285" s="283"/>
      <c r="N285" s="283" t="str">
        <f>IFERROR(K285-M285,"")</f>
        <v>#ERROR!</v>
      </c>
      <c r="O285" s="237" t="str">
        <f>IFERROR(N285/K285,"")</f>
        <v>#ERROR!</v>
      </c>
      <c r="P285" s="235" t="str">
        <f>IFERROR(INDEX('Fiche Lot'!J:J,MATCH(A285,'Fiche Lot'!A:A,0)),"")</f>
        <v>#ERROR!</v>
      </c>
      <c r="Q285" s="270" t="str">
        <f>IFERROR(INDEX('Fiche Lot'!L:L,MATCH(A285,'Fiche Lot'!A:A,0)),"")</f>
        <v>#ERROR!</v>
      </c>
      <c r="R285" s="235" t="str">
        <f>IFERROR(INDEX('Fiche Lot'!M:M,MATCH(A285,'Fiche Lot'!A:A,0)),"")</f>
        <v>#ERROR!</v>
      </c>
      <c r="S285" s="235" t="str">
        <f>IFERROR(INDEX('Fiche Lot'!G:G,MATCH(A285,'Fiche Lot'!A:A,0)),"")</f>
        <v>#ERROR!</v>
      </c>
      <c r="T285" s="235"/>
      <c r="U285" s="240"/>
    </row>
    <row r="286" ht="15.0" customHeight="1">
      <c r="A286" s="282"/>
      <c r="B286" s="266" t="str">
        <f>IFERROR(INDEX('Fiche Lot'!B:B,MATCH(A286,'Fiche Lot'!A:A,0)),"")</f>
        <v>#ERROR!</v>
      </c>
      <c r="C286" s="227" t="str">
        <f>IFERROR(INDEX('Fiche Lot'!C:C,MATCH(A286,'Fiche Lot'!A:A,0)),"")</f>
        <v>#ERROR!</v>
      </c>
      <c r="D286" s="227" t="str">
        <f>IFERROR(INDEX('Fiche Lot'!D:D,MATCH(A286,'Fiche Lot'!A:A,0)),"")</f>
        <v>#ERROR!</v>
      </c>
      <c r="E286" s="227" t="str">
        <f>IFERROR(INDEX('Fiche Lot'!E:E,MATCH(A286,'Fiche Lot'!A:A,0)),"")</f>
        <v>#ERROR!</v>
      </c>
      <c r="F286" s="227"/>
      <c r="G286" s="227" t="str">
        <f>IFERROR(INDEX('Fiche Lot'!H:H,MATCH(A286,'Fiche Lot'!A:A,0)),"")</f>
        <v>#ERROR!</v>
      </c>
      <c r="H286" s="227"/>
      <c r="I286" s="227"/>
      <c r="J286" s="230" t="str">
        <f>IFERROR(H286/G286,"")</f>
        <v>#ERROR!</v>
      </c>
      <c r="K286" s="281"/>
      <c r="L286" s="281"/>
      <c r="M286" s="281"/>
      <c r="N286" s="281" t="str">
        <f>IFERROR(K286-M286,"")</f>
        <v>#ERROR!</v>
      </c>
      <c r="O286" s="230" t="str">
        <f>IFERROR(N286/K286,"")</f>
        <v>#ERROR!</v>
      </c>
      <c r="P286" s="227" t="str">
        <f>IFERROR(INDEX('Fiche Lot'!J:J,MATCH(A286,'Fiche Lot'!A:A,0)),"")</f>
        <v>#ERROR!</v>
      </c>
      <c r="Q286" s="266" t="str">
        <f>IFERROR(INDEX('Fiche Lot'!L:L,MATCH(A286,'Fiche Lot'!A:A,0)),"")</f>
        <v>#ERROR!</v>
      </c>
      <c r="R286" s="227" t="str">
        <f>IFERROR(INDEX('Fiche Lot'!M:M,MATCH(A286,'Fiche Lot'!A:A,0)),"")</f>
        <v>#ERROR!</v>
      </c>
      <c r="S286" s="227" t="str">
        <f>IFERROR(INDEX('Fiche Lot'!G:G,MATCH(A286,'Fiche Lot'!A:A,0)),"")</f>
        <v>#ERROR!</v>
      </c>
      <c r="T286" s="227"/>
      <c r="U286" s="233"/>
    </row>
    <row r="287" ht="15.0" customHeight="1">
      <c r="A287" s="282"/>
      <c r="B287" s="270" t="str">
        <f>IFERROR(INDEX('Fiche Lot'!B:B,MATCH(A287,'Fiche Lot'!A:A,0)),"")</f>
        <v>#ERROR!</v>
      </c>
      <c r="C287" s="235" t="str">
        <f>IFERROR(INDEX('Fiche Lot'!C:C,MATCH(A287,'Fiche Lot'!A:A,0)),"")</f>
        <v>#ERROR!</v>
      </c>
      <c r="D287" s="235" t="str">
        <f>IFERROR(INDEX('Fiche Lot'!D:D,MATCH(A287,'Fiche Lot'!A:A,0)),"")</f>
        <v>#ERROR!</v>
      </c>
      <c r="E287" s="235" t="str">
        <f>IFERROR(INDEX('Fiche Lot'!E:E,MATCH(A287,'Fiche Lot'!A:A,0)),"")</f>
        <v>#ERROR!</v>
      </c>
      <c r="F287" s="235"/>
      <c r="G287" s="235" t="str">
        <f>IFERROR(INDEX('Fiche Lot'!H:H,MATCH(A287,'Fiche Lot'!A:A,0)),"")</f>
        <v>#ERROR!</v>
      </c>
      <c r="H287" s="235"/>
      <c r="I287" s="235"/>
      <c r="J287" s="237" t="str">
        <f>IFERROR(H287/G287,"")</f>
        <v>#ERROR!</v>
      </c>
      <c r="K287" s="283"/>
      <c r="L287" s="283"/>
      <c r="M287" s="283"/>
      <c r="N287" s="283" t="str">
        <f>IFERROR(K287-M287,"")</f>
        <v>#ERROR!</v>
      </c>
      <c r="O287" s="237" t="str">
        <f>IFERROR(N287/K287,"")</f>
        <v>#ERROR!</v>
      </c>
      <c r="P287" s="235" t="str">
        <f>IFERROR(INDEX('Fiche Lot'!J:J,MATCH(A287,'Fiche Lot'!A:A,0)),"")</f>
        <v>#ERROR!</v>
      </c>
      <c r="Q287" s="270" t="str">
        <f>IFERROR(INDEX('Fiche Lot'!L:L,MATCH(A287,'Fiche Lot'!A:A,0)),"")</f>
        <v>#ERROR!</v>
      </c>
      <c r="R287" s="235" t="str">
        <f>IFERROR(INDEX('Fiche Lot'!M:M,MATCH(A287,'Fiche Lot'!A:A,0)),"")</f>
        <v>#ERROR!</v>
      </c>
      <c r="S287" s="235" t="str">
        <f>IFERROR(INDEX('Fiche Lot'!G:G,MATCH(A287,'Fiche Lot'!A:A,0)),"")</f>
        <v>#ERROR!</v>
      </c>
      <c r="T287" s="235"/>
      <c r="U287" s="240"/>
    </row>
    <row r="288" ht="15.0" customHeight="1">
      <c r="A288" s="282"/>
      <c r="B288" s="266" t="str">
        <f>IFERROR(INDEX('Fiche Lot'!B:B,MATCH(A288,'Fiche Lot'!A:A,0)),"")</f>
        <v>#ERROR!</v>
      </c>
      <c r="C288" s="227" t="str">
        <f>IFERROR(INDEX('Fiche Lot'!C:C,MATCH(A288,'Fiche Lot'!A:A,0)),"")</f>
        <v>#ERROR!</v>
      </c>
      <c r="D288" s="227" t="str">
        <f>IFERROR(INDEX('Fiche Lot'!D:D,MATCH(A288,'Fiche Lot'!A:A,0)),"")</f>
        <v>#ERROR!</v>
      </c>
      <c r="E288" s="227" t="str">
        <f>IFERROR(INDEX('Fiche Lot'!E:E,MATCH(A288,'Fiche Lot'!A:A,0)),"")</f>
        <v>#ERROR!</v>
      </c>
      <c r="F288" s="227"/>
      <c r="G288" s="227" t="str">
        <f>IFERROR(INDEX('Fiche Lot'!H:H,MATCH(A288,'Fiche Lot'!A:A,0)),"")</f>
        <v>#ERROR!</v>
      </c>
      <c r="H288" s="227"/>
      <c r="I288" s="227"/>
      <c r="J288" s="230" t="str">
        <f>IFERROR(H288/G288,"")</f>
        <v>#ERROR!</v>
      </c>
      <c r="K288" s="281"/>
      <c r="L288" s="281"/>
      <c r="M288" s="281"/>
      <c r="N288" s="281" t="str">
        <f>IFERROR(K288-M288,"")</f>
        <v>#ERROR!</v>
      </c>
      <c r="O288" s="230" t="str">
        <f>IFERROR(N288/K288,"")</f>
        <v>#ERROR!</v>
      </c>
      <c r="P288" s="227" t="str">
        <f>IFERROR(INDEX('Fiche Lot'!J:J,MATCH(A288,'Fiche Lot'!A:A,0)),"")</f>
        <v>#ERROR!</v>
      </c>
      <c r="Q288" s="266" t="str">
        <f>IFERROR(INDEX('Fiche Lot'!L:L,MATCH(A288,'Fiche Lot'!A:A,0)),"")</f>
        <v>#ERROR!</v>
      </c>
      <c r="R288" s="227" t="str">
        <f>IFERROR(INDEX('Fiche Lot'!M:M,MATCH(A288,'Fiche Lot'!A:A,0)),"")</f>
        <v>#ERROR!</v>
      </c>
      <c r="S288" s="227" t="str">
        <f>IFERROR(INDEX('Fiche Lot'!G:G,MATCH(A288,'Fiche Lot'!A:A,0)),"")</f>
        <v>#ERROR!</v>
      </c>
      <c r="T288" s="227"/>
      <c r="U288" s="233"/>
    </row>
    <row r="289" ht="15.0" customHeight="1">
      <c r="A289" s="282"/>
      <c r="B289" s="270" t="str">
        <f>IFERROR(INDEX('Fiche Lot'!B:B,MATCH(A289,'Fiche Lot'!A:A,0)),"")</f>
        <v>#ERROR!</v>
      </c>
      <c r="C289" s="235" t="str">
        <f>IFERROR(INDEX('Fiche Lot'!C:C,MATCH(A289,'Fiche Lot'!A:A,0)),"")</f>
        <v>#ERROR!</v>
      </c>
      <c r="D289" s="235" t="str">
        <f>IFERROR(INDEX('Fiche Lot'!D:D,MATCH(A289,'Fiche Lot'!A:A,0)),"")</f>
        <v>#ERROR!</v>
      </c>
      <c r="E289" s="235" t="str">
        <f>IFERROR(INDEX('Fiche Lot'!E:E,MATCH(A289,'Fiche Lot'!A:A,0)),"")</f>
        <v>#ERROR!</v>
      </c>
      <c r="F289" s="235"/>
      <c r="G289" s="235" t="str">
        <f>IFERROR(INDEX('Fiche Lot'!H:H,MATCH(A289,'Fiche Lot'!A:A,0)),"")</f>
        <v>#ERROR!</v>
      </c>
      <c r="H289" s="235"/>
      <c r="I289" s="235"/>
      <c r="J289" s="237" t="str">
        <f>IFERROR(H289/G289,"")</f>
        <v>#ERROR!</v>
      </c>
      <c r="K289" s="283"/>
      <c r="L289" s="283"/>
      <c r="M289" s="283"/>
      <c r="N289" s="283" t="str">
        <f>IFERROR(K289-M289,"")</f>
        <v>#ERROR!</v>
      </c>
      <c r="O289" s="237" t="str">
        <f>IFERROR(N289/K289,"")</f>
        <v>#ERROR!</v>
      </c>
      <c r="P289" s="235" t="str">
        <f>IFERROR(INDEX('Fiche Lot'!J:J,MATCH(A289,'Fiche Lot'!A:A,0)),"")</f>
        <v>#ERROR!</v>
      </c>
      <c r="Q289" s="270" t="str">
        <f>IFERROR(INDEX('Fiche Lot'!L:L,MATCH(A289,'Fiche Lot'!A:A,0)),"")</f>
        <v>#ERROR!</v>
      </c>
      <c r="R289" s="235" t="str">
        <f>IFERROR(INDEX('Fiche Lot'!M:M,MATCH(A289,'Fiche Lot'!A:A,0)),"")</f>
        <v>#ERROR!</v>
      </c>
      <c r="S289" s="235" t="str">
        <f>IFERROR(INDEX('Fiche Lot'!G:G,MATCH(A289,'Fiche Lot'!A:A,0)),"")</f>
        <v>#ERROR!</v>
      </c>
      <c r="T289" s="235"/>
      <c r="U289" s="240"/>
    </row>
    <row r="290" ht="15.0" customHeight="1">
      <c r="A290" s="282"/>
      <c r="B290" s="266" t="str">
        <f>IFERROR(INDEX('Fiche Lot'!B:B,MATCH(A290,'Fiche Lot'!A:A,0)),"")</f>
        <v>#ERROR!</v>
      </c>
      <c r="C290" s="227" t="str">
        <f>IFERROR(INDEX('Fiche Lot'!C:C,MATCH(A290,'Fiche Lot'!A:A,0)),"")</f>
        <v>#ERROR!</v>
      </c>
      <c r="D290" s="227" t="str">
        <f>IFERROR(INDEX('Fiche Lot'!D:D,MATCH(A290,'Fiche Lot'!A:A,0)),"")</f>
        <v>#ERROR!</v>
      </c>
      <c r="E290" s="227" t="str">
        <f>IFERROR(INDEX('Fiche Lot'!E:E,MATCH(A290,'Fiche Lot'!A:A,0)),"")</f>
        <v>#ERROR!</v>
      </c>
      <c r="F290" s="227"/>
      <c r="G290" s="227" t="str">
        <f>IFERROR(INDEX('Fiche Lot'!H:H,MATCH(A290,'Fiche Lot'!A:A,0)),"")</f>
        <v>#ERROR!</v>
      </c>
      <c r="H290" s="227"/>
      <c r="I290" s="227"/>
      <c r="J290" s="230" t="str">
        <f>IFERROR(H290/G290,"")</f>
        <v>#ERROR!</v>
      </c>
      <c r="K290" s="281"/>
      <c r="L290" s="281"/>
      <c r="M290" s="281"/>
      <c r="N290" s="281" t="str">
        <f>IFERROR(K290-M290,"")</f>
        <v>#ERROR!</v>
      </c>
      <c r="O290" s="230" t="str">
        <f>IFERROR(N290/K290,"")</f>
        <v>#ERROR!</v>
      </c>
      <c r="P290" s="227" t="str">
        <f>IFERROR(INDEX('Fiche Lot'!J:J,MATCH(A290,'Fiche Lot'!A:A,0)),"")</f>
        <v>#ERROR!</v>
      </c>
      <c r="Q290" s="266" t="str">
        <f>IFERROR(INDEX('Fiche Lot'!L:L,MATCH(A290,'Fiche Lot'!A:A,0)),"")</f>
        <v>#ERROR!</v>
      </c>
      <c r="R290" s="227" t="str">
        <f>IFERROR(INDEX('Fiche Lot'!M:M,MATCH(A290,'Fiche Lot'!A:A,0)),"")</f>
        <v>#ERROR!</v>
      </c>
      <c r="S290" s="227" t="str">
        <f>IFERROR(INDEX('Fiche Lot'!G:G,MATCH(A290,'Fiche Lot'!A:A,0)),"")</f>
        <v>#ERROR!</v>
      </c>
      <c r="T290" s="227"/>
      <c r="U290" s="233"/>
    </row>
    <row r="291" ht="15.0" customHeight="1">
      <c r="A291" s="282"/>
      <c r="B291" s="270" t="str">
        <f>IFERROR(INDEX('Fiche Lot'!B:B,MATCH(A291,'Fiche Lot'!A:A,0)),"")</f>
        <v>#ERROR!</v>
      </c>
      <c r="C291" s="235" t="str">
        <f>IFERROR(INDEX('Fiche Lot'!C:C,MATCH(A291,'Fiche Lot'!A:A,0)),"")</f>
        <v>#ERROR!</v>
      </c>
      <c r="D291" s="235" t="str">
        <f>IFERROR(INDEX('Fiche Lot'!D:D,MATCH(A291,'Fiche Lot'!A:A,0)),"")</f>
        <v>#ERROR!</v>
      </c>
      <c r="E291" s="235" t="str">
        <f>IFERROR(INDEX('Fiche Lot'!E:E,MATCH(A291,'Fiche Lot'!A:A,0)),"")</f>
        <v>#ERROR!</v>
      </c>
      <c r="F291" s="235"/>
      <c r="G291" s="235" t="str">
        <f>IFERROR(INDEX('Fiche Lot'!H:H,MATCH(A291,'Fiche Lot'!A:A,0)),"")</f>
        <v>#ERROR!</v>
      </c>
      <c r="H291" s="235"/>
      <c r="I291" s="235"/>
      <c r="J291" s="237" t="str">
        <f>IFERROR(H291/G291,"")</f>
        <v>#ERROR!</v>
      </c>
      <c r="K291" s="283"/>
      <c r="L291" s="283"/>
      <c r="M291" s="283"/>
      <c r="N291" s="283" t="str">
        <f>IFERROR(K291-M291,"")</f>
        <v>#ERROR!</v>
      </c>
      <c r="O291" s="237" t="str">
        <f>IFERROR(N291/K291,"")</f>
        <v>#ERROR!</v>
      </c>
      <c r="P291" s="235" t="str">
        <f>IFERROR(INDEX('Fiche Lot'!J:J,MATCH(A291,'Fiche Lot'!A:A,0)),"")</f>
        <v>#ERROR!</v>
      </c>
      <c r="Q291" s="270" t="str">
        <f>IFERROR(INDEX('Fiche Lot'!L:L,MATCH(A291,'Fiche Lot'!A:A,0)),"")</f>
        <v>#ERROR!</v>
      </c>
      <c r="R291" s="235" t="str">
        <f>IFERROR(INDEX('Fiche Lot'!M:M,MATCH(A291,'Fiche Lot'!A:A,0)),"")</f>
        <v>#ERROR!</v>
      </c>
      <c r="S291" s="235" t="str">
        <f>IFERROR(INDEX('Fiche Lot'!G:G,MATCH(A291,'Fiche Lot'!A:A,0)),"")</f>
        <v>#ERROR!</v>
      </c>
      <c r="T291" s="235"/>
      <c r="U291" s="240"/>
    </row>
    <row r="292" ht="15.0" customHeight="1">
      <c r="A292" s="282"/>
      <c r="B292" s="266" t="str">
        <f>IFERROR(INDEX('Fiche Lot'!B:B,MATCH(A292,'Fiche Lot'!A:A,0)),"")</f>
        <v>#ERROR!</v>
      </c>
      <c r="C292" s="227" t="str">
        <f>IFERROR(INDEX('Fiche Lot'!C:C,MATCH(A292,'Fiche Lot'!A:A,0)),"")</f>
        <v>#ERROR!</v>
      </c>
      <c r="D292" s="227" t="str">
        <f>IFERROR(INDEX('Fiche Lot'!D:D,MATCH(A292,'Fiche Lot'!A:A,0)),"")</f>
        <v>#ERROR!</v>
      </c>
      <c r="E292" s="227" t="str">
        <f>IFERROR(INDEX('Fiche Lot'!E:E,MATCH(A292,'Fiche Lot'!A:A,0)),"")</f>
        <v>#ERROR!</v>
      </c>
      <c r="F292" s="227"/>
      <c r="G292" s="227" t="str">
        <f>IFERROR(INDEX('Fiche Lot'!H:H,MATCH(A292,'Fiche Lot'!A:A,0)),"")</f>
        <v>#ERROR!</v>
      </c>
      <c r="H292" s="227"/>
      <c r="I292" s="227"/>
      <c r="J292" s="230" t="str">
        <f>IFERROR(H292/G292,"")</f>
        <v>#ERROR!</v>
      </c>
      <c r="K292" s="281"/>
      <c r="L292" s="281"/>
      <c r="M292" s="281"/>
      <c r="N292" s="281" t="str">
        <f>IFERROR(K292-M292,"")</f>
        <v>#ERROR!</v>
      </c>
      <c r="O292" s="230" t="str">
        <f>IFERROR(N292/K292,"")</f>
        <v>#ERROR!</v>
      </c>
      <c r="P292" s="227" t="str">
        <f>IFERROR(INDEX('Fiche Lot'!J:J,MATCH(A292,'Fiche Lot'!A:A,0)),"")</f>
        <v>#ERROR!</v>
      </c>
      <c r="Q292" s="266" t="str">
        <f>IFERROR(INDEX('Fiche Lot'!L:L,MATCH(A292,'Fiche Lot'!A:A,0)),"")</f>
        <v>#ERROR!</v>
      </c>
      <c r="R292" s="227" t="str">
        <f>IFERROR(INDEX('Fiche Lot'!M:M,MATCH(A292,'Fiche Lot'!A:A,0)),"")</f>
        <v>#ERROR!</v>
      </c>
      <c r="S292" s="227" t="str">
        <f>IFERROR(INDEX('Fiche Lot'!G:G,MATCH(A292,'Fiche Lot'!A:A,0)),"")</f>
        <v>#ERROR!</v>
      </c>
      <c r="T292" s="227"/>
      <c r="U292" s="233"/>
    </row>
    <row r="293" ht="15.0" customHeight="1">
      <c r="A293" s="282"/>
      <c r="B293" s="270" t="str">
        <f>IFERROR(INDEX('Fiche Lot'!B:B,MATCH(A293,'Fiche Lot'!A:A,0)),"")</f>
        <v>#ERROR!</v>
      </c>
      <c r="C293" s="235" t="str">
        <f>IFERROR(INDEX('Fiche Lot'!C:C,MATCH(A293,'Fiche Lot'!A:A,0)),"")</f>
        <v>#ERROR!</v>
      </c>
      <c r="D293" s="235" t="str">
        <f>IFERROR(INDEX('Fiche Lot'!D:D,MATCH(A293,'Fiche Lot'!A:A,0)),"")</f>
        <v>#ERROR!</v>
      </c>
      <c r="E293" s="235" t="str">
        <f>IFERROR(INDEX('Fiche Lot'!E:E,MATCH(A293,'Fiche Lot'!A:A,0)),"")</f>
        <v>#ERROR!</v>
      </c>
      <c r="F293" s="235"/>
      <c r="G293" s="235" t="str">
        <f>IFERROR(INDEX('Fiche Lot'!H:H,MATCH(A293,'Fiche Lot'!A:A,0)),"")</f>
        <v>#ERROR!</v>
      </c>
      <c r="H293" s="235"/>
      <c r="I293" s="235"/>
      <c r="J293" s="237" t="str">
        <f>IFERROR(H293/G293,"")</f>
        <v>#ERROR!</v>
      </c>
      <c r="K293" s="283"/>
      <c r="L293" s="283"/>
      <c r="M293" s="283"/>
      <c r="N293" s="283" t="str">
        <f>IFERROR(K293-M293,"")</f>
        <v>#ERROR!</v>
      </c>
      <c r="O293" s="237" t="str">
        <f>IFERROR(N293/K293,"")</f>
        <v>#ERROR!</v>
      </c>
      <c r="P293" s="235" t="str">
        <f>IFERROR(INDEX('Fiche Lot'!J:J,MATCH(A293,'Fiche Lot'!A:A,0)),"")</f>
        <v>#ERROR!</v>
      </c>
      <c r="Q293" s="270" t="str">
        <f>IFERROR(INDEX('Fiche Lot'!L:L,MATCH(A293,'Fiche Lot'!A:A,0)),"")</f>
        <v>#ERROR!</v>
      </c>
      <c r="R293" s="235" t="str">
        <f>IFERROR(INDEX('Fiche Lot'!M:M,MATCH(A293,'Fiche Lot'!A:A,0)),"")</f>
        <v>#ERROR!</v>
      </c>
      <c r="S293" s="235" t="str">
        <f>IFERROR(INDEX('Fiche Lot'!G:G,MATCH(A293,'Fiche Lot'!A:A,0)),"")</f>
        <v>#ERROR!</v>
      </c>
      <c r="T293" s="235"/>
      <c r="U293" s="240"/>
    </row>
    <row r="294" ht="15.0" customHeight="1">
      <c r="A294" s="282"/>
      <c r="B294" s="266" t="str">
        <f>IFERROR(INDEX('Fiche Lot'!B:B,MATCH(A294,'Fiche Lot'!A:A,0)),"")</f>
        <v>#ERROR!</v>
      </c>
      <c r="C294" s="227" t="str">
        <f>IFERROR(INDEX('Fiche Lot'!C:C,MATCH(A294,'Fiche Lot'!A:A,0)),"")</f>
        <v>#ERROR!</v>
      </c>
      <c r="D294" s="227" t="str">
        <f>IFERROR(INDEX('Fiche Lot'!D:D,MATCH(A294,'Fiche Lot'!A:A,0)),"")</f>
        <v>#ERROR!</v>
      </c>
      <c r="E294" s="227" t="str">
        <f>IFERROR(INDEX('Fiche Lot'!E:E,MATCH(A294,'Fiche Lot'!A:A,0)),"")</f>
        <v>#ERROR!</v>
      </c>
      <c r="F294" s="227"/>
      <c r="G294" s="227" t="str">
        <f>IFERROR(INDEX('Fiche Lot'!H:H,MATCH(A294,'Fiche Lot'!A:A,0)),"")</f>
        <v>#ERROR!</v>
      </c>
      <c r="H294" s="227"/>
      <c r="I294" s="227"/>
      <c r="J294" s="230" t="str">
        <f>IFERROR(H294/G294,"")</f>
        <v>#ERROR!</v>
      </c>
      <c r="K294" s="281"/>
      <c r="L294" s="281"/>
      <c r="M294" s="281"/>
      <c r="N294" s="281" t="str">
        <f>IFERROR(K294-M294,"")</f>
        <v>#ERROR!</v>
      </c>
      <c r="O294" s="230" t="str">
        <f>IFERROR(N294/K294,"")</f>
        <v>#ERROR!</v>
      </c>
      <c r="P294" s="227" t="str">
        <f>IFERROR(INDEX('Fiche Lot'!J:J,MATCH(A294,'Fiche Lot'!A:A,0)),"")</f>
        <v>#ERROR!</v>
      </c>
      <c r="Q294" s="266" t="str">
        <f>IFERROR(INDEX('Fiche Lot'!L:L,MATCH(A294,'Fiche Lot'!A:A,0)),"")</f>
        <v>#ERROR!</v>
      </c>
      <c r="R294" s="227" t="str">
        <f>IFERROR(INDEX('Fiche Lot'!M:M,MATCH(A294,'Fiche Lot'!A:A,0)),"")</f>
        <v>#ERROR!</v>
      </c>
      <c r="S294" s="227" t="str">
        <f>IFERROR(INDEX('Fiche Lot'!G:G,MATCH(A294,'Fiche Lot'!A:A,0)),"")</f>
        <v>#ERROR!</v>
      </c>
      <c r="T294" s="227"/>
      <c r="U294" s="233"/>
    </row>
    <row r="295" ht="15.0" customHeight="1">
      <c r="A295" s="282"/>
      <c r="B295" s="270" t="str">
        <f>IFERROR(INDEX('Fiche Lot'!B:B,MATCH(A295,'Fiche Lot'!A:A,0)),"")</f>
        <v>#ERROR!</v>
      </c>
      <c r="C295" s="235" t="str">
        <f>IFERROR(INDEX('Fiche Lot'!C:C,MATCH(A295,'Fiche Lot'!A:A,0)),"")</f>
        <v>#ERROR!</v>
      </c>
      <c r="D295" s="235" t="str">
        <f>IFERROR(INDEX('Fiche Lot'!D:D,MATCH(A295,'Fiche Lot'!A:A,0)),"")</f>
        <v>#ERROR!</v>
      </c>
      <c r="E295" s="235" t="str">
        <f>IFERROR(INDEX('Fiche Lot'!E:E,MATCH(A295,'Fiche Lot'!A:A,0)),"")</f>
        <v>#ERROR!</v>
      </c>
      <c r="F295" s="235"/>
      <c r="G295" s="235" t="str">
        <f>IFERROR(INDEX('Fiche Lot'!H:H,MATCH(A295,'Fiche Lot'!A:A,0)),"")</f>
        <v>#ERROR!</v>
      </c>
      <c r="H295" s="235"/>
      <c r="I295" s="235"/>
      <c r="J295" s="237" t="str">
        <f>IFERROR(H295/G295,"")</f>
        <v>#ERROR!</v>
      </c>
      <c r="K295" s="283"/>
      <c r="L295" s="283"/>
      <c r="M295" s="283"/>
      <c r="N295" s="283" t="str">
        <f>IFERROR(K295-M295,"")</f>
        <v>#ERROR!</v>
      </c>
      <c r="O295" s="237" t="str">
        <f>IFERROR(N295/K295,"")</f>
        <v>#ERROR!</v>
      </c>
      <c r="P295" s="235" t="str">
        <f>IFERROR(INDEX('Fiche Lot'!J:J,MATCH(A295,'Fiche Lot'!A:A,0)),"")</f>
        <v>#ERROR!</v>
      </c>
      <c r="Q295" s="270" t="str">
        <f>IFERROR(INDEX('Fiche Lot'!L:L,MATCH(A295,'Fiche Lot'!A:A,0)),"")</f>
        <v>#ERROR!</v>
      </c>
      <c r="R295" s="235" t="str">
        <f>IFERROR(INDEX('Fiche Lot'!M:M,MATCH(A295,'Fiche Lot'!A:A,0)),"")</f>
        <v>#ERROR!</v>
      </c>
      <c r="S295" s="235" t="str">
        <f>IFERROR(INDEX('Fiche Lot'!G:G,MATCH(A295,'Fiche Lot'!A:A,0)),"")</f>
        <v>#ERROR!</v>
      </c>
      <c r="T295" s="235"/>
      <c r="U295" s="240"/>
    </row>
    <row r="296" ht="15.0" customHeight="1">
      <c r="A296" s="282"/>
      <c r="B296" s="266" t="str">
        <f>IFERROR(INDEX('Fiche Lot'!B:B,MATCH(A296,'Fiche Lot'!A:A,0)),"")</f>
        <v>#ERROR!</v>
      </c>
      <c r="C296" s="227" t="str">
        <f>IFERROR(INDEX('Fiche Lot'!C:C,MATCH(A296,'Fiche Lot'!A:A,0)),"")</f>
        <v>#ERROR!</v>
      </c>
      <c r="D296" s="227" t="str">
        <f>IFERROR(INDEX('Fiche Lot'!D:D,MATCH(A296,'Fiche Lot'!A:A,0)),"")</f>
        <v>#ERROR!</v>
      </c>
      <c r="E296" s="227" t="str">
        <f>IFERROR(INDEX('Fiche Lot'!E:E,MATCH(A296,'Fiche Lot'!A:A,0)),"")</f>
        <v>#ERROR!</v>
      </c>
      <c r="F296" s="227"/>
      <c r="G296" s="227" t="str">
        <f>IFERROR(INDEX('Fiche Lot'!H:H,MATCH(A296,'Fiche Lot'!A:A,0)),"")</f>
        <v>#ERROR!</v>
      </c>
      <c r="H296" s="227"/>
      <c r="I296" s="227"/>
      <c r="J296" s="230" t="str">
        <f>IFERROR(H296/G296,"")</f>
        <v>#ERROR!</v>
      </c>
      <c r="K296" s="281"/>
      <c r="L296" s="281"/>
      <c r="M296" s="281"/>
      <c r="N296" s="281" t="str">
        <f>IFERROR(K296-M296,"")</f>
        <v>#ERROR!</v>
      </c>
      <c r="O296" s="230" t="str">
        <f>IFERROR(N296/K296,"")</f>
        <v>#ERROR!</v>
      </c>
      <c r="P296" s="227" t="str">
        <f>IFERROR(INDEX('Fiche Lot'!J:J,MATCH(A296,'Fiche Lot'!A:A,0)),"")</f>
        <v>#ERROR!</v>
      </c>
      <c r="Q296" s="266" t="str">
        <f>IFERROR(INDEX('Fiche Lot'!L:L,MATCH(A296,'Fiche Lot'!A:A,0)),"")</f>
        <v>#ERROR!</v>
      </c>
      <c r="R296" s="227" t="str">
        <f>IFERROR(INDEX('Fiche Lot'!M:M,MATCH(A296,'Fiche Lot'!A:A,0)),"")</f>
        <v>#ERROR!</v>
      </c>
      <c r="S296" s="227" t="str">
        <f>IFERROR(INDEX('Fiche Lot'!G:G,MATCH(A296,'Fiche Lot'!A:A,0)),"")</f>
        <v>#ERROR!</v>
      </c>
      <c r="T296" s="227"/>
      <c r="U296" s="233"/>
    </row>
    <row r="297" ht="15.0" customHeight="1">
      <c r="A297" s="282"/>
      <c r="B297" s="270" t="str">
        <f>IFERROR(INDEX('Fiche Lot'!B:B,MATCH(A297,'Fiche Lot'!A:A,0)),"")</f>
        <v>#ERROR!</v>
      </c>
      <c r="C297" s="235" t="str">
        <f>IFERROR(INDEX('Fiche Lot'!C:C,MATCH(A297,'Fiche Lot'!A:A,0)),"")</f>
        <v>#ERROR!</v>
      </c>
      <c r="D297" s="235" t="str">
        <f>IFERROR(INDEX('Fiche Lot'!D:D,MATCH(A297,'Fiche Lot'!A:A,0)),"")</f>
        <v>#ERROR!</v>
      </c>
      <c r="E297" s="235" t="str">
        <f>IFERROR(INDEX('Fiche Lot'!E:E,MATCH(A297,'Fiche Lot'!A:A,0)),"")</f>
        <v>#ERROR!</v>
      </c>
      <c r="F297" s="235"/>
      <c r="G297" s="235" t="str">
        <f>IFERROR(INDEX('Fiche Lot'!H:H,MATCH(A297,'Fiche Lot'!A:A,0)),"")</f>
        <v>#ERROR!</v>
      </c>
      <c r="H297" s="235"/>
      <c r="I297" s="235"/>
      <c r="J297" s="237" t="str">
        <f>IFERROR(H297/G297,"")</f>
        <v>#ERROR!</v>
      </c>
      <c r="K297" s="283"/>
      <c r="L297" s="283"/>
      <c r="M297" s="283"/>
      <c r="N297" s="283" t="str">
        <f>IFERROR(K297-M297,"")</f>
        <v>#ERROR!</v>
      </c>
      <c r="O297" s="237" t="str">
        <f>IFERROR(N297/K297,"")</f>
        <v>#ERROR!</v>
      </c>
      <c r="P297" s="235" t="str">
        <f>IFERROR(INDEX('Fiche Lot'!J:J,MATCH(A297,'Fiche Lot'!A:A,0)),"")</f>
        <v>#ERROR!</v>
      </c>
      <c r="Q297" s="270" t="str">
        <f>IFERROR(INDEX('Fiche Lot'!L:L,MATCH(A297,'Fiche Lot'!A:A,0)),"")</f>
        <v>#ERROR!</v>
      </c>
      <c r="R297" s="235" t="str">
        <f>IFERROR(INDEX('Fiche Lot'!M:M,MATCH(A297,'Fiche Lot'!A:A,0)),"")</f>
        <v>#ERROR!</v>
      </c>
      <c r="S297" s="235" t="str">
        <f>IFERROR(INDEX('Fiche Lot'!G:G,MATCH(A297,'Fiche Lot'!A:A,0)),"")</f>
        <v>#ERROR!</v>
      </c>
      <c r="T297" s="235"/>
      <c r="U297" s="240"/>
    </row>
    <row r="298" ht="15.0" customHeight="1">
      <c r="A298" s="282"/>
      <c r="B298" s="266" t="str">
        <f>IFERROR(INDEX('Fiche Lot'!B:B,MATCH(A298,'Fiche Lot'!A:A,0)),"")</f>
        <v>#ERROR!</v>
      </c>
      <c r="C298" s="227" t="str">
        <f>IFERROR(INDEX('Fiche Lot'!C:C,MATCH(A298,'Fiche Lot'!A:A,0)),"")</f>
        <v>#ERROR!</v>
      </c>
      <c r="D298" s="227" t="str">
        <f>IFERROR(INDEX('Fiche Lot'!D:D,MATCH(A298,'Fiche Lot'!A:A,0)),"")</f>
        <v>#ERROR!</v>
      </c>
      <c r="E298" s="227" t="str">
        <f>IFERROR(INDEX('Fiche Lot'!E:E,MATCH(A298,'Fiche Lot'!A:A,0)),"")</f>
        <v>#ERROR!</v>
      </c>
      <c r="F298" s="227"/>
      <c r="G298" s="227" t="str">
        <f>IFERROR(INDEX('Fiche Lot'!H:H,MATCH(A298,'Fiche Lot'!A:A,0)),"")</f>
        <v>#ERROR!</v>
      </c>
      <c r="H298" s="227"/>
      <c r="I298" s="227"/>
      <c r="J298" s="230" t="str">
        <f>IFERROR(H298/G298,"")</f>
        <v>#ERROR!</v>
      </c>
      <c r="K298" s="281"/>
      <c r="L298" s="281"/>
      <c r="M298" s="281"/>
      <c r="N298" s="281" t="str">
        <f>IFERROR(K298-M298,"")</f>
        <v>#ERROR!</v>
      </c>
      <c r="O298" s="230" t="str">
        <f>IFERROR(N298/K298,"")</f>
        <v>#ERROR!</v>
      </c>
      <c r="P298" s="227" t="str">
        <f>IFERROR(INDEX('Fiche Lot'!J:J,MATCH(A298,'Fiche Lot'!A:A,0)),"")</f>
        <v>#ERROR!</v>
      </c>
      <c r="Q298" s="266" t="str">
        <f>IFERROR(INDEX('Fiche Lot'!L:L,MATCH(A298,'Fiche Lot'!A:A,0)),"")</f>
        <v>#ERROR!</v>
      </c>
      <c r="R298" s="227" t="str">
        <f>IFERROR(INDEX('Fiche Lot'!M:M,MATCH(A298,'Fiche Lot'!A:A,0)),"")</f>
        <v>#ERROR!</v>
      </c>
      <c r="S298" s="227" t="str">
        <f>IFERROR(INDEX('Fiche Lot'!G:G,MATCH(A298,'Fiche Lot'!A:A,0)),"")</f>
        <v>#ERROR!</v>
      </c>
      <c r="T298" s="227"/>
      <c r="U298" s="233"/>
    </row>
    <row r="299" ht="15.0" customHeight="1">
      <c r="A299" s="282"/>
      <c r="B299" s="270" t="str">
        <f>IFERROR(INDEX('Fiche Lot'!B:B,MATCH(A299,'Fiche Lot'!A:A,0)),"")</f>
        <v>#ERROR!</v>
      </c>
      <c r="C299" s="235" t="str">
        <f>IFERROR(INDEX('Fiche Lot'!C:C,MATCH(A299,'Fiche Lot'!A:A,0)),"")</f>
        <v>#ERROR!</v>
      </c>
      <c r="D299" s="235" t="str">
        <f>IFERROR(INDEX('Fiche Lot'!D:D,MATCH(A299,'Fiche Lot'!A:A,0)),"")</f>
        <v>#ERROR!</v>
      </c>
      <c r="E299" s="235" t="str">
        <f>IFERROR(INDEX('Fiche Lot'!E:E,MATCH(A299,'Fiche Lot'!A:A,0)),"")</f>
        <v>#ERROR!</v>
      </c>
      <c r="F299" s="235"/>
      <c r="G299" s="235" t="str">
        <f>IFERROR(INDEX('Fiche Lot'!H:H,MATCH(A299,'Fiche Lot'!A:A,0)),"")</f>
        <v>#ERROR!</v>
      </c>
      <c r="H299" s="235"/>
      <c r="I299" s="235"/>
      <c r="J299" s="237" t="str">
        <f>IFERROR(H299/G299,"")</f>
        <v>#ERROR!</v>
      </c>
      <c r="K299" s="283"/>
      <c r="L299" s="283"/>
      <c r="M299" s="283"/>
      <c r="N299" s="283" t="str">
        <f>IFERROR(K299-M299,"")</f>
        <v>#ERROR!</v>
      </c>
      <c r="O299" s="237" t="str">
        <f>IFERROR(N299/K299,"")</f>
        <v>#ERROR!</v>
      </c>
      <c r="P299" s="235" t="str">
        <f>IFERROR(INDEX('Fiche Lot'!J:J,MATCH(A299,'Fiche Lot'!A:A,0)),"")</f>
        <v>#ERROR!</v>
      </c>
      <c r="Q299" s="270" t="str">
        <f>IFERROR(INDEX('Fiche Lot'!L:L,MATCH(A299,'Fiche Lot'!A:A,0)),"")</f>
        <v>#ERROR!</v>
      </c>
      <c r="R299" s="235" t="str">
        <f>IFERROR(INDEX('Fiche Lot'!M:M,MATCH(A299,'Fiche Lot'!A:A,0)),"")</f>
        <v>#ERROR!</v>
      </c>
      <c r="S299" s="235" t="str">
        <f>IFERROR(INDEX('Fiche Lot'!G:G,MATCH(A299,'Fiche Lot'!A:A,0)),"")</f>
        <v>#ERROR!</v>
      </c>
      <c r="T299" s="235"/>
      <c r="U299" s="240"/>
    </row>
    <row r="300" ht="15.0" customHeight="1">
      <c r="A300" s="282"/>
      <c r="B300" s="266" t="str">
        <f>IFERROR(INDEX('Fiche Lot'!B:B,MATCH(A300,'Fiche Lot'!A:A,0)),"")</f>
        <v>#ERROR!</v>
      </c>
      <c r="C300" s="227" t="str">
        <f>IFERROR(INDEX('Fiche Lot'!C:C,MATCH(A300,'Fiche Lot'!A:A,0)),"")</f>
        <v>#ERROR!</v>
      </c>
      <c r="D300" s="227" t="str">
        <f>IFERROR(INDEX('Fiche Lot'!D:D,MATCH(A300,'Fiche Lot'!A:A,0)),"")</f>
        <v>#ERROR!</v>
      </c>
      <c r="E300" s="227" t="str">
        <f>IFERROR(INDEX('Fiche Lot'!E:E,MATCH(A300,'Fiche Lot'!A:A,0)),"")</f>
        <v>#ERROR!</v>
      </c>
      <c r="F300" s="227"/>
      <c r="G300" s="227" t="str">
        <f>IFERROR(INDEX('Fiche Lot'!H:H,MATCH(A300,'Fiche Lot'!A:A,0)),"")</f>
        <v>#ERROR!</v>
      </c>
      <c r="H300" s="227"/>
      <c r="I300" s="227"/>
      <c r="J300" s="230" t="str">
        <f>IFERROR(H300/G300,"")</f>
        <v>#ERROR!</v>
      </c>
      <c r="K300" s="281"/>
      <c r="L300" s="281"/>
      <c r="M300" s="281"/>
      <c r="N300" s="281" t="str">
        <f>IFERROR(K300-M300,"")</f>
        <v>#ERROR!</v>
      </c>
      <c r="O300" s="230" t="str">
        <f>IFERROR(N300/K300,"")</f>
        <v>#ERROR!</v>
      </c>
      <c r="P300" s="227" t="str">
        <f>IFERROR(INDEX('Fiche Lot'!J:J,MATCH(A300,'Fiche Lot'!A:A,0)),"")</f>
        <v>#ERROR!</v>
      </c>
      <c r="Q300" s="266" t="str">
        <f>IFERROR(INDEX('Fiche Lot'!L:L,MATCH(A300,'Fiche Lot'!A:A,0)),"")</f>
        <v>#ERROR!</v>
      </c>
      <c r="R300" s="227" t="str">
        <f>IFERROR(INDEX('Fiche Lot'!M:M,MATCH(A300,'Fiche Lot'!A:A,0)),"")</f>
        <v>#ERROR!</v>
      </c>
      <c r="S300" s="227" t="str">
        <f>IFERROR(INDEX('Fiche Lot'!G:G,MATCH(A300,'Fiche Lot'!A:A,0)),"")</f>
        <v>#ERROR!</v>
      </c>
      <c r="T300" s="227"/>
      <c r="U300" s="233"/>
    </row>
    <row r="301" ht="15.0" customHeight="1">
      <c r="A301" s="282"/>
      <c r="B301" s="270" t="str">
        <f>IFERROR(INDEX('Fiche Lot'!B:B,MATCH(A301,'Fiche Lot'!A:A,0)),"")</f>
        <v>#ERROR!</v>
      </c>
      <c r="C301" s="235" t="str">
        <f>IFERROR(INDEX('Fiche Lot'!C:C,MATCH(A301,'Fiche Lot'!A:A,0)),"")</f>
        <v>#ERROR!</v>
      </c>
      <c r="D301" s="235" t="str">
        <f>IFERROR(INDEX('Fiche Lot'!D:D,MATCH(A301,'Fiche Lot'!A:A,0)),"")</f>
        <v>#ERROR!</v>
      </c>
      <c r="E301" s="235" t="str">
        <f>IFERROR(INDEX('Fiche Lot'!E:E,MATCH(A301,'Fiche Lot'!A:A,0)),"")</f>
        <v>#ERROR!</v>
      </c>
      <c r="F301" s="235"/>
      <c r="G301" s="235" t="str">
        <f>IFERROR(INDEX('Fiche Lot'!H:H,MATCH(A301,'Fiche Lot'!A:A,0)),"")</f>
        <v>#ERROR!</v>
      </c>
      <c r="H301" s="235"/>
      <c r="I301" s="235"/>
      <c r="J301" s="237" t="str">
        <f>IFERROR(H301/G301,"")</f>
        <v>#ERROR!</v>
      </c>
      <c r="K301" s="283"/>
      <c r="L301" s="283"/>
      <c r="M301" s="283"/>
      <c r="N301" s="283" t="str">
        <f>IFERROR(K301-M301,"")</f>
        <v>#ERROR!</v>
      </c>
      <c r="O301" s="237" t="str">
        <f>IFERROR(N301/K301,"")</f>
        <v>#ERROR!</v>
      </c>
      <c r="P301" s="235" t="str">
        <f>IFERROR(INDEX('Fiche Lot'!J:J,MATCH(A301,'Fiche Lot'!A:A,0)),"")</f>
        <v>#ERROR!</v>
      </c>
      <c r="Q301" s="270" t="str">
        <f>IFERROR(INDEX('Fiche Lot'!L:L,MATCH(A301,'Fiche Lot'!A:A,0)),"")</f>
        <v>#ERROR!</v>
      </c>
      <c r="R301" s="235" t="str">
        <f>IFERROR(INDEX('Fiche Lot'!M:M,MATCH(A301,'Fiche Lot'!A:A,0)),"")</f>
        <v>#ERROR!</v>
      </c>
      <c r="S301" s="235" t="str">
        <f>IFERROR(INDEX('Fiche Lot'!G:G,MATCH(A301,'Fiche Lot'!A:A,0)),"")</f>
        <v>#ERROR!</v>
      </c>
      <c r="T301" s="235"/>
      <c r="U301" s="240"/>
    </row>
    <row r="302" ht="15.0" customHeight="1">
      <c r="A302" s="282"/>
      <c r="B302" s="266" t="str">
        <f>IFERROR(INDEX('Fiche Lot'!B:B,MATCH(A302,'Fiche Lot'!A:A,0)),"")</f>
        <v>#ERROR!</v>
      </c>
      <c r="C302" s="227" t="str">
        <f>IFERROR(INDEX('Fiche Lot'!C:C,MATCH(A302,'Fiche Lot'!A:A,0)),"")</f>
        <v>#ERROR!</v>
      </c>
      <c r="D302" s="227" t="str">
        <f>IFERROR(INDEX('Fiche Lot'!D:D,MATCH(A302,'Fiche Lot'!A:A,0)),"")</f>
        <v>#ERROR!</v>
      </c>
      <c r="E302" s="227" t="str">
        <f>IFERROR(INDEX('Fiche Lot'!E:E,MATCH(A302,'Fiche Lot'!A:A,0)),"")</f>
        <v>#ERROR!</v>
      </c>
      <c r="F302" s="227"/>
      <c r="G302" s="227" t="str">
        <f>IFERROR(INDEX('Fiche Lot'!H:H,MATCH(A302,'Fiche Lot'!A:A,0)),"")</f>
        <v>#ERROR!</v>
      </c>
      <c r="H302" s="227"/>
      <c r="I302" s="227"/>
      <c r="J302" s="230" t="str">
        <f>IFERROR(H302/G302,"")</f>
        <v>#ERROR!</v>
      </c>
      <c r="K302" s="281"/>
      <c r="L302" s="281"/>
      <c r="M302" s="281"/>
      <c r="N302" s="281" t="str">
        <f>IFERROR(K302-M302,"")</f>
        <v>#ERROR!</v>
      </c>
      <c r="O302" s="230" t="str">
        <f>IFERROR(N302/K302,"")</f>
        <v>#ERROR!</v>
      </c>
      <c r="P302" s="227" t="str">
        <f>IFERROR(INDEX('Fiche Lot'!J:J,MATCH(A302,'Fiche Lot'!A:A,0)),"")</f>
        <v>#ERROR!</v>
      </c>
      <c r="Q302" s="266" t="str">
        <f>IFERROR(INDEX('Fiche Lot'!L:L,MATCH(A302,'Fiche Lot'!A:A,0)),"")</f>
        <v>#ERROR!</v>
      </c>
      <c r="R302" s="227" t="str">
        <f>IFERROR(INDEX('Fiche Lot'!M:M,MATCH(A302,'Fiche Lot'!A:A,0)),"")</f>
        <v>#ERROR!</v>
      </c>
      <c r="S302" s="227" t="str">
        <f>IFERROR(INDEX('Fiche Lot'!G:G,MATCH(A302,'Fiche Lot'!A:A,0)),"")</f>
        <v>#ERROR!</v>
      </c>
      <c r="T302" s="227"/>
      <c r="U302" s="233"/>
    </row>
    <row r="303" ht="15.0" customHeight="1">
      <c r="A303" s="282"/>
      <c r="B303" s="270" t="str">
        <f>IFERROR(INDEX('Fiche Lot'!B:B,MATCH(A303,'Fiche Lot'!A:A,0)),"")</f>
        <v>#ERROR!</v>
      </c>
      <c r="C303" s="235" t="str">
        <f>IFERROR(INDEX('Fiche Lot'!C:C,MATCH(A303,'Fiche Lot'!A:A,0)),"")</f>
        <v>#ERROR!</v>
      </c>
      <c r="D303" s="235" t="str">
        <f>IFERROR(INDEX('Fiche Lot'!D:D,MATCH(A303,'Fiche Lot'!A:A,0)),"")</f>
        <v>#ERROR!</v>
      </c>
      <c r="E303" s="235" t="str">
        <f>IFERROR(INDEX('Fiche Lot'!E:E,MATCH(A303,'Fiche Lot'!A:A,0)),"")</f>
        <v>#ERROR!</v>
      </c>
      <c r="F303" s="235"/>
      <c r="G303" s="235" t="str">
        <f>IFERROR(INDEX('Fiche Lot'!H:H,MATCH(A303,'Fiche Lot'!A:A,0)),"")</f>
        <v>#ERROR!</v>
      </c>
      <c r="H303" s="235"/>
      <c r="I303" s="235"/>
      <c r="J303" s="237" t="str">
        <f>IFERROR(H303/G303,"")</f>
        <v>#ERROR!</v>
      </c>
      <c r="K303" s="283"/>
      <c r="L303" s="283"/>
      <c r="M303" s="283"/>
      <c r="N303" s="283" t="str">
        <f>IFERROR(K303-M303,"")</f>
        <v>#ERROR!</v>
      </c>
      <c r="O303" s="237" t="str">
        <f>IFERROR(N303/K303,"")</f>
        <v>#ERROR!</v>
      </c>
      <c r="P303" s="235" t="str">
        <f>IFERROR(INDEX('Fiche Lot'!J:J,MATCH(A303,'Fiche Lot'!A:A,0)),"")</f>
        <v>#ERROR!</v>
      </c>
      <c r="Q303" s="270" t="str">
        <f>IFERROR(INDEX('Fiche Lot'!L:L,MATCH(A303,'Fiche Lot'!A:A,0)),"")</f>
        <v>#ERROR!</v>
      </c>
      <c r="R303" s="235" t="str">
        <f>IFERROR(INDEX('Fiche Lot'!M:M,MATCH(A303,'Fiche Lot'!A:A,0)),"")</f>
        <v>#ERROR!</v>
      </c>
      <c r="S303" s="235" t="str">
        <f>IFERROR(INDEX('Fiche Lot'!G:G,MATCH(A303,'Fiche Lot'!A:A,0)),"")</f>
        <v>#ERROR!</v>
      </c>
      <c r="T303" s="235"/>
      <c r="U303" s="240"/>
    </row>
    <row r="304" ht="15.0" customHeight="1">
      <c r="A304" s="284"/>
      <c r="B304" s="272" t="str">
        <f>IFERROR(INDEX('Fiche Lot'!B:B,MATCH(A304,'Fiche Lot'!A:A,0)),"")</f>
        <v>#ERROR!</v>
      </c>
      <c r="C304" s="246" t="str">
        <f>IFERROR(INDEX('Fiche Lot'!C:C,MATCH(A304,'Fiche Lot'!A:A,0)),"")</f>
        <v>#ERROR!</v>
      </c>
      <c r="D304" s="246" t="str">
        <f>IFERROR(INDEX('Fiche Lot'!D:D,MATCH(A304,'Fiche Lot'!A:A,0)),"")</f>
        <v>#ERROR!</v>
      </c>
      <c r="E304" s="246" t="str">
        <f>IFERROR(INDEX('Fiche Lot'!E:E,MATCH(A304,'Fiche Lot'!A:A,0)),"")</f>
        <v>#ERROR!</v>
      </c>
      <c r="F304" s="246"/>
      <c r="G304" s="246" t="str">
        <f>IFERROR(INDEX('Fiche Lot'!H:H,MATCH(A304,'Fiche Lot'!A:A,0)),"")</f>
        <v>#ERROR!</v>
      </c>
      <c r="H304" s="246"/>
      <c r="I304" s="246"/>
      <c r="J304" s="249" t="str">
        <f>IFERROR(H304/G304,"")</f>
        <v>#ERROR!</v>
      </c>
      <c r="K304" s="285"/>
      <c r="L304" s="285"/>
      <c r="M304" s="285"/>
      <c r="N304" s="285" t="str">
        <f>IFERROR(K304-M304,"")</f>
        <v>#ERROR!</v>
      </c>
      <c r="O304" s="249" t="str">
        <f>IFERROR(N304/K304,"")</f>
        <v>#ERROR!</v>
      </c>
      <c r="P304" s="246" t="str">
        <f>IFERROR(INDEX('Fiche Lot'!J:J,MATCH(A304,'Fiche Lot'!A:A,0)),"")</f>
        <v>#ERROR!</v>
      </c>
      <c r="Q304" s="272" t="str">
        <f>IFERROR(INDEX('Fiche Lot'!L:L,MATCH(A304,'Fiche Lot'!A:A,0)),"")</f>
        <v>#ERROR!</v>
      </c>
      <c r="R304" s="246" t="str">
        <f>IFERROR(INDEX('Fiche Lot'!M:M,MATCH(A304,'Fiche Lot'!A:A,0)),"")</f>
        <v>#ERROR!</v>
      </c>
      <c r="S304" s="246" t="str">
        <f>IFERROR(INDEX('Fiche Lot'!G:G,MATCH(A304,'Fiche Lot'!A:A,0)),"")</f>
        <v>#ERROR!</v>
      </c>
      <c r="T304" s="246"/>
      <c r="U304" s="251"/>
    </row>
    <row r="307" ht="16.5" customHeight="1">
      <c r="A307" s="18" t="s">
        <v>712</v>
      </c>
    </row>
    <row r="308" ht="16.5" customHeight="1">
      <c r="A308" s="286" t="s">
        <v>713</v>
      </c>
      <c r="B308" s="16"/>
      <c r="C308" s="17"/>
      <c r="D308" s="287">
        <f>COUNTA(A5:A304)</f>
        <v>2</v>
      </c>
    </row>
    <row r="309" ht="16.5" customHeight="1">
      <c r="A309" s="286" t="s">
        <v>714</v>
      </c>
      <c r="B309" s="16"/>
      <c r="C309" s="17"/>
      <c r="D309" s="287" t="str">
        <f>SUM(G5:G304)</f>
        <v>#ERROR!</v>
      </c>
    </row>
    <row r="310" ht="16.5" customHeight="1">
      <c r="A310" s="286" t="s">
        <v>715</v>
      </c>
      <c r="B310" s="16"/>
      <c r="C310" s="17"/>
      <c r="D310" s="287">
        <f>SUM(H5:H304)</f>
        <v>0</v>
      </c>
    </row>
    <row r="311" ht="16.5" customHeight="1">
      <c r="A311" s="286" t="s">
        <v>716</v>
      </c>
      <c r="B311" s="16"/>
      <c r="C311" s="17"/>
      <c r="D311" s="288" t="str">
        <f>IFERROR(SUM(I5:I304)/SUM(G5:G304),0)</f>
        <v>#ERROR!</v>
      </c>
    </row>
    <row r="312" ht="16.5" customHeight="1">
      <c r="A312" s="286" t="s">
        <v>717</v>
      </c>
      <c r="B312" s="16"/>
      <c r="C312" s="17"/>
      <c r="D312" s="289">
        <f>SUM(K5:K304)</f>
        <v>0</v>
      </c>
    </row>
    <row r="313" ht="16.5" customHeight="1">
      <c r="A313" s="286" t="s">
        <v>718</v>
      </c>
      <c r="B313" s="16"/>
      <c r="C313" s="17"/>
      <c r="D313" s="288" t="str">
        <f>IFERROR(AVERAGEIF(O5:O304,"&lt;&gt;"),0)</f>
        <v>#ERROR!</v>
      </c>
    </row>
  </sheetData>
  <mergeCells count="10">
    <mergeCell ref="A311:C311"/>
    <mergeCell ref="A312:C312"/>
    <mergeCell ref="A313:C313"/>
    <mergeCell ref="A1:U1"/>
    <mergeCell ref="A2:U2"/>
    <mergeCell ref="A3:U3"/>
    <mergeCell ref="A307:H307"/>
    <mergeCell ref="A308:C308"/>
    <mergeCell ref="A309:C309"/>
    <mergeCell ref="A310:C310"/>
  </mergeCells>
  <conditionalFormatting sqref="R5:R304">
    <cfRule type="cellIs" dxfId="2" priority="1" stopIfTrue="1" operator="equal">
      <formula>"Rupture"</formula>
    </cfRule>
  </conditionalFormatting>
  <conditionalFormatting sqref="R5:R304">
    <cfRule type="cellIs" dxfId="2" priority="2" stopIfTrue="1" operator="equal">
      <formula>"NC"</formula>
    </cfRule>
  </conditionalFormatting>
  <conditionalFormatting sqref="R5:R304">
    <cfRule type="cellIs" dxfId="2" priority="3" stopIfTrue="1" operator="equal">
      <formula>"Expire"</formula>
    </cfRule>
  </conditionalFormatting>
  <conditionalFormatting sqref="R5:R304">
    <cfRule type="cellIs" dxfId="2" priority="4" stopIfTrue="1" operator="equal">
      <formula>"URGENT"</formula>
    </cfRule>
  </conditionalFormatting>
  <conditionalFormatting sqref="R5:R304">
    <cfRule type="cellIs" dxfId="2" priority="5" stopIfTrue="1" operator="equal">
      <formula>"Bloque"</formula>
    </cfRule>
  </conditionalFormatting>
  <conditionalFormatting sqref="R5:R304">
    <cfRule type="cellIs" dxfId="3" priority="6" stopIfTrue="1" operator="equal">
      <formula>"Proche"</formula>
    </cfRule>
  </conditionalFormatting>
  <conditionalFormatting sqref="R5:R304">
    <cfRule type="cellIs" dxfId="3" priority="7" stopIfTrue="1" operator="equal">
      <formula>"A PRODUIRE"</formula>
    </cfRule>
  </conditionalFormatting>
  <conditionalFormatting sqref="R5:R304">
    <cfRule type="cellIs" dxfId="3" priority="8" stopIfTrue="1" operator="equal">
      <formula>"Sous-temperature"</formula>
    </cfRule>
  </conditionalFormatting>
  <conditionalFormatting sqref="R5:R304">
    <cfRule type="cellIs" dxfId="4" priority="9" stopIfTrue="1" operator="equal">
      <formula>"OK"</formula>
    </cfRule>
  </conditionalFormatting>
  <conditionalFormatting sqref="R5:R304">
    <cfRule type="cellIs" dxfId="4" priority="10" stopIfTrue="1" operator="equal">
      <formula>"Valide"</formula>
    </cfRule>
  </conditionalFormatting>
  <conditionalFormatting sqref="R5:R304">
    <cfRule type="cellIs" dxfId="4" priority="11" stopIfTrue="1" operator="equal">
      <formula>"Termine"</formula>
    </cfRule>
  </conditionalFormatting>
  <conditionalFormatting sqref="R5:R304">
    <cfRule type="cellIs" dxfId="4" priority="12" stopIfTrue="1" operator="equal">
      <formula>"Actif"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449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0"/>
    <col customWidth="1" min="2" max="2" width="13.88"/>
    <col customWidth="1" min="3" max="3" width="16.38"/>
    <col customWidth="1" min="4" max="4" width="22.63"/>
    <col customWidth="1" min="5" max="5" width="25.13"/>
    <col customWidth="1" min="6" max="6" width="16.38"/>
    <col customWidth="1" min="7" max="7" width="14.5"/>
    <col customWidth="1" min="8" max="8" width="8.88"/>
    <col customWidth="1" min="9" max="9" width="13.88"/>
    <col customWidth="1" min="10" max="10" width="10.13"/>
    <col customWidth="1" min="11" max="11" width="13.88"/>
    <col customWidth="1" min="12" max="12" width="11.38"/>
    <col customWidth="1" min="13" max="13" width="13.88"/>
    <col customWidth="1" min="14" max="14" width="22.63"/>
  </cols>
  <sheetData>
    <row r="1" ht="25.5" customHeight="1">
      <c r="A1" s="30" t="s">
        <v>719</v>
      </c>
    </row>
    <row r="2" ht="25.5" customHeight="1">
      <c r="A2" s="182" t="s">
        <v>720</v>
      </c>
    </row>
    <row r="3">
      <c r="A3" s="142" t="s">
        <v>721</v>
      </c>
    </row>
    <row r="4" ht="21.0" customHeight="1">
      <c r="A4" s="31" t="s">
        <v>73</v>
      </c>
      <c r="B4" s="31" t="s">
        <v>722</v>
      </c>
      <c r="C4" s="31" t="s">
        <v>93</v>
      </c>
      <c r="D4" s="31" t="s">
        <v>76</v>
      </c>
      <c r="E4" s="31" t="s">
        <v>64</v>
      </c>
      <c r="F4" s="31" t="s">
        <v>77</v>
      </c>
      <c r="G4" s="31" t="s">
        <v>653</v>
      </c>
      <c r="H4" s="31" t="s">
        <v>79</v>
      </c>
      <c r="I4" s="31" t="s">
        <v>723</v>
      </c>
      <c r="J4" s="31" t="s">
        <v>81</v>
      </c>
      <c r="K4" s="31" t="s">
        <v>656</v>
      </c>
      <c r="L4" s="31" t="s">
        <v>83</v>
      </c>
      <c r="M4" s="31" t="s">
        <v>84</v>
      </c>
      <c r="N4" s="31" t="s">
        <v>61</v>
      </c>
    </row>
    <row r="5">
      <c r="A5" s="290">
        <v>46107.04166666667</v>
      </c>
      <c r="B5" s="217"/>
      <c r="C5" s="216" t="s">
        <v>724</v>
      </c>
      <c r="D5" s="216" t="s">
        <v>725</v>
      </c>
      <c r="E5" s="216" t="s">
        <v>726</v>
      </c>
      <c r="F5" s="217" t="str">
        <f>IFERROR(INDEX(Recettes!C:C,MATCH(E5,Recettes!B:B,0)),"")</f>
        <v>#ERROR!</v>
      </c>
      <c r="G5" s="216" t="s">
        <v>439</v>
      </c>
      <c r="H5" s="221">
        <v>1.0</v>
      </c>
      <c r="I5" s="291">
        <v>12.5</v>
      </c>
      <c r="J5" s="292">
        <v>0.0</v>
      </c>
      <c r="K5" s="291">
        <v>12.5</v>
      </c>
      <c r="L5" s="279" t="str">
        <f>IFERROR(K5*(INDEX(Config!B:B,MATCH("TVA "&amp;F5,Config!A:A,0))-1),"")</f>
        <v>#ERROR!</v>
      </c>
      <c r="M5" s="279" t="str">
        <f>IFERROR(K5+L5,"")</f>
        <v>#ERROR!</v>
      </c>
      <c r="N5" s="223"/>
    </row>
    <row r="6">
      <c r="A6" s="293">
        <v>46108.04166666667</v>
      </c>
      <c r="B6" s="227"/>
      <c r="C6" s="226" t="s">
        <v>727</v>
      </c>
      <c r="D6" s="226" t="s">
        <v>728</v>
      </c>
      <c r="E6" s="226" t="s">
        <v>729</v>
      </c>
      <c r="F6" s="227" t="str">
        <f>IFERROR(INDEX(Recettes!C:C,MATCH(E6,Recettes!B:B,0)),"")</f>
        <v>#ERROR!</v>
      </c>
      <c r="G6" s="226" t="s">
        <v>439</v>
      </c>
      <c r="H6" s="231">
        <v>2.0</v>
      </c>
      <c r="I6" s="294">
        <v>125.0</v>
      </c>
      <c r="J6" s="295">
        <v>0.0</v>
      </c>
      <c r="K6" s="294">
        <v>250.0</v>
      </c>
      <c r="L6" s="281" t="str">
        <f>IFERROR(K6*(INDEX(Config!B:B,MATCH("TVA "&amp;F6,Config!A:A,0))-1),"")</f>
        <v>#ERROR!</v>
      </c>
      <c r="M6" s="281" t="str">
        <f>IFERROR(K6+L6,"")</f>
        <v>#ERROR!</v>
      </c>
      <c r="N6" s="233"/>
    </row>
    <row r="7">
      <c r="A7" s="296">
        <v>46111.08333333333</v>
      </c>
      <c r="B7" s="234" t="s">
        <v>730</v>
      </c>
      <c r="C7" s="234" t="s">
        <v>731</v>
      </c>
      <c r="D7" s="234" t="s">
        <v>732</v>
      </c>
      <c r="E7" s="234" t="s">
        <v>474</v>
      </c>
      <c r="F7" s="235" t="str">
        <f>IFERROR(INDEX(Recettes!C:C,MATCH(E7,Recettes!B:B,0)),"")</f>
        <v>#ERROR!</v>
      </c>
      <c r="G7" s="234" t="s">
        <v>456</v>
      </c>
      <c r="H7" s="238">
        <v>2.0</v>
      </c>
      <c r="I7" s="297">
        <v>5.9</v>
      </c>
      <c r="J7" s="298">
        <v>0.0</v>
      </c>
      <c r="K7" s="297">
        <v>11.8</v>
      </c>
      <c r="L7" s="283" t="str">
        <f>IFERROR(K7*(INDEX(Config!B:B,MATCH("TVA "&amp;F7,Config!A:A,0))-1),"")</f>
        <v>#ERROR!</v>
      </c>
      <c r="M7" s="283" t="str">
        <f>IFERROR(K7+L7,"")</f>
        <v>#ERROR!</v>
      </c>
      <c r="N7" s="240"/>
    </row>
    <row r="8">
      <c r="A8" s="293">
        <v>46112.08333333333</v>
      </c>
      <c r="B8" s="226" t="s">
        <v>733</v>
      </c>
      <c r="C8" s="226" t="s">
        <v>724</v>
      </c>
      <c r="D8" s="226" t="s">
        <v>734</v>
      </c>
      <c r="E8" s="226" t="s">
        <v>437</v>
      </c>
      <c r="F8" s="227" t="str">
        <f>IFERROR(INDEX(Recettes!C:C,MATCH(E8,Recettes!B:B,0)),"")</f>
        <v>#ERROR!</v>
      </c>
      <c r="G8" s="226" t="s">
        <v>598</v>
      </c>
      <c r="H8" s="231">
        <v>1.0</v>
      </c>
      <c r="I8" s="294">
        <v>3.3175355450236967</v>
      </c>
      <c r="J8" s="295">
        <v>0.0</v>
      </c>
      <c r="K8" s="294">
        <v>3.3175355450236967</v>
      </c>
      <c r="L8" s="281" t="str">
        <f>IFERROR(K8*(INDEX(Config!B:B,MATCH("TVA "&amp;F8,Config!A:A,0))-1),"")</f>
        <v>#ERROR!</v>
      </c>
      <c r="M8" s="281" t="str">
        <f>IFERROR(K8+L8,"")</f>
        <v>#ERROR!</v>
      </c>
      <c r="N8" s="299" t="s">
        <v>735</v>
      </c>
    </row>
    <row r="9">
      <c r="A9" s="296">
        <v>46112.08333333333</v>
      </c>
      <c r="B9" s="234" t="s">
        <v>736</v>
      </c>
      <c r="C9" s="234" t="s">
        <v>724</v>
      </c>
      <c r="D9" s="234" t="s">
        <v>734</v>
      </c>
      <c r="E9" s="234" t="s">
        <v>443</v>
      </c>
      <c r="F9" s="235" t="str">
        <f>IFERROR(INDEX(Recettes!C:C,MATCH(E9,Recettes!B:B,0)),"")</f>
        <v>#ERROR!</v>
      </c>
      <c r="G9" s="234" t="s">
        <v>448</v>
      </c>
      <c r="H9" s="238">
        <v>1.0</v>
      </c>
      <c r="I9" s="297">
        <v>7.109004739336493</v>
      </c>
      <c r="J9" s="298">
        <v>0.0</v>
      </c>
      <c r="K9" s="297">
        <v>7.109004739336493</v>
      </c>
      <c r="L9" s="283" t="str">
        <f>IFERROR(K9*(INDEX(Config!B:B,MATCH("TVA "&amp;F9,Config!A:A,0))-1),"")</f>
        <v>#ERROR!</v>
      </c>
      <c r="M9" s="283" t="str">
        <f>IFERROR(K9+L9,"")</f>
        <v>#ERROR!</v>
      </c>
      <c r="N9" s="300" t="s">
        <v>735</v>
      </c>
    </row>
    <row r="10">
      <c r="A10" s="293">
        <v>46112.08333333333</v>
      </c>
      <c r="B10" s="226" t="s">
        <v>737</v>
      </c>
      <c r="C10" s="226" t="s">
        <v>724</v>
      </c>
      <c r="D10" s="226" t="s">
        <v>734</v>
      </c>
      <c r="E10" s="226" t="s">
        <v>443</v>
      </c>
      <c r="F10" s="227" t="str">
        <f>IFERROR(INDEX(Recettes!C:C,MATCH(E10,Recettes!B:B,0)),"")</f>
        <v>#ERROR!</v>
      </c>
      <c r="G10" s="226" t="s">
        <v>599</v>
      </c>
      <c r="H10" s="231">
        <v>1.0</v>
      </c>
      <c r="I10" s="294">
        <v>4.644549763033176</v>
      </c>
      <c r="J10" s="295">
        <v>0.0</v>
      </c>
      <c r="K10" s="294">
        <v>4.644549763033176</v>
      </c>
      <c r="L10" s="281" t="str">
        <f>IFERROR(K10*(INDEX(Config!B:B,MATCH("TVA "&amp;F10,Config!A:A,0))-1),"")</f>
        <v>#ERROR!</v>
      </c>
      <c r="M10" s="281" t="str">
        <f>IFERROR(K10+L10,"")</f>
        <v>#ERROR!</v>
      </c>
      <c r="N10" s="299" t="s">
        <v>735</v>
      </c>
    </row>
    <row r="11">
      <c r="A11" s="296">
        <v>46112.08333333333</v>
      </c>
      <c r="B11" s="234" t="s">
        <v>738</v>
      </c>
      <c r="C11" s="234" t="s">
        <v>724</v>
      </c>
      <c r="D11" s="234" t="s">
        <v>734</v>
      </c>
      <c r="E11" s="234" t="s">
        <v>446</v>
      </c>
      <c r="F11" s="235" t="str">
        <f>IFERROR(INDEX(Recettes!C:C,MATCH(E11,Recettes!B:B,0)),"")</f>
        <v>#ERROR!</v>
      </c>
      <c r="G11" s="234" t="s">
        <v>452</v>
      </c>
      <c r="H11" s="238">
        <v>1.0</v>
      </c>
      <c r="I11" s="297">
        <v>12.227488151658768</v>
      </c>
      <c r="J11" s="298">
        <v>0.0</v>
      </c>
      <c r="K11" s="297">
        <v>12.227488151658768</v>
      </c>
      <c r="L11" s="283" t="str">
        <f>IFERROR(K11*(INDEX(Config!B:B,MATCH("TVA "&amp;F11,Config!A:A,0))-1),"")</f>
        <v>#ERROR!</v>
      </c>
      <c r="M11" s="283" t="str">
        <f>IFERROR(K11+L11,"")</f>
        <v>#ERROR!</v>
      </c>
      <c r="N11" s="300" t="s">
        <v>735</v>
      </c>
    </row>
    <row r="12">
      <c r="A12" s="293">
        <v>46113.08333333333</v>
      </c>
      <c r="B12" s="226" t="s">
        <v>739</v>
      </c>
      <c r="C12" s="226" t="s">
        <v>731</v>
      </c>
      <c r="D12" s="226" t="s">
        <v>732</v>
      </c>
      <c r="E12" s="226" t="s">
        <v>474</v>
      </c>
      <c r="F12" s="227" t="str">
        <f>IFERROR(INDEX(Recettes!C:C,MATCH(E12,Recettes!B:B,0)),"")</f>
        <v>#ERROR!</v>
      </c>
      <c r="G12" s="226" t="s">
        <v>448</v>
      </c>
      <c r="H12" s="231">
        <v>4.0</v>
      </c>
      <c r="I12" s="294">
        <v>7.5</v>
      </c>
      <c r="J12" s="295">
        <v>0.0</v>
      </c>
      <c r="K12" s="294">
        <v>30.0</v>
      </c>
      <c r="L12" s="281" t="str">
        <f>IFERROR(K12*(INDEX(Config!B:B,MATCH("TVA "&amp;SUBSTITUTE(SUBSTITUTE(SUBSTITUTE(SUBSTITUTE(F12,"â","a"),"é","e"),"è","e"),"î","i"),SUBSTITUTE(SUBSTITUTE(SUBSTITUTE(SUBSTITUTE(Config!A:A,"â","a"),"é","e"),"è","e"),"î","i"),0))-1),"")</f>
        <v>#ERROR!</v>
      </c>
      <c r="M12" s="281" t="str">
        <f>IFERROR(K12+L12,"")</f>
        <v>#ERROR!</v>
      </c>
      <c r="N12" s="233"/>
    </row>
    <row r="13">
      <c r="A13" s="296">
        <v>46113.08333333333</v>
      </c>
      <c r="B13" s="234" t="s">
        <v>740</v>
      </c>
      <c r="C13" s="234" t="s">
        <v>724</v>
      </c>
      <c r="D13" s="234" t="s">
        <v>741</v>
      </c>
      <c r="E13" s="234" t="s">
        <v>437</v>
      </c>
      <c r="F13" s="235" t="str">
        <f>IFERROR(INDEX(Recettes!C:C,MATCH(E13,Recettes!B:B,0)),"")</f>
        <v>#ERROR!</v>
      </c>
      <c r="G13" s="234" t="s">
        <v>489</v>
      </c>
      <c r="H13" s="238">
        <v>1.0</v>
      </c>
      <c r="I13" s="297">
        <v>16.587677725118485</v>
      </c>
      <c r="J13" s="298">
        <v>0.0</v>
      </c>
      <c r="K13" s="297">
        <v>16.587677725118485</v>
      </c>
      <c r="L13" s="283" t="str">
        <f>IFERROR(K13*(INDEX(Config!B:B,MATCH("TVA "&amp;SUBSTITUTE(SUBSTITUTE(SUBSTITUTE(SUBSTITUTE(F13,"â","a"),"é","e"),"è","e"),"î","i"),SUBSTITUTE(SUBSTITUTE(SUBSTITUTE(SUBSTITUTE(Config!A:A,"â","a"),"é","e"),"è","e"),"î","i"),0))-1),"")</f>
        <v>#ERROR!</v>
      </c>
      <c r="M13" s="283" t="str">
        <f>IFERROR(K13+L13,"")</f>
        <v>#ERROR!</v>
      </c>
      <c r="N13" s="300" t="s">
        <v>742</v>
      </c>
    </row>
    <row r="14">
      <c r="A14" s="293">
        <v>46113.08333333333</v>
      </c>
      <c r="B14" s="226" t="s">
        <v>743</v>
      </c>
      <c r="C14" s="226" t="s">
        <v>724</v>
      </c>
      <c r="D14" s="226" t="s">
        <v>741</v>
      </c>
      <c r="E14" s="226" t="s">
        <v>443</v>
      </c>
      <c r="F14" s="227" t="str">
        <f>IFERROR(INDEX(Recettes!C:C,MATCH(E14,Recettes!B:B,0)),"")</f>
        <v>#ERROR!</v>
      </c>
      <c r="G14" s="226" t="s">
        <v>456</v>
      </c>
      <c r="H14" s="231">
        <v>1.0</v>
      </c>
      <c r="I14" s="294">
        <v>5.592417061611375</v>
      </c>
      <c r="J14" s="295">
        <v>0.0</v>
      </c>
      <c r="K14" s="294">
        <v>5.592417061611375</v>
      </c>
      <c r="L14" s="281" t="str">
        <f>IFERROR(K14*(INDEX(Config!B:B,MATCH("TVA "&amp;SUBSTITUTE(SUBSTITUTE(SUBSTITUTE(SUBSTITUTE(F14,"â","a"),"é","e"),"è","e"),"î","i"),SUBSTITUTE(SUBSTITUTE(SUBSTITUTE(SUBSTITUTE(Config!A:A,"â","a"),"é","e"),"è","e"),"î","i"),0))-1),"")</f>
        <v>#ERROR!</v>
      </c>
      <c r="M14" s="281" t="str">
        <f>IFERROR(K14+L14,"")</f>
        <v>#ERROR!</v>
      </c>
      <c r="N14" s="299" t="s">
        <v>742</v>
      </c>
    </row>
    <row r="15">
      <c r="A15" s="296">
        <v>46113.08333333333</v>
      </c>
      <c r="B15" s="234" t="s">
        <v>744</v>
      </c>
      <c r="C15" s="234" t="s">
        <v>724</v>
      </c>
      <c r="D15" s="234" t="s">
        <v>741</v>
      </c>
      <c r="E15" s="234" t="s">
        <v>437</v>
      </c>
      <c r="F15" s="235" t="str">
        <f>IFERROR(INDEX(Recettes!C:C,MATCH(E15,Recettes!B:B,0)),"")</f>
        <v>#ERROR!</v>
      </c>
      <c r="G15" s="234" t="s">
        <v>598</v>
      </c>
      <c r="H15" s="238">
        <v>1.0</v>
      </c>
      <c r="I15" s="297">
        <v>3.3175355450236967</v>
      </c>
      <c r="J15" s="298">
        <v>0.0</v>
      </c>
      <c r="K15" s="297">
        <v>3.3175355450236967</v>
      </c>
      <c r="L15" s="283" t="str">
        <f>IFERROR(K15*(INDEX(Config!B:B,MATCH("TVA "&amp;SUBSTITUTE(SUBSTITUTE(SUBSTITUTE(SUBSTITUTE(F15,"â","a"),"é","e"),"è","e"),"î","i"),SUBSTITUTE(SUBSTITUTE(SUBSTITUTE(SUBSTITUTE(Config!A:A,"â","a"),"é","e"),"è","e"),"î","i"),0))-1),"")</f>
        <v>#ERROR!</v>
      </c>
      <c r="M15" s="283" t="str">
        <f>IFERROR(K15+L15,"")</f>
        <v>#ERROR!</v>
      </c>
      <c r="N15" s="300" t="s">
        <v>742</v>
      </c>
    </row>
    <row r="16">
      <c r="A16" s="293">
        <v>46113.08333333333</v>
      </c>
      <c r="B16" s="226" t="s">
        <v>745</v>
      </c>
      <c r="C16" s="226" t="s">
        <v>724</v>
      </c>
      <c r="D16" s="226" t="s">
        <v>741</v>
      </c>
      <c r="E16" s="226" t="s">
        <v>443</v>
      </c>
      <c r="F16" s="227" t="str">
        <f>IFERROR(INDEX(Recettes!C:C,MATCH(E16,Recettes!B:B,0)),"")</f>
        <v>#ERROR!</v>
      </c>
      <c r="G16" s="226" t="s">
        <v>452</v>
      </c>
      <c r="H16" s="231">
        <v>1.0</v>
      </c>
      <c r="I16" s="294">
        <v>13.175355450236967</v>
      </c>
      <c r="J16" s="295">
        <v>0.0</v>
      </c>
      <c r="K16" s="294">
        <v>13.175355450236967</v>
      </c>
      <c r="L16" s="281" t="str">
        <f>IFERROR(K16*(INDEX(Config!B:B,MATCH("TVA "&amp;SUBSTITUTE(SUBSTITUTE(SUBSTITUTE(SUBSTITUTE(F16,"â","a"),"é","e"),"è","e"),"î","i"),SUBSTITUTE(SUBSTITUTE(SUBSTITUTE(SUBSTITUTE(Config!A:A,"â","a"),"é","e"),"è","e"),"î","i"),0))-1),"")</f>
        <v>#ERROR!</v>
      </c>
      <c r="M16" s="281" t="str">
        <f>IFERROR(K16+L16,"")</f>
        <v>#ERROR!</v>
      </c>
      <c r="N16" s="299" t="s">
        <v>742</v>
      </c>
    </row>
    <row r="17">
      <c r="A17" s="296">
        <v>46113.08333333333</v>
      </c>
      <c r="B17" s="234" t="s">
        <v>746</v>
      </c>
      <c r="C17" s="234" t="s">
        <v>724</v>
      </c>
      <c r="D17" s="234" t="s">
        <v>741</v>
      </c>
      <c r="E17" s="234" t="s">
        <v>443</v>
      </c>
      <c r="F17" s="235" t="str">
        <f>IFERROR(INDEX(Recettes!C:C,MATCH(E17,Recettes!B:B,0)),"")</f>
        <v>#ERROR!</v>
      </c>
      <c r="G17" s="234" t="s">
        <v>598</v>
      </c>
      <c r="H17" s="238">
        <v>1.0</v>
      </c>
      <c r="I17" s="297">
        <v>3.3175355450236967</v>
      </c>
      <c r="J17" s="298">
        <v>0.0</v>
      </c>
      <c r="K17" s="297">
        <v>3.3175355450236967</v>
      </c>
      <c r="L17" s="283" t="str">
        <f>IFERROR(K17*(INDEX(Config!B:B,MATCH("TVA "&amp;SUBSTITUTE(SUBSTITUTE(SUBSTITUTE(SUBSTITUTE(F17,"â","a"),"é","e"),"è","e"),"î","i"),SUBSTITUTE(SUBSTITUTE(SUBSTITUTE(SUBSTITUTE(Config!A:A,"â","a"),"é","e"),"è","e"),"î","i"),0))-1),"")</f>
        <v>#ERROR!</v>
      </c>
      <c r="M17" s="283" t="str">
        <f>IFERROR(K17+L17,"")</f>
        <v>#ERROR!</v>
      </c>
      <c r="N17" s="300" t="s">
        <v>742</v>
      </c>
    </row>
    <row r="18">
      <c r="A18" s="293">
        <v>46113.08333333333</v>
      </c>
      <c r="B18" s="226" t="s">
        <v>747</v>
      </c>
      <c r="C18" s="226" t="s">
        <v>724</v>
      </c>
      <c r="D18" s="226" t="s">
        <v>741</v>
      </c>
      <c r="E18" s="226" t="s">
        <v>443</v>
      </c>
      <c r="F18" s="227" t="str">
        <f>IFERROR(INDEX(Recettes!C:C,MATCH(E18,Recettes!B:B,0)),"")</f>
        <v>#ERROR!</v>
      </c>
      <c r="G18" s="226" t="s">
        <v>489</v>
      </c>
      <c r="H18" s="231">
        <v>1.0</v>
      </c>
      <c r="I18" s="294">
        <v>16.966824644549764</v>
      </c>
      <c r="J18" s="295">
        <v>0.0</v>
      </c>
      <c r="K18" s="294">
        <v>16.966824644549764</v>
      </c>
      <c r="L18" s="281" t="str">
        <f>IFERROR(K18*(INDEX(Config!B:B,MATCH("TVA "&amp;SUBSTITUTE(SUBSTITUTE(SUBSTITUTE(SUBSTITUTE(F18,"â","a"),"é","e"),"è","e"),"î","i"),SUBSTITUTE(SUBSTITUTE(SUBSTITUTE(SUBSTITUTE(Config!A:A,"â","a"),"é","e"),"è","e"),"î","i"),0))-1),"")</f>
        <v>#ERROR!</v>
      </c>
      <c r="M18" s="281" t="str">
        <f>IFERROR(K18+L18,"")</f>
        <v>#ERROR!</v>
      </c>
      <c r="N18" s="299" t="s">
        <v>742</v>
      </c>
    </row>
    <row r="19">
      <c r="A19" s="296">
        <v>46113.08333333333</v>
      </c>
      <c r="B19" s="234" t="s">
        <v>748</v>
      </c>
      <c r="C19" s="234" t="s">
        <v>724</v>
      </c>
      <c r="D19" s="234" t="s">
        <v>741</v>
      </c>
      <c r="E19" s="234" t="s">
        <v>458</v>
      </c>
      <c r="F19" s="235" t="str">
        <f>IFERROR(INDEX(Recettes!C:C,MATCH(E19,Recettes!B:B,0)),"")</f>
        <v>#ERROR!</v>
      </c>
      <c r="G19" s="234" t="s">
        <v>439</v>
      </c>
      <c r="H19" s="238">
        <v>1.0</v>
      </c>
      <c r="I19" s="297">
        <v>9.383886255924171</v>
      </c>
      <c r="J19" s="298">
        <v>0.0</v>
      </c>
      <c r="K19" s="297">
        <v>9.383886255924171</v>
      </c>
      <c r="L19" s="283" t="str">
        <f>IFERROR(K19*(INDEX(Config!B:B,MATCH("TVA "&amp;SUBSTITUTE(SUBSTITUTE(SUBSTITUTE(SUBSTITUTE(F19,"â","a"),"é","e"),"è","e"),"î","i"),SUBSTITUTE(SUBSTITUTE(SUBSTITUTE(SUBSTITUTE(Config!A:A,"â","a"),"é","e"),"è","e"),"î","i"),0))-1),"")</f>
        <v>#ERROR!</v>
      </c>
      <c r="M19" s="283" t="str">
        <f>IFERROR(K19+L19,"")</f>
        <v>#ERROR!</v>
      </c>
      <c r="N19" s="300" t="s">
        <v>742</v>
      </c>
    </row>
    <row r="20">
      <c r="A20" s="293">
        <v>46113.08333333333</v>
      </c>
      <c r="B20" s="226" t="s">
        <v>749</v>
      </c>
      <c r="C20" s="226" t="s">
        <v>724</v>
      </c>
      <c r="D20" s="226" t="s">
        <v>741</v>
      </c>
      <c r="E20" s="226" t="s">
        <v>468</v>
      </c>
      <c r="F20" s="227" t="str">
        <f>IFERROR(INDEX(Recettes!C:C,MATCH(E20,Recettes!B:B,0)),"")</f>
        <v>#ERROR!</v>
      </c>
      <c r="G20" s="226" t="s">
        <v>452</v>
      </c>
      <c r="H20" s="231">
        <v>1.0</v>
      </c>
      <c r="I20" s="294">
        <v>13.175355450236967</v>
      </c>
      <c r="J20" s="295">
        <v>0.0</v>
      </c>
      <c r="K20" s="294">
        <v>13.175355450236967</v>
      </c>
      <c r="L20" s="281" t="str">
        <f>IFERROR(K20*(INDEX(Config!B:B,MATCH("TVA "&amp;SUBSTITUTE(SUBSTITUTE(SUBSTITUTE(SUBSTITUTE(F20,"â","a"),"é","e"),"è","e"),"î","i"),SUBSTITUTE(SUBSTITUTE(SUBSTITUTE(SUBSTITUTE(Config!A:A,"â","a"),"é","e"),"è","e"),"î","i"),0))-1),"")</f>
        <v>#ERROR!</v>
      </c>
      <c r="M20" s="281" t="str">
        <f>IFERROR(K20+L20,"")</f>
        <v>#ERROR!</v>
      </c>
      <c r="N20" s="299" t="s">
        <v>742</v>
      </c>
    </row>
    <row r="21">
      <c r="A21" s="296">
        <v>46113.08333333333</v>
      </c>
      <c r="B21" s="234" t="s">
        <v>750</v>
      </c>
      <c r="C21" s="234" t="s">
        <v>724</v>
      </c>
      <c r="D21" s="234" t="s">
        <v>741</v>
      </c>
      <c r="E21" s="234" t="s">
        <v>468</v>
      </c>
      <c r="F21" s="235" t="str">
        <f>IFERROR(INDEX(Recettes!C:C,MATCH(E21,Recettes!B:B,0)),"")</f>
        <v>#ERROR!</v>
      </c>
      <c r="G21" s="234" t="s">
        <v>597</v>
      </c>
      <c r="H21" s="238">
        <v>1.0</v>
      </c>
      <c r="I21" s="297">
        <v>2.3696682464454977</v>
      </c>
      <c r="J21" s="298">
        <v>0.0</v>
      </c>
      <c r="K21" s="297">
        <v>2.3696682464454977</v>
      </c>
      <c r="L21" s="283" t="str">
        <f>IFERROR(K21*(INDEX(Config!B:B,MATCH("TVA "&amp;SUBSTITUTE(SUBSTITUTE(SUBSTITUTE(SUBSTITUTE(F21,"â","a"),"é","e"),"è","e"),"î","i"),SUBSTITUTE(SUBSTITUTE(SUBSTITUTE(SUBSTITUTE(Config!A:A,"â","a"),"é","e"),"è","e"),"î","i"),0))-1),"")</f>
        <v>#ERROR!</v>
      </c>
      <c r="M21" s="283" t="str">
        <f>IFERROR(K21+L21,"")</f>
        <v>#ERROR!</v>
      </c>
      <c r="N21" s="300" t="s">
        <v>742</v>
      </c>
    </row>
    <row r="22">
      <c r="A22" s="293">
        <v>46113.08333333333</v>
      </c>
      <c r="B22" s="226" t="s">
        <v>751</v>
      </c>
      <c r="C22" s="226" t="s">
        <v>724</v>
      </c>
      <c r="D22" s="226" t="s">
        <v>741</v>
      </c>
      <c r="E22" s="226" t="s">
        <v>478</v>
      </c>
      <c r="F22" s="227" t="str">
        <f>IFERROR(INDEX(Recettes!C:C,MATCH(E22,Recettes!B:B,0)),"")</f>
        <v>#ERROR!</v>
      </c>
      <c r="G22" s="226" t="s">
        <v>489</v>
      </c>
      <c r="H22" s="231">
        <v>1.0</v>
      </c>
      <c r="I22" s="294">
        <v>16.587677725118485</v>
      </c>
      <c r="J22" s="295">
        <v>0.0</v>
      </c>
      <c r="K22" s="294">
        <v>16.587677725118485</v>
      </c>
      <c r="L22" s="281" t="str">
        <f>IFERROR(K22*(INDEX(Config!B:B,MATCH("TVA "&amp;SUBSTITUTE(SUBSTITUTE(SUBSTITUTE(SUBSTITUTE(F22,"â","a"),"é","e"),"è","e"),"î","i"),SUBSTITUTE(SUBSTITUTE(SUBSTITUTE(SUBSTITUTE(Config!A:A,"â","a"),"é","e"),"è","e"),"î","i"),0))-1),"")</f>
        <v>#ERROR!</v>
      </c>
      <c r="M22" s="281" t="str">
        <f>IFERROR(K22+L22,"")</f>
        <v>#ERROR!</v>
      </c>
      <c r="N22" s="299" t="s">
        <v>742</v>
      </c>
    </row>
    <row r="23">
      <c r="A23" s="296">
        <v>46113.08333333333</v>
      </c>
      <c r="B23" s="234" t="s">
        <v>752</v>
      </c>
      <c r="C23" s="234" t="s">
        <v>724</v>
      </c>
      <c r="D23" s="235"/>
      <c r="E23" s="234" t="s">
        <v>480</v>
      </c>
      <c r="F23" s="235" t="str">
        <f>IFERROR(INDEX(Recettes!C:C,MATCH(E23,Recettes!B:B,0)),"")</f>
        <v>#ERROR!</v>
      </c>
      <c r="G23" s="234" t="s">
        <v>448</v>
      </c>
      <c r="H23" s="238">
        <v>100.0</v>
      </c>
      <c r="I23" s="297">
        <v>7.5</v>
      </c>
      <c r="J23" s="298">
        <v>2.0</v>
      </c>
      <c r="K23" s="297">
        <v>735.0</v>
      </c>
      <c r="L23" s="283" t="str">
        <f>IFERROR(K23*(INDEX(Config!B:B,MATCH("TVA "&amp;SUBSTITUTE(SUBSTITUTE(SUBSTITUTE(SUBSTITUTE(F23,"â","a"),"é","e"),"è","e"),"î","i"),SUBSTITUTE(SUBSTITUTE(SUBSTITUTE(SUBSTITUTE(Config!A:A,"â","a"),"é","e"),"è","e"),"î","i"),0))-1),"")</f>
        <v>#ERROR!</v>
      </c>
      <c r="M23" s="283" t="str">
        <f>IFERROR(K23+L23,"")</f>
        <v>#ERROR!</v>
      </c>
      <c r="N23" s="240"/>
    </row>
    <row r="24">
      <c r="A24" s="301"/>
      <c r="B24" s="227"/>
      <c r="C24" s="227"/>
      <c r="D24" s="227"/>
      <c r="E24" s="227"/>
      <c r="F24" s="227" t="str">
        <f>IFERROR(INDEX(Recettes!C:C,MATCH(E24,Recettes!B:B,0)),"")</f>
        <v>#ERROR!</v>
      </c>
      <c r="G24" s="227"/>
      <c r="H24" s="227"/>
      <c r="I24" s="281"/>
      <c r="J24" s="302"/>
      <c r="K24" s="281" t="str">
        <f>IFERROR(H24*I24*(1-J24/100),"")</f>
        <v>#ERROR!</v>
      </c>
      <c r="L24" s="281" t="str">
        <f>IFERROR(K24*(INDEX(Config!B:B,MATCH("TVA "&amp;F24,Config!A:A,0))-1),"")</f>
        <v>#ERROR!</v>
      </c>
      <c r="M24" s="281" t="str">
        <f>IFERROR(K24+L24,"")</f>
        <v>#ERROR!</v>
      </c>
      <c r="N24" s="233"/>
    </row>
    <row r="25">
      <c r="A25" s="303"/>
      <c r="B25" s="235"/>
      <c r="C25" s="235"/>
      <c r="D25" s="235"/>
      <c r="E25" s="235"/>
      <c r="F25" s="235" t="str">
        <f>IFERROR(INDEX(Recettes!C:C,MATCH(E25,Recettes!B:B,0)),"")</f>
        <v>#ERROR!</v>
      </c>
      <c r="G25" s="235"/>
      <c r="H25" s="235"/>
      <c r="I25" s="283"/>
      <c r="J25" s="304"/>
      <c r="K25" s="283" t="str">
        <f>IFERROR(H25*I25*(1-J25/100),"")</f>
        <v>#ERROR!</v>
      </c>
      <c r="L25" s="283" t="str">
        <f>IFERROR(K25*(INDEX(Config!B:B,MATCH("TVA "&amp;F25,Config!A:A,0))-1),"")</f>
        <v>#ERROR!</v>
      </c>
      <c r="M25" s="283" t="str">
        <f>IFERROR(K25+L25,"")</f>
        <v>#ERROR!</v>
      </c>
      <c r="N25" s="240"/>
    </row>
    <row r="26">
      <c r="A26" s="301"/>
      <c r="B26" s="227"/>
      <c r="C26" s="227"/>
      <c r="D26" s="227"/>
      <c r="E26" s="227"/>
      <c r="F26" s="227" t="str">
        <f>IFERROR(INDEX(Recettes!C:C,MATCH(E26,Recettes!B:B,0)),"")</f>
        <v>#ERROR!</v>
      </c>
      <c r="G26" s="227"/>
      <c r="H26" s="227"/>
      <c r="I26" s="281"/>
      <c r="J26" s="302"/>
      <c r="K26" s="281" t="str">
        <f>IFERROR(H26*I26*(1-J26/100),"")</f>
        <v>#ERROR!</v>
      </c>
      <c r="L26" s="281" t="str">
        <f>IFERROR(K26*(INDEX(Config!B:B,MATCH("TVA "&amp;F26,Config!A:A,0))-1),"")</f>
        <v>#ERROR!</v>
      </c>
      <c r="M26" s="281" t="str">
        <f>IFERROR(K26+L26,"")</f>
        <v>#ERROR!</v>
      </c>
      <c r="N26" s="233"/>
    </row>
    <row r="27">
      <c r="A27" s="303"/>
      <c r="B27" s="235"/>
      <c r="C27" s="235"/>
      <c r="D27" s="235"/>
      <c r="E27" s="235"/>
      <c r="F27" s="235" t="str">
        <f>IFERROR(INDEX(Recettes!C:C,MATCH(E27,Recettes!B:B,0)),"")</f>
        <v>#ERROR!</v>
      </c>
      <c r="G27" s="235"/>
      <c r="H27" s="235"/>
      <c r="I27" s="283"/>
      <c r="J27" s="304"/>
      <c r="K27" s="283" t="str">
        <f>IFERROR(H27*I27*(1-J27/100),"")</f>
        <v>#ERROR!</v>
      </c>
      <c r="L27" s="283" t="str">
        <f>IFERROR(K27*(INDEX(Config!B:B,MATCH("TVA "&amp;F27,Config!A:A,0))-1),"")</f>
        <v>#ERROR!</v>
      </c>
      <c r="M27" s="283" t="str">
        <f>IFERROR(K27+L27,"")</f>
        <v>#ERROR!</v>
      </c>
      <c r="N27" s="240"/>
    </row>
    <row r="28">
      <c r="A28" s="301"/>
      <c r="B28" s="227"/>
      <c r="C28" s="227"/>
      <c r="D28" s="227"/>
      <c r="E28" s="227"/>
      <c r="F28" s="227" t="str">
        <f>IFERROR(INDEX(Recettes!C:C,MATCH(E28,Recettes!B:B,0)),"")</f>
        <v>#ERROR!</v>
      </c>
      <c r="G28" s="227"/>
      <c r="H28" s="227"/>
      <c r="I28" s="281"/>
      <c r="J28" s="302"/>
      <c r="K28" s="281" t="str">
        <f>IFERROR(H28*I28*(1-J28/100),"")</f>
        <v>#ERROR!</v>
      </c>
      <c r="L28" s="281" t="str">
        <f>IFERROR(K28*(INDEX(Config!B:B,MATCH("TVA "&amp;F28,Config!A:A,0))-1),"")</f>
        <v>#ERROR!</v>
      </c>
      <c r="M28" s="281" t="str">
        <f>IFERROR(K28+L28,"")</f>
        <v>#ERROR!</v>
      </c>
      <c r="N28" s="233"/>
    </row>
    <row r="29">
      <c r="A29" s="303"/>
      <c r="B29" s="235"/>
      <c r="C29" s="235"/>
      <c r="D29" s="235"/>
      <c r="E29" s="235"/>
      <c r="F29" s="235" t="str">
        <f>IFERROR(INDEX(Recettes!C:C,MATCH(E29,Recettes!B:B,0)),"")</f>
        <v>#ERROR!</v>
      </c>
      <c r="G29" s="235"/>
      <c r="H29" s="235"/>
      <c r="I29" s="283"/>
      <c r="J29" s="304"/>
      <c r="K29" s="283" t="str">
        <f>IFERROR(H29*I29*(1-J29/100),"")</f>
        <v>#ERROR!</v>
      </c>
      <c r="L29" s="283" t="str">
        <f>IFERROR(K29*(INDEX(Config!B:B,MATCH("TVA "&amp;F29,Config!A:A,0))-1),"")</f>
        <v>#ERROR!</v>
      </c>
      <c r="M29" s="283" t="str">
        <f>IFERROR(K29+L29,"")</f>
        <v>#ERROR!</v>
      </c>
      <c r="N29" s="240"/>
    </row>
    <row r="30">
      <c r="A30" s="301"/>
      <c r="B30" s="227"/>
      <c r="C30" s="227"/>
      <c r="D30" s="227"/>
      <c r="E30" s="227"/>
      <c r="F30" s="227" t="str">
        <f>IFERROR(INDEX(Recettes!C:C,MATCH(E30,Recettes!B:B,0)),"")</f>
        <v>#ERROR!</v>
      </c>
      <c r="G30" s="227"/>
      <c r="H30" s="227"/>
      <c r="I30" s="281"/>
      <c r="J30" s="302"/>
      <c r="K30" s="281" t="str">
        <f>IFERROR(H30*I30*(1-J30/100),"")</f>
        <v>#ERROR!</v>
      </c>
      <c r="L30" s="281" t="str">
        <f>IFERROR(K30*(INDEX(Config!B:B,MATCH("TVA "&amp;F30,Config!A:A,0))-1),"")</f>
        <v>#ERROR!</v>
      </c>
      <c r="M30" s="281" t="str">
        <f>IFERROR(K30+L30,"")</f>
        <v>#ERROR!</v>
      </c>
      <c r="N30" s="233"/>
    </row>
    <row r="31">
      <c r="A31" s="303"/>
      <c r="B31" s="235"/>
      <c r="C31" s="235"/>
      <c r="D31" s="235"/>
      <c r="E31" s="235"/>
      <c r="F31" s="235" t="str">
        <f>IFERROR(INDEX(Recettes!C:C,MATCH(E31,Recettes!B:B,0)),"")</f>
        <v>#ERROR!</v>
      </c>
      <c r="G31" s="235"/>
      <c r="H31" s="235"/>
      <c r="I31" s="283"/>
      <c r="J31" s="304"/>
      <c r="K31" s="283" t="str">
        <f>IFERROR(H31*I31*(1-J31/100),"")</f>
        <v>#ERROR!</v>
      </c>
      <c r="L31" s="283" t="str">
        <f>IFERROR(K31*(INDEX(Config!B:B,MATCH("TVA "&amp;F31,Config!A:A,0))-1),"")</f>
        <v>#ERROR!</v>
      </c>
      <c r="M31" s="283" t="str">
        <f>IFERROR(K31+L31,"")</f>
        <v>#ERROR!</v>
      </c>
      <c r="N31" s="240"/>
    </row>
    <row r="32">
      <c r="A32" s="301"/>
      <c r="B32" s="227"/>
      <c r="C32" s="227"/>
      <c r="D32" s="227"/>
      <c r="E32" s="227"/>
      <c r="F32" s="227" t="str">
        <f>IFERROR(INDEX(Recettes!C:C,MATCH(E32,Recettes!B:B,0)),"")</f>
        <v>#ERROR!</v>
      </c>
      <c r="G32" s="227"/>
      <c r="H32" s="227"/>
      <c r="I32" s="281"/>
      <c r="J32" s="302"/>
      <c r="K32" s="281" t="str">
        <f>IFERROR(H32*I32*(1-J32/100),"")</f>
        <v>#ERROR!</v>
      </c>
      <c r="L32" s="281" t="str">
        <f>IFERROR(K32*(INDEX(Config!B:B,MATCH("TVA "&amp;F32,Config!A:A,0))-1),"")</f>
        <v>#ERROR!</v>
      </c>
      <c r="M32" s="281" t="str">
        <f>IFERROR(K32+L32,"")</f>
        <v>#ERROR!</v>
      </c>
      <c r="N32" s="233"/>
    </row>
    <row r="33">
      <c r="A33" s="303"/>
      <c r="B33" s="235"/>
      <c r="C33" s="235"/>
      <c r="D33" s="235"/>
      <c r="E33" s="235"/>
      <c r="F33" s="235" t="str">
        <f>IFERROR(INDEX(Recettes!C:C,MATCH(E33,Recettes!B:B,0)),"")</f>
        <v>#ERROR!</v>
      </c>
      <c r="G33" s="235"/>
      <c r="H33" s="235"/>
      <c r="I33" s="283"/>
      <c r="J33" s="304"/>
      <c r="K33" s="283" t="str">
        <f>IFERROR(H33*I33*(1-J33/100),"")</f>
        <v>#ERROR!</v>
      </c>
      <c r="L33" s="283" t="str">
        <f>IFERROR(K33*(INDEX(Config!B:B,MATCH("TVA "&amp;F33,Config!A:A,0))-1),"")</f>
        <v>#ERROR!</v>
      </c>
      <c r="M33" s="283" t="str">
        <f>IFERROR(K33+L33,"")</f>
        <v>#ERROR!</v>
      </c>
      <c r="N33" s="240"/>
    </row>
    <row r="34">
      <c r="A34" s="301"/>
      <c r="B34" s="227"/>
      <c r="C34" s="227"/>
      <c r="D34" s="227"/>
      <c r="E34" s="227"/>
      <c r="F34" s="227" t="str">
        <f>IFERROR(INDEX(Recettes!C:C,MATCH(E34,Recettes!B:B,0)),"")</f>
        <v>#ERROR!</v>
      </c>
      <c r="G34" s="227"/>
      <c r="H34" s="227"/>
      <c r="I34" s="281"/>
      <c r="J34" s="302"/>
      <c r="K34" s="281" t="str">
        <f>IFERROR(H34*I34*(1-J34/100),"")</f>
        <v>#ERROR!</v>
      </c>
      <c r="L34" s="281" t="str">
        <f>IFERROR(K34*(INDEX(Config!B:B,MATCH("TVA "&amp;F34,Config!A:A,0))-1),"")</f>
        <v>#ERROR!</v>
      </c>
      <c r="M34" s="281" t="str">
        <f>IFERROR(K34+L34,"")</f>
        <v>#ERROR!</v>
      </c>
      <c r="N34" s="233"/>
    </row>
    <row r="35">
      <c r="A35" s="303"/>
      <c r="B35" s="235"/>
      <c r="C35" s="235"/>
      <c r="D35" s="235"/>
      <c r="E35" s="235"/>
      <c r="F35" s="235" t="str">
        <f>IFERROR(INDEX(Recettes!C:C,MATCH(E35,Recettes!B:B,0)),"")</f>
        <v>#ERROR!</v>
      </c>
      <c r="G35" s="235"/>
      <c r="H35" s="235"/>
      <c r="I35" s="283"/>
      <c r="J35" s="304"/>
      <c r="K35" s="283" t="str">
        <f>IFERROR(H35*I35*(1-J35/100),"")</f>
        <v>#ERROR!</v>
      </c>
      <c r="L35" s="283" t="str">
        <f>IFERROR(K35*(INDEX(Config!B:B,MATCH("TVA "&amp;F35,Config!A:A,0))-1),"")</f>
        <v>#ERROR!</v>
      </c>
      <c r="M35" s="283" t="str">
        <f>IFERROR(K35+L35,"")</f>
        <v>#ERROR!</v>
      </c>
      <c r="N35" s="240"/>
    </row>
    <row r="36">
      <c r="A36" s="301"/>
      <c r="B36" s="227"/>
      <c r="C36" s="227"/>
      <c r="D36" s="227"/>
      <c r="E36" s="227"/>
      <c r="F36" s="227" t="str">
        <f>IFERROR(INDEX(Recettes!C:C,MATCH(E36,Recettes!B:B,0)),"")</f>
        <v>#ERROR!</v>
      </c>
      <c r="G36" s="227"/>
      <c r="H36" s="227"/>
      <c r="I36" s="281"/>
      <c r="J36" s="302"/>
      <c r="K36" s="281" t="str">
        <f>IFERROR(H36*I36*(1-J36/100),"")</f>
        <v>#ERROR!</v>
      </c>
      <c r="L36" s="281" t="str">
        <f>IFERROR(K36*(INDEX(Config!B:B,MATCH("TVA "&amp;F36,Config!A:A,0))-1),"")</f>
        <v>#ERROR!</v>
      </c>
      <c r="M36" s="281" t="str">
        <f>IFERROR(K36+L36,"")</f>
        <v>#ERROR!</v>
      </c>
      <c r="N36" s="233"/>
    </row>
    <row r="37">
      <c r="A37" s="303"/>
      <c r="B37" s="235"/>
      <c r="C37" s="235"/>
      <c r="D37" s="235"/>
      <c r="E37" s="235"/>
      <c r="F37" s="235" t="str">
        <f>IFERROR(INDEX(Recettes!C:C,MATCH(E37,Recettes!B:B,0)),"")</f>
        <v>#ERROR!</v>
      </c>
      <c r="G37" s="235"/>
      <c r="H37" s="235"/>
      <c r="I37" s="283"/>
      <c r="J37" s="304"/>
      <c r="K37" s="283" t="str">
        <f>IFERROR(H37*I37*(1-J37/100),"")</f>
        <v>#ERROR!</v>
      </c>
      <c r="L37" s="283" t="str">
        <f>IFERROR(K37*(INDEX(Config!B:B,MATCH("TVA "&amp;F37,Config!A:A,0))-1),"")</f>
        <v>#ERROR!</v>
      </c>
      <c r="M37" s="283" t="str">
        <f>IFERROR(K37+L37,"")</f>
        <v>#ERROR!</v>
      </c>
      <c r="N37" s="240"/>
    </row>
    <row r="38">
      <c r="A38" s="301"/>
      <c r="B38" s="227"/>
      <c r="C38" s="227"/>
      <c r="D38" s="227"/>
      <c r="E38" s="227"/>
      <c r="F38" s="227" t="str">
        <f>IFERROR(INDEX(Recettes!C:C,MATCH(E38,Recettes!B:B,0)),"")</f>
        <v>#ERROR!</v>
      </c>
      <c r="G38" s="227"/>
      <c r="H38" s="227"/>
      <c r="I38" s="281"/>
      <c r="J38" s="302"/>
      <c r="K38" s="281" t="str">
        <f>IFERROR(H38*I38*(1-J38/100),"")</f>
        <v>#ERROR!</v>
      </c>
      <c r="L38" s="281" t="str">
        <f>IFERROR(K38*(INDEX(Config!B:B,MATCH("TVA "&amp;F38,Config!A:A,0))-1),"")</f>
        <v>#ERROR!</v>
      </c>
      <c r="M38" s="281" t="str">
        <f>IFERROR(K38+L38,"")</f>
        <v>#ERROR!</v>
      </c>
      <c r="N38" s="233"/>
    </row>
    <row r="39">
      <c r="A39" s="303"/>
      <c r="B39" s="235"/>
      <c r="C39" s="235"/>
      <c r="D39" s="235"/>
      <c r="E39" s="235"/>
      <c r="F39" s="235" t="str">
        <f>IFERROR(INDEX(Recettes!C:C,MATCH(E39,Recettes!B:B,0)),"")</f>
        <v>#ERROR!</v>
      </c>
      <c r="G39" s="235"/>
      <c r="H39" s="235"/>
      <c r="I39" s="283"/>
      <c r="J39" s="304"/>
      <c r="K39" s="283" t="str">
        <f>IFERROR(H39*I39*(1-J39/100),"")</f>
        <v>#ERROR!</v>
      </c>
      <c r="L39" s="283" t="str">
        <f>IFERROR(K39*(INDEX(Config!B:B,MATCH("TVA "&amp;F39,Config!A:A,0))-1),"")</f>
        <v>#ERROR!</v>
      </c>
      <c r="M39" s="283" t="str">
        <f>IFERROR(K39+L39,"")</f>
        <v>#ERROR!</v>
      </c>
      <c r="N39" s="240"/>
    </row>
    <row r="40">
      <c r="A40" s="301"/>
      <c r="B40" s="227"/>
      <c r="C40" s="227"/>
      <c r="D40" s="227"/>
      <c r="E40" s="227"/>
      <c r="F40" s="227" t="str">
        <f>IFERROR(INDEX(Recettes!C:C,MATCH(E40,Recettes!B:B,0)),"")</f>
        <v>#ERROR!</v>
      </c>
      <c r="G40" s="227"/>
      <c r="H40" s="227"/>
      <c r="I40" s="281"/>
      <c r="J40" s="302"/>
      <c r="K40" s="281" t="str">
        <f>IFERROR(H40*I40*(1-J40/100),"")</f>
        <v>#ERROR!</v>
      </c>
      <c r="L40" s="281" t="str">
        <f>IFERROR(K40*(INDEX(Config!B:B,MATCH("TVA "&amp;F40,Config!A:A,0))-1),"")</f>
        <v>#ERROR!</v>
      </c>
      <c r="M40" s="281" t="str">
        <f>IFERROR(K40+L40,"")</f>
        <v>#ERROR!</v>
      </c>
      <c r="N40" s="233"/>
    </row>
    <row r="41">
      <c r="A41" s="303"/>
      <c r="B41" s="235"/>
      <c r="C41" s="235"/>
      <c r="D41" s="235"/>
      <c r="E41" s="235"/>
      <c r="F41" s="235" t="str">
        <f>IFERROR(INDEX(Recettes!C:C,MATCH(E41,Recettes!B:B,0)),"")</f>
        <v>#ERROR!</v>
      </c>
      <c r="G41" s="235"/>
      <c r="H41" s="235"/>
      <c r="I41" s="283"/>
      <c r="J41" s="304"/>
      <c r="K41" s="283" t="str">
        <f>IFERROR(H41*I41*(1-J41/100),"")</f>
        <v>#ERROR!</v>
      </c>
      <c r="L41" s="283" t="str">
        <f>IFERROR(K41*(INDEX(Config!B:B,MATCH("TVA "&amp;F41,Config!A:A,0))-1),"")</f>
        <v>#ERROR!</v>
      </c>
      <c r="M41" s="283" t="str">
        <f>IFERROR(K41+L41,"")</f>
        <v>#ERROR!</v>
      </c>
      <c r="N41" s="240"/>
    </row>
    <row r="42">
      <c r="A42" s="301"/>
      <c r="B42" s="227"/>
      <c r="C42" s="227"/>
      <c r="D42" s="227"/>
      <c r="E42" s="227"/>
      <c r="F42" s="227" t="str">
        <f>IFERROR(INDEX(Recettes!C:C,MATCH(E42,Recettes!B:B,0)),"")</f>
        <v>#ERROR!</v>
      </c>
      <c r="G42" s="227"/>
      <c r="H42" s="227"/>
      <c r="I42" s="281"/>
      <c r="J42" s="302"/>
      <c r="K42" s="281" t="str">
        <f>IFERROR(H42*I42*(1-J42/100),"")</f>
        <v>#ERROR!</v>
      </c>
      <c r="L42" s="281" t="str">
        <f>IFERROR(K42*(INDEX(Config!B:B,MATCH("TVA "&amp;F42,Config!A:A,0))-1),"")</f>
        <v>#ERROR!</v>
      </c>
      <c r="M42" s="281" t="str">
        <f>IFERROR(K42+L42,"")</f>
        <v>#ERROR!</v>
      </c>
      <c r="N42" s="233"/>
    </row>
    <row r="43">
      <c r="A43" s="303"/>
      <c r="B43" s="235"/>
      <c r="C43" s="235"/>
      <c r="D43" s="235"/>
      <c r="E43" s="235"/>
      <c r="F43" s="235" t="str">
        <f>IFERROR(INDEX(Recettes!C:C,MATCH(E43,Recettes!B:B,0)),"")</f>
        <v>#ERROR!</v>
      </c>
      <c r="G43" s="235"/>
      <c r="H43" s="235"/>
      <c r="I43" s="283"/>
      <c r="J43" s="304"/>
      <c r="K43" s="283" t="str">
        <f>IFERROR(H43*I43*(1-J43/100),"")</f>
        <v>#ERROR!</v>
      </c>
      <c r="L43" s="283" t="str">
        <f>IFERROR(K43*(INDEX(Config!B:B,MATCH("TVA "&amp;F43,Config!A:A,0))-1),"")</f>
        <v>#ERROR!</v>
      </c>
      <c r="M43" s="283" t="str">
        <f>IFERROR(K43+L43,"")</f>
        <v>#ERROR!</v>
      </c>
      <c r="N43" s="240"/>
    </row>
    <row r="44">
      <c r="A44" s="301"/>
      <c r="B44" s="227"/>
      <c r="C44" s="227"/>
      <c r="D44" s="227"/>
      <c r="E44" s="227"/>
      <c r="F44" s="227" t="str">
        <f>IFERROR(INDEX(Recettes!C:C,MATCH(E44,Recettes!B:B,0)),"")</f>
        <v>#ERROR!</v>
      </c>
      <c r="G44" s="227"/>
      <c r="H44" s="227"/>
      <c r="I44" s="281"/>
      <c r="J44" s="302"/>
      <c r="K44" s="281" t="str">
        <f>IFERROR(H44*I44*(1-J44/100),"")</f>
        <v>#ERROR!</v>
      </c>
      <c r="L44" s="281" t="str">
        <f>IFERROR(K44*(INDEX(Config!B:B,MATCH("TVA "&amp;F44,Config!A:A,0))-1),"")</f>
        <v>#ERROR!</v>
      </c>
      <c r="M44" s="281" t="str">
        <f>IFERROR(K44+L44,"")</f>
        <v>#ERROR!</v>
      </c>
      <c r="N44" s="233"/>
    </row>
    <row r="45">
      <c r="A45" s="303"/>
      <c r="B45" s="235"/>
      <c r="C45" s="235"/>
      <c r="D45" s="235"/>
      <c r="E45" s="235"/>
      <c r="F45" s="235" t="str">
        <f>IFERROR(INDEX(Recettes!C:C,MATCH(E45,Recettes!B:B,0)),"")</f>
        <v>#ERROR!</v>
      </c>
      <c r="G45" s="235"/>
      <c r="H45" s="235"/>
      <c r="I45" s="283"/>
      <c r="J45" s="304"/>
      <c r="K45" s="283" t="str">
        <f>IFERROR(H45*I45*(1-J45/100),"")</f>
        <v>#ERROR!</v>
      </c>
      <c r="L45" s="283" t="str">
        <f>IFERROR(K45*(INDEX(Config!B:B,MATCH("TVA "&amp;F45,Config!A:A,0))-1),"")</f>
        <v>#ERROR!</v>
      </c>
      <c r="M45" s="283" t="str">
        <f>IFERROR(K45+L45,"")</f>
        <v>#ERROR!</v>
      </c>
      <c r="N45" s="240"/>
    </row>
    <row r="46">
      <c r="A46" s="301"/>
      <c r="B46" s="227"/>
      <c r="C46" s="227"/>
      <c r="D46" s="227"/>
      <c r="E46" s="227"/>
      <c r="F46" s="227" t="str">
        <f>IFERROR(INDEX(Recettes!C:C,MATCH(E46,Recettes!B:B,0)),"")</f>
        <v>#ERROR!</v>
      </c>
      <c r="G46" s="227"/>
      <c r="H46" s="227"/>
      <c r="I46" s="281"/>
      <c r="J46" s="302"/>
      <c r="K46" s="281" t="str">
        <f>IFERROR(H46*I46*(1-J46/100),"")</f>
        <v>#ERROR!</v>
      </c>
      <c r="L46" s="281" t="str">
        <f>IFERROR(K46*(INDEX(Config!B:B,MATCH("TVA "&amp;F46,Config!A:A,0))-1),"")</f>
        <v>#ERROR!</v>
      </c>
      <c r="M46" s="281" t="str">
        <f>IFERROR(K46+L46,"")</f>
        <v>#ERROR!</v>
      </c>
      <c r="N46" s="233"/>
    </row>
    <row r="47">
      <c r="A47" s="303"/>
      <c r="B47" s="235"/>
      <c r="C47" s="235"/>
      <c r="D47" s="235"/>
      <c r="E47" s="235"/>
      <c r="F47" s="235" t="str">
        <f>IFERROR(INDEX(Recettes!C:C,MATCH(E47,Recettes!B:B,0)),"")</f>
        <v>#ERROR!</v>
      </c>
      <c r="G47" s="235"/>
      <c r="H47" s="235"/>
      <c r="I47" s="283"/>
      <c r="J47" s="304"/>
      <c r="K47" s="283" t="str">
        <f>IFERROR(H47*I47*(1-J47/100),"")</f>
        <v>#ERROR!</v>
      </c>
      <c r="L47" s="283" t="str">
        <f>IFERROR(K47*(INDEX(Config!B:B,MATCH("TVA "&amp;F47,Config!A:A,0))-1),"")</f>
        <v>#ERROR!</v>
      </c>
      <c r="M47" s="283" t="str">
        <f>IFERROR(K47+L47,"")</f>
        <v>#ERROR!</v>
      </c>
      <c r="N47" s="240"/>
    </row>
    <row r="48">
      <c r="A48" s="301"/>
      <c r="B48" s="227"/>
      <c r="C48" s="227"/>
      <c r="D48" s="227"/>
      <c r="E48" s="227"/>
      <c r="F48" s="227" t="str">
        <f>IFERROR(INDEX(Recettes!C:C,MATCH(E48,Recettes!B:B,0)),"")</f>
        <v>#ERROR!</v>
      </c>
      <c r="G48" s="227"/>
      <c r="H48" s="227"/>
      <c r="I48" s="281"/>
      <c r="J48" s="302"/>
      <c r="K48" s="281" t="str">
        <f>IFERROR(H48*I48*(1-J48/100),"")</f>
        <v>#ERROR!</v>
      </c>
      <c r="L48" s="281" t="str">
        <f>IFERROR(K48*(INDEX(Config!B:B,MATCH("TVA "&amp;F48,Config!A:A,0))-1),"")</f>
        <v>#ERROR!</v>
      </c>
      <c r="M48" s="281" t="str">
        <f>IFERROR(K48+L48,"")</f>
        <v>#ERROR!</v>
      </c>
      <c r="N48" s="233"/>
    </row>
    <row r="49">
      <c r="A49" s="303"/>
      <c r="B49" s="235"/>
      <c r="C49" s="235"/>
      <c r="D49" s="235"/>
      <c r="E49" s="235"/>
      <c r="F49" s="235" t="str">
        <f>IFERROR(INDEX(Recettes!C:C,MATCH(E49,Recettes!B:B,0)),"")</f>
        <v>#ERROR!</v>
      </c>
      <c r="G49" s="235"/>
      <c r="H49" s="235"/>
      <c r="I49" s="283"/>
      <c r="J49" s="304"/>
      <c r="K49" s="283" t="str">
        <f>IFERROR(H49*I49*(1-J49/100),"")</f>
        <v>#ERROR!</v>
      </c>
      <c r="L49" s="283" t="str">
        <f>IFERROR(K49*(INDEX(Config!B:B,MATCH("TVA "&amp;F49,Config!A:A,0))-1),"")</f>
        <v>#ERROR!</v>
      </c>
      <c r="M49" s="283" t="str">
        <f>IFERROR(K49+L49,"")</f>
        <v>#ERROR!</v>
      </c>
      <c r="N49" s="240"/>
    </row>
    <row r="50">
      <c r="A50" s="301"/>
      <c r="B50" s="227"/>
      <c r="C50" s="227"/>
      <c r="D50" s="227"/>
      <c r="E50" s="227"/>
      <c r="F50" s="227" t="str">
        <f>IFERROR(INDEX(Recettes!C:C,MATCH(E50,Recettes!B:B,0)),"")</f>
        <v>#ERROR!</v>
      </c>
      <c r="G50" s="227"/>
      <c r="H50" s="227"/>
      <c r="I50" s="281"/>
      <c r="J50" s="302"/>
      <c r="K50" s="281" t="str">
        <f>IFERROR(H50*I50*(1-J50/100),"")</f>
        <v>#ERROR!</v>
      </c>
      <c r="L50" s="281" t="str">
        <f>IFERROR(K50*(INDEX(Config!B:B,MATCH("TVA "&amp;F50,Config!A:A,0))-1),"")</f>
        <v>#ERROR!</v>
      </c>
      <c r="M50" s="281" t="str">
        <f>IFERROR(K50+L50,"")</f>
        <v>#ERROR!</v>
      </c>
      <c r="N50" s="233"/>
    </row>
    <row r="51">
      <c r="A51" s="303"/>
      <c r="B51" s="235"/>
      <c r="C51" s="235"/>
      <c r="D51" s="235"/>
      <c r="E51" s="235"/>
      <c r="F51" s="235" t="str">
        <f>IFERROR(INDEX(Recettes!C:C,MATCH(E51,Recettes!B:B,0)),"")</f>
        <v>#ERROR!</v>
      </c>
      <c r="G51" s="235"/>
      <c r="H51" s="235"/>
      <c r="I51" s="283"/>
      <c r="J51" s="304"/>
      <c r="K51" s="283" t="str">
        <f>IFERROR(H51*I51*(1-J51/100),"")</f>
        <v>#ERROR!</v>
      </c>
      <c r="L51" s="283" t="str">
        <f>IFERROR(K51*(INDEX(Config!B:B,MATCH("TVA "&amp;F51,Config!A:A,0))-1),"")</f>
        <v>#ERROR!</v>
      </c>
      <c r="M51" s="283" t="str">
        <f>IFERROR(K51+L51,"")</f>
        <v>#ERROR!</v>
      </c>
      <c r="N51" s="240"/>
    </row>
    <row r="52">
      <c r="A52" s="301"/>
      <c r="B52" s="227"/>
      <c r="C52" s="227"/>
      <c r="D52" s="227"/>
      <c r="E52" s="227"/>
      <c r="F52" s="227" t="str">
        <f>IFERROR(INDEX(Recettes!C:C,MATCH(E52,Recettes!B:B,0)),"")</f>
        <v>#ERROR!</v>
      </c>
      <c r="G52" s="227"/>
      <c r="H52" s="227"/>
      <c r="I52" s="281"/>
      <c r="J52" s="302"/>
      <c r="K52" s="281" t="str">
        <f>IFERROR(H52*I52*(1-J52/100),"")</f>
        <v>#ERROR!</v>
      </c>
      <c r="L52" s="281" t="str">
        <f>IFERROR(K52*(INDEX(Config!B:B,MATCH("TVA "&amp;F52,Config!A:A,0))-1),"")</f>
        <v>#ERROR!</v>
      </c>
      <c r="M52" s="281" t="str">
        <f>IFERROR(K52+L52,"")</f>
        <v>#ERROR!</v>
      </c>
      <c r="N52" s="233"/>
    </row>
    <row r="53">
      <c r="A53" s="303"/>
      <c r="B53" s="235"/>
      <c r="C53" s="235"/>
      <c r="D53" s="235"/>
      <c r="E53" s="235"/>
      <c r="F53" s="235" t="str">
        <f>IFERROR(INDEX(Recettes!C:C,MATCH(E53,Recettes!B:B,0)),"")</f>
        <v>#ERROR!</v>
      </c>
      <c r="G53" s="235"/>
      <c r="H53" s="235"/>
      <c r="I53" s="283"/>
      <c r="J53" s="304"/>
      <c r="K53" s="283" t="str">
        <f>IFERROR(H53*I53*(1-J53/100),"")</f>
        <v>#ERROR!</v>
      </c>
      <c r="L53" s="283" t="str">
        <f>IFERROR(K53*(INDEX(Config!B:B,MATCH("TVA "&amp;F53,Config!A:A,0))-1),"")</f>
        <v>#ERROR!</v>
      </c>
      <c r="M53" s="283" t="str">
        <f>IFERROR(K53+L53,"")</f>
        <v>#ERROR!</v>
      </c>
      <c r="N53" s="240"/>
    </row>
    <row r="54">
      <c r="A54" s="301"/>
      <c r="B54" s="227"/>
      <c r="C54" s="227"/>
      <c r="D54" s="227"/>
      <c r="E54" s="227"/>
      <c r="F54" s="227" t="str">
        <f>IFERROR(INDEX(Recettes!C:C,MATCH(E54,Recettes!B:B,0)),"")</f>
        <v>#ERROR!</v>
      </c>
      <c r="G54" s="227"/>
      <c r="H54" s="227"/>
      <c r="I54" s="281"/>
      <c r="J54" s="302"/>
      <c r="K54" s="281" t="str">
        <f>IFERROR(H54*I54*(1-J54/100),"")</f>
        <v>#ERROR!</v>
      </c>
      <c r="L54" s="281" t="str">
        <f>IFERROR(K54*(INDEX(Config!B:B,MATCH("TVA "&amp;F54,Config!A:A,0))-1),"")</f>
        <v>#ERROR!</v>
      </c>
      <c r="M54" s="281" t="str">
        <f>IFERROR(K54+L54,"")</f>
        <v>#ERROR!</v>
      </c>
      <c r="N54" s="233"/>
    </row>
    <row r="55">
      <c r="A55" s="303"/>
      <c r="B55" s="235"/>
      <c r="C55" s="235"/>
      <c r="D55" s="235"/>
      <c r="E55" s="235"/>
      <c r="F55" s="235" t="str">
        <f>IFERROR(INDEX(Recettes!C:C,MATCH(E55,Recettes!B:B,0)),"")</f>
        <v>#ERROR!</v>
      </c>
      <c r="G55" s="235"/>
      <c r="H55" s="235"/>
      <c r="I55" s="283"/>
      <c r="J55" s="304"/>
      <c r="K55" s="283" t="str">
        <f>IFERROR(H55*I55*(1-J55/100),"")</f>
        <v>#ERROR!</v>
      </c>
      <c r="L55" s="283" t="str">
        <f>IFERROR(K55*(INDEX(Config!B:B,MATCH("TVA "&amp;F55,Config!A:A,0))-1),"")</f>
        <v>#ERROR!</v>
      </c>
      <c r="M55" s="283" t="str">
        <f>IFERROR(K55+L55,"")</f>
        <v>#ERROR!</v>
      </c>
      <c r="N55" s="240"/>
    </row>
    <row r="56">
      <c r="A56" s="301"/>
      <c r="B56" s="227"/>
      <c r="C56" s="227"/>
      <c r="D56" s="227"/>
      <c r="E56" s="227"/>
      <c r="F56" s="227" t="str">
        <f>IFERROR(INDEX(Recettes!C:C,MATCH(E56,Recettes!B:B,0)),"")</f>
        <v>#ERROR!</v>
      </c>
      <c r="G56" s="227"/>
      <c r="H56" s="227"/>
      <c r="I56" s="281"/>
      <c r="J56" s="302"/>
      <c r="K56" s="281" t="str">
        <f>IFERROR(H56*I56*(1-J56/100),"")</f>
        <v>#ERROR!</v>
      </c>
      <c r="L56" s="281" t="str">
        <f>IFERROR(K56*(INDEX(Config!B:B,MATCH("TVA "&amp;F56,Config!A:A,0))-1),"")</f>
        <v>#ERROR!</v>
      </c>
      <c r="M56" s="281" t="str">
        <f>IFERROR(K56+L56,"")</f>
        <v>#ERROR!</v>
      </c>
      <c r="N56" s="233"/>
    </row>
    <row r="57">
      <c r="A57" s="303"/>
      <c r="B57" s="235"/>
      <c r="C57" s="235"/>
      <c r="D57" s="235"/>
      <c r="E57" s="235"/>
      <c r="F57" s="235" t="str">
        <f>IFERROR(INDEX(Recettes!C:C,MATCH(E57,Recettes!B:B,0)),"")</f>
        <v>#ERROR!</v>
      </c>
      <c r="G57" s="235"/>
      <c r="H57" s="235"/>
      <c r="I57" s="283"/>
      <c r="J57" s="304"/>
      <c r="K57" s="283" t="str">
        <f>IFERROR(H57*I57*(1-J57/100),"")</f>
        <v>#ERROR!</v>
      </c>
      <c r="L57" s="283" t="str">
        <f>IFERROR(K57*(INDEX(Config!B:B,MATCH("TVA "&amp;F57,Config!A:A,0))-1),"")</f>
        <v>#ERROR!</v>
      </c>
      <c r="M57" s="283" t="str">
        <f>IFERROR(K57+L57,"")</f>
        <v>#ERROR!</v>
      </c>
      <c r="N57" s="240"/>
    </row>
    <row r="58">
      <c r="A58" s="301"/>
      <c r="B58" s="227"/>
      <c r="C58" s="227"/>
      <c r="D58" s="227"/>
      <c r="E58" s="227"/>
      <c r="F58" s="227" t="str">
        <f>IFERROR(INDEX(Recettes!C:C,MATCH(E58,Recettes!B:B,0)),"")</f>
        <v>#ERROR!</v>
      </c>
      <c r="G58" s="227"/>
      <c r="H58" s="227"/>
      <c r="I58" s="281"/>
      <c r="J58" s="302"/>
      <c r="K58" s="281" t="str">
        <f>IFERROR(H58*I58*(1-J58/100),"")</f>
        <v>#ERROR!</v>
      </c>
      <c r="L58" s="281" t="str">
        <f>IFERROR(K58*(INDEX(Config!B:B,MATCH("TVA "&amp;F58,Config!A:A,0))-1),"")</f>
        <v>#ERROR!</v>
      </c>
      <c r="M58" s="281" t="str">
        <f>IFERROR(K58+L58,"")</f>
        <v>#ERROR!</v>
      </c>
      <c r="N58" s="233"/>
    </row>
    <row r="59">
      <c r="A59" s="303"/>
      <c r="B59" s="235"/>
      <c r="C59" s="235"/>
      <c r="D59" s="235"/>
      <c r="E59" s="235"/>
      <c r="F59" s="235" t="str">
        <f>IFERROR(INDEX(Recettes!C:C,MATCH(E59,Recettes!B:B,0)),"")</f>
        <v>#ERROR!</v>
      </c>
      <c r="G59" s="235"/>
      <c r="H59" s="235"/>
      <c r="I59" s="283"/>
      <c r="J59" s="304"/>
      <c r="K59" s="283" t="str">
        <f>IFERROR(H59*I59*(1-J59/100),"")</f>
        <v>#ERROR!</v>
      </c>
      <c r="L59" s="283" t="str">
        <f>IFERROR(K59*(INDEX(Config!B:B,MATCH("TVA "&amp;F59,Config!A:A,0))-1),"")</f>
        <v>#ERROR!</v>
      </c>
      <c r="M59" s="283" t="str">
        <f>IFERROR(K59+L59,"")</f>
        <v>#ERROR!</v>
      </c>
      <c r="N59" s="240"/>
    </row>
    <row r="60">
      <c r="A60" s="301"/>
      <c r="B60" s="227"/>
      <c r="C60" s="227"/>
      <c r="D60" s="227"/>
      <c r="E60" s="227"/>
      <c r="F60" s="227" t="str">
        <f>IFERROR(INDEX(Recettes!C:C,MATCH(E60,Recettes!B:B,0)),"")</f>
        <v>#ERROR!</v>
      </c>
      <c r="G60" s="227"/>
      <c r="H60" s="227"/>
      <c r="I60" s="281"/>
      <c r="J60" s="302"/>
      <c r="K60" s="281" t="str">
        <f>IFERROR(H60*I60*(1-J60/100),"")</f>
        <v>#ERROR!</v>
      </c>
      <c r="L60" s="281" t="str">
        <f>IFERROR(K60*(INDEX(Config!B:B,MATCH("TVA "&amp;F60,Config!A:A,0))-1),"")</f>
        <v>#ERROR!</v>
      </c>
      <c r="M60" s="281" t="str">
        <f>IFERROR(K60+L60,"")</f>
        <v>#ERROR!</v>
      </c>
      <c r="N60" s="233"/>
    </row>
    <row r="61">
      <c r="A61" s="303"/>
      <c r="B61" s="235"/>
      <c r="C61" s="235"/>
      <c r="D61" s="235"/>
      <c r="E61" s="235"/>
      <c r="F61" s="235" t="str">
        <f>IFERROR(INDEX(Recettes!C:C,MATCH(E61,Recettes!B:B,0)),"")</f>
        <v>#ERROR!</v>
      </c>
      <c r="G61" s="235"/>
      <c r="H61" s="235"/>
      <c r="I61" s="283"/>
      <c r="J61" s="304"/>
      <c r="K61" s="283" t="str">
        <f>IFERROR(H61*I61*(1-J61/100),"")</f>
        <v>#ERROR!</v>
      </c>
      <c r="L61" s="283" t="str">
        <f>IFERROR(K61*(INDEX(Config!B:B,MATCH("TVA "&amp;F61,Config!A:A,0))-1),"")</f>
        <v>#ERROR!</v>
      </c>
      <c r="M61" s="283" t="str">
        <f>IFERROR(K61+L61,"")</f>
        <v>#ERROR!</v>
      </c>
      <c r="N61" s="240"/>
    </row>
    <row r="62">
      <c r="A62" s="301"/>
      <c r="B62" s="227"/>
      <c r="C62" s="227"/>
      <c r="D62" s="227"/>
      <c r="E62" s="227"/>
      <c r="F62" s="227" t="str">
        <f>IFERROR(INDEX(Recettes!C:C,MATCH(E62,Recettes!B:B,0)),"")</f>
        <v>#ERROR!</v>
      </c>
      <c r="G62" s="227"/>
      <c r="H62" s="227"/>
      <c r="I62" s="281"/>
      <c r="J62" s="302"/>
      <c r="K62" s="281" t="str">
        <f>IFERROR(H62*I62*(1-J62/100),"")</f>
        <v>#ERROR!</v>
      </c>
      <c r="L62" s="281" t="str">
        <f>IFERROR(K62*(INDEX(Config!B:B,MATCH("TVA "&amp;F62,Config!A:A,0))-1),"")</f>
        <v>#ERROR!</v>
      </c>
      <c r="M62" s="281" t="str">
        <f>IFERROR(K62+L62,"")</f>
        <v>#ERROR!</v>
      </c>
      <c r="N62" s="233"/>
    </row>
    <row r="63">
      <c r="A63" s="303"/>
      <c r="B63" s="235"/>
      <c r="C63" s="235"/>
      <c r="D63" s="235"/>
      <c r="E63" s="235"/>
      <c r="F63" s="235" t="str">
        <f>IFERROR(INDEX(Recettes!C:C,MATCH(E63,Recettes!B:B,0)),"")</f>
        <v>#ERROR!</v>
      </c>
      <c r="G63" s="235"/>
      <c r="H63" s="235"/>
      <c r="I63" s="283"/>
      <c r="J63" s="304"/>
      <c r="K63" s="283" t="str">
        <f>IFERROR(H63*I63*(1-J63/100),"")</f>
        <v>#ERROR!</v>
      </c>
      <c r="L63" s="283" t="str">
        <f>IFERROR(K63*(INDEX(Config!B:B,MATCH("TVA "&amp;F63,Config!A:A,0))-1),"")</f>
        <v>#ERROR!</v>
      </c>
      <c r="M63" s="283" t="str">
        <f>IFERROR(K63+L63,"")</f>
        <v>#ERROR!</v>
      </c>
      <c r="N63" s="240"/>
    </row>
    <row r="64">
      <c r="A64" s="301"/>
      <c r="B64" s="227"/>
      <c r="C64" s="227"/>
      <c r="D64" s="227"/>
      <c r="E64" s="227"/>
      <c r="F64" s="227" t="str">
        <f>IFERROR(INDEX(Recettes!C:C,MATCH(E64,Recettes!B:B,0)),"")</f>
        <v>#ERROR!</v>
      </c>
      <c r="G64" s="227"/>
      <c r="H64" s="227"/>
      <c r="I64" s="281"/>
      <c r="J64" s="302"/>
      <c r="K64" s="281" t="str">
        <f>IFERROR(H64*I64*(1-J64/100),"")</f>
        <v>#ERROR!</v>
      </c>
      <c r="L64" s="281" t="str">
        <f>IFERROR(K64*(INDEX(Config!B:B,MATCH("TVA "&amp;F64,Config!A:A,0))-1),"")</f>
        <v>#ERROR!</v>
      </c>
      <c r="M64" s="281" t="str">
        <f>IFERROR(K64+L64,"")</f>
        <v>#ERROR!</v>
      </c>
      <c r="N64" s="233"/>
    </row>
    <row r="65">
      <c r="A65" s="303"/>
      <c r="B65" s="235"/>
      <c r="C65" s="235"/>
      <c r="D65" s="235"/>
      <c r="E65" s="235"/>
      <c r="F65" s="235" t="str">
        <f>IFERROR(INDEX(Recettes!C:C,MATCH(E65,Recettes!B:B,0)),"")</f>
        <v>#ERROR!</v>
      </c>
      <c r="G65" s="235"/>
      <c r="H65" s="235"/>
      <c r="I65" s="283"/>
      <c r="J65" s="304"/>
      <c r="K65" s="283" t="str">
        <f>IFERROR(H65*I65*(1-J65/100),"")</f>
        <v>#ERROR!</v>
      </c>
      <c r="L65" s="283" t="str">
        <f>IFERROR(K65*(INDEX(Config!B:B,MATCH("TVA "&amp;F65,Config!A:A,0))-1),"")</f>
        <v>#ERROR!</v>
      </c>
      <c r="M65" s="283" t="str">
        <f>IFERROR(K65+L65,"")</f>
        <v>#ERROR!</v>
      </c>
      <c r="N65" s="240"/>
    </row>
    <row r="66">
      <c r="A66" s="301"/>
      <c r="B66" s="227"/>
      <c r="C66" s="227"/>
      <c r="D66" s="227"/>
      <c r="E66" s="227"/>
      <c r="F66" s="227" t="str">
        <f>IFERROR(INDEX(Recettes!C:C,MATCH(E66,Recettes!B:B,0)),"")</f>
        <v>#ERROR!</v>
      </c>
      <c r="G66" s="227"/>
      <c r="H66" s="227"/>
      <c r="I66" s="281"/>
      <c r="J66" s="302"/>
      <c r="K66" s="281" t="str">
        <f>IFERROR(H66*I66*(1-J66/100),"")</f>
        <v>#ERROR!</v>
      </c>
      <c r="L66" s="281" t="str">
        <f>IFERROR(K66*(INDEX(Config!B:B,MATCH("TVA "&amp;F66,Config!A:A,0))-1),"")</f>
        <v>#ERROR!</v>
      </c>
      <c r="M66" s="281" t="str">
        <f>IFERROR(K66+L66,"")</f>
        <v>#ERROR!</v>
      </c>
      <c r="N66" s="233"/>
    </row>
    <row r="67">
      <c r="A67" s="303"/>
      <c r="B67" s="235"/>
      <c r="C67" s="235"/>
      <c r="D67" s="235"/>
      <c r="E67" s="235"/>
      <c r="F67" s="235" t="str">
        <f>IFERROR(INDEX(Recettes!C:C,MATCH(E67,Recettes!B:B,0)),"")</f>
        <v>#ERROR!</v>
      </c>
      <c r="G67" s="235"/>
      <c r="H67" s="235"/>
      <c r="I67" s="283"/>
      <c r="J67" s="304"/>
      <c r="K67" s="283" t="str">
        <f>IFERROR(H67*I67*(1-J67/100),"")</f>
        <v>#ERROR!</v>
      </c>
      <c r="L67" s="283" t="str">
        <f>IFERROR(K67*(INDEX(Config!B:B,MATCH("TVA "&amp;F67,Config!A:A,0))-1),"")</f>
        <v>#ERROR!</v>
      </c>
      <c r="M67" s="283" t="str">
        <f>IFERROR(K67+L67,"")</f>
        <v>#ERROR!</v>
      </c>
      <c r="N67" s="240"/>
    </row>
    <row r="68">
      <c r="A68" s="301"/>
      <c r="B68" s="227"/>
      <c r="C68" s="227"/>
      <c r="D68" s="227"/>
      <c r="E68" s="227"/>
      <c r="F68" s="227" t="str">
        <f>IFERROR(INDEX(Recettes!C:C,MATCH(E68,Recettes!B:B,0)),"")</f>
        <v>#ERROR!</v>
      </c>
      <c r="G68" s="227"/>
      <c r="H68" s="227"/>
      <c r="I68" s="281"/>
      <c r="J68" s="302"/>
      <c r="K68" s="281" t="str">
        <f>IFERROR(H68*I68*(1-J68/100),"")</f>
        <v>#ERROR!</v>
      </c>
      <c r="L68" s="281" t="str">
        <f>IFERROR(K68*(INDEX(Config!B:B,MATCH("TVA "&amp;F68,Config!A:A,0))-1),"")</f>
        <v>#ERROR!</v>
      </c>
      <c r="M68" s="281" t="str">
        <f>IFERROR(K68+L68,"")</f>
        <v>#ERROR!</v>
      </c>
      <c r="N68" s="233"/>
    </row>
    <row r="69">
      <c r="A69" s="303"/>
      <c r="B69" s="235"/>
      <c r="C69" s="235"/>
      <c r="D69" s="235"/>
      <c r="E69" s="235"/>
      <c r="F69" s="235" t="str">
        <f>IFERROR(INDEX(Recettes!C:C,MATCH(E69,Recettes!B:B,0)),"")</f>
        <v>#ERROR!</v>
      </c>
      <c r="G69" s="235"/>
      <c r="H69" s="235"/>
      <c r="I69" s="283"/>
      <c r="J69" s="304"/>
      <c r="K69" s="283" t="str">
        <f>IFERROR(H69*I69*(1-J69/100),"")</f>
        <v>#ERROR!</v>
      </c>
      <c r="L69" s="283" t="str">
        <f>IFERROR(K69*(INDEX(Config!B:B,MATCH("TVA "&amp;F69,Config!A:A,0))-1),"")</f>
        <v>#ERROR!</v>
      </c>
      <c r="M69" s="283" t="str">
        <f>IFERROR(K69+L69,"")</f>
        <v>#ERROR!</v>
      </c>
      <c r="N69" s="240"/>
    </row>
    <row r="70">
      <c r="A70" s="301"/>
      <c r="B70" s="227"/>
      <c r="C70" s="227"/>
      <c r="D70" s="227"/>
      <c r="E70" s="227"/>
      <c r="F70" s="227" t="str">
        <f>IFERROR(INDEX(Recettes!C:C,MATCH(E70,Recettes!B:B,0)),"")</f>
        <v>#ERROR!</v>
      </c>
      <c r="G70" s="227"/>
      <c r="H70" s="227"/>
      <c r="I70" s="281"/>
      <c r="J70" s="302"/>
      <c r="K70" s="281" t="str">
        <f>IFERROR(H70*I70*(1-J70/100),"")</f>
        <v>#ERROR!</v>
      </c>
      <c r="L70" s="281" t="str">
        <f>IFERROR(K70*(INDEX(Config!B:B,MATCH("TVA "&amp;F70,Config!A:A,0))-1),"")</f>
        <v>#ERROR!</v>
      </c>
      <c r="M70" s="281" t="str">
        <f>IFERROR(K70+L70,"")</f>
        <v>#ERROR!</v>
      </c>
      <c r="N70" s="233"/>
    </row>
    <row r="71">
      <c r="A71" s="303"/>
      <c r="B71" s="235"/>
      <c r="C71" s="235"/>
      <c r="D71" s="235"/>
      <c r="E71" s="235"/>
      <c r="F71" s="235" t="str">
        <f>IFERROR(INDEX(Recettes!C:C,MATCH(E71,Recettes!B:B,0)),"")</f>
        <v>#ERROR!</v>
      </c>
      <c r="G71" s="235"/>
      <c r="H71" s="235"/>
      <c r="I71" s="283"/>
      <c r="J71" s="304"/>
      <c r="K71" s="283" t="str">
        <f>IFERROR(H71*I71*(1-J71/100),"")</f>
        <v>#ERROR!</v>
      </c>
      <c r="L71" s="283" t="str">
        <f>IFERROR(K71*(INDEX(Config!B:B,MATCH("TVA "&amp;F71,Config!A:A,0))-1),"")</f>
        <v>#ERROR!</v>
      </c>
      <c r="M71" s="283" t="str">
        <f>IFERROR(K71+L71,"")</f>
        <v>#ERROR!</v>
      </c>
      <c r="N71" s="240"/>
    </row>
    <row r="72">
      <c r="A72" s="301"/>
      <c r="B72" s="227"/>
      <c r="C72" s="227"/>
      <c r="D72" s="227"/>
      <c r="E72" s="227"/>
      <c r="F72" s="227" t="str">
        <f>IFERROR(INDEX(Recettes!C:C,MATCH(E72,Recettes!B:B,0)),"")</f>
        <v>#ERROR!</v>
      </c>
      <c r="G72" s="227"/>
      <c r="H72" s="227"/>
      <c r="I72" s="281"/>
      <c r="J72" s="302"/>
      <c r="K72" s="281" t="str">
        <f>IFERROR(H72*I72*(1-J72/100),"")</f>
        <v>#ERROR!</v>
      </c>
      <c r="L72" s="281" t="str">
        <f>IFERROR(K72*(INDEX(Config!B:B,MATCH("TVA "&amp;F72,Config!A:A,0))-1),"")</f>
        <v>#ERROR!</v>
      </c>
      <c r="M72" s="281" t="str">
        <f>IFERROR(K72+L72,"")</f>
        <v>#ERROR!</v>
      </c>
      <c r="N72" s="233"/>
    </row>
    <row r="73">
      <c r="A73" s="303"/>
      <c r="B73" s="235"/>
      <c r="C73" s="235"/>
      <c r="D73" s="235"/>
      <c r="E73" s="235"/>
      <c r="F73" s="235" t="str">
        <f>IFERROR(INDEX(Recettes!C:C,MATCH(E73,Recettes!B:B,0)),"")</f>
        <v>#ERROR!</v>
      </c>
      <c r="G73" s="235"/>
      <c r="H73" s="235"/>
      <c r="I73" s="283"/>
      <c r="J73" s="304"/>
      <c r="K73" s="283" t="str">
        <f>IFERROR(H73*I73*(1-J73/100),"")</f>
        <v>#ERROR!</v>
      </c>
      <c r="L73" s="283" t="str">
        <f>IFERROR(K73*(INDEX(Config!B:B,MATCH("TVA "&amp;F73,Config!A:A,0))-1),"")</f>
        <v>#ERROR!</v>
      </c>
      <c r="M73" s="283" t="str">
        <f>IFERROR(K73+L73,"")</f>
        <v>#ERROR!</v>
      </c>
      <c r="N73" s="240"/>
    </row>
    <row r="74">
      <c r="A74" s="301"/>
      <c r="B74" s="227"/>
      <c r="C74" s="227"/>
      <c r="D74" s="227"/>
      <c r="E74" s="227"/>
      <c r="F74" s="227" t="str">
        <f>IFERROR(INDEX(Recettes!C:C,MATCH(E74,Recettes!B:B,0)),"")</f>
        <v>#ERROR!</v>
      </c>
      <c r="G74" s="227"/>
      <c r="H74" s="227"/>
      <c r="I74" s="281"/>
      <c r="J74" s="302"/>
      <c r="K74" s="281" t="str">
        <f>IFERROR(H74*I74*(1-J74/100),"")</f>
        <v>#ERROR!</v>
      </c>
      <c r="L74" s="281" t="str">
        <f>IFERROR(K74*(INDEX(Config!B:B,MATCH("TVA "&amp;F74,Config!A:A,0))-1),"")</f>
        <v>#ERROR!</v>
      </c>
      <c r="M74" s="281" t="str">
        <f>IFERROR(K74+L74,"")</f>
        <v>#ERROR!</v>
      </c>
      <c r="N74" s="233"/>
    </row>
    <row r="75">
      <c r="A75" s="303"/>
      <c r="B75" s="235"/>
      <c r="C75" s="235"/>
      <c r="D75" s="235"/>
      <c r="E75" s="235"/>
      <c r="F75" s="235" t="str">
        <f>IFERROR(INDEX(Recettes!C:C,MATCH(E75,Recettes!B:B,0)),"")</f>
        <v>#ERROR!</v>
      </c>
      <c r="G75" s="235"/>
      <c r="H75" s="235"/>
      <c r="I75" s="283"/>
      <c r="J75" s="304"/>
      <c r="K75" s="283" t="str">
        <f>IFERROR(H75*I75*(1-J75/100),"")</f>
        <v>#ERROR!</v>
      </c>
      <c r="L75" s="283" t="str">
        <f>IFERROR(K75*(INDEX(Config!B:B,MATCH("TVA "&amp;F75,Config!A:A,0))-1),"")</f>
        <v>#ERROR!</v>
      </c>
      <c r="M75" s="283" t="str">
        <f>IFERROR(K75+L75,"")</f>
        <v>#ERROR!</v>
      </c>
      <c r="N75" s="240"/>
    </row>
    <row r="76">
      <c r="A76" s="301"/>
      <c r="B76" s="227"/>
      <c r="C76" s="227"/>
      <c r="D76" s="227"/>
      <c r="E76" s="227"/>
      <c r="F76" s="227" t="str">
        <f>IFERROR(INDEX(Recettes!C:C,MATCH(E76,Recettes!B:B,0)),"")</f>
        <v>#ERROR!</v>
      </c>
      <c r="G76" s="227"/>
      <c r="H76" s="227"/>
      <c r="I76" s="281"/>
      <c r="J76" s="302"/>
      <c r="K76" s="281" t="str">
        <f>IFERROR(H76*I76*(1-J76/100),"")</f>
        <v>#ERROR!</v>
      </c>
      <c r="L76" s="281" t="str">
        <f>IFERROR(K76*(INDEX(Config!B:B,MATCH("TVA "&amp;F76,Config!A:A,0))-1),"")</f>
        <v>#ERROR!</v>
      </c>
      <c r="M76" s="281" t="str">
        <f>IFERROR(K76+L76,"")</f>
        <v>#ERROR!</v>
      </c>
      <c r="N76" s="233"/>
    </row>
    <row r="77">
      <c r="A77" s="303"/>
      <c r="B77" s="235"/>
      <c r="C77" s="235"/>
      <c r="D77" s="235"/>
      <c r="E77" s="235"/>
      <c r="F77" s="235" t="str">
        <f>IFERROR(INDEX(Recettes!C:C,MATCH(E77,Recettes!B:B,0)),"")</f>
        <v>#ERROR!</v>
      </c>
      <c r="G77" s="235"/>
      <c r="H77" s="235"/>
      <c r="I77" s="283"/>
      <c r="J77" s="304"/>
      <c r="K77" s="283" t="str">
        <f>IFERROR(H77*I77*(1-J77/100),"")</f>
        <v>#ERROR!</v>
      </c>
      <c r="L77" s="283" t="str">
        <f>IFERROR(K77*(INDEX(Config!B:B,MATCH("TVA "&amp;F77,Config!A:A,0))-1),"")</f>
        <v>#ERROR!</v>
      </c>
      <c r="M77" s="283" t="str">
        <f>IFERROR(K77+L77,"")</f>
        <v>#ERROR!</v>
      </c>
      <c r="N77" s="240"/>
    </row>
    <row r="78">
      <c r="A78" s="301"/>
      <c r="B78" s="227"/>
      <c r="C78" s="227"/>
      <c r="D78" s="227"/>
      <c r="E78" s="227"/>
      <c r="F78" s="227" t="str">
        <f>IFERROR(INDEX(Recettes!C:C,MATCH(E78,Recettes!B:B,0)),"")</f>
        <v>#ERROR!</v>
      </c>
      <c r="G78" s="227"/>
      <c r="H78" s="227"/>
      <c r="I78" s="281"/>
      <c r="J78" s="302"/>
      <c r="K78" s="281" t="str">
        <f>IFERROR(H78*I78*(1-J78/100),"")</f>
        <v>#ERROR!</v>
      </c>
      <c r="L78" s="281" t="str">
        <f>IFERROR(K78*(INDEX(Config!B:B,MATCH("TVA "&amp;F78,Config!A:A,0))-1),"")</f>
        <v>#ERROR!</v>
      </c>
      <c r="M78" s="281" t="str">
        <f>IFERROR(K78+L78,"")</f>
        <v>#ERROR!</v>
      </c>
      <c r="N78" s="233"/>
    </row>
    <row r="79">
      <c r="A79" s="303"/>
      <c r="B79" s="235"/>
      <c r="C79" s="235"/>
      <c r="D79" s="235"/>
      <c r="E79" s="235"/>
      <c r="F79" s="235" t="str">
        <f>IFERROR(INDEX(Recettes!C:C,MATCH(E79,Recettes!B:B,0)),"")</f>
        <v>#ERROR!</v>
      </c>
      <c r="G79" s="235"/>
      <c r="H79" s="235"/>
      <c r="I79" s="283"/>
      <c r="J79" s="304"/>
      <c r="K79" s="283" t="str">
        <f>IFERROR(H79*I79*(1-J79/100),"")</f>
        <v>#ERROR!</v>
      </c>
      <c r="L79" s="283" t="str">
        <f>IFERROR(K79*(INDEX(Config!B:B,MATCH("TVA "&amp;F79,Config!A:A,0))-1),"")</f>
        <v>#ERROR!</v>
      </c>
      <c r="M79" s="283" t="str">
        <f>IFERROR(K79+L79,"")</f>
        <v>#ERROR!</v>
      </c>
      <c r="N79" s="240"/>
    </row>
    <row r="80">
      <c r="A80" s="301"/>
      <c r="B80" s="227"/>
      <c r="C80" s="227"/>
      <c r="D80" s="227"/>
      <c r="E80" s="227"/>
      <c r="F80" s="227" t="str">
        <f>IFERROR(INDEX(Recettes!C:C,MATCH(E80,Recettes!B:B,0)),"")</f>
        <v>#ERROR!</v>
      </c>
      <c r="G80" s="227"/>
      <c r="H80" s="227"/>
      <c r="I80" s="281"/>
      <c r="J80" s="302"/>
      <c r="K80" s="281" t="str">
        <f>IFERROR(H80*I80*(1-J80/100),"")</f>
        <v>#ERROR!</v>
      </c>
      <c r="L80" s="281" t="str">
        <f>IFERROR(K80*(INDEX(Config!B:B,MATCH("TVA "&amp;F80,Config!A:A,0))-1),"")</f>
        <v>#ERROR!</v>
      </c>
      <c r="M80" s="281" t="str">
        <f>IFERROR(K80+L80,"")</f>
        <v>#ERROR!</v>
      </c>
      <c r="N80" s="233"/>
    </row>
    <row r="81">
      <c r="A81" s="303"/>
      <c r="B81" s="235"/>
      <c r="C81" s="235"/>
      <c r="D81" s="235"/>
      <c r="E81" s="235"/>
      <c r="F81" s="235" t="str">
        <f>IFERROR(INDEX(Recettes!C:C,MATCH(E81,Recettes!B:B,0)),"")</f>
        <v>#ERROR!</v>
      </c>
      <c r="G81" s="235"/>
      <c r="H81" s="235"/>
      <c r="I81" s="283"/>
      <c r="J81" s="304"/>
      <c r="K81" s="283" t="str">
        <f>IFERROR(H81*I81*(1-J81/100),"")</f>
        <v>#ERROR!</v>
      </c>
      <c r="L81" s="283" t="str">
        <f>IFERROR(K81*(INDEX(Config!B:B,MATCH("TVA "&amp;F81,Config!A:A,0))-1),"")</f>
        <v>#ERROR!</v>
      </c>
      <c r="M81" s="283" t="str">
        <f>IFERROR(K81+L81,"")</f>
        <v>#ERROR!</v>
      </c>
      <c r="N81" s="240"/>
    </row>
    <row r="82">
      <c r="A82" s="301"/>
      <c r="B82" s="227"/>
      <c r="C82" s="227"/>
      <c r="D82" s="227"/>
      <c r="E82" s="227"/>
      <c r="F82" s="227" t="str">
        <f>IFERROR(INDEX(Recettes!C:C,MATCH(E82,Recettes!B:B,0)),"")</f>
        <v>#ERROR!</v>
      </c>
      <c r="G82" s="227"/>
      <c r="H82" s="227"/>
      <c r="I82" s="281"/>
      <c r="J82" s="302"/>
      <c r="K82" s="281" t="str">
        <f>IFERROR(H82*I82*(1-J82/100),"")</f>
        <v>#ERROR!</v>
      </c>
      <c r="L82" s="281" t="str">
        <f>IFERROR(K82*(INDEX(Config!B:B,MATCH("TVA "&amp;F82,Config!A:A,0))-1),"")</f>
        <v>#ERROR!</v>
      </c>
      <c r="M82" s="281" t="str">
        <f>IFERROR(K82+L82,"")</f>
        <v>#ERROR!</v>
      </c>
      <c r="N82" s="233"/>
    </row>
    <row r="83">
      <c r="A83" s="303"/>
      <c r="B83" s="235"/>
      <c r="C83" s="235"/>
      <c r="D83" s="235"/>
      <c r="E83" s="235"/>
      <c r="F83" s="235" t="str">
        <f>IFERROR(INDEX(Recettes!C:C,MATCH(E83,Recettes!B:B,0)),"")</f>
        <v>#ERROR!</v>
      </c>
      <c r="G83" s="235"/>
      <c r="H83" s="235"/>
      <c r="I83" s="283"/>
      <c r="J83" s="304"/>
      <c r="K83" s="283" t="str">
        <f>IFERROR(H83*I83*(1-J83/100),"")</f>
        <v>#ERROR!</v>
      </c>
      <c r="L83" s="283" t="str">
        <f>IFERROR(K83*(INDEX(Config!B:B,MATCH("TVA "&amp;F83,Config!A:A,0))-1),"")</f>
        <v>#ERROR!</v>
      </c>
      <c r="M83" s="283" t="str">
        <f>IFERROR(K83+L83,"")</f>
        <v>#ERROR!</v>
      </c>
      <c r="N83" s="240"/>
    </row>
    <row r="84">
      <c r="A84" s="301"/>
      <c r="B84" s="227"/>
      <c r="C84" s="227"/>
      <c r="D84" s="227"/>
      <c r="E84" s="227"/>
      <c r="F84" s="227" t="str">
        <f>IFERROR(INDEX(Recettes!C:C,MATCH(E84,Recettes!B:B,0)),"")</f>
        <v>#ERROR!</v>
      </c>
      <c r="G84" s="227"/>
      <c r="H84" s="227"/>
      <c r="I84" s="281"/>
      <c r="J84" s="302"/>
      <c r="K84" s="281" t="str">
        <f>IFERROR(H84*I84*(1-J84/100),"")</f>
        <v>#ERROR!</v>
      </c>
      <c r="L84" s="281" t="str">
        <f>IFERROR(K84*(INDEX(Config!B:B,MATCH("TVA "&amp;F84,Config!A:A,0))-1),"")</f>
        <v>#ERROR!</v>
      </c>
      <c r="M84" s="281" t="str">
        <f>IFERROR(K84+L84,"")</f>
        <v>#ERROR!</v>
      </c>
      <c r="N84" s="233"/>
    </row>
    <row r="85">
      <c r="A85" s="303"/>
      <c r="B85" s="235"/>
      <c r="C85" s="235"/>
      <c r="D85" s="235"/>
      <c r="E85" s="235"/>
      <c r="F85" s="235" t="str">
        <f>IFERROR(INDEX(Recettes!C:C,MATCH(E85,Recettes!B:B,0)),"")</f>
        <v>#ERROR!</v>
      </c>
      <c r="G85" s="235"/>
      <c r="H85" s="235"/>
      <c r="I85" s="283"/>
      <c r="J85" s="304"/>
      <c r="K85" s="283" t="str">
        <f>IFERROR(H85*I85*(1-J85/100),"")</f>
        <v>#ERROR!</v>
      </c>
      <c r="L85" s="283" t="str">
        <f>IFERROR(K85*(INDEX(Config!B:B,MATCH("TVA "&amp;F85,Config!A:A,0))-1),"")</f>
        <v>#ERROR!</v>
      </c>
      <c r="M85" s="283" t="str">
        <f>IFERROR(K85+L85,"")</f>
        <v>#ERROR!</v>
      </c>
      <c r="N85" s="240"/>
    </row>
    <row r="86">
      <c r="A86" s="301"/>
      <c r="B86" s="227"/>
      <c r="C86" s="227"/>
      <c r="D86" s="227"/>
      <c r="E86" s="227"/>
      <c r="F86" s="227" t="str">
        <f>IFERROR(INDEX(Recettes!C:C,MATCH(E86,Recettes!B:B,0)),"")</f>
        <v>#ERROR!</v>
      </c>
      <c r="G86" s="227"/>
      <c r="H86" s="227"/>
      <c r="I86" s="281"/>
      <c r="J86" s="302"/>
      <c r="K86" s="281" t="str">
        <f>IFERROR(H86*I86*(1-J86/100),"")</f>
        <v>#ERROR!</v>
      </c>
      <c r="L86" s="281" t="str">
        <f>IFERROR(K86*(INDEX(Config!B:B,MATCH("TVA "&amp;F86,Config!A:A,0))-1),"")</f>
        <v>#ERROR!</v>
      </c>
      <c r="M86" s="281" t="str">
        <f>IFERROR(K86+L86,"")</f>
        <v>#ERROR!</v>
      </c>
      <c r="N86" s="233"/>
    </row>
    <row r="87">
      <c r="A87" s="303"/>
      <c r="B87" s="235"/>
      <c r="C87" s="235"/>
      <c r="D87" s="235"/>
      <c r="E87" s="235"/>
      <c r="F87" s="235" t="str">
        <f>IFERROR(INDEX(Recettes!C:C,MATCH(E87,Recettes!B:B,0)),"")</f>
        <v>#ERROR!</v>
      </c>
      <c r="G87" s="235"/>
      <c r="H87" s="235"/>
      <c r="I87" s="283"/>
      <c r="J87" s="304"/>
      <c r="K87" s="283" t="str">
        <f>IFERROR(H87*I87*(1-J87/100),"")</f>
        <v>#ERROR!</v>
      </c>
      <c r="L87" s="283" t="str">
        <f>IFERROR(K87*(INDEX(Config!B:B,MATCH("TVA "&amp;F87,Config!A:A,0))-1),"")</f>
        <v>#ERROR!</v>
      </c>
      <c r="M87" s="283" t="str">
        <f>IFERROR(K87+L87,"")</f>
        <v>#ERROR!</v>
      </c>
      <c r="N87" s="240"/>
    </row>
    <row r="88">
      <c r="A88" s="301"/>
      <c r="B88" s="227"/>
      <c r="C88" s="227"/>
      <c r="D88" s="227"/>
      <c r="E88" s="227"/>
      <c r="F88" s="227" t="str">
        <f>IFERROR(INDEX(Recettes!C:C,MATCH(E88,Recettes!B:B,0)),"")</f>
        <v>#ERROR!</v>
      </c>
      <c r="G88" s="227"/>
      <c r="H88" s="227"/>
      <c r="I88" s="281"/>
      <c r="J88" s="302"/>
      <c r="K88" s="281" t="str">
        <f>IFERROR(H88*I88*(1-J88/100),"")</f>
        <v>#ERROR!</v>
      </c>
      <c r="L88" s="281" t="str">
        <f>IFERROR(K88*(INDEX(Config!B:B,MATCH("TVA "&amp;F88,Config!A:A,0))-1),"")</f>
        <v>#ERROR!</v>
      </c>
      <c r="M88" s="281" t="str">
        <f>IFERROR(K88+L88,"")</f>
        <v>#ERROR!</v>
      </c>
      <c r="N88" s="233"/>
    </row>
    <row r="89">
      <c r="A89" s="303"/>
      <c r="B89" s="235"/>
      <c r="C89" s="235"/>
      <c r="D89" s="235"/>
      <c r="E89" s="235"/>
      <c r="F89" s="235" t="str">
        <f>IFERROR(INDEX(Recettes!C:C,MATCH(E89,Recettes!B:B,0)),"")</f>
        <v>#ERROR!</v>
      </c>
      <c r="G89" s="235"/>
      <c r="H89" s="235"/>
      <c r="I89" s="283"/>
      <c r="J89" s="304"/>
      <c r="K89" s="283" t="str">
        <f>IFERROR(H89*I89*(1-J89/100),"")</f>
        <v>#ERROR!</v>
      </c>
      <c r="L89" s="283" t="str">
        <f>IFERROR(K89*(INDEX(Config!B:B,MATCH("TVA "&amp;F89,Config!A:A,0))-1),"")</f>
        <v>#ERROR!</v>
      </c>
      <c r="M89" s="283" t="str">
        <f>IFERROR(K89+L89,"")</f>
        <v>#ERROR!</v>
      </c>
      <c r="N89" s="240"/>
    </row>
    <row r="90">
      <c r="A90" s="301"/>
      <c r="B90" s="227"/>
      <c r="C90" s="227"/>
      <c r="D90" s="227"/>
      <c r="E90" s="227"/>
      <c r="F90" s="227" t="str">
        <f>IFERROR(INDEX(Recettes!C:C,MATCH(E90,Recettes!B:B,0)),"")</f>
        <v>#ERROR!</v>
      </c>
      <c r="G90" s="227"/>
      <c r="H90" s="227"/>
      <c r="I90" s="281"/>
      <c r="J90" s="302"/>
      <c r="K90" s="281" t="str">
        <f>IFERROR(H90*I90*(1-J90/100),"")</f>
        <v>#ERROR!</v>
      </c>
      <c r="L90" s="281" t="str">
        <f>IFERROR(K90*(INDEX(Config!B:B,MATCH("TVA "&amp;F90,Config!A:A,0))-1),"")</f>
        <v>#ERROR!</v>
      </c>
      <c r="M90" s="281" t="str">
        <f>IFERROR(K90+L90,"")</f>
        <v>#ERROR!</v>
      </c>
      <c r="N90" s="233"/>
    </row>
    <row r="91">
      <c r="A91" s="303"/>
      <c r="B91" s="235"/>
      <c r="C91" s="235"/>
      <c r="D91" s="235"/>
      <c r="E91" s="235"/>
      <c r="F91" s="235" t="str">
        <f>IFERROR(INDEX(Recettes!C:C,MATCH(E91,Recettes!B:B,0)),"")</f>
        <v>#ERROR!</v>
      </c>
      <c r="G91" s="235"/>
      <c r="H91" s="235"/>
      <c r="I91" s="283"/>
      <c r="J91" s="304"/>
      <c r="K91" s="283" t="str">
        <f>IFERROR(H91*I91*(1-J91/100),"")</f>
        <v>#ERROR!</v>
      </c>
      <c r="L91" s="283" t="str">
        <f>IFERROR(K91*(INDEX(Config!B:B,MATCH("TVA "&amp;F91,Config!A:A,0))-1),"")</f>
        <v>#ERROR!</v>
      </c>
      <c r="M91" s="283" t="str">
        <f>IFERROR(K91+L91,"")</f>
        <v>#ERROR!</v>
      </c>
      <c r="N91" s="240"/>
    </row>
    <row r="92">
      <c r="A92" s="301"/>
      <c r="B92" s="227"/>
      <c r="C92" s="227"/>
      <c r="D92" s="227"/>
      <c r="E92" s="227"/>
      <c r="F92" s="227" t="str">
        <f>IFERROR(INDEX(Recettes!C:C,MATCH(E92,Recettes!B:B,0)),"")</f>
        <v>#ERROR!</v>
      </c>
      <c r="G92" s="227"/>
      <c r="H92" s="227"/>
      <c r="I92" s="281"/>
      <c r="J92" s="302"/>
      <c r="K92" s="281" t="str">
        <f>IFERROR(H92*I92*(1-J92/100),"")</f>
        <v>#ERROR!</v>
      </c>
      <c r="L92" s="281" t="str">
        <f>IFERROR(K92*(INDEX(Config!B:B,MATCH("TVA "&amp;F92,Config!A:A,0))-1),"")</f>
        <v>#ERROR!</v>
      </c>
      <c r="M92" s="281" t="str">
        <f>IFERROR(K92+L92,"")</f>
        <v>#ERROR!</v>
      </c>
      <c r="N92" s="233"/>
    </row>
    <row r="93">
      <c r="A93" s="303"/>
      <c r="B93" s="235"/>
      <c r="C93" s="235"/>
      <c r="D93" s="235"/>
      <c r="E93" s="235"/>
      <c r="F93" s="235" t="str">
        <f>IFERROR(INDEX(Recettes!C:C,MATCH(E93,Recettes!B:B,0)),"")</f>
        <v>#ERROR!</v>
      </c>
      <c r="G93" s="235"/>
      <c r="H93" s="235"/>
      <c r="I93" s="283"/>
      <c r="J93" s="304"/>
      <c r="K93" s="283" t="str">
        <f>IFERROR(H93*I93*(1-J93/100),"")</f>
        <v>#ERROR!</v>
      </c>
      <c r="L93" s="283" t="str">
        <f>IFERROR(K93*(INDEX(Config!B:B,MATCH("TVA "&amp;F93,Config!A:A,0))-1),"")</f>
        <v>#ERROR!</v>
      </c>
      <c r="M93" s="283" t="str">
        <f>IFERROR(K93+L93,"")</f>
        <v>#ERROR!</v>
      </c>
      <c r="N93" s="240"/>
    </row>
    <row r="94">
      <c r="A94" s="301"/>
      <c r="B94" s="227"/>
      <c r="C94" s="227"/>
      <c r="D94" s="227"/>
      <c r="E94" s="227"/>
      <c r="F94" s="227" t="str">
        <f>IFERROR(INDEX(Recettes!C:C,MATCH(E94,Recettes!B:B,0)),"")</f>
        <v>#ERROR!</v>
      </c>
      <c r="G94" s="227"/>
      <c r="H94" s="227"/>
      <c r="I94" s="281"/>
      <c r="J94" s="302"/>
      <c r="K94" s="281" t="str">
        <f>IFERROR(H94*I94*(1-J94/100),"")</f>
        <v>#ERROR!</v>
      </c>
      <c r="L94" s="281" t="str">
        <f>IFERROR(K94*(INDEX(Config!B:B,MATCH("TVA "&amp;F94,Config!A:A,0))-1),"")</f>
        <v>#ERROR!</v>
      </c>
      <c r="M94" s="281" t="str">
        <f>IFERROR(K94+L94,"")</f>
        <v>#ERROR!</v>
      </c>
      <c r="N94" s="233"/>
    </row>
    <row r="95">
      <c r="A95" s="303"/>
      <c r="B95" s="235"/>
      <c r="C95" s="235"/>
      <c r="D95" s="235"/>
      <c r="E95" s="235"/>
      <c r="F95" s="235" t="str">
        <f>IFERROR(INDEX(Recettes!C:C,MATCH(E95,Recettes!B:B,0)),"")</f>
        <v>#ERROR!</v>
      </c>
      <c r="G95" s="235"/>
      <c r="H95" s="235"/>
      <c r="I95" s="283"/>
      <c r="J95" s="304"/>
      <c r="K95" s="283" t="str">
        <f>IFERROR(H95*I95*(1-J95/100),"")</f>
        <v>#ERROR!</v>
      </c>
      <c r="L95" s="283" t="str">
        <f>IFERROR(K95*(INDEX(Config!B:B,MATCH("TVA "&amp;F95,Config!A:A,0))-1),"")</f>
        <v>#ERROR!</v>
      </c>
      <c r="M95" s="283" t="str">
        <f>IFERROR(K95+L95,"")</f>
        <v>#ERROR!</v>
      </c>
      <c r="N95" s="240"/>
    </row>
    <row r="96">
      <c r="A96" s="301"/>
      <c r="B96" s="227"/>
      <c r="C96" s="227"/>
      <c r="D96" s="227"/>
      <c r="E96" s="227"/>
      <c r="F96" s="227" t="str">
        <f>IFERROR(INDEX(Recettes!C:C,MATCH(E96,Recettes!B:B,0)),"")</f>
        <v>#ERROR!</v>
      </c>
      <c r="G96" s="227"/>
      <c r="H96" s="227"/>
      <c r="I96" s="281"/>
      <c r="J96" s="302"/>
      <c r="K96" s="281" t="str">
        <f>IFERROR(H96*I96*(1-J96/100),"")</f>
        <v>#ERROR!</v>
      </c>
      <c r="L96" s="281" t="str">
        <f>IFERROR(K96*(INDEX(Config!B:B,MATCH("TVA "&amp;F96,Config!A:A,0))-1),"")</f>
        <v>#ERROR!</v>
      </c>
      <c r="M96" s="281" t="str">
        <f>IFERROR(K96+L96,"")</f>
        <v>#ERROR!</v>
      </c>
      <c r="N96" s="233"/>
    </row>
    <row r="97">
      <c r="A97" s="303"/>
      <c r="B97" s="235"/>
      <c r="C97" s="235"/>
      <c r="D97" s="235"/>
      <c r="E97" s="235"/>
      <c r="F97" s="235" t="str">
        <f>IFERROR(INDEX(Recettes!C:C,MATCH(E97,Recettes!B:B,0)),"")</f>
        <v>#ERROR!</v>
      </c>
      <c r="G97" s="235"/>
      <c r="H97" s="235"/>
      <c r="I97" s="283"/>
      <c r="J97" s="304"/>
      <c r="K97" s="283" t="str">
        <f>IFERROR(H97*I97*(1-J97/100),"")</f>
        <v>#ERROR!</v>
      </c>
      <c r="L97" s="283" t="str">
        <f>IFERROR(K97*(INDEX(Config!B:B,MATCH("TVA "&amp;F97,Config!A:A,0))-1),"")</f>
        <v>#ERROR!</v>
      </c>
      <c r="M97" s="283" t="str">
        <f>IFERROR(K97+L97,"")</f>
        <v>#ERROR!</v>
      </c>
      <c r="N97" s="240"/>
    </row>
    <row r="98">
      <c r="A98" s="301"/>
      <c r="B98" s="227"/>
      <c r="C98" s="227"/>
      <c r="D98" s="227"/>
      <c r="E98" s="227"/>
      <c r="F98" s="227" t="str">
        <f>IFERROR(INDEX(Recettes!C:C,MATCH(E98,Recettes!B:B,0)),"")</f>
        <v>#ERROR!</v>
      </c>
      <c r="G98" s="227"/>
      <c r="H98" s="227"/>
      <c r="I98" s="281"/>
      <c r="J98" s="302"/>
      <c r="K98" s="281" t="str">
        <f>IFERROR(H98*I98*(1-J98/100),"")</f>
        <v>#ERROR!</v>
      </c>
      <c r="L98" s="281" t="str">
        <f>IFERROR(K98*(INDEX(Config!B:B,MATCH("TVA "&amp;F98,Config!A:A,0))-1),"")</f>
        <v>#ERROR!</v>
      </c>
      <c r="M98" s="281" t="str">
        <f>IFERROR(K98+L98,"")</f>
        <v>#ERROR!</v>
      </c>
      <c r="N98" s="233"/>
    </row>
    <row r="99">
      <c r="A99" s="303"/>
      <c r="B99" s="235"/>
      <c r="C99" s="235"/>
      <c r="D99" s="235"/>
      <c r="E99" s="235"/>
      <c r="F99" s="235" t="str">
        <f>IFERROR(INDEX(Recettes!C:C,MATCH(E99,Recettes!B:B,0)),"")</f>
        <v>#ERROR!</v>
      </c>
      <c r="G99" s="235"/>
      <c r="H99" s="235"/>
      <c r="I99" s="283"/>
      <c r="J99" s="304"/>
      <c r="K99" s="283" t="str">
        <f>IFERROR(H99*I99*(1-J99/100),"")</f>
        <v>#ERROR!</v>
      </c>
      <c r="L99" s="283" t="str">
        <f>IFERROR(K99*(INDEX(Config!B:B,MATCH("TVA "&amp;F99,Config!A:A,0))-1),"")</f>
        <v>#ERROR!</v>
      </c>
      <c r="M99" s="283" t="str">
        <f>IFERROR(K99+L99,"")</f>
        <v>#ERROR!</v>
      </c>
      <c r="N99" s="240"/>
    </row>
    <row r="100">
      <c r="A100" s="301"/>
      <c r="B100" s="227"/>
      <c r="C100" s="227"/>
      <c r="D100" s="227"/>
      <c r="E100" s="227"/>
      <c r="F100" s="227" t="str">
        <f>IFERROR(INDEX(Recettes!C:C,MATCH(E100,Recettes!B:B,0)),"")</f>
        <v>#ERROR!</v>
      </c>
      <c r="G100" s="227"/>
      <c r="H100" s="227"/>
      <c r="I100" s="281"/>
      <c r="J100" s="302"/>
      <c r="K100" s="281" t="str">
        <f>IFERROR(H100*I100*(1-J100/100),"")</f>
        <v>#ERROR!</v>
      </c>
      <c r="L100" s="281" t="str">
        <f>IFERROR(K100*(INDEX(Config!B:B,MATCH("TVA "&amp;F100,Config!A:A,0))-1),"")</f>
        <v>#ERROR!</v>
      </c>
      <c r="M100" s="281" t="str">
        <f>IFERROR(K100+L100,"")</f>
        <v>#ERROR!</v>
      </c>
      <c r="N100" s="233"/>
    </row>
    <row r="101">
      <c r="A101" s="303"/>
      <c r="B101" s="235"/>
      <c r="C101" s="235"/>
      <c r="D101" s="235"/>
      <c r="E101" s="235"/>
      <c r="F101" s="235" t="str">
        <f>IFERROR(INDEX(Recettes!C:C,MATCH(E101,Recettes!B:B,0)),"")</f>
        <v>#ERROR!</v>
      </c>
      <c r="G101" s="235"/>
      <c r="H101" s="235"/>
      <c r="I101" s="283"/>
      <c r="J101" s="304"/>
      <c r="K101" s="283" t="str">
        <f>IFERROR(H101*I101*(1-J101/100),"")</f>
        <v>#ERROR!</v>
      </c>
      <c r="L101" s="283" t="str">
        <f>IFERROR(K101*(INDEX(Config!B:B,MATCH("TVA "&amp;F101,Config!A:A,0))-1),"")</f>
        <v>#ERROR!</v>
      </c>
      <c r="M101" s="283" t="str">
        <f>IFERROR(K101+L101,"")</f>
        <v>#ERROR!</v>
      </c>
      <c r="N101" s="240"/>
    </row>
    <row r="102">
      <c r="A102" s="301"/>
      <c r="B102" s="227"/>
      <c r="C102" s="227"/>
      <c r="D102" s="227"/>
      <c r="E102" s="227"/>
      <c r="F102" s="227" t="str">
        <f>IFERROR(INDEX(Recettes!C:C,MATCH(E102,Recettes!B:B,0)),"")</f>
        <v>#ERROR!</v>
      </c>
      <c r="G102" s="227"/>
      <c r="H102" s="227"/>
      <c r="I102" s="281"/>
      <c r="J102" s="302"/>
      <c r="K102" s="281" t="str">
        <f>IFERROR(H102*I102*(1-J102/100),"")</f>
        <v>#ERROR!</v>
      </c>
      <c r="L102" s="281" t="str">
        <f>IFERROR(K102*(INDEX(Config!B:B,MATCH("TVA "&amp;F102,Config!A:A,0))-1),"")</f>
        <v>#ERROR!</v>
      </c>
      <c r="M102" s="281" t="str">
        <f>IFERROR(K102+L102,"")</f>
        <v>#ERROR!</v>
      </c>
      <c r="N102" s="233"/>
    </row>
    <row r="103">
      <c r="A103" s="303"/>
      <c r="B103" s="235"/>
      <c r="C103" s="235"/>
      <c r="D103" s="235"/>
      <c r="E103" s="235"/>
      <c r="F103" s="235" t="str">
        <f>IFERROR(INDEX(Recettes!C:C,MATCH(E103,Recettes!B:B,0)),"")</f>
        <v>#ERROR!</v>
      </c>
      <c r="G103" s="235"/>
      <c r="H103" s="235"/>
      <c r="I103" s="283"/>
      <c r="J103" s="304"/>
      <c r="K103" s="283" t="str">
        <f>IFERROR(H103*I103*(1-J103/100),"")</f>
        <v>#ERROR!</v>
      </c>
      <c r="L103" s="283" t="str">
        <f>IFERROR(K103*(INDEX(Config!B:B,MATCH("TVA "&amp;F103,Config!A:A,0))-1),"")</f>
        <v>#ERROR!</v>
      </c>
      <c r="M103" s="283" t="str">
        <f>IFERROR(K103+L103,"")</f>
        <v>#ERROR!</v>
      </c>
      <c r="N103" s="240"/>
    </row>
    <row r="104">
      <c r="A104" s="301"/>
      <c r="B104" s="227"/>
      <c r="C104" s="227"/>
      <c r="D104" s="227"/>
      <c r="E104" s="227"/>
      <c r="F104" s="227" t="str">
        <f>IFERROR(INDEX(Recettes!C:C,MATCH(E104,Recettes!B:B,0)),"")</f>
        <v>#ERROR!</v>
      </c>
      <c r="G104" s="227"/>
      <c r="H104" s="227"/>
      <c r="I104" s="281"/>
      <c r="J104" s="302"/>
      <c r="K104" s="281" t="str">
        <f>IFERROR(H104*I104*(1-J104/100),"")</f>
        <v>#ERROR!</v>
      </c>
      <c r="L104" s="281" t="str">
        <f>IFERROR(K104*(INDEX(Config!B:B,MATCH("TVA "&amp;F104,Config!A:A,0))-1),"")</f>
        <v>#ERROR!</v>
      </c>
      <c r="M104" s="281" t="str">
        <f>IFERROR(K104+L104,"")</f>
        <v>#ERROR!</v>
      </c>
      <c r="N104" s="233"/>
    </row>
    <row r="105">
      <c r="A105" s="303"/>
      <c r="B105" s="235"/>
      <c r="C105" s="235"/>
      <c r="D105" s="235"/>
      <c r="E105" s="235"/>
      <c r="F105" s="235" t="str">
        <f>IFERROR(INDEX(Recettes!C:C,MATCH(E105,Recettes!B:B,0)),"")</f>
        <v>#ERROR!</v>
      </c>
      <c r="G105" s="235"/>
      <c r="H105" s="235"/>
      <c r="I105" s="283"/>
      <c r="J105" s="304"/>
      <c r="K105" s="283" t="str">
        <f>IFERROR(H105*I105*(1-J105/100),"")</f>
        <v>#ERROR!</v>
      </c>
      <c r="L105" s="283" t="str">
        <f>IFERROR(K105*(INDEX(Config!B:B,MATCH("TVA "&amp;F105,Config!A:A,0))-1),"")</f>
        <v>#ERROR!</v>
      </c>
      <c r="M105" s="283" t="str">
        <f>IFERROR(K105+L105,"")</f>
        <v>#ERROR!</v>
      </c>
      <c r="N105" s="240"/>
    </row>
    <row r="106">
      <c r="A106" s="301"/>
      <c r="B106" s="227"/>
      <c r="C106" s="227"/>
      <c r="D106" s="227"/>
      <c r="E106" s="227"/>
      <c r="F106" s="227" t="str">
        <f>IFERROR(INDEX(Recettes!C:C,MATCH(E106,Recettes!B:B,0)),"")</f>
        <v>#ERROR!</v>
      </c>
      <c r="G106" s="227"/>
      <c r="H106" s="227"/>
      <c r="I106" s="281"/>
      <c r="J106" s="302"/>
      <c r="K106" s="281" t="str">
        <f>IFERROR(H106*I106*(1-J106/100),"")</f>
        <v>#ERROR!</v>
      </c>
      <c r="L106" s="281" t="str">
        <f>IFERROR(K106*(INDEX(Config!B:B,MATCH("TVA "&amp;F106,Config!A:A,0))-1),"")</f>
        <v>#ERROR!</v>
      </c>
      <c r="M106" s="281" t="str">
        <f>IFERROR(K106+L106,"")</f>
        <v>#ERROR!</v>
      </c>
      <c r="N106" s="233"/>
    </row>
    <row r="107">
      <c r="A107" s="303"/>
      <c r="B107" s="235"/>
      <c r="C107" s="235"/>
      <c r="D107" s="235"/>
      <c r="E107" s="235"/>
      <c r="F107" s="235" t="str">
        <f>IFERROR(INDEX(Recettes!C:C,MATCH(E107,Recettes!B:B,0)),"")</f>
        <v>#ERROR!</v>
      </c>
      <c r="G107" s="235"/>
      <c r="H107" s="235"/>
      <c r="I107" s="283"/>
      <c r="J107" s="304"/>
      <c r="K107" s="283" t="str">
        <f>IFERROR(H107*I107*(1-J107/100),"")</f>
        <v>#ERROR!</v>
      </c>
      <c r="L107" s="283" t="str">
        <f>IFERROR(K107*(INDEX(Config!B:B,MATCH("TVA "&amp;F107,Config!A:A,0))-1),"")</f>
        <v>#ERROR!</v>
      </c>
      <c r="M107" s="283" t="str">
        <f>IFERROR(K107+L107,"")</f>
        <v>#ERROR!</v>
      </c>
      <c r="N107" s="240"/>
    </row>
    <row r="108">
      <c r="A108" s="301"/>
      <c r="B108" s="227"/>
      <c r="C108" s="227"/>
      <c r="D108" s="227"/>
      <c r="E108" s="227"/>
      <c r="F108" s="227" t="str">
        <f>IFERROR(INDEX(Recettes!C:C,MATCH(E108,Recettes!B:B,0)),"")</f>
        <v>#ERROR!</v>
      </c>
      <c r="G108" s="227"/>
      <c r="H108" s="227"/>
      <c r="I108" s="281"/>
      <c r="J108" s="302"/>
      <c r="K108" s="281" t="str">
        <f>IFERROR(H108*I108*(1-J108/100),"")</f>
        <v>#ERROR!</v>
      </c>
      <c r="L108" s="281" t="str">
        <f>IFERROR(K108*(INDEX(Config!B:B,MATCH("TVA "&amp;F108,Config!A:A,0))-1),"")</f>
        <v>#ERROR!</v>
      </c>
      <c r="M108" s="281" t="str">
        <f>IFERROR(K108+L108,"")</f>
        <v>#ERROR!</v>
      </c>
      <c r="N108" s="233"/>
    </row>
    <row r="109">
      <c r="A109" s="303"/>
      <c r="B109" s="235"/>
      <c r="C109" s="235"/>
      <c r="D109" s="235"/>
      <c r="E109" s="235"/>
      <c r="F109" s="235" t="str">
        <f>IFERROR(INDEX(Recettes!C:C,MATCH(E109,Recettes!B:B,0)),"")</f>
        <v>#ERROR!</v>
      </c>
      <c r="G109" s="235"/>
      <c r="H109" s="235"/>
      <c r="I109" s="283"/>
      <c r="J109" s="304"/>
      <c r="K109" s="283" t="str">
        <f>IFERROR(H109*I109*(1-J109/100),"")</f>
        <v>#ERROR!</v>
      </c>
      <c r="L109" s="283" t="str">
        <f>IFERROR(K109*(INDEX(Config!B:B,MATCH("TVA "&amp;F109,Config!A:A,0))-1),"")</f>
        <v>#ERROR!</v>
      </c>
      <c r="M109" s="283" t="str">
        <f>IFERROR(K109+L109,"")</f>
        <v>#ERROR!</v>
      </c>
      <c r="N109" s="240"/>
    </row>
    <row r="110">
      <c r="A110" s="301"/>
      <c r="B110" s="227"/>
      <c r="C110" s="227"/>
      <c r="D110" s="227"/>
      <c r="E110" s="227"/>
      <c r="F110" s="227" t="str">
        <f>IFERROR(INDEX(Recettes!C:C,MATCH(E110,Recettes!B:B,0)),"")</f>
        <v>#ERROR!</v>
      </c>
      <c r="G110" s="227"/>
      <c r="H110" s="227"/>
      <c r="I110" s="281"/>
      <c r="J110" s="302"/>
      <c r="K110" s="281" t="str">
        <f>IFERROR(H110*I110*(1-J110/100),"")</f>
        <v>#ERROR!</v>
      </c>
      <c r="L110" s="281" t="str">
        <f>IFERROR(K110*(INDEX(Config!B:B,MATCH("TVA "&amp;F110,Config!A:A,0))-1),"")</f>
        <v>#ERROR!</v>
      </c>
      <c r="M110" s="281" t="str">
        <f>IFERROR(K110+L110,"")</f>
        <v>#ERROR!</v>
      </c>
      <c r="N110" s="233"/>
    </row>
    <row r="111">
      <c r="A111" s="303"/>
      <c r="B111" s="235"/>
      <c r="C111" s="235"/>
      <c r="D111" s="235"/>
      <c r="E111" s="235"/>
      <c r="F111" s="235" t="str">
        <f>IFERROR(INDEX(Recettes!C:C,MATCH(E111,Recettes!B:B,0)),"")</f>
        <v>#ERROR!</v>
      </c>
      <c r="G111" s="235"/>
      <c r="H111" s="235"/>
      <c r="I111" s="283"/>
      <c r="J111" s="304"/>
      <c r="K111" s="283" t="str">
        <f>IFERROR(H111*I111*(1-J111/100),"")</f>
        <v>#ERROR!</v>
      </c>
      <c r="L111" s="283" t="str">
        <f>IFERROR(K111*(INDEX(Config!B:B,MATCH("TVA "&amp;F111,Config!A:A,0))-1),"")</f>
        <v>#ERROR!</v>
      </c>
      <c r="M111" s="283" t="str">
        <f>IFERROR(K111+L111,"")</f>
        <v>#ERROR!</v>
      </c>
      <c r="N111" s="240"/>
    </row>
    <row r="112">
      <c r="A112" s="301"/>
      <c r="B112" s="227"/>
      <c r="C112" s="227"/>
      <c r="D112" s="227"/>
      <c r="E112" s="227"/>
      <c r="F112" s="227" t="str">
        <f>IFERROR(INDEX(Recettes!C:C,MATCH(E112,Recettes!B:B,0)),"")</f>
        <v>#ERROR!</v>
      </c>
      <c r="G112" s="227"/>
      <c r="H112" s="227"/>
      <c r="I112" s="281"/>
      <c r="J112" s="302"/>
      <c r="K112" s="281" t="str">
        <f>IFERROR(H112*I112*(1-J112/100),"")</f>
        <v>#ERROR!</v>
      </c>
      <c r="L112" s="281" t="str">
        <f>IFERROR(K112*(INDEX(Config!B:B,MATCH("TVA "&amp;F112,Config!A:A,0))-1),"")</f>
        <v>#ERROR!</v>
      </c>
      <c r="M112" s="281" t="str">
        <f>IFERROR(K112+L112,"")</f>
        <v>#ERROR!</v>
      </c>
      <c r="N112" s="233"/>
    </row>
    <row r="113">
      <c r="A113" s="303"/>
      <c r="B113" s="235"/>
      <c r="C113" s="235"/>
      <c r="D113" s="235"/>
      <c r="E113" s="235"/>
      <c r="F113" s="235" t="str">
        <f>IFERROR(INDEX(Recettes!C:C,MATCH(E113,Recettes!B:B,0)),"")</f>
        <v>#ERROR!</v>
      </c>
      <c r="G113" s="235"/>
      <c r="H113" s="235"/>
      <c r="I113" s="283"/>
      <c r="J113" s="304"/>
      <c r="K113" s="283" t="str">
        <f>IFERROR(H113*I113*(1-J113/100),"")</f>
        <v>#ERROR!</v>
      </c>
      <c r="L113" s="283" t="str">
        <f>IFERROR(K113*(INDEX(Config!B:B,MATCH("TVA "&amp;F113,Config!A:A,0))-1),"")</f>
        <v>#ERROR!</v>
      </c>
      <c r="M113" s="283" t="str">
        <f>IFERROR(K113+L113,"")</f>
        <v>#ERROR!</v>
      </c>
      <c r="N113" s="240"/>
    </row>
    <row r="114">
      <c r="A114" s="301"/>
      <c r="B114" s="227"/>
      <c r="C114" s="227"/>
      <c r="D114" s="227"/>
      <c r="E114" s="227"/>
      <c r="F114" s="227" t="str">
        <f>IFERROR(INDEX(Recettes!C:C,MATCH(E114,Recettes!B:B,0)),"")</f>
        <v>#ERROR!</v>
      </c>
      <c r="G114" s="227"/>
      <c r="H114" s="227"/>
      <c r="I114" s="281"/>
      <c r="J114" s="302"/>
      <c r="K114" s="281" t="str">
        <f>IFERROR(H114*I114*(1-J114/100),"")</f>
        <v>#ERROR!</v>
      </c>
      <c r="L114" s="281" t="str">
        <f>IFERROR(K114*(INDEX(Config!B:B,MATCH("TVA "&amp;F114,Config!A:A,0))-1),"")</f>
        <v>#ERROR!</v>
      </c>
      <c r="M114" s="281" t="str">
        <f>IFERROR(K114+L114,"")</f>
        <v>#ERROR!</v>
      </c>
      <c r="N114" s="233"/>
    </row>
    <row r="115">
      <c r="A115" s="303"/>
      <c r="B115" s="235"/>
      <c r="C115" s="235"/>
      <c r="D115" s="235"/>
      <c r="E115" s="235"/>
      <c r="F115" s="235" t="str">
        <f>IFERROR(INDEX(Recettes!C:C,MATCH(E115,Recettes!B:B,0)),"")</f>
        <v>#ERROR!</v>
      </c>
      <c r="G115" s="235"/>
      <c r="H115" s="235"/>
      <c r="I115" s="283"/>
      <c r="J115" s="304"/>
      <c r="K115" s="283" t="str">
        <f>IFERROR(H115*I115*(1-J115/100),"")</f>
        <v>#ERROR!</v>
      </c>
      <c r="L115" s="283" t="str">
        <f>IFERROR(K115*(INDEX(Config!B:B,MATCH("TVA "&amp;F115,Config!A:A,0))-1),"")</f>
        <v>#ERROR!</v>
      </c>
      <c r="M115" s="283" t="str">
        <f>IFERROR(K115+L115,"")</f>
        <v>#ERROR!</v>
      </c>
      <c r="N115" s="240"/>
    </row>
    <row r="116">
      <c r="A116" s="301"/>
      <c r="B116" s="227"/>
      <c r="C116" s="227"/>
      <c r="D116" s="227"/>
      <c r="E116" s="227"/>
      <c r="F116" s="227" t="str">
        <f>IFERROR(INDEX(Recettes!C:C,MATCH(E116,Recettes!B:B,0)),"")</f>
        <v>#ERROR!</v>
      </c>
      <c r="G116" s="227"/>
      <c r="H116" s="227"/>
      <c r="I116" s="281"/>
      <c r="J116" s="302"/>
      <c r="K116" s="281" t="str">
        <f>IFERROR(H116*I116*(1-J116/100),"")</f>
        <v>#ERROR!</v>
      </c>
      <c r="L116" s="281" t="str">
        <f>IFERROR(K116*(INDEX(Config!B:B,MATCH("TVA "&amp;F116,Config!A:A,0))-1),"")</f>
        <v>#ERROR!</v>
      </c>
      <c r="M116" s="281" t="str">
        <f>IFERROR(K116+L116,"")</f>
        <v>#ERROR!</v>
      </c>
      <c r="N116" s="233"/>
    </row>
    <row r="117">
      <c r="A117" s="303"/>
      <c r="B117" s="235"/>
      <c r="C117" s="235"/>
      <c r="D117" s="235"/>
      <c r="E117" s="235"/>
      <c r="F117" s="235" t="str">
        <f>IFERROR(INDEX(Recettes!C:C,MATCH(E117,Recettes!B:B,0)),"")</f>
        <v>#ERROR!</v>
      </c>
      <c r="G117" s="235"/>
      <c r="H117" s="235"/>
      <c r="I117" s="283"/>
      <c r="J117" s="304"/>
      <c r="K117" s="283" t="str">
        <f>IFERROR(H117*I117*(1-J117/100),"")</f>
        <v>#ERROR!</v>
      </c>
      <c r="L117" s="283" t="str">
        <f>IFERROR(K117*(INDEX(Config!B:B,MATCH("TVA "&amp;F117,Config!A:A,0))-1),"")</f>
        <v>#ERROR!</v>
      </c>
      <c r="M117" s="283" t="str">
        <f>IFERROR(K117+L117,"")</f>
        <v>#ERROR!</v>
      </c>
      <c r="N117" s="240"/>
    </row>
    <row r="118">
      <c r="A118" s="301"/>
      <c r="B118" s="227"/>
      <c r="C118" s="227"/>
      <c r="D118" s="227"/>
      <c r="E118" s="227"/>
      <c r="F118" s="227" t="str">
        <f>IFERROR(INDEX(Recettes!C:C,MATCH(E118,Recettes!B:B,0)),"")</f>
        <v>#ERROR!</v>
      </c>
      <c r="G118" s="227"/>
      <c r="H118" s="227"/>
      <c r="I118" s="281"/>
      <c r="J118" s="302"/>
      <c r="K118" s="281" t="str">
        <f>IFERROR(H118*I118*(1-J118/100),"")</f>
        <v>#ERROR!</v>
      </c>
      <c r="L118" s="281" t="str">
        <f>IFERROR(K118*(INDEX(Config!B:B,MATCH("TVA "&amp;F118,Config!A:A,0))-1),"")</f>
        <v>#ERROR!</v>
      </c>
      <c r="M118" s="281" t="str">
        <f>IFERROR(K118+L118,"")</f>
        <v>#ERROR!</v>
      </c>
      <c r="N118" s="233"/>
    </row>
    <row r="119">
      <c r="A119" s="303"/>
      <c r="B119" s="235"/>
      <c r="C119" s="235"/>
      <c r="D119" s="235"/>
      <c r="E119" s="235"/>
      <c r="F119" s="235" t="str">
        <f>IFERROR(INDEX(Recettes!C:C,MATCH(E119,Recettes!B:B,0)),"")</f>
        <v>#ERROR!</v>
      </c>
      <c r="G119" s="235"/>
      <c r="H119" s="235"/>
      <c r="I119" s="283"/>
      <c r="J119" s="304"/>
      <c r="K119" s="283" t="str">
        <f>IFERROR(H119*I119*(1-J119/100),"")</f>
        <v>#ERROR!</v>
      </c>
      <c r="L119" s="283" t="str">
        <f>IFERROR(K119*(INDEX(Config!B:B,MATCH("TVA "&amp;F119,Config!A:A,0))-1),"")</f>
        <v>#ERROR!</v>
      </c>
      <c r="M119" s="283" t="str">
        <f>IFERROR(K119+L119,"")</f>
        <v>#ERROR!</v>
      </c>
      <c r="N119" s="240"/>
    </row>
    <row r="120">
      <c r="A120" s="301"/>
      <c r="B120" s="227"/>
      <c r="C120" s="227"/>
      <c r="D120" s="227"/>
      <c r="E120" s="227"/>
      <c r="F120" s="227" t="str">
        <f>IFERROR(INDEX(Recettes!C:C,MATCH(E120,Recettes!B:B,0)),"")</f>
        <v>#ERROR!</v>
      </c>
      <c r="G120" s="227"/>
      <c r="H120" s="227"/>
      <c r="I120" s="281"/>
      <c r="J120" s="302"/>
      <c r="K120" s="281" t="str">
        <f>IFERROR(H120*I120*(1-J120/100),"")</f>
        <v>#ERROR!</v>
      </c>
      <c r="L120" s="281" t="str">
        <f>IFERROR(K120*(INDEX(Config!B:B,MATCH("TVA "&amp;F120,Config!A:A,0))-1),"")</f>
        <v>#ERROR!</v>
      </c>
      <c r="M120" s="281" t="str">
        <f>IFERROR(K120+L120,"")</f>
        <v>#ERROR!</v>
      </c>
      <c r="N120" s="233"/>
    </row>
    <row r="121">
      <c r="A121" s="303"/>
      <c r="B121" s="235"/>
      <c r="C121" s="235"/>
      <c r="D121" s="235"/>
      <c r="E121" s="235"/>
      <c r="F121" s="235" t="str">
        <f>IFERROR(INDEX(Recettes!C:C,MATCH(E121,Recettes!B:B,0)),"")</f>
        <v>#ERROR!</v>
      </c>
      <c r="G121" s="235"/>
      <c r="H121" s="235"/>
      <c r="I121" s="283"/>
      <c r="J121" s="304"/>
      <c r="K121" s="283" t="str">
        <f>IFERROR(H121*I121*(1-J121/100),"")</f>
        <v>#ERROR!</v>
      </c>
      <c r="L121" s="283" t="str">
        <f>IFERROR(K121*(INDEX(Config!B:B,MATCH("TVA "&amp;F121,Config!A:A,0))-1),"")</f>
        <v>#ERROR!</v>
      </c>
      <c r="M121" s="283" t="str">
        <f>IFERROR(K121+L121,"")</f>
        <v>#ERROR!</v>
      </c>
      <c r="N121" s="240"/>
    </row>
    <row r="122">
      <c r="A122" s="301"/>
      <c r="B122" s="227"/>
      <c r="C122" s="227"/>
      <c r="D122" s="227"/>
      <c r="E122" s="227"/>
      <c r="F122" s="227" t="str">
        <f>IFERROR(INDEX(Recettes!C:C,MATCH(E122,Recettes!B:B,0)),"")</f>
        <v>#ERROR!</v>
      </c>
      <c r="G122" s="227"/>
      <c r="H122" s="227"/>
      <c r="I122" s="281"/>
      <c r="J122" s="302"/>
      <c r="K122" s="281" t="str">
        <f>IFERROR(H122*I122*(1-J122/100),"")</f>
        <v>#ERROR!</v>
      </c>
      <c r="L122" s="281" t="str">
        <f>IFERROR(K122*(INDEX(Config!B:B,MATCH("TVA "&amp;F122,Config!A:A,0))-1),"")</f>
        <v>#ERROR!</v>
      </c>
      <c r="M122" s="281" t="str">
        <f>IFERROR(K122+L122,"")</f>
        <v>#ERROR!</v>
      </c>
      <c r="N122" s="233"/>
    </row>
    <row r="123">
      <c r="A123" s="303"/>
      <c r="B123" s="235"/>
      <c r="C123" s="235"/>
      <c r="D123" s="235"/>
      <c r="E123" s="235"/>
      <c r="F123" s="235" t="str">
        <f>IFERROR(INDEX(Recettes!C:C,MATCH(E123,Recettes!B:B,0)),"")</f>
        <v>#ERROR!</v>
      </c>
      <c r="G123" s="235"/>
      <c r="H123" s="235"/>
      <c r="I123" s="283"/>
      <c r="J123" s="304"/>
      <c r="K123" s="283" t="str">
        <f>IFERROR(H123*I123*(1-J123/100),"")</f>
        <v>#ERROR!</v>
      </c>
      <c r="L123" s="283" t="str">
        <f>IFERROR(K123*(INDEX(Config!B:B,MATCH("TVA "&amp;F123,Config!A:A,0))-1),"")</f>
        <v>#ERROR!</v>
      </c>
      <c r="M123" s="283" t="str">
        <f>IFERROR(K123+L123,"")</f>
        <v>#ERROR!</v>
      </c>
      <c r="N123" s="240"/>
    </row>
    <row r="124">
      <c r="A124" s="301"/>
      <c r="B124" s="227"/>
      <c r="C124" s="227"/>
      <c r="D124" s="227"/>
      <c r="E124" s="227"/>
      <c r="F124" s="227" t="str">
        <f>IFERROR(INDEX(Recettes!C:C,MATCH(E124,Recettes!B:B,0)),"")</f>
        <v>#ERROR!</v>
      </c>
      <c r="G124" s="227"/>
      <c r="H124" s="227"/>
      <c r="I124" s="281"/>
      <c r="J124" s="302"/>
      <c r="K124" s="281" t="str">
        <f>IFERROR(H124*I124*(1-J124/100),"")</f>
        <v>#ERROR!</v>
      </c>
      <c r="L124" s="281" t="str">
        <f>IFERROR(K124*(INDEX(Config!B:B,MATCH("TVA "&amp;F124,Config!A:A,0))-1),"")</f>
        <v>#ERROR!</v>
      </c>
      <c r="M124" s="281" t="str">
        <f>IFERROR(K124+L124,"")</f>
        <v>#ERROR!</v>
      </c>
      <c r="N124" s="233"/>
    </row>
    <row r="125">
      <c r="A125" s="303"/>
      <c r="B125" s="235"/>
      <c r="C125" s="235"/>
      <c r="D125" s="235"/>
      <c r="E125" s="235"/>
      <c r="F125" s="235" t="str">
        <f>IFERROR(INDEX(Recettes!C:C,MATCH(E125,Recettes!B:B,0)),"")</f>
        <v>#ERROR!</v>
      </c>
      <c r="G125" s="235"/>
      <c r="H125" s="235"/>
      <c r="I125" s="283"/>
      <c r="J125" s="304"/>
      <c r="K125" s="283" t="str">
        <f>IFERROR(H125*I125*(1-J125/100),"")</f>
        <v>#ERROR!</v>
      </c>
      <c r="L125" s="283" t="str">
        <f>IFERROR(K125*(INDEX(Config!B:B,MATCH("TVA "&amp;F125,Config!A:A,0))-1),"")</f>
        <v>#ERROR!</v>
      </c>
      <c r="M125" s="283" t="str">
        <f>IFERROR(K125+L125,"")</f>
        <v>#ERROR!</v>
      </c>
      <c r="N125" s="240"/>
    </row>
    <row r="126">
      <c r="A126" s="301"/>
      <c r="B126" s="227"/>
      <c r="C126" s="227"/>
      <c r="D126" s="227"/>
      <c r="E126" s="227"/>
      <c r="F126" s="227" t="str">
        <f>IFERROR(INDEX(Recettes!C:C,MATCH(E126,Recettes!B:B,0)),"")</f>
        <v>#ERROR!</v>
      </c>
      <c r="G126" s="227"/>
      <c r="H126" s="227"/>
      <c r="I126" s="281"/>
      <c r="J126" s="302"/>
      <c r="K126" s="281" t="str">
        <f>IFERROR(H126*I126*(1-J126/100),"")</f>
        <v>#ERROR!</v>
      </c>
      <c r="L126" s="281" t="str">
        <f>IFERROR(K126*(INDEX(Config!B:B,MATCH("TVA "&amp;F126,Config!A:A,0))-1),"")</f>
        <v>#ERROR!</v>
      </c>
      <c r="M126" s="281" t="str">
        <f>IFERROR(K126+L126,"")</f>
        <v>#ERROR!</v>
      </c>
      <c r="N126" s="233"/>
    </row>
    <row r="127">
      <c r="A127" s="303"/>
      <c r="B127" s="235"/>
      <c r="C127" s="235"/>
      <c r="D127" s="235"/>
      <c r="E127" s="235"/>
      <c r="F127" s="235" t="str">
        <f>IFERROR(INDEX(Recettes!C:C,MATCH(E127,Recettes!B:B,0)),"")</f>
        <v>#ERROR!</v>
      </c>
      <c r="G127" s="235"/>
      <c r="H127" s="235"/>
      <c r="I127" s="283"/>
      <c r="J127" s="304"/>
      <c r="K127" s="283" t="str">
        <f>IFERROR(H127*I127*(1-J127/100),"")</f>
        <v>#ERROR!</v>
      </c>
      <c r="L127" s="283" t="str">
        <f>IFERROR(K127*(INDEX(Config!B:B,MATCH("TVA "&amp;F127,Config!A:A,0))-1),"")</f>
        <v>#ERROR!</v>
      </c>
      <c r="M127" s="283" t="str">
        <f>IFERROR(K127+L127,"")</f>
        <v>#ERROR!</v>
      </c>
      <c r="N127" s="240"/>
    </row>
    <row r="128">
      <c r="A128" s="301"/>
      <c r="B128" s="227"/>
      <c r="C128" s="227"/>
      <c r="D128" s="227"/>
      <c r="E128" s="227"/>
      <c r="F128" s="227" t="str">
        <f>IFERROR(INDEX(Recettes!C:C,MATCH(E128,Recettes!B:B,0)),"")</f>
        <v>#ERROR!</v>
      </c>
      <c r="G128" s="227"/>
      <c r="H128" s="227"/>
      <c r="I128" s="281"/>
      <c r="J128" s="302"/>
      <c r="K128" s="281" t="str">
        <f>IFERROR(H128*I128*(1-J128/100),"")</f>
        <v>#ERROR!</v>
      </c>
      <c r="L128" s="281" t="str">
        <f>IFERROR(K128*(INDEX(Config!B:B,MATCH("TVA "&amp;F128,Config!A:A,0))-1),"")</f>
        <v>#ERROR!</v>
      </c>
      <c r="M128" s="281" t="str">
        <f>IFERROR(K128+L128,"")</f>
        <v>#ERROR!</v>
      </c>
      <c r="N128" s="233"/>
    </row>
    <row r="129">
      <c r="A129" s="303"/>
      <c r="B129" s="235"/>
      <c r="C129" s="235"/>
      <c r="D129" s="235"/>
      <c r="E129" s="235"/>
      <c r="F129" s="235" t="str">
        <f>IFERROR(INDEX(Recettes!C:C,MATCH(E129,Recettes!B:B,0)),"")</f>
        <v>#ERROR!</v>
      </c>
      <c r="G129" s="235"/>
      <c r="H129" s="235"/>
      <c r="I129" s="283"/>
      <c r="J129" s="304"/>
      <c r="K129" s="283" t="str">
        <f>IFERROR(H129*I129*(1-J129/100),"")</f>
        <v>#ERROR!</v>
      </c>
      <c r="L129" s="283" t="str">
        <f>IFERROR(K129*(INDEX(Config!B:B,MATCH("TVA "&amp;F129,Config!A:A,0))-1),"")</f>
        <v>#ERROR!</v>
      </c>
      <c r="M129" s="283" t="str">
        <f>IFERROR(K129+L129,"")</f>
        <v>#ERROR!</v>
      </c>
      <c r="N129" s="240"/>
    </row>
    <row r="130">
      <c r="A130" s="301"/>
      <c r="B130" s="227"/>
      <c r="C130" s="227"/>
      <c r="D130" s="227"/>
      <c r="E130" s="227"/>
      <c r="F130" s="227" t="str">
        <f>IFERROR(INDEX(Recettes!C:C,MATCH(E130,Recettes!B:B,0)),"")</f>
        <v>#ERROR!</v>
      </c>
      <c r="G130" s="227"/>
      <c r="H130" s="227"/>
      <c r="I130" s="281"/>
      <c r="J130" s="302"/>
      <c r="K130" s="281" t="str">
        <f>IFERROR(H130*I130*(1-J130/100),"")</f>
        <v>#ERROR!</v>
      </c>
      <c r="L130" s="281" t="str">
        <f>IFERROR(K130*(INDEX(Config!B:B,MATCH("TVA "&amp;F130,Config!A:A,0))-1),"")</f>
        <v>#ERROR!</v>
      </c>
      <c r="M130" s="281" t="str">
        <f>IFERROR(K130+L130,"")</f>
        <v>#ERROR!</v>
      </c>
      <c r="N130" s="233"/>
    </row>
    <row r="131">
      <c r="A131" s="303"/>
      <c r="B131" s="235"/>
      <c r="C131" s="235"/>
      <c r="D131" s="235"/>
      <c r="E131" s="235"/>
      <c r="F131" s="235" t="str">
        <f>IFERROR(INDEX(Recettes!C:C,MATCH(E131,Recettes!B:B,0)),"")</f>
        <v>#ERROR!</v>
      </c>
      <c r="G131" s="235"/>
      <c r="H131" s="235"/>
      <c r="I131" s="283"/>
      <c r="J131" s="304"/>
      <c r="K131" s="283" t="str">
        <f>IFERROR(H131*I131*(1-J131/100),"")</f>
        <v>#ERROR!</v>
      </c>
      <c r="L131" s="283" t="str">
        <f>IFERROR(K131*(INDEX(Config!B:B,MATCH("TVA "&amp;F131,Config!A:A,0))-1),"")</f>
        <v>#ERROR!</v>
      </c>
      <c r="M131" s="283" t="str">
        <f>IFERROR(K131+L131,"")</f>
        <v>#ERROR!</v>
      </c>
      <c r="N131" s="240"/>
    </row>
    <row r="132">
      <c r="A132" s="301"/>
      <c r="B132" s="227"/>
      <c r="C132" s="227"/>
      <c r="D132" s="227"/>
      <c r="E132" s="227"/>
      <c r="F132" s="227" t="str">
        <f>IFERROR(INDEX(Recettes!C:C,MATCH(E132,Recettes!B:B,0)),"")</f>
        <v>#ERROR!</v>
      </c>
      <c r="G132" s="227"/>
      <c r="H132" s="227"/>
      <c r="I132" s="281"/>
      <c r="J132" s="302"/>
      <c r="K132" s="281" t="str">
        <f>IFERROR(H132*I132*(1-J132/100),"")</f>
        <v>#ERROR!</v>
      </c>
      <c r="L132" s="281" t="str">
        <f>IFERROR(K132*(INDEX(Config!B:B,MATCH("TVA "&amp;F132,Config!A:A,0))-1),"")</f>
        <v>#ERROR!</v>
      </c>
      <c r="M132" s="281" t="str">
        <f>IFERROR(K132+L132,"")</f>
        <v>#ERROR!</v>
      </c>
      <c r="N132" s="233"/>
    </row>
    <row r="133">
      <c r="A133" s="303"/>
      <c r="B133" s="235"/>
      <c r="C133" s="235"/>
      <c r="D133" s="235"/>
      <c r="E133" s="235"/>
      <c r="F133" s="235" t="str">
        <f>IFERROR(INDEX(Recettes!C:C,MATCH(E133,Recettes!B:B,0)),"")</f>
        <v>#ERROR!</v>
      </c>
      <c r="G133" s="235"/>
      <c r="H133" s="235"/>
      <c r="I133" s="283"/>
      <c r="J133" s="304"/>
      <c r="K133" s="283" t="str">
        <f>IFERROR(H133*I133*(1-J133/100),"")</f>
        <v>#ERROR!</v>
      </c>
      <c r="L133" s="283" t="str">
        <f>IFERROR(K133*(INDEX(Config!B:B,MATCH("TVA "&amp;F133,Config!A:A,0))-1),"")</f>
        <v>#ERROR!</v>
      </c>
      <c r="M133" s="283" t="str">
        <f>IFERROR(K133+L133,"")</f>
        <v>#ERROR!</v>
      </c>
      <c r="N133" s="240"/>
    </row>
    <row r="134">
      <c r="A134" s="301"/>
      <c r="B134" s="227"/>
      <c r="C134" s="227"/>
      <c r="D134" s="227"/>
      <c r="E134" s="227"/>
      <c r="F134" s="227" t="str">
        <f>IFERROR(INDEX(Recettes!C:C,MATCH(E134,Recettes!B:B,0)),"")</f>
        <v>#ERROR!</v>
      </c>
      <c r="G134" s="227"/>
      <c r="H134" s="227"/>
      <c r="I134" s="281"/>
      <c r="J134" s="302"/>
      <c r="K134" s="281" t="str">
        <f>IFERROR(H134*I134*(1-J134/100),"")</f>
        <v>#ERROR!</v>
      </c>
      <c r="L134" s="281" t="str">
        <f>IFERROR(K134*(INDEX(Config!B:B,MATCH("TVA "&amp;F134,Config!A:A,0))-1),"")</f>
        <v>#ERROR!</v>
      </c>
      <c r="M134" s="281" t="str">
        <f>IFERROR(K134+L134,"")</f>
        <v>#ERROR!</v>
      </c>
      <c r="N134" s="233"/>
    </row>
    <row r="135">
      <c r="A135" s="303"/>
      <c r="B135" s="235"/>
      <c r="C135" s="235"/>
      <c r="D135" s="235"/>
      <c r="E135" s="235"/>
      <c r="F135" s="235" t="str">
        <f>IFERROR(INDEX(Recettes!C:C,MATCH(E135,Recettes!B:B,0)),"")</f>
        <v>#ERROR!</v>
      </c>
      <c r="G135" s="235"/>
      <c r="H135" s="235"/>
      <c r="I135" s="283"/>
      <c r="J135" s="304"/>
      <c r="K135" s="283" t="str">
        <f>IFERROR(H135*I135*(1-J135/100),"")</f>
        <v>#ERROR!</v>
      </c>
      <c r="L135" s="283" t="str">
        <f>IFERROR(K135*(INDEX(Config!B:B,MATCH("TVA "&amp;F135,Config!A:A,0))-1),"")</f>
        <v>#ERROR!</v>
      </c>
      <c r="M135" s="283" t="str">
        <f>IFERROR(K135+L135,"")</f>
        <v>#ERROR!</v>
      </c>
      <c r="N135" s="240"/>
    </row>
    <row r="136">
      <c r="A136" s="301"/>
      <c r="B136" s="227"/>
      <c r="C136" s="227"/>
      <c r="D136" s="227"/>
      <c r="E136" s="227"/>
      <c r="F136" s="227" t="str">
        <f>IFERROR(INDEX(Recettes!C:C,MATCH(E136,Recettes!B:B,0)),"")</f>
        <v>#ERROR!</v>
      </c>
      <c r="G136" s="227"/>
      <c r="H136" s="227"/>
      <c r="I136" s="281"/>
      <c r="J136" s="302"/>
      <c r="K136" s="281" t="str">
        <f>IFERROR(H136*I136*(1-J136/100),"")</f>
        <v>#ERROR!</v>
      </c>
      <c r="L136" s="281" t="str">
        <f>IFERROR(K136*(INDEX(Config!B:B,MATCH("TVA "&amp;F136,Config!A:A,0))-1),"")</f>
        <v>#ERROR!</v>
      </c>
      <c r="M136" s="281" t="str">
        <f>IFERROR(K136+L136,"")</f>
        <v>#ERROR!</v>
      </c>
      <c r="N136" s="233"/>
    </row>
    <row r="137">
      <c r="A137" s="303"/>
      <c r="B137" s="235"/>
      <c r="C137" s="235"/>
      <c r="D137" s="235"/>
      <c r="E137" s="235"/>
      <c r="F137" s="235" t="str">
        <f>IFERROR(INDEX(Recettes!C:C,MATCH(E137,Recettes!B:B,0)),"")</f>
        <v>#ERROR!</v>
      </c>
      <c r="G137" s="235"/>
      <c r="H137" s="235"/>
      <c r="I137" s="283"/>
      <c r="J137" s="304"/>
      <c r="K137" s="283" t="str">
        <f>IFERROR(H137*I137*(1-J137/100),"")</f>
        <v>#ERROR!</v>
      </c>
      <c r="L137" s="283" t="str">
        <f>IFERROR(K137*(INDEX(Config!B:B,MATCH("TVA "&amp;F137,Config!A:A,0))-1),"")</f>
        <v>#ERROR!</v>
      </c>
      <c r="M137" s="283" t="str">
        <f>IFERROR(K137+L137,"")</f>
        <v>#ERROR!</v>
      </c>
      <c r="N137" s="240"/>
    </row>
    <row r="138">
      <c r="A138" s="301"/>
      <c r="B138" s="227"/>
      <c r="C138" s="227"/>
      <c r="D138" s="227"/>
      <c r="E138" s="227"/>
      <c r="F138" s="227" t="str">
        <f>IFERROR(INDEX(Recettes!C:C,MATCH(E138,Recettes!B:B,0)),"")</f>
        <v>#ERROR!</v>
      </c>
      <c r="G138" s="227"/>
      <c r="H138" s="227"/>
      <c r="I138" s="281"/>
      <c r="J138" s="302"/>
      <c r="K138" s="281" t="str">
        <f>IFERROR(H138*I138*(1-J138/100),"")</f>
        <v>#ERROR!</v>
      </c>
      <c r="L138" s="281" t="str">
        <f>IFERROR(K138*(INDEX(Config!B:B,MATCH("TVA "&amp;F138,Config!A:A,0))-1),"")</f>
        <v>#ERROR!</v>
      </c>
      <c r="M138" s="281" t="str">
        <f>IFERROR(K138+L138,"")</f>
        <v>#ERROR!</v>
      </c>
      <c r="N138" s="233"/>
    </row>
    <row r="139">
      <c r="A139" s="303"/>
      <c r="B139" s="235"/>
      <c r="C139" s="235"/>
      <c r="D139" s="235"/>
      <c r="E139" s="235"/>
      <c r="F139" s="235" t="str">
        <f>IFERROR(INDEX(Recettes!C:C,MATCH(E139,Recettes!B:B,0)),"")</f>
        <v>#ERROR!</v>
      </c>
      <c r="G139" s="235"/>
      <c r="H139" s="235"/>
      <c r="I139" s="283"/>
      <c r="J139" s="304"/>
      <c r="K139" s="283" t="str">
        <f>IFERROR(H139*I139*(1-J139/100),"")</f>
        <v>#ERROR!</v>
      </c>
      <c r="L139" s="283" t="str">
        <f>IFERROR(K139*(INDEX(Config!B:B,MATCH("TVA "&amp;F139,Config!A:A,0))-1),"")</f>
        <v>#ERROR!</v>
      </c>
      <c r="M139" s="283" t="str">
        <f>IFERROR(K139+L139,"")</f>
        <v>#ERROR!</v>
      </c>
      <c r="N139" s="240"/>
    </row>
    <row r="140">
      <c r="A140" s="301"/>
      <c r="B140" s="227"/>
      <c r="C140" s="227"/>
      <c r="D140" s="227"/>
      <c r="E140" s="227"/>
      <c r="F140" s="227" t="str">
        <f>IFERROR(INDEX(Recettes!C:C,MATCH(E140,Recettes!B:B,0)),"")</f>
        <v>#ERROR!</v>
      </c>
      <c r="G140" s="227"/>
      <c r="H140" s="227"/>
      <c r="I140" s="281"/>
      <c r="J140" s="302"/>
      <c r="K140" s="281" t="str">
        <f>IFERROR(H140*I140*(1-J140/100),"")</f>
        <v>#ERROR!</v>
      </c>
      <c r="L140" s="281" t="str">
        <f>IFERROR(K140*(INDEX(Config!B:B,MATCH("TVA "&amp;F140,Config!A:A,0))-1),"")</f>
        <v>#ERROR!</v>
      </c>
      <c r="M140" s="281" t="str">
        <f>IFERROR(K140+L140,"")</f>
        <v>#ERROR!</v>
      </c>
      <c r="N140" s="233"/>
    </row>
    <row r="141">
      <c r="A141" s="303"/>
      <c r="B141" s="235"/>
      <c r="C141" s="235"/>
      <c r="D141" s="235"/>
      <c r="E141" s="235"/>
      <c r="F141" s="235" t="str">
        <f>IFERROR(INDEX(Recettes!C:C,MATCH(E141,Recettes!B:B,0)),"")</f>
        <v>#ERROR!</v>
      </c>
      <c r="G141" s="235"/>
      <c r="H141" s="235"/>
      <c r="I141" s="283"/>
      <c r="J141" s="304"/>
      <c r="K141" s="283" t="str">
        <f>IFERROR(H141*I141*(1-J141/100),"")</f>
        <v>#ERROR!</v>
      </c>
      <c r="L141" s="283" t="str">
        <f>IFERROR(K141*(INDEX(Config!B:B,MATCH("TVA "&amp;F141,Config!A:A,0))-1),"")</f>
        <v>#ERROR!</v>
      </c>
      <c r="M141" s="283" t="str">
        <f>IFERROR(K141+L141,"")</f>
        <v>#ERROR!</v>
      </c>
      <c r="N141" s="240"/>
    </row>
    <row r="142">
      <c r="A142" s="301"/>
      <c r="B142" s="227"/>
      <c r="C142" s="227"/>
      <c r="D142" s="227"/>
      <c r="E142" s="227"/>
      <c r="F142" s="227" t="str">
        <f>IFERROR(INDEX(Recettes!C:C,MATCH(E142,Recettes!B:B,0)),"")</f>
        <v>#ERROR!</v>
      </c>
      <c r="G142" s="227"/>
      <c r="H142" s="227"/>
      <c r="I142" s="281"/>
      <c r="J142" s="302"/>
      <c r="K142" s="281" t="str">
        <f>IFERROR(H142*I142*(1-J142/100),"")</f>
        <v>#ERROR!</v>
      </c>
      <c r="L142" s="281" t="str">
        <f>IFERROR(K142*(INDEX(Config!B:B,MATCH("TVA "&amp;F142,Config!A:A,0))-1),"")</f>
        <v>#ERROR!</v>
      </c>
      <c r="M142" s="281" t="str">
        <f>IFERROR(K142+L142,"")</f>
        <v>#ERROR!</v>
      </c>
      <c r="N142" s="233"/>
    </row>
    <row r="143">
      <c r="A143" s="303"/>
      <c r="B143" s="235"/>
      <c r="C143" s="235"/>
      <c r="D143" s="235"/>
      <c r="E143" s="235"/>
      <c r="F143" s="235" t="str">
        <f>IFERROR(INDEX(Recettes!C:C,MATCH(E143,Recettes!B:B,0)),"")</f>
        <v>#ERROR!</v>
      </c>
      <c r="G143" s="235"/>
      <c r="H143" s="235"/>
      <c r="I143" s="283"/>
      <c r="J143" s="304"/>
      <c r="K143" s="283" t="str">
        <f>IFERROR(H143*I143*(1-J143/100),"")</f>
        <v>#ERROR!</v>
      </c>
      <c r="L143" s="283" t="str">
        <f>IFERROR(K143*(INDEX(Config!B:B,MATCH("TVA "&amp;F143,Config!A:A,0))-1),"")</f>
        <v>#ERROR!</v>
      </c>
      <c r="M143" s="283" t="str">
        <f>IFERROR(K143+L143,"")</f>
        <v>#ERROR!</v>
      </c>
      <c r="N143" s="240"/>
    </row>
    <row r="144">
      <c r="A144" s="301"/>
      <c r="B144" s="227"/>
      <c r="C144" s="227"/>
      <c r="D144" s="227"/>
      <c r="E144" s="227"/>
      <c r="F144" s="227" t="str">
        <f>IFERROR(INDEX(Recettes!C:C,MATCH(E144,Recettes!B:B,0)),"")</f>
        <v>#ERROR!</v>
      </c>
      <c r="G144" s="227"/>
      <c r="H144" s="227"/>
      <c r="I144" s="281"/>
      <c r="J144" s="302"/>
      <c r="K144" s="281" t="str">
        <f>IFERROR(H144*I144*(1-J144/100),"")</f>
        <v>#ERROR!</v>
      </c>
      <c r="L144" s="281" t="str">
        <f>IFERROR(K144*(INDEX(Config!B:B,MATCH("TVA "&amp;F144,Config!A:A,0))-1),"")</f>
        <v>#ERROR!</v>
      </c>
      <c r="M144" s="281" t="str">
        <f>IFERROR(K144+L144,"")</f>
        <v>#ERROR!</v>
      </c>
      <c r="N144" s="233"/>
    </row>
    <row r="145">
      <c r="A145" s="303"/>
      <c r="B145" s="235"/>
      <c r="C145" s="235"/>
      <c r="D145" s="235"/>
      <c r="E145" s="235"/>
      <c r="F145" s="235" t="str">
        <f>IFERROR(INDEX(Recettes!C:C,MATCH(E145,Recettes!B:B,0)),"")</f>
        <v>#ERROR!</v>
      </c>
      <c r="G145" s="235"/>
      <c r="H145" s="235"/>
      <c r="I145" s="283"/>
      <c r="J145" s="304"/>
      <c r="K145" s="283" t="str">
        <f>IFERROR(H145*I145*(1-J145/100),"")</f>
        <v>#ERROR!</v>
      </c>
      <c r="L145" s="283" t="str">
        <f>IFERROR(K145*(INDEX(Config!B:B,MATCH("TVA "&amp;F145,Config!A:A,0))-1),"")</f>
        <v>#ERROR!</v>
      </c>
      <c r="M145" s="283" t="str">
        <f>IFERROR(K145+L145,"")</f>
        <v>#ERROR!</v>
      </c>
      <c r="N145" s="240"/>
    </row>
    <row r="146">
      <c r="A146" s="301"/>
      <c r="B146" s="227"/>
      <c r="C146" s="227"/>
      <c r="D146" s="227"/>
      <c r="E146" s="227"/>
      <c r="F146" s="227" t="str">
        <f>IFERROR(INDEX(Recettes!C:C,MATCH(E146,Recettes!B:B,0)),"")</f>
        <v>#ERROR!</v>
      </c>
      <c r="G146" s="227"/>
      <c r="H146" s="227"/>
      <c r="I146" s="281"/>
      <c r="J146" s="302"/>
      <c r="K146" s="281" t="str">
        <f>IFERROR(H146*I146*(1-J146/100),"")</f>
        <v>#ERROR!</v>
      </c>
      <c r="L146" s="281" t="str">
        <f>IFERROR(K146*(INDEX(Config!B:B,MATCH("TVA "&amp;F146,Config!A:A,0))-1),"")</f>
        <v>#ERROR!</v>
      </c>
      <c r="M146" s="281" t="str">
        <f>IFERROR(K146+L146,"")</f>
        <v>#ERROR!</v>
      </c>
      <c r="N146" s="233"/>
    </row>
    <row r="147">
      <c r="A147" s="303"/>
      <c r="B147" s="235"/>
      <c r="C147" s="235"/>
      <c r="D147" s="235"/>
      <c r="E147" s="235"/>
      <c r="F147" s="235" t="str">
        <f>IFERROR(INDEX(Recettes!C:C,MATCH(E147,Recettes!B:B,0)),"")</f>
        <v>#ERROR!</v>
      </c>
      <c r="G147" s="235"/>
      <c r="H147" s="235"/>
      <c r="I147" s="283"/>
      <c r="J147" s="304"/>
      <c r="K147" s="283" t="str">
        <f>IFERROR(H147*I147*(1-J147/100),"")</f>
        <v>#ERROR!</v>
      </c>
      <c r="L147" s="283" t="str">
        <f>IFERROR(K147*(INDEX(Config!B:B,MATCH("TVA "&amp;F147,Config!A:A,0))-1),"")</f>
        <v>#ERROR!</v>
      </c>
      <c r="M147" s="283" t="str">
        <f>IFERROR(K147+L147,"")</f>
        <v>#ERROR!</v>
      </c>
      <c r="N147" s="240"/>
    </row>
    <row r="148">
      <c r="A148" s="301"/>
      <c r="B148" s="227"/>
      <c r="C148" s="227"/>
      <c r="D148" s="227"/>
      <c r="E148" s="227"/>
      <c r="F148" s="227" t="str">
        <f>IFERROR(INDEX(Recettes!C:C,MATCH(E148,Recettes!B:B,0)),"")</f>
        <v>#ERROR!</v>
      </c>
      <c r="G148" s="227"/>
      <c r="H148" s="227"/>
      <c r="I148" s="281"/>
      <c r="J148" s="302"/>
      <c r="K148" s="281" t="str">
        <f>IFERROR(H148*I148*(1-J148/100),"")</f>
        <v>#ERROR!</v>
      </c>
      <c r="L148" s="281" t="str">
        <f>IFERROR(K148*(INDEX(Config!B:B,MATCH("TVA "&amp;F148,Config!A:A,0))-1),"")</f>
        <v>#ERROR!</v>
      </c>
      <c r="M148" s="281" t="str">
        <f>IFERROR(K148+L148,"")</f>
        <v>#ERROR!</v>
      </c>
      <c r="N148" s="233"/>
    </row>
    <row r="149">
      <c r="A149" s="303"/>
      <c r="B149" s="235"/>
      <c r="C149" s="235"/>
      <c r="D149" s="235"/>
      <c r="E149" s="235"/>
      <c r="F149" s="235" t="str">
        <f>IFERROR(INDEX(Recettes!C:C,MATCH(E149,Recettes!B:B,0)),"")</f>
        <v>#ERROR!</v>
      </c>
      <c r="G149" s="235"/>
      <c r="H149" s="235"/>
      <c r="I149" s="283"/>
      <c r="J149" s="304"/>
      <c r="K149" s="283" t="str">
        <f>IFERROR(H149*I149*(1-J149/100),"")</f>
        <v>#ERROR!</v>
      </c>
      <c r="L149" s="283" t="str">
        <f>IFERROR(K149*(INDEX(Config!B:B,MATCH("TVA "&amp;F149,Config!A:A,0))-1),"")</f>
        <v>#ERROR!</v>
      </c>
      <c r="M149" s="283" t="str">
        <f>IFERROR(K149+L149,"")</f>
        <v>#ERROR!</v>
      </c>
      <c r="N149" s="240"/>
    </row>
    <row r="150">
      <c r="A150" s="301"/>
      <c r="B150" s="227"/>
      <c r="C150" s="227"/>
      <c r="D150" s="227"/>
      <c r="E150" s="227"/>
      <c r="F150" s="227" t="str">
        <f>IFERROR(INDEX(Recettes!C:C,MATCH(E150,Recettes!B:B,0)),"")</f>
        <v>#ERROR!</v>
      </c>
      <c r="G150" s="227"/>
      <c r="H150" s="227"/>
      <c r="I150" s="281"/>
      <c r="J150" s="302"/>
      <c r="K150" s="281" t="str">
        <f>IFERROR(H150*I150*(1-J150/100),"")</f>
        <v>#ERROR!</v>
      </c>
      <c r="L150" s="281" t="str">
        <f>IFERROR(K150*(INDEX(Config!B:B,MATCH("TVA "&amp;F150,Config!A:A,0))-1),"")</f>
        <v>#ERROR!</v>
      </c>
      <c r="M150" s="281" t="str">
        <f>IFERROR(K150+L150,"")</f>
        <v>#ERROR!</v>
      </c>
      <c r="N150" s="233"/>
    </row>
    <row r="151">
      <c r="A151" s="303"/>
      <c r="B151" s="235"/>
      <c r="C151" s="235"/>
      <c r="D151" s="235"/>
      <c r="E151" s="235"/>
      <c r="F151" s="235" t="str">
        <f>IFERROR(INDEX(Recettes!C:C,MATCH(E151,Recettes!B:B,0)),"")</f>
        <v>#ERROR!</v>
      </c>
      <c r="G151" s="235"/>
      <c r="H151" s="235"/>
      <c r="I151" s="283"/>
      <c r="J151" s="304"/>
      <c r="K151" s="283" t="str">
        <f>IFERROR(H151*I151*(1-J151/100),"")</f>
        <v>#ERROR!</v>
      </c>
      <c r="L151" s="283" t="str">
        <f>IFERROR(K151*(INDEX(Config!B:B,MATCH("TVA "&amp;F151,Config!A:A,0))-1),"")</f>
        <v>#ERROR!</v>
      </c>
      <c r="M151" s="283" t="str">
        <f>IFERROR(K151+L151,"")</f>
        <v>#ERROR!</v>
      </c>
      <c r="N151" s="240"/>
    </row>
    <row r="152">
      <c r="A152" s="301"/>
      <c r="B152" s="227"/>
      <c r="C152" s="227"/>
      <c r="D152" s="227"/>
      <c r="E152" s="227"/>
      <c r="F152" s="227" t="str">
        <f>IFERROR(INDEX(Recettes!C:C,MATCH(E152,Recettes!B:B,0)),"")</f>
        <v>#ERROR!</v>
      </c>
      <c r="G152" s="227"/>
      <c r="H152" s="227"/>
      <c r="I152" s="281"/>
      <c r="J152" s="302"/>
      <c r="K152" s="281" t="str">
        <f>IFERROR(H152*I152*(1-J152/100),"")</f>
        <v>#ERROR!</v>
      </c>
      <c r="L152" s="281" t="str">
        <f>IFERROR(K152*(INDEX(Config!B:B,MATCH("TVA "&amp;F152,Config!A:A,0))-1),"")</f>
        <v>#ERROR!</v>
      </c>
      <c r="M152" s="281" t="str">
        <f>IFERROR(K152+L152,"")</f>
        <v>#ERROR!</v>
      </c>
      <c r="N152" s="233"/>
    </row>
    <row r="153">
      <c r="A153" s="303"/>
      <c r="B153" s="235"/>
      <c r="C153" s="235"/>
      <c r="D153" s="235"/>
      <c r="E153" s="235"/>
      <c r="F153" s="235" t="str">
        <f>IFERROR(INDEX(Recettes!C:C,MATCH(E153,Recettes!B:B,0)),"")</f>
        <v>#ERROR!</v>
      </c>
      <c r="G153" s="235"/>
      <c r="H153" s="235"/>
      <c r="I153" s="283"/>
      <c r="J153" s="304"/>
      <c r="K153" s="283" t="str">
        <f>IFERROR(H153*I153*(1-J153/100),"")</f>
        <v>#ERROR!</v>
      </c>
      <c r="L153" s="283" t="str">
        <f>IFERROR(K153*(INDEX(Config!B:B,MATCH("TVA "&amp;F153,Config!A:A,0))-1),"")</f>
        <v>#ERROR!</v>
      </c>
      <c r="M153" s="283" t="str">
        <f>IFERROR(K153+L153,"")</f>
        <v>#ERROR!</v>
      </c>
      <c r="N153" s="240"/>
    </row>
    <row r="154">
      <c r="A154" s="301"/>
      <c r="B154" s="227"/>
      <c r="C154" s="227"/>
      <c r="D154" s="227"/>
      <c r="E154" s="227"/>
      <c r="F154" s="227" t="str">
        <f>IFERROR(INDEX(Recettes!C:C,MATCH(E154,Recettes!B:B,0)),"")</f>
        <v>#ERROR!</v>
      </c>
      <c r="G154" s="227"/>
      <c r="H154" s="227"/>
      <c r="I154" s="281"/>
      <c r="J154" s="302"/>
      <c r="K154" s="281" t="str">
        <f>IFERROR(H154*I154*(1-J154/100),"")</f>
        <v>#ERROR!</v>
      </c>
      <c r="L154" s="281" t="str">
        <f>IFERROR(K154*(INDEX(Config!B:B,MATCH("TVA "&amp;F154,Config!A:A,0))-1),"")</f>
        <v>#ERROR!</v>
      </c>
      <c r="M154" s="281" t="str">
        <f>IFERROR(K154+L154,"")</f>
        <v>#ERROR!</v>
      </c>
      <c r="N154" s="233"/>
    </row>
    <row r="155">
      <c r="A155" s="303"/>
      <c r="B155" s="235"/>
      <c r="C155" s="235"/>
      <c r="D155" s="235"/>
      <c r="E155" s="235"/>
      <c r="F155" s="235" t="str">
        <f>IFERROR(INDEX(Recettes!C:C,MATCH(E155,Recettes!B:B,0)),"")</f>
        <v>#ERROR!</v>
      </c>
      <c r="G155" s="235"/>
      <c r="H155" s="235"/>
      <c r="I155" s="283"/>
      <c r="J155" s="304"/>
      <c r="K155" s="283" t="str">
        <f>IFERROR(H155*I155*(1-J155/100),"")</f>
        <v>#ERROR!</v>
      </c>
      <c r="L155" s="283" t="str">
        <f>IFERROR(K155*(INDEX(Config!B:B,MATCH("TVA "&amp;F155,Config!A:A,0))-1),"")</f>
        <v>#ERROR!</v>
      </c>
      <c r="M155" s="283" t="str">
        <f>IFERROR(K155+L155,"")</f>
        <v>#ERROR!</v>
      </c>
      <c r="N155" s="240"/>
    </row>
    <row r="156">
      <c r="A156" s="301"/>
      <c r="B156" s="227"/>
      <c r="C156" s="227"/>
      <c r="D156" s="227"/>
      <c r="E156" s="227"/>
      <c r="F156" s="227" t="str">
        <f>IFERROR(INDEX(Recettes!C:C,MATCH(E156,Recettes!B:B,0)),"")</f>
        <v>#ERROR!</v>
      </c>
      <c r="G156" s="227"/>
      <c r="H156" s="227"/>
      <c r="I156" s="281"/>
      <c r="J156" s="302"/>
      <c r="K156" s="281" t="str">
        <f>IFERROR(H156*I156*(1-J156/100),"")</f>
        <v>#ERROR!</v>
      </c>
      <c r="L156" s="281" t="str">
        <f>IFERROR(K156*(INDEX(Config!B:B,MATCH("TVA "&amp;F156,Config!A:A,0))-1),"")</f>
        <v>#ERROR!</v>
      </c>
      <c r="M156" s="281" t="str">
        <f>IFERROR(K156+L156,"")</f>
        <v>#ERROR!</v>
      </c>
      <c r="N156" s="233"/>
    </row>
    <row r="157">
      <c r="A157" s="303"/>
      <c r="B157" s="235"/>
      <c r="C157" s="235"/>
      <c r="D157" s="235"/>
      <c r="E157" s="235"/>
      <c r="F157" s="235" t="str">
        <f>IFERROR(INDEX(Recettes!C:C,MATCH(E157,Recettes!B:B,0)),"")</f>
        <v>#ERROR!</v>
      </c>
      <c r="G157" s="235"/>
      <c r="H157" s="235"/>
      <c r="I157" s="283"/>
      <c r="J157" s="304"/>
      <c r="K157" s="283" t="str">
        <f>IFERROR(H157*I157*(1-J157/100),"")</f>
        <v>#ERROR!</v>
      </c>
      <c r="L157" s="283" t="str">
        <f>IFERROR(K157*(INDEX(Config!B:B,MATCH("TVA "&amp;F157,Config!A:A,0))-1),"")</f>
        <v>#ERROR!</v>
      </c>
      <c r="M157" s="283" t="str">
        <f>IFERROR(K157+L157,"")</f>
        <v>#ERROR!</v>
      </c>
      <c r="N157" s="240"/>
    </row>
    <row r="158">
      <c r="A158" s="301"/>
      <c r="B158" s="227"/>
      <c r="C158" s="227"/>
      <c r="D158" s="227"/>
      <c r="E158" s="227"/>
      <c r="F158" s="227" t="str">
        <f>IFERROR(INDEX(Recettes!C:C,MATCH(E158,Recettes!B:B,0)),"")</f>
        <v>#ERROR!</v>
      </c>
      <c r="G158" s="227"/>
      <c r="H158" s="227"/>
      <c r="I158" s="281"/>
      <c r="J158" s="302"/>
      <c r="K158" s="281" t="str">
        <f>IFERROR(H158*I158*(1-J158/100),"")</f>
        <v>#ERROR!</v>
      </c>
      <c r="L158" s="281" t="str">
        <f>IFERROR(K158*(INDEX(Config!B:B,MATCH("TVA "&amp;F158,Config!A:A,0))-1),"")</f>
        <v>#ERROR!</v>
      </c>
      <c r="M158" s="281" t="str">
        <f>IFERROR(K158+L158,"")</f>
        <v>#ERROR!</v>
      </c>
      <c r="N158" s="233"/>
    </row>
    <row r="159">
      <c r="A159" s="303"/>
      <c r="B159" s="235"/>
      <c r="C159" s="235"/>
      <c r="D159" s="235"/>
      <c r="E159" s="235"/>
      <c r="F159" s="235" t="str">
        <f>IFERROR(INDEX(Recettes!C:C,MATCH(E159,Recettes!B:B,0)),"")</f>
        <v>#ERROR!</v>
      </c>
      <c r="G159" s="235"/>
      <c r="H159" s="235"/>
      <c r="I159" s="283"/>
      <c r="J159" s="304"/>
      <c r="K159" s="283" t="str">
        <f>IFERROR(H159*I159*(1-J159/100),"")</f>
        <v>#ERROR!</v>
      </c>
      <c r="L159" s="283" t="str">
        <f>IFERROR(K159*(INDEX(Config!B:B,MATCH("TVA "&amp;F159,Config!A:A,0))-1),"")</f>
        <v>#ERROR!</v>
      </c>
      <c r="M159" s="283" t="str">
        <f>IFERROR(K159+L159,"")</f>
        <v>#ERROR!</v>
      </c>
      <c r="N159" s="240"/>
    </row>
    <row r="160">
      <c r="A160" s="301"/>
      <c r="B160" s="227"/>
      <c r="C160" s="227"/>
      <c r="D160" s="227"/>
      <c r="E160" s="227"/>
      <c r="F160" s="227" t="str">
        <f>IFERROR(INDEX(Recettes!C:C,MATCH(E160,Recettes!B:B,0)),"")</f>
        <v>#ERROR!</v>
      </c>
      <c r="G160" s="227"/>
      <c r="H160" s="227"/>
      <c r="I160" s="281"/>
      <c r="J160" s="302"/>
      <c r="K160" s="281" t="str">
        <f>IFERROR(H160*I160*(1-J160/100),"")</f>
        <v>#ERROR!</v>
      </c>
      <c r="L160" s="281" t="str">
        <f>IFERROR(K160*(INDEX(Config!B:B,MATCH("TVA "&amp;F160,Config!A:A,0))-1),"")</f>
        <v>#ERROR!</v>
      </c>
      <c r="M160" s="281" t="str">
        <f>IFERROR(K160+L160,"")</f>
        <v>#ERROR!</v>
      </c>
      <c r="N160" s="233"/>
    </row>
    <row r="161">
      <c r="A161" s="303"/>
      <c r="B161" s="235"/>
      <c r="C161" s="235"/>
      <c r="D161" s="235"/>
      <c r="E161" s="235"/>
      <c r="F161" s="235" t="str">
        <f>IFERROR(INDEX(Recettes!C:C,MATCH(E161,Recettes!B:B,0)),"")</f>
        <v>#ERROR!</v>
      </c>
      <c r="G161" s="235"/>
      <c r="H161" s="235"/>
      <c r="I161" s="283"/>
      <c r="J161" s="304"/>
      <c r="K161" s="283" t="str">
        <f>IFERROR(H161*I161*(1-J161/100),"")</f>
        <v>#ERROR!</v>
      </c>
      <c r="L161" s="283" t="str">
        <f>IFERROR(K161*(INDEX(Config!B:B,MATCH("TVA "&amp;F161,Config!A:A,0))-1),"")</f>
        <v>#ERROR!</v>
      </c>
      <c r="M161" s="283" t="str">
        <f>IFERROR(K161+L161,"")</f>
        <v>#ERROR!</v>
      </c>
      <c r="N161" s="240"/>
    </row>
    <row r="162">
      <c r="A162" s="301"/>
      <c r="B162" s="227"/>
      <c r="C162" s="227"/>
      <c r="D162" s="227"/>
      <c r="E162" s="227"/>
      <c r="F162" s="227" t="str">
        <f>IFERROR(INDEX(Recettes!C:C,MATCH(E162,Recettes!B:B,0)),"")</f>
        <v>#ERROR!</v>
      </c>
      <c r="G162" s="227"/>
      <c r="H162" s="227"/>
      <c r="I162" s="281"/>
      <c r="J162" s="302"/>
      <c r="K162" s="281" t="str">
        <f>IFERROR(H162*I162*(1-J162/100),"")</f>
        <v>#ERROR!</v>
      </c>
      <c r="L162" s="281" t="str">
        <f>IFERROR(K162*(INDEX(Config!B:B,MATCH("TVA "&amp;F162,Config!A:A,0))-1),"")</f>
        <v>#ERROR!</v>
      </c>
      <c r="M162" s="281" t="str">
        <f>IFERROR(K162+L162,"")</f>
        <v>#ERROR!</v>
      </c>
      <c r="N162" s="233"/>
    </row>
    <row r="163">
      <c r="A163" s="303"/>
      <c r="B163" s="235"/>
      <c r="C163" s="235"/>
      <c r="D163" s="235"/>
      <c r="E163" s="235"/>
      <c r="F163" s="235" t="str">
        <f>IFERROR(INDEX(Recettes!C:C,MATCH(E163,Recettes!B:B,0)),"")</f>
        <v>#ERROR!</v>
      </c>
      <c r="G163" s="235"/>
      <c r="H163" s="235"/>
      <c r="I163" s="283"/>
      <c r="J163" s="304"/>
      <c r="K163" s="283" t="str">
        <f>IFERROR(H163*I163*(1-J163/100),"")</f>
        <v>#ERROR!</v>
      </c>
      <c r="L163" s="283" t="str">
        <f>IFERROR(K163*(INDEX(Config!B:B,MATCH("TVA "&amp;F163,Config!A:A,0))-1),"")</f>
        <v>#ERROR!</v>
      </c>
      <c r="M163" s="283" t="str">
        <f>IFERROR(K163+L163,"")</f>
        <v>#ERROR!</v>
      </c>
      <c r="N163" s="240"/>
    </row>
    <row r="164">
      <c r="A164" s="301"/>
      <c r="B164" s="227"/>
      <c r="C164" s="227"/>
      <c r="D164" s="227"/>
      <c r="E164" s="227"/>
      <c r="F164" s="227" t="str">
        <f>IFERROR(INDEX(Recettes!C:C,MATCH(E164,Recettes!B:B,0)),"")</f>
        <v>#ERROR!</v>
      </c>
      <c r="G164" s="227"/>
      <c r="H164" s="227"/>
      <c r="I164" s="281"/>
      <c r="J164" s="302"/>
      <c r="K164" s="281" t="str">
        <f>IFERROR(H164*I164*(1-J164/100),"")</f>
        <v>#ERROR!</v>
      </c>
      <c r="L164" s="281" t="str">
        <f>IFERROR(K164*(INDEX(Config!B:B,MATCH("TVA "&amp;F164,Config!A:A,0))-1),"")</f>
        <v>#ERROR!</v>
      </c>
      <c r="M164" s="281" t="str">
        <f>IFERROR(K164+L164,"")</f>
        <v>#ERROR!</v>
      </c>
      <c r="N164" s="233"/>
    </row>
    <row r="165">
      <c r="A165" s="303"/>
      <c r="B165" s="235"/>
      <c r="C165" s="235"/>
      <c r="D165" s="235"/>
      <c r="E165" s="235"/>
      <c r="F165" s="235" t="str">
        <f>IFERROR(INDEX(Recettes!C:C,MATCH(E165,Recettes!B:B,0)),"")</f>
        <v>#ERROR!</v>
      </c>
      <c r="G165" s="235"/>
      <c r="H165" s="235"/>
      <c r="I165" s="283"/>
      <c r="J165" s="304"/>
      <c r="K165" s="283" t="str">
        <f>IFERROR(H165*I165*(1-J165/100),"")</f>
        <v>#ERROR!</v>
      </c>
      <c r="L165" s="283" t="str">
        <f>IFERROR(K165*(INDEX(Config!B:B,MATCH("TVA "&amp;F165,Config!A:A,0))-1),"")</f>
        <v>#ERROR!</v>
      </c>
      <c r="M165" s="283" t="str">
        <f>IFERROR(K165+L165,"")</f>
        <v>#ERROR!</v>
      </c>
      <c r="N165" s="240"/>
    </row>
    <row r="166">
      <c r="A166" s="301"/>
      <c r="B166" s="227"/>
      <c r="C166" s="227"/>
      <c r="D166" s="227"/>
      <c r="E166" s="227"/>
      <c r="F166" s="227" t="str">
        <f>IFERROR(INDEX(Recettes!C:C,MATCH(E166,Recettes!B:B,0)),"")</f>
        <v>#ERROR!</v>
      </c>
      <c r="G166" s="227"/>
      <c r="H166" s="227"/>
      <c r="I166" s="281"/>
      <c r="J166" s="302"/>
      <c r="K166" s="281" t="str">
        <f>IFERROR(H166*I166*(1-J166/100),"")</f>
        <v>#ERROR!</v>
      </c>
      <c r="L166" s="281" t="str">
        <f>IFERROR(K166*(INDEX(Config!B:B,MATCH("TVA "&amp;F166,Config!A:A,0))-1),"")</f>
        <v>#ERROR!</v>
      </c>
      <c r="M166" s="281" t="str">
        <f>IFERROR(K166+L166,"")</f>
        <v>#ERROR!</v>
      </c>
      <c r="N166" s="233"/>
    </row>
    <row r="167">
      <c r="A167" s="303"/>
      <c r="B167" s="235"/>
      <c r="C167" s="235"/>
      <c r="D167" s="235"/>
      <c r="E167" s="235"/>
      <c r="F167" s="235" t="str">
        <f>IFERROR(INDEX(Recettes!C:C,MATCH(E167,Recettes!B:B,0)),"")</f>
        <v>#ERROR!</v>
      </c>
      <c r="G167" s="235"/>
      <c r="H167" s="235"/>
      <c r="I167" s="283"/>
      <c r="J167" s="304"/>
      <c r="K167" s="283" t="str">
        <f>IFERROR(H167*I167*(1-J167/100),"")</f>
        <v>#ERROR!</v>
      </c>
      <c r="L167" s="283" t="str">
        <f>IFERROR(K167*(INDEX(Config!B:B,MATCH("TVA "&amp;F167,Config!A:A,0))-1),"")</f>
        <v>#ERROR!</v>
      </c>
      <c r="M167" s="283" t="str">
        <f>IFERROR(K167+L167,"")</f>
        <v>#ERROR!</v>
      </c>
      <c r="N167" s="240"/>
    </row>
    <row r="168">
      <c r="A168" s="301"/>
      <c r="B168" s="227"/>
      <c r="C168" s="227"/>
      <c r="D168" s="227"/>
      <c r="E168" s="227"/>
      <c r="F168" s="227" t="str">
        <f>IFERROR(INDEX(Recettes!C:C,MATCH(E168,Recettes!B:B,0)),"")</f>
        <v>#ERROR!</v>
      </c>
      <c r="G168" s="227"/>
      <c r="H168" s="227"/>
      <c r="I168" s="281"/>
      <c r="J168" s="302"/>
      <c r="K168" s="281" t="str">
        <f>IFERROR(H168*I168*(1-J168/100),"")</f>
        <v>#ERROR!</v>
      </c>
      <c r="L168" s="281" t="str">
        <f>IFERROR(K168*(INDEX(Config!B:B,MATCH("TVA "&amp;F168,Config!A:A,0))-1),"")</f>
        <v>#ERROR!</v>
      </c>
      <c r="M168" s="281" t="str">
        <f>IFERROR(K168+L168,"")</f>
        <v>#ERROR!</v>
      </c>
      <c r="N168" s="233"/>
    </row>
    <row r="169">
      <c r="A169" s="303"/>
      <c r="B169" s="235"/>
      <c r="C169" s="235"/>
      <c r="D169" s="235"/>
      <c r="E169" s="235"/>
      <c r="F169" s="235" t="str">
        <f>IFERROR(INDEX(Recettes!C:C,MATCH(E169,Recettes!B:B,0)),"")</f>
        <v>#ERROR!</v>
      </c>
      <c r="G169" s="235"/>
      <c r="H169" s="235"/>
      <c r="I169" s="283"/>
      <c r="J169" s="304"/>
      <c r="K169" s="283" t="str">
        <f>IFERROR(H169*I169*(1-J169/100),"")</f>
        <v>#ERROR!</v>
      </c>
      <c r="L169" s="283" t="str">
        <f>IFERROR(K169*(INDEX(Config!B:B,MATCH("TVA "&amp;F169,Config!A:A,0))-1),"")</f>
        <v>#ERROR!</v>
      </c>
      <c r="M169" s="283" t="str">
        <f>IFERROR(K169+L169,"")</f>
        <v>#ERROR!</v>
      </c>
      <c r="N169" s="240"/>
    </row>
    <row r="170">
      <c r="A170" s="301"/>
      <c r="B170" s="227"/>
      <c r="C170" s="227"/>
      <c r="D170" s="227"/>
      <c r="E170" s="227"/>
      <c r="F170" s="227" t="str">
        <f>IFERROR(INDEX(Recettes!C:C,MATCH(E170,Recettes!B:B,0)),"")</f>
        <v>#ERROR!</v>
      </c>
      <c r="G170" s="227"/>
      <c r="H170" s="227"/>
      <c r="I170" s="281"/>
      <c r="J170" s="302"/>
      <c r="K170" s="281" t="str">
        <f>IFERROR(H170*I170*(1-J170/100),"")</f>
        <v>#ERROR!</v>
      </c>
      <c r="L170" s="281" t="str">
        <f>IFERROR(K170*(INDEX(Config!B:B,MATCH("TVA "&amp;F170,Config!A:A,0))-1),"")</f>
        <v>#ERROR!</v>
      </c>
      <c r="M170" s="281" t="str">
        <f>IFERROR(K170+L170,"")</f>
        <v>#ERROR!</v>
      </c>
      <c r="N170" s="233"/>
    </row>
    <row r="171">
      <c r="A171" s="303"/>
      <c r="B171" s="235"/>
      <c r="C171" s="235"/>
      <c r="D171" s="235"/>
      <c r="E171" s="235"/>
      <c r="F171" s="235" t="str">
        <f>IFERROR(INDEX(Recettes!C:C,MATCH(E171,Recettes!B:B,0)),"")</f>
        <v>#ERROR!</v>
      </c>
      <c r="G171" s="235"/>
      <c r="H171" s="235"/>
      <c r="I171" s="283"/>
      <c r="J171" s="304"/>
      <c r="K171" s="283" t="str">
        <f>IFERROR(H171*I171*(1-J171/100),"")</f>
        <v>#ERROR!</v>
      </c>
      <c r="L171" s="283" t="str">
        <f>IFERROR(K171*(INDEX(Config!B:B,MATCH("TVA "&amp;F171,Config!A:A,0))-1),"")</f>
        <v>#ERROR!</v>
      </c>
      <c r="M171" s="283" t="str">
        <f>IFERROR(K171+L171,"")</f>
        <v>#ERROR!</v>
      </c>
      <c r="N171" s="240"/>
    </row>
    <row r="172">
      <c r="A172" s="301"/>
      <c r="B172" s="227"/>
      <c r="C172" s="227"/>
      <c r="D172" s="227"/>
      <c r="E172" s="227"/>
      <c r="F172" s="227" t="str">
        <f>IFERROR(INDEX(Recettes!C:C,MATCH(E172,Recettes!B:B,0)),"")</f>
        <v>#ERROR!</v>
      </c>
      <c r="G172" s="227"/>
      <c r="H172" s="227"/>
      <c r="I172" s="281"/>
      <c r="J172" s="302"/>
      <c r="K172" s="281" t="str">
        <f>IFERROR(H172*I172*(1-J172/100),"")</f>
        <v>#ERROR!</v>
      </c>
      <c r="L172" s="281" t="str">
        <f>IFERROR(K172*(INDEX(Config!B:B,MATCH("TVA "&amp;F172,Config!A:A,0))-1),"")</f>
        <v>#ERROR!</v>
      </c>
      <c r="M172" s="281" t="str">
        <f>IFERROR(K172+L172,"")</f>
        <v>#ERROR!</v>
      </c>
      <c r="N172" s="233"/>
    </row>
    <row r="173">
      <c r="A173" s="303"/>
      <c r="B173" s="235"/>
      <c r="C173" s="235"/>
      <c r="D173" s="235"/>
      <c r="E173" s="235"/>
      <c r="F173" s="235" t="str">
        <f>IFERROR(INDEX(Recettes!C:C,MATCH(E173,Recettes!B:B,0)),"")</f>
        <v>#ERROR!</v>
      </c>
      <c r="G173" s="235"/>
      <c r="H173" s="235"/>
      <c r="I173" s="283"/>
      <c r="J173" s="304"/>
      <c r="K173" s="283" t="str">
        <f>IFERROR(H173*I173*(1-J173/100),"")</f>
        <v>#ERROR!</v>
      </c>
      <c r="L173" s="283" t="str">
        <f>IFERROR(K173*(INDEX(Config!B:B,MATCH("TVA "&amp;F173,Config!A:A,0))-1),"")</f>
        <v>#ERROR!</v>
      </c>
      <c r="M173" s="283" t="str">
        <f>IFERROR(K173+L173,"")</f>
        <v>#ERROR!</v>
      </c>
      <c r="N173" s="240"/>
    </row>
    <row r="174">
      <c r="A174" s="301"/>
      <c r="B174" s="227"/>
      <c r="C174" s="227"/>
      <c r="D174" s="227"/>
      <c r="E174" s="227"/>
      <c r="F174" s="227" t="str">
        <f>IFERROR(INDEX(Recettes!C:C,MATCH(E174,Recettes!B:B,0)),"")</f>
        <v>#ERROR!</v>
      </c>
      <c r="G174" s="227"/>
      <c r="H174" s="227"/>
      <c r="I174" s="281"/>
      <c r="J174" s="302"/>
      <c r="K174" s="281" t="str">
        <f>IFERROR(H174*I174*(1-J174/100),"")</f>
        <v>#ERROR!</v>
      </c>
      <c r="L174" s="281" t="str">
        <f>IFERROR(K174*(INDEX(Config!B:B,MATCH("TVA "&amp;F174,Config!A:A,0))-1),"")</f>
        <v>#ERROR!</v>
      </c>
      <c r="M174" s="281" t="str">
        <f>IFERROR(K174+L174,"")</f>
        <v>#ERROR!</v>
      </c>
      <c r="N174" s="233"/>
    </row>
    <row r="175">
      <c r="A175" s="303"/>
      <c r="B175" s="235"/>
      <c r="C175" s="235"/>
      <c r="D175" s="235"/>
      <c r="E175" s="235"/>
      <c r="F175" s="235" t="str">
        <f>IFERROR(INDEX(Recettes!C:C,MATCH(E175,Recettes!B:B,0)),"")</f>
        <v>#ERROR!</v>
      </c>
      <c r="G175" s="235"/>
      <c r="H175" s="235"/>
      <c r="I175" s="283"/>
      <c r="J175" s="304"/>
      <c r="K175" s="283" t="str">
        <f>IFERROR(H175*I175*(1-J175/100),"")</f>
        <v>#ERROR!</v>
      </c>
      <c r="L175" s="283" t="str">
        <f>IFERROR(K175*(INDEX(Config!B:B,MATCH("TVA "&amp;F175,Config!A:A,0))-1),"")</f>
        <v>#ERROR!</v>
      </c>
      <c r="M175" s="283" t="str">
        <f>IFERROR(K175+L175,"")</f>
        <v>#ERROR!</v>
      </c>
      <c r="N175" s="240"/>
    </row>
    <row r="176">
      <c r="A176" s="301"/>
      <c r="B176" s="227"/>
      <c r="C176" s="227"/>
      <c r="D176" s="227"/>
      <c r="E176" s="227"/>
      <c r="F176" s="227" t="str">
        <f>IFERROR(INDEX(Recettes!C:C,MATCH(E176,Recettes!B:B,0)),"")</f>
        <v>#ERROR!</v>
      </c>
      <c r="G176" s="227"/>
      <c r="H176" s="227"/>
      <c r="I176" s="281"/>
      <c r="J176" s="302"/>
      <c r="K176" s="281" t="str">
        <f>IFERROR(H176*I176*(1-J176/100),"")</f>
        <v>#ERROR!</v>
      </c>
      <c r="L176" s="281" t="str">
        <f>IFERROR(K176*(INDEX(Config!B:B,MATCH("TVA "&amp;F176,Config!A:A,0))-1),"")</f>
        <v>#ERROR!</v>
      </c>
      <c r="M176" s="281" t="str">
        <f>IFERROR(K176+L176,"")</f>
        <v>#ERROR!</v>
      </c>
      <c r="N176" s="233"/>
    </row>
    <row r="177">
      <c r="A177" s="303"/>
      <c r="B177" s="235"/>
      <c r="C177" s="235"/>
      <c r="D177" s="235"/>
      <c r="E177" s="235"/>
      <c r="F177" s="235" t="str">
        <f>IFERROR(INDEX(Recettes!C:C,MATCH(E177,Recettes!B:B,0)),"")</f>
        <v>#ERROR!</v>
      </c>
      <c r="G177" s="235"/>
      <c r="H177" s="235"/>
      <c r="I177" s="283"/>
      <c r="J177" s="304"/>
      <c r="K177" s="283" t="str">
        <f>IFERROR(H177*I177*(1-J177/100),"")</f>
        <v>#ERROR!</v>
      </c>
      <c r="L177" s="283" t="str">
        <f>IFERROR(K177*(INDEX(Config!B:B,MATCH("TVA "&amp;F177,Config!A:A,0))-1),"")</f>
        <v>#ERROR!</v>
      </c>
      <c r="M177" s="283" t="str">
        <f>IFERROR(K177+L177,"")</f>
        <v>#ERROR!</v>
      </c>
      <c r="N177" s="240"/>
    </row>
    <row r="178">
      <c r="A178" s="301"/>
      <c r="B178" s="227"/>
      <c r="C178" s="227"/>
      <c r="D178" s="227"/>
      <c r="E178" s="227"/>
      <c r="F178" s="227" t="str">
        <f>IFERROR(INDEX(Recettes!C:C,MATCH(E178,Recettes!B:B,0)),"")</f>
        <v>#ERROR!</v>
      </c>
      <c r="G178" s="227"/>
      <c r="H178" s="227"/>
      <c r="I178" s="281"/>
      <c r="J178" s="302"/>
      <c r="K178" s="281" t="str">
        <f>IFERROR(H178*I178*(1-J178/100),"")</f>
        <v>#ERROR!</v>
      </c>
      <c r="L178" s="281" t="str">
        <f>IFERROR(K178*(INDEX(Config!B:B,MATCH("TVA "&amp;F178,Config!A:A,0))-1),"")</f>
        <v>#ERROR!</v>
      </c>
      <c r="M178" s="281" t="str">
        <f>IFERROR(K178+L178,"")</f>
        <v>#ERROR!</v>
      </c>
      <c r="N178" s="233"/>
    </row>
    <row r="179">
      <c r="A179" s="303"/>
      <c r="B179" s="235"/>
      <c r="C179" s="235"/>
      <c r="D179" s="235"/>
      <c r="E179" s="235"/>
      <c r="F179" s="235" t="str">
        <f>IFERROR(INDEX(Recettes!C:C,MATCH(E179,Recettes!B:B,0)),"")</f>
        <v>#ERROR!</v>
      </c>
      <c r="G179" s="235"/>
      <c r="H179" s="235"/>
      <c r="I179" s="283"/>
      <c r="J179" s="304"/>
      <c r="K179" s="283" t="str">
        <f>IFERROR(H179*I179*(1-J179/100),"")</f>
        <v>#ERROR!</v>
      </c>
      <c r="L179" s="283" t="str">
        <f>IFERROR(K179*(INDEX(Config!B:B,MATCH("TVA "&amp;F179,Config!A:A,0))-1),"")</f>
        <v>#ERROR!</v>
      </c>
      <c r="M179" s="283" t="str">
        <f>IFERROR(K179+L179,"")</f>
        <v>#ERROR!</v>
      </c>
      <c r="N179" s="240"/>
    </row>
    <row r="180">
      <c r="A180" s="301"/>
      <c r="B180" s="227"/>
      <c r="C180" s="227"/>
      <c r="D180" s="227"/>
      <c r="E180" s="227"/>
      <c r="F180" s="227" t="str">
        <f>IFERROR(INDEX(Recettes!C:C,MATCH(E180,Recettes!B:B,0)),"")</f>
        <v>#ERROR!</v>
      </c>
      <c r="G180" s="227"/>
      <c r="H180" s="227"/>
      <c r="I180" s="281"/>
      <c r="J180" s="302"/>
      <c r="K180" s="281" t="str">
        <f>IFERROR(H180*I180*(1-J180/100),"")</f>
        <v>#ERROR!</v>
      </c>
      <c r="L180" s="281" t="str">
        <f>IFERROR(K180*(INDEX(Config!B:B,MATCH("TVA "&amp;F180,Config!A:A,0))-1),"")</f>
        <v>#ERROR!</v>
      </c>
      <c r="M180" s="281" t="str">
        <f>IFERROR(K180+L180,"")</f>
        <v>#ERROR!</v>
      </c>
      <c r="N180" s="233"/>
    </row>
    <row r="181">
      <c r="A181" s="303"/>
      <c r="B181" s="235"/>
      <c r="C181" s="235"/>
      <c r="D181" s="235"/>
      <c r="E181" s="235"/>
      <c r="F181" s="235" t="str">
        <f>IFERROR(INDEX(Recettes!C:C,MATCH(E181,Recettes!B:B,0)),"")</f>
        <v>#ERROR!</v>
      </c>
      <c r="G181" s="235"/>
      <c r="H181" s="235"/>
      <c r="I181" s="283"/>
      <c r="J181" s="304"/>
      <c r="K181" s="283" t="str">
        <f>IFERROR(H181*I181*(1-J181/100),"")</f>
        <v>#ERROR!</v>
      </c>
      <c r="L181" s="283" t="str">
        <f>IFERROR(K181*(INDEX(Config!B:B,MATCH("TVA "&amp;F181,Config!A:A,0))-1),"")</f>
        <v>#ERROR!</v>
      </c>
      <c r="M181" s="283" t="str">
        <f>IFERROR(K181+L181,"")</f>
        <v>#ERROR!</v>
      </c>
      <c r="N181" s="240"/>
    </row>
    <row r="182">
      <c r="A182" s="301"/>
      <c r="B182" s="227"/>
      <c r="C182" s="227"/>
      <c r="D182" s="227"/>
      <c r="E182" s="227"/>
      <c r="F182" s="227" t="str">
        <f>IFERROR(INDEX(Recettes!C:C,MATCH(E182,Recettes!B:B,0)),"")</f>
        <v>#ERROR!</v>
      </c>
      <c r="G182" s="227"/>
      <c r="H182" s="227"/>
      <c r="I182" s="281"/>
      <c r="J182" s="302"/>
      <c r="K182" s="281" t="str">
        <f>IFERROR(H182*I182*(1-J182/100),"")</f>
        <v>#ERROR!</v>
      </c>
      <c r="L182" s="281" t="str">
        <f>IFERROR(K182*(INDEX(Config!B:B,MATCH("TVA "&amp;F182,Config!A:A,0))-1),"")</f>
        <v>#ERROR!</v>
      </c>
      <c r="M182" s="281" t="str">
        <f>IFERROR(K182+L182,"")</f>
        <v>#ERROR!</v>
      </c>
      <c r="N182" s="233"/>
    </row>
    <row r="183">
      <c r="A183" s="303"/>
      <c r="B183" s="235"/>
      <c r="C183" s="235"/>
      <c r="D183" s="235"/>
      <c r="E183" s="235"/>
      <c r="F183" s="235" t="str">
        <f>IFERROR(INDEX(Recettes!C:C,MATCH(E183,Recettes!B:B,0)),"")</f>
        <v>#ERROR!</v>
      </c>
      <c r="G183" s="235"/>
      <c r="H183" s="235"/>
      <c r="I183" s="283"/>
      <c r="J183" s="304"/>
      <c r="K183" s="283" t="str">
        <f>IFERROR(H183*I183*(1-J183/100),"")</f>
        <v>#ERROR!</v>
      </c>
      <c r="L183" s="283" t="str">
        <f>IFERROR(K183*(INDEX(Config!B:B,MATCH("TVA "&amp;F183,Config!A:A,0))-1),"")</f>
        <v>#ERROR!</v>
      </c>
      <c r="M183" s="283" t="str">
        <f>IFERROR(K183+L183,"")</f>
        <v>#ERROR!</v>
      </c>
      <c r="N183" s="240"/>
    </row>
    <row r="184">
      <c r="A184" s="301"/>
      <c r="B184" s="227"/>
      <c r="C184" s="227"/>
      <c r="D184" s="227"/>
      <c r="E184" s="227"/>
      <c r="F184" s="227" t="str">
        <f>IFERROR(INDEX(Recettes!C:C,MATCH(E184,Recettes!B:B,0)),"")</f>
        <v>#ERROR!</v>
      </c>
      <c r="G184" s="227"/>
      <c r="H184" s="227"/>
      <c r="I184" s="281"/>
      <c r="J184" s="302"/>
      <c r="K184" s="281" t="str">
        <f>IFERROR(H184*I184*(1-J184/100),"")</f>
        <v>#ERROR!</v>
      </c>
      <c r="L184" s="281" t="str">
        <f>IFERROR(K184*(INDEX(Config!B:B,MATCH("TVA "&amp;F184,Config!A:A,0))-1),"")</f>
        <v>#ERROR!</v>
      </c>
      <c r="M184" s="281" t="str">
        <f>IFERROR(K184+L184,"")</f>
        <v>#ERROR!</v>
      </c>
      <c r="N184" s="233"/>
    </row>
    <row r="185">
      <c r="A185" s="303"/>
      <c r="B185" s="235"/>
      <c r="C185" s="235"/>
      <c r="D185" s="235"/>
      <c r="E185" s="235"/>
      <c r="F185" s="235" t="str">
        <f>IFERROR(INDEX(Recettes!C:C,MATCH(E185,Recettes!B:B,0)),"")</f>
        <v>#ERROR!</v>
      </c>
      <c r="G185" s="235"/>
      <c r="H185" s="235"/>
      <c r="I185" s="283"/>
      <c r="J185" s="304"/>
      <c r="K185" s="283" t="str">
        <f>IFERROR(H185*I185*(1-J185/100),"")</f>
        <v>#ERROR!</v>
      </c>
      <c r="L185" s="283" t="str">
        <f>IFERROR(K185*(INDEX(Config!B:B,MATCH("TVA "&amp;F185,Config!A:A,0))-1),"")</f>
        <v>#ERROR!</v>
      </c>
      <c r="M185" s="283" t="str">
        <f>IFERROR(K185+L185,"")</f>
        <v>#ERROR!</v>
      </c>
      <c r="N185" s="240"/>
    </row>
    <row r="186">
      <c r="A186" s="301"/>
      <c r="B186" s="227"/>
      <c r="C186" s="227"/>
      <c r="D186" s="227"/>
      <c r="E186" s="227"/>
      <c r="F186" s="227" t="str">
        <f>IFERROR(INDEX(Recettes!C:C,MATCH(E186,Recettes!B:B,0)),"")</f>
        <v>#ERROR!</v>
      </c>
      <c r="G186" s="227"/>
      <c r="H186" s="227"/>
      <c r="I186" s="281"/>
      <c r="J186" s="302"/>
      <c r="K186" s="281" t="str">
        <f>IFERROR(H186*I186*(1-J186/100),"")</f>
        <v>#ERROR!</v>
      </c>
      <c r="L186" s="281" t="str">
        <f>IFERROR(K186*(INDEX(Config!B:B,MATCH("TVA "&amp;F186,Config!A:A,0))-1),"")</f>
        <v>#ERROR!</v>
      </c>
      <c r="M186" s="281" t="str">
        <f>IFERROR(K186+L186,"")</f>
        <v>#ERROR!</v>
      </c>
      <c r="N186" s="233"/>
    </row>
    <row r="187">
      <c r="A187" s="303"/>
      <c r="B187" s="235"/>
      <c r="C187" s="235"/>
      <c r="D187" s="235"/>
      <c r="E187" s="235"/>
      <c r="F187" s="235" t="str">
        <f>IFERROR(INDEX(Recettes!C:C,MATCH(E187,Recettes!B:B,0)),"")</f>
        <v>#ERROR!</v>
      </c>
      <c r="G187" s="235"/>
      <c r="H187" s="235"/>
      <c r="I187" s="283"/>
      <c r="J187" s="304"/>
      <c r="K187" s="283" t="str">
        <f>IFERROR(H187*I187*(1-J187/100),"")</f>
        <v>#ERROR!</v>
      </c>
      <c r="L187" s="283" t="str">
        <f>IFERROR(K187*(INDEX(Config!B:B,MATCH("TVA "&amp;F187,Config!A:A,0))-1),"")</f>
        <v>#ERROR!</v>
      </c>
      <c r="M187" s="283" t="str">
        <f>IFERROR(K187+L187,"")</f>
        <v>#ERROR!</v>
      </c>
      <c r="N187" s="240"/>
    </row>
    <row r="188">
      <c r="A188" s="301"/>
      <c r="B188" s="227"/>
      <c r="C188" s="227"/>
      <c r="D188" s="227"/>
      <c r="E188" s="227"/>
      <c r="F188" s="227" t="str">
        <f>IFERROR(INDEX(Recettes!C:C,MATCH(E188,Recettes!B:B,0)),"")</f>
        <v>#ERROR!</v>
      </c>
      <c r="G188" s="227"/>
      <c r="H188" s="227"/>
      <c r="I188" s="281"/>
      <c r="J188" s="302"/>
      <c r="K188" s="281" t="str">
        <f>IFERROR(H188*I188*(1-J188/100),"")</f>
        <v>#ERROR!</v>
      </c>
      <c r="L188" s="281" t="str">
        <f>IFERROR(K188*(INDEX(Config!B:B,MATCH("TVA "&amp;F188,Config!A:A,0))-1),"")</f>
        <v>#ERROR!</v>
      </c>
      <c r="M188" s="281" t="str">
        <f>IFERROR(K188+L188,"")</f>
        <v>#ERROR!</v>
      </c>
      <c r="N188" s="233"/>
    </row>
    <row r="189">
      <c r="A189" s="303"/>
      <c r="B189" s="235"/>
      <c r="C189" s="235"/>
      <c r="D189" s="235"/>
      <c r="E189" s="235"/>
      <c r="F189" s="235" t="str">
        <f>IFERROR(INDEX(Recettes!C:C,MATCH(E189,Recettes!B:B,0)),"")</f>
        <v>#ERROR!</v>
      </c>
      <c r="G189" s="235"/>
      <c r="H189" s="235"/>
      <c r="I189" s="283"/>
      <c r="J189" s="304"/>
      <c r="K189" s="283" t="str">
        <f>IFERROR(H189*I189*(1-J189/100),"")</f>
        <v>#ERROR!</v>
      </c>
      <c r="L189" s="283" t="str">
        <f>IFERROR(K189*(INDEX(Config!B:B,MATCH("TVA "&amp;F189,Config!A:A,0))-1),"")</f>
        <v>#ERROR!</v>
      </c>
      <c r="M189" s="283" t="str">
        <f>IFERROR(K189+L189,"")</f>
        <v>#ERROR!</v>
      </c>
      <c r="N189" s="240"/>
    </row>
    <row r="190">
      <c r="A190" s="301"/>
      <c r="B190" s="227"/>
      <c r="C190" s="227"/>
      <c r="D190" s="227"/>
      <c r="E190" s="227"/>
      <c r="F190" s="227" t="str">
        <f>IFERROR(INDEX(Recettes!C:C,MATCH(E190,Recettes!B:B,0)),"")</f>
        <v>#ERROR!</v>
      </c>
      <c r="G190" s="227"/>
      <c r="H190" s="227"/>
      <c r="I190" s="281"/>
      <c r="J190" s="302"/>
      <c r="K190" s="281" t="str">
        <f>IFERROR(H190*I190*(1-J190/100),"")</f>
        <v>#ERROR!</v>
      </c>
      <c r="L190" s="281" t="str">
        <f>IFERROR(K190*(INDEX(Config!B:B,MATCH("TVA "&amp;F190,Config!A:A,0))-1),"")</f>
        <v>#ERROR!</v>
      </c>
      <c r="M190" s="281" t="str">
        <f>IFERROR(K190+L190,"")</f>
        <v>#ERROR!</v>
      </c>
      <c r="N190" s="233"/>
    </row>
    <row r="191">
      <c r="A191" s="303"/>
      <c r="B191" s="235"/>
      <c r="C191" s="235"/>
      <c r="D191" s="235"/>
      <c r="E191" s="235"/>
      <c r="F191" s="235" t="str">
        <f>IFERROR(INDEX(Recettes!C:C,MATCH(E191,Recettes!B:B,0)),"")</f>
        <v>#ERROR!</v>
      </c>
      <c r="G191" s="235"/>
      <c r="H191" s="235"/>
      <c r="I191" s="283"/>
      <c r="J191" s="304"/>
      <c r="K191" s="283" t="str">
        <f>IFERROR(H191*I191*(1-J191/100),"")</f>
        <v>#ERROR!</v>
      </c>
      <c r="L191" s="283" t="str">
        <f>IFERROR(K191*(INDEX(Config!B:B,MATCH("TVA "&amp;F191,Config!A:A,0))-1),"")</f>
        <v>#ERROR!</v>
      </c>
      <c r="M191" s="283" t="str">
        <f>IFERROR(K191+L191,"")</f>
        <v>#ERROR!</v>
      </c>
      <c r="N191" s="240"/>
    </row>
    <row r="192">
      <c r="A192" s="301"/>
      <c r="B192" s="227"/>
      <c r="C192" s="227"/>
      <c r="D192" s="227"/>
      <c r="E192" s="227"/>
      <c r="F192" s="227" t="str">
        <f>IFERROR(INDEX(Recettes!C:C,MATCH(E192,Recettes!B:B,0)),"")</f>
        <v>#ERROR!</v>
      </c>
      <c r="G192" s="227"/>
      <c r="H192" s="227"/>
      <c r="I192" s="281"/>
      <c r="J192" s="302"/>
      <c r="K192" s="281" t="str">
        <f>IFERROR(H192*I192*(1-J192/100),"")</f>
        <v>#ERROR!</v>
      </c>
      <c r="L192" s="281" t="str">
        <f>IFERROR(K192*(INDEX(Config!B:B,MATCH("TVA "&amp;F192,Config!A:A,0))-1),"")</f>
        <v>#ERROR!</v>
      </c>
      <c r="M192" s="281" t="str">
        <f>IFERROR(K192+L192,"")</f>
        <v>#ERROR!</v>
      </c>
      <c r="N192" s="233"/>
    </row>
    <row r="193">
      <c r="A193" s="303"/>
      <c r="B193" s="235"/>
      <c r="C193" s="235"/>
      <c r="D193" s="235"/>
      <c r="E193" s="235"/>
      <c r="F193" s="235" t="str">
        <f>IFERROR(INDEX(Recettes!C:C,MATCH(E193,Recettes!B:B,0)),"")</f>
        <v>#ERROR!</v>
      </c>
      <c r="G193" s="235"/>
      <c r="H193" s="235"/>
      <c r="I193" s="283"/>
      <c r="J193" s="304"/>
      <c r="K193" s="283" t="str">
        <f>IFERROR(H193*I193*(1-J193/100),"")</f>
        <v>#ERROR!</v>
      </c>
      <c r="L193" s="283" t="str">
        <f>IFERROR(K193*(INDEX(Config!B:B,MATCH("TVA "&amp;F193,Config!A:A,0))-1),"")</f>
        <v>#ERROR!</v>
      </c>
      <c r="M193" s="283" t="str">
        <f>IFERROR(K193+L193,"")</f>
        <v>#ERROR!</v>
      </c>
      <c r="N193" s="240"/>
    </row>
    <row r="194">
      <c r="A194" s="301"/>
      <c r="B194" s="227"/>
      <c r="C194" s="227"/>
      <c r="D194" s="227"/>
      <c r="E194" s="227"/>
      <c r="F194" s="227" t="str">
        <f>IFERROR(INDEX(Recettes!C:C,MATCH(E194,Recettes!B:B,0)),"")</f>
        <v>#ERROR!</v>
      </c>
      <c r="G194" s="227"/>
      <c r="H194" s="227"/>
      <c r="I194" s="281"/>
      <c r="J194" s="302"/>
      <c r="K194" s="281" t="str">
        <f>IFERROR(H194*I194*(1-J194/100),"")</f>
        <v>#ERROR!</v>
      </c>
      <c r="L194" s="281" t="str">
        <f>IFERROR(K194*(INDEX(Config!B:B,MATCH("TVA "&amp;F194,Config!A:A,0))-1),"")</f>
        <v>#ERROR!</v>
      </c>
      <c r="M194" s="281" t="str">
        <f>IFERROR(K194+L194,"")</f>
        <v>#ERROR!</v>
      </c>
      <c r="N194" s="233"/>
    </row>
    <row r="195">
      <c r="A195" s="303"/>
      <c r="B195" s="235"/>
      <c r="C195" s="235"/>
      <c r="D195" s="235"/>
      <c r="E195" s="235"/>
      <c r="F195" s="235" t="str">
        <f>IFERROR(INDEX(Recettes!C:C,MATCH(E195,Recettes!B:B,0)),"")</f>
        <v>#ERROR!</v>
      </c>
      <c r="G195" s="235"/>
      <c r="H195" s="235"/>
      <c r="I195" s="283"/>
      <c r="J195" s="304"/>
      <c r="K195" s="283" t="str">
        <f>IFERROR(H195*I195*(1-J195/100),"")</f>
        <v>#ERROR!</v>
      </c>
      <c r="L195" s="283" t="str">
        <f>IFERROR(K195*(INDEX(Config!B:B,MATCH("TVA "&amp;F195,Config!A:A,0))-1),"")</f>
        <v>#ERROR!</v>
      </c>
      <c r="M195" s="283" t="str">
        <f>IFERROR(K195+L195,"")</f>
        <v>#ERROR!</v>
      </c>
      <c r="N195" s="240"/>
    </row>
    <row r="196">
      <c r="A196" s="301"/>
      <c r="B196" s="227"/>
      <c r="C196" s="227"/>
      <c r="D196" s="227"/>
      <c r="E196" s="227"/>
      <c r="F196" s="227" t="str">
        <f>IFERROR(INDEX(Recettes!C:C,MATCH(E196,Recettes!B:B,0)),"")</f>
        <v>#ERROR!</v>
      </c>
      <c r="G196" s="227"/>
      <c r="H196" s="227"/>
      <c r="I196" s="281"/>
      <c r="J196" s="302"/>
      <c r="K196" s="281" t="str">
        <f>IFERROR(H196*I196*(1-J196/100),"")</f>
        <v>#ERROR!</v>
      </c>
      <c r="L196" s="281" t="str">
        <f>IFERROR(K196*(INDEX(Config!B:B,MATCH("TVA "&amp;F196,Config!A:A,0))-1),"")</f>
        <v>#ERROR!</v>
      </c>
      <c r="M196" s="281" t="str">
        <f>IFERROR(K196+L196,"")</f>
        <v>#ERROR!</v>
      </c>
      <c r="N196" s="233"/>
    </row>
    <row r="197">
      <c r="A197" s="303"/>
      <c r="B197" s="235"/>
      <c r="C197" s="235"/>
      <c r="D197" s="235"/>
      <c r="E197" s="235"/>
      <c r="F197" s="235" t="str">
        <f>IFERROR(INDEX(Recettes!C:C,MATCH(E197,Recettes!B:B,0)),"")</f>
        <v>#ERROR!</v>
      </c>
      <c r="G197" s="235"/>
      <c r="H197" s="235"/>
      <c r="I197" s="283"/>
      <c r="J197" s="304"/>
      <c r="K197" s="283" t="str">
        <f>IFERROR(H197*I197*(1-J197/100),"")</f>
        <v>#ERROR!</v>
      </c>
      <c r="L197" s="283" t="str">
        <f>IFERROR(K197*(INDEX(Config!B:B,MATCH("TVA "&amp;F197,Config!A:A,0))-1),"")</f>
        <v>#ERROR!</v>
      </c>
      <c r="M197" s="283" t="str">
        <f>IFERROR(K197+L197,"")</f>
        <v>#ERROR!</v>
      </c>
      <c r="N197" s="240"/>
    </row>
    <row r="198">
      <c r="A198" s="301"/>
      <c r="B198" s="227"/>
      <c r="C198" s="227"/>
      <c r="D198" s="227"/>
      <c r="E198" s="227"/>
      <c r="F198" s="227" t="str">
        <f>IFERROR(INDEX(Recettes!C:C,MATCH(E198,Recettes!B:B,0)),"")</f>
        <v>#ERROR!</v>
      </c>
      <c r="G198" s="227"/>
      <c r="H198" s="227"/>
      <c r="I198" s="281"/>
      <c r="J198" s="302"/>
      <c r="K198" s="281" t="str">
        <f>IFERROR(H198*I198*(1-J198/100),"")</f>
        <v>#ERROR!</v>
      </c>
      <c r="L198" s="281" t="str">
        <f>IFERROR(K198*(INDEX(Config!B:B,MATCH("TVA "&amp;F198,Config!A:A,0))-1),"")</f>
        <v>#ERROR!</v>
      </c>
      <c r="M198" s="281" t="str">
        <f>IFERROR(K198+L198,"")</f>
        <v>#ERROR!</v>
      </c>
      <c r="N198" s="233"/>
    </row>
    <row r="199">
      <c r="A199" s="303"/>
      <c r="B199" s="235"/>
      <c r="C199" s="235"/>
      <c r="D199" s="235"/>
      <c r="E199" s="235"/>
      <c r="F199" s="235" t="str">
        <f>IFERROR(INDEX(Recettes!C:C,MATCH(E199,Recettes!B:B,0)),"")</f>
        <v>#ERROR!</v>
      </c>
      <c r="G199" s="235"/>
      <c r="H199" s="235"/>
      <c r="I199" s="283"/>
      <c r="J199" s="304"/>
      <c r="K199" s="283" t="str">
        <f>IFERROR(H199*I199*(1-J199/100),"")</f>
        <v>#ERROR!</v>
      </c>
      <c r="L199" s="283" t="str">
        <f>IFERROR(K199*(INDEX(Config!B:B,MATCH("TVA "&amp;F199,Config!A:A,0))-1),"")</f>
        <v>#ERROR!</v>
      </c>
      <c r="M199" s="283" t="str">
        <f>IFERROR(K199+L199,"")</f>
        <v>#ERROR!</v>
      </c>
      <c r="N199" s="240"/>
    </row>
    <row r="200">
      <c r="A200" s="301"/>
      <c r="B200" s="227"/>
      <c r="C200" s="227"/>
      <c r="D200" s="227"/>
      <c r="E200" s="227"/>
      <c r="F200" s="227" t="str">
        <f>IFERROR(INDEX(Recettes!C:C,MATCH(E200,Recettes!B:B,0)),"")</f>
        <v>#ERROR!</v>
      </c>
      <c r="G200" s="227"/>
      <c r="H200" s="227"/>
      <c r="I200" s="281"/>
      <c r="J200" s="302"/>
      <c r="K200" s="281" t="str">
        <f>IFERROR(H200*I200*(1-J200/100),"")</f>
        <v>#ERROR!</v>
      </c>
      <c r="L200" s="281" t="str">
        <f>IFERROR(K200*(INDEX(Config!B:B,MATCH("TVA "&amp;F200,Config!A:A,0))-1),"")</f>
        <v>#ERROR!</v>
      </c>
      <c r="M200" s="281" t="str">
        <f>IFERROR(K200+L200,"")</f>
        <v>#ERROR!</v>
      </c>
      <c r="N200" s="233"/>
    </row>
    <row r="201">
      <c r="A201" s="303"/>
      <c r="B201" s="235"/>
      <c r="C201" s="235"/>
      <c r="D201" s="235"/>
      <c r="E201" s="235"/>
      <c r="F201" s="235" t="str">
        <f>IFERROR(INDEX(Recettes!C:C,MATCH(E201,Recettes!B:B,0)),"")</f>
        <v>#ERROR!</v>
      </c>
      <c r="G201" s="235"/>
      <c r="H201" s="235"/>
      <c r="I201" s="283"/>
      <c r="J201" s="304"/>
      <c r="K201" s="283" t="str">
        <f>IFERROR(H201*I201*(1-J201/100),"")</f>
        <v>#ERROR!</v>
      </c>
      <c r="L201" s="283" t="str">
        <f>IFERROR(K201*(INDEX(Config!B:B,MATCH("TVA "&amp;F201,Config!A:A,0))-1),"")</f>
        <v>#ERROR!</v>
      </c>
      <c r="M201" s="283" t="str">
        <f>IFERROR(K201+L201,"")</f>
        <v>#ERROR!</v>
      </c>
      <c r="N201" s="240"/>
    </row>
    <row r="202">
      <c r="A202" s="301"/>
      <c r="B202" s="227"/>
      <c r="C202" s="227"/>
      <c r="D202" s="227"/>
      <c r="E202" s="227"/>
      <c r="F202" s="227" t="str">
        <f>IFERROR(INDEX(Recettes!C:C,MATCH(E202,Recettes!B:B,0)),"")</f>
        <v>#ERROR!</v>
      </c>
      <c r="G202" s="227"/>
      <c r="H202" s="227"/>
      <c r="I202" s="281"/>
      <c r="J202" s="302"/>
      <c r="K202" s="281" t="str">
        <f>IFERROR(H202*I202*(1-J202/100),"")</f>
        <v>#ERROR!</v>
      </c>
      <c r="L202" s="281" t="str">
        <f>IFERROR(K202*(INDEX(Config!B:B,MATCH("TVA "&amp;F202,Config!A:A,0))-1),"")</f>
        <v>#ERROR!</v>
      </c>
      <c r="M202" s="281" t="str">
        <f>IFERROR(K202+L202,"")</f>
        <v>#ERROR!</v>
      </c>
      <c r="N202" s="233"/>
    </row>
    <row r="203">
      <c r="A203" s="303"/>
      <c r="B203" s="235"/>
      <c r="C203" s="235"/>
      <c r="D203" s="235"/>
      <c r="E203" s="235"/>
      <c r="F203" s="235" t="str">
        <f>IFERROR(INDEX(Recettes!C:C,MATCH(E203,Recettes!B:B,0)),"")</f>
        <v>#ERROR!</v>
      </c>
      <c r="G203" s="235"/>
      <c r="H203" s="235"/>
      <c r="I203" s="283"/>
      <c r="J203" s="304"/>
      <c r="K203" s="283" t="str">
        <f>IFERROR(H203*I203*(1-J203/100),"")</f>
        <v>#ERROR!</v>
      </c>
      <c r="L203" s="283" t="str">
        <f>IFERROR(K203*(INDEX(Config!B:B,MATCH("TVA "&amp;F203,Config!A:A,0))-1),"")</f>
        <v>#ERROR!</v>
      </c>
      <c r="M203" s="283" t="str">
        <f>IFERROR(K203+L203,"")</f>
        <v>#ERROR!</v>
      </c>
      <c r="N203" s="240"/>
    </row>
    <row r="204">
      <c r="A204" s="301"/>
      <c r="B204" s="227"/>
      <c r="C204" s="227"/>
      <c r="D204" s="227"/>
      <c r="E204" s="227"/>
      <c r="F204" s="227" t="str">
        <f>IFERROR(INDEX(Recettes!C:C,MATCH(E204,Recettes!B:B,0)),"")</f>
        <v>#ERROR!</v>
      </c>
      <c r="G204" s="227"/>
      <c r="H204" s="227"/>
      <c r="I204" s="281"/>
      <c r="J204" s="302"/>
      <c r="K204" s="281" t="str">
        <f>IFERROR(H204*I204*(1-J204/100),"")</f>
        <v>#ERROR!</v>
      </c>
      <c r="L204" s="281" t="str">
        <f>IFERROR(K204*(INDEX(Config!B:B,MATCH("TVA "&amp;F204,Config!A:A,0))-1),"")</f>
        <v>#ERROR!</v>
      </c>
      <c r="M204" s="281" t="str">
        <f>IFERROR(K204+L204,"")</f>
        <v>#ERROR!</v>
      </c>
      <c r="N204" s="233"/>
    </row>
    <row r="205">
      <c r="A205" s="303"/>
      <c r="B205" s="235"/>
      <c r="C205" s="235"/>
      <c r="D205" s="235"/>
      <c r="E205" s="235"/>
      <c r="F205" s="235" t="str">
        <f>IFERROR(INDEX(Recettes!C:C,MATCH(E205,Recettes!B:B,0)),"")</f>
        <v>#ERROR!</v>
      </c>
      <c r="G205" s="235"/>
      <c r="H205" s="235"/>
      <c r="I205" s="283"/>
      <c r="J205" s="304"/>
      <c r="K205" s="283" t="str">
        <f>IFERROR(H205*I205*(1-J205/100),"")</f>
        <v>#ERROR!</v>
      </c>
      <c r="L205" s="283" t="str">
        <f>IFERROR(K205*(INDEX(Config!B:B,MATCH("TVA "&amp;F205,Config!A:A,0))-1),"")</f>
        <v>#ERROR!</v>
      </c>
      <c r="M205" s="283" t="str">
        <f>IFERROR(K205+L205,"")</f>
        <v>#ERROR!</v>
      </c>
      <c r="N205" s="240"/>
    </row>
    <row r="206">
      <c r="A206" s="301"/>
      <c r="B206" s="227"/>
      <c r="C206" s="227"/>
      <c r="D206" s="227"/>
      <c r="E206" s="227"/>
      <c r="F206" s="227" t="str">
        <f>IFERROR(INDEX(Recettes!C:C,MATCH(E206,Recettes!B:B,0)),"")</f>
        <v>#ERROR!</v>
      </c>
      <c r="G206" s="227"/>
      <c r="H206" s="227"/>
      <c r="I206" s="281"/>
      <c r="J206" s="302"/>
      <c r="K206" s="281" t="str">
        <f>IFERROR(H206*I206*(1-J206/100),"")</f>
        <v>#ERROR!</v>
      </c>
      <c r="L206" s="281" t="str">
        <f>IFERROR(K206*(INDEX(Config!B:B,MATCH("TVA "&amp;F206,Config!A:A,0))-1),"")</f>
        <v>#ERROR!</v>
      </c>
      <c r="M206" s="281" t="str">
        <f>IFERROR(K206+L206,"")</f>
        <v>#ERROR!</v>
      </c>
      <c r="N206" s="233"/>
    </row>
    <row r="207">
      <c r="A207" s="303"/>
      <c r="B207" s="235"/>
      <c r="C207" s="235"/>
      <c r="D207" s="235"/>
      <c r="E207" s="235"/>
      <c r="F207" s="235" t="str">
        <f>IFERROR(INDEX(Recettes!C:C,MATCH(E207,Recettes!B:B,0)),"")</f>
        <v>#ERROR!</v>
      </c>
      <c r="G207" s="235"/>
      <c r="H207" s="235"/>
      <c r="I207" s="283"/>
      <c r="J207" s="304"/>
      <c r="K207" s="283" t="str">
        <f>IFERROR(H207*I207*(1-J207/100),"")</f>
        <v>#ERROR!</v>
      </c>
      <c r="L207" s="283" t="str">
        <f>IFERROR(K207*(INDEX(Config!B:B,MATCH("TVA "&amp;F207,Config!A:A,0))-1),"")</f>
        <v>#ERROR!</v>
      </c>
      <c r="M207" s="283" t="str">
        <f>IFERROR(K207+L207,"")</f>
        <v>#ERROR!</v>
      </c>
      <c r="N207" s="240"/>
    </row>
    <row r="208">
      <c r="A208" s="301"/>
      <c r="B208" s="227"/>
      <c r="C208" s="227"/>
      <c r="D208" s="227"/>
      <c r="E208" s="227"/>
      <c r="F208" s="227" t="str">
        <f>IFERROR(INDEX(Recettes!C:C,MATCH(E208,Recettes!B:B,0)),"")</f>
        <v>#ERROR!</v>
      </c>
      <c r="G208" s="227"/>
      <c r="H208" s="227"/>
      <c r="I208" s="281"/>
      <c r="J208" s="302"/>
      <c r="K208" s="281" t="str">
        <f>IFERROR(H208*I208*(1-J208/100),"")</f>
        <v>#ERROR!</v>
      </c>
      <c r="L208" s="281" t="str">
        <f>IFERROR(K208*(INDEX(Config!B:B,MATCH("TVA "&amp;F208,Config!A:A,0))-1),"")</f>
        <v>#ERROR!</v>
      </c>
      <c r="M208" s="281" t="str">
        <f>IFERROR(K208+L208,"")</f>
        <v>#ERROR!</v>
      </c>
      <c r="N208" s="233"/>
    </row>
    <row r="209">
      <c r="A209" s="303"/>
      <c r="B209" s="235"/>
      <c r="C209" s="235"/>
      <c r="D209" s="235"/>
      <c r="E209" s="235"/>
      <c r="F209" s="235" t="str">
        <f>IFERROR(INDEX(Recettes!C:C,MATCH(E209,Recettes!B:B,0)),"")</f>
        <v>#ERROR!</v>
      </c>
      <c r="G209" s="235"/>
      <c r="H209" s="235"/>
      <c r="I209" s="283"/>
      <c r="J209" s="304"/>
      <c r="K209" s="283" t="str">
        <f>IFERROR(H209*I209*(1-J209/100),"")</f>
        <v>#ERROR!</v>
      </c>
      <c r="L209" s="283" t="str">
        <f>IFERROR(K209*(INDEX(Config!B:B,MATCH("TVA "&amp;F209,Config!A:A,0))-1),"")</f>
        <v>#ERROR!</v>
      </c>
      <c r="M209" s="283" t="str">
        <f>IFERROR(K209+L209,"")</f>
        <v>#ERROR!</v>
      </c>
      <c r="N209" s="240"/>
    </row>
    <row r="210">
      <c r="A210" s="301"/>
      <c r="B210" s="227"/>
      <c r="C210" s="227"/>
      <c r="D210" s="227"/>
      <c r="E210" s="227"/>
      <c r="F210" s="227" t="str">
        <f>IFERROR(INDEX(Recettes!C:C,MATCH(E210,Recettes!B:B,0)),"")</f>
        <v>#ERROR!</v>
      </c>
      <c r="G210" s="227"/>
      <c r="H210" s="227"/>
      <c r="I210" s="281"/>
      <c r="J210" s="302"/>
      <c r="K210" s="281" t="str">
        <f>IFERROR(H210*I210*(1-J210/100),"")</f>
        <v>#ERROR!</v>
      </c>
      <c r="L210" s="281" t="str">
        <f>IFERROR(K210*(INDEX(Config!B:B,MATCH("TVA "&amp;F210,Config!A:A,0))-1),"")</f>
        <v>#ERROR!</v>
      </c>
      <c r="M210" s="281" t="str">
        <f>IFERROR(K210+L210,"")</f>
        <v>#ERROR!</v>
      </c>
      <c r="N210" s="233"/>
    </row>
    <row r="211">
      <c r="A211" s="303"/>
      <c r="B211" s="235"/>
      <c r="C211" s="235"/>
      <c r="D211" s="235"/>
      <c r="E211" s="235"/>
      <c r="F211" s="235" t="str">
        <f>IFERROR(INDEX(Recettes!C:C,MATCH(E211,Recettes!B:B,0)),"")</f>
        <v>#ERROR!</v>
      </c>
      <c r="G211" s="235"/>
      <c r="H211" s="235"/>
      <c r="I211" s="283"/>
      <c r="J211" s="304"/>
      <c r="K211" s="283" t="str">
        <f>IFERROR(H211*I211*(1-J211/100),"")</f>
        <v>#ERROR!</v>
      </c>
      <c r="L211" s="283" t="str">
        <f>IFERROR(K211*(INDEX(Config!B:B,MATCH("TVA "&amp;F211,Config!A:A,0))-1),"")</f>
        <v>#ERROR!</v>
      </c>
      <c r="M211" s="283" t="str">
        <f>IFERROR(K211+L211,"")</f>
        <v>#ERROR!</v>
      </c>
      <c r="N211" s="240"/>
    </row>
    <row r="212">
      <c r="A212" s="301"/>
      <c r="B212" s="227"/>
      <c r="C212" s="227"/>
      <c r="D212" s="227"/>
      <c r="E212" s="227"/>
      <c r="F212" s="227" t="str">
        <f>IFERROR(INDEX(Recettes!C:C,MATCH(E212,Recettes!B:B,0)),"")</f>
        <v>#ERROR!</v>
      </c>
      <c r="G212" s="227"/>
      <c r="H212" s="227"/>
      <c r="I212" s="281"/>
      <c r="J212" s="302"/>
      <c r="K212" s="281" t="str">
        <f>IFERROR(H212*I212*(1-J212/100),"")</f>
        <v>#ERROR!</v>
      </c>
      <c r="L212" s="281" t="str">
        <f>IFERROR(K212*(INDEX(Config!B:B,MATCH("TVA "&amp;F212,Config!A:A,0))-1),"")</f>
        <v>#ERROR!</v>
      </c>
      <c r="M212" s="281" t="str">
        <f>IFERROR(K212+L212,"")</f>
        <v>#ERROR!</v>
      </c>
      <c r="N212" s="233"/>
    </row>
    <row r="213">
      <c r="A213" s="303"/>
      <c r="B213" s="235"/>
      <c r="C213" s="235"/>
      <c r="D213" s="235"/>
      <c r="E213" s="235"/>
      <c r="F213" s="235" t="str">
        <f>IFERROR(INDEX(Recettes!C:C,MATCH(E213,Recettes!B:B,0)),"")</f>
        <v>#ERROR!</v>
      </c>
      <c r="G213" s="235"/>
      <c r="H213" s="235"/>
      <c r="I213" s="283"/>
      <c r="J213" s="304"/>
      <c r="K213" s="283" t="str">
        <f>IFERROR(H213*I213*(1-J213/100),"")</f>
        <v>#ERROR!</v>
      </c>
      <c r="L213" s="283" t="str">
        <f>IFERROR(K213*(INDEX(Config!B:B,MATCH("TVA "&amp;F213,Config!A:A,0))-1),"")</f>
        <v>#ERROR!</v>
      </c>
      <c r="M213" s="283" t="str">
        <f>IFERROR(K213+L213,"")</f>
        <v>#ERROR!</v>
      </c>
      <c r="N213" s="240"/>
    </row>
    <row r="214">
      <c r="A214" s="301"/>
      <c r="B214" s="227"/>
      <c r="C214" s="227"/>
      <c r="D214" s="227"/>
      <c r="E214" s="227"/>
      <c r="F214" s="227" t="str">
        <f>IFERROR(INDEX(Recettes!C:C,MATCH(E214,Recettes!B:B,0)),"")</f>
        <v>#ERROR!</v>
      </c>
      <c r="G214" s="227"/>
      <c r="H214" s="227"/>
      <c r="I214" s="281"/>
      <c r="J214" s="302"/>
      <c r="K214" s="281" t="str">
        <f>IFERROR(H214*I214*(1-J214/100),"")</f>
        <v>#ERROR!</v>
      </c>
      <c r="L214" s="281" t="str">
        <f>IFERROR(K214*(INDEX(Config!B:B,MATCH("TVA "&amp;F214,Config!A:A,0))-1),"")</f>
        <v>#ERROR!</v>
      </c>
      <c r="M214" s="281" t="str">
        <f>IFERROR(K214+L214,"")</f>
        <v>#ERROR!</v>
      </c>
      <c r="N214" s="233"/>
    </row>
    <row r="215">
      <c r="A215" s="303"/>
      <c r="B215" s="235"/>
      <c r="C215" s="235"/>
      <c r="D215" s="235"/>
      <c r="E215" s="235"/>
      <c r="F215" s="235" t="str">
        <f>IFERROR(INDEX(Recettes!C:C,MATCH(E215,Recettes!B:B,0)),"")</f>
        <v>#ERROR!</v>
      </c>
      <c r="G215" s="235"/>
      <c r="H215" s="235"/>
      <c r="I215" s="283"/>
      <c r="J215" s="304"/>
      <c r="K215" s="283" t="str">
        <f>IFERROR(H215*I215*(1-J215/100),"")</f>
        <v>#ERROR!</v>
      </c>
      <c r="L215" s="283" t="str">
        <f>IFERROR(K215*(INDEX(Config!B:B,MATCH("TVA "&amp;F215,Config!A:A,0))-1),"")</f>
        <v>#ERROR!</v>
      </c>
      <c r="M215" s="283" t="str">
        <f>IFERROR(K215+L215,"")</f>
        <v>#ERROR!</v>
      </c>
      <c r="N215" s="240"/>
    </row>
    <row r="216">
      <c r="A216" s="301"/>
      <c r="B216" s="227"/>
      <c r="C216" s="227"/>
      <c r="D216" s="227"/>
      <c r="E216" s="227"/>
      <c r="F216" s="227" t="str">
        <f>IFERROR(INDEX(Recettes!C:C,MATCH(E216,Recettes!B:B,0)),"")</f>
        <v>#ERROR!</v>
      </c>
      <c r="G216" s="227"/>
      <c r="H216" s="227"/>
      <c r="I216" s="281"/>
      <c r="J216" s="302"/>
      <c r="K216" s="281" t="str">
        <f>IFERROR(H216*I216*(1-J216/100),"")</f>
        <v>#ERROR!</v>
      </c>
      <c r="L216" s="281" t="str">
        <f>IFERROR(K216*(INDEX(Config!B:B,MATCH("TVA "&amp;F216,Config!A:A,0))-1),"")</f>
        <v>#ERROR!</v>
      </c>
      <c r="M216" s="281" t="str">
        <f>IFERROR(K216+L216,"")</f>
        <v>#ERROR!</v>
      </c>
      <c r="N216" s="233"/>
    </row>
    <row r="217">
      <c r="A217" s="303"/>
      <c r="B217" s="235"/>
      <c r="C217" s="235"/>
      <c r="D217" s="235"/>
      <c r="E217" s="235"/>
      <c r="F217" s="235" t="str">
        <f>IFERROR(INDEX(Recettes!C:C,MATCH(E217,Recettes!B:B,0)),"")</f>
        <v>#ERROR!</v>
      </c>
      <c r="G217" s="235"/>
      <c r="H217" s="235"/>
      <c r="I217" s="283"/>
      <c r="J217" s="304"/>
      <c r="K217" s="283" t="str">
        <f>IFERROR(H217*I217*(1-J217/100),"")</f>
        <v>#ERROR!</v>
      </c>
      <c r="L217" s="283" t="str">
        <f>IFERROR(K217*(INDEX(Config!B:B,MATCH("TVA "&amp;F217,Config!A:A,0))-1),"")</f>
        <v>#ERROR!</v>
      </c>
      <c r="M217" s="283" t="str">
        <f>IFERROR(K217+L217,"")</f>
        <v>#ERROR!</v>
      </c>
      <c r="N217" s="240"/>
    </row>
    <row r="218">
      <c r="A218" s="301"/>
      <c r="B218" s="227"/>
      <c r="C218" s="227"/>
      <c r="D218" s="227"/>
      <c r="E218" s="227"/>
      <c r="F218" s="227" t="str">
        <f>IFERROR(INDEX(Recettes!C:C,MATCH(E218,Recettes!B:B,0)),"")</f>
        <v>#ERROR!</v>
      </c>
      <c r="G218" s="227"/>
      <c r="H218" s="227"/>
      <c r="I218" s="281"/>
      <c r="J218" s="302"/>
      <c r="K218" s="281" t="str">
        <f>IFERROR(H218*I218*(1-J218/100),"")</f>
        <v>#ERROR!</v>
      </c>
      <c r="L218" s="281" t="str">
        <f>IFERROR(K218*(INDEX(Config!B:B,MATCH("TVA "&amp;F218,Config!A:A,0))-1),"")</f>
        <v>#ERROR!</v>
      </c>
      <c r="M218" s="281" t="str">
        <f>IFERROR(K218+L218,"")</f>
        <v>#ERROR!</v>
      </c>
      <c r="N218" s="233"/>
    </row>
    <row r="219">
      <c r="A219" s="303"/>
      <c r="B219" s="235"/>
      <c r="C219" s="235"/>
      <c r="D219" s="235"/>
      <c r="E219" s="235"/>
      <c r="F219" s="235" t="str">
        <f>IFERROR(INDEX(Recettes!C:C,MATCH(E219,Recettes!B:B,0)),"")</f>
        <v>#ERROR!</v>
      </c>
      <c r="G219" s="235"/>
      <c r="H219" s="235"/>
      <c r="I219" s="283"/>
      <c r="J219" s="304"/>
      <c r="K219" s="283" t="str">
        <f>IFERROR(H219*I219*(1-J219/100),"")</f>
        <v>#ERROR!</v>
      </c>
      <c r="L219" s="283" t="str">
        <f>IFERROR(K219*(INDEX(Config!B:B,MATCH("TVA "&amp;F219,Config!A:A,0))-1),"")</f>
        <v>#ERROR!</v>
      </c>
      <c r="M219" s="283" t="str">
        <f>IFERROR(K219+L219,"")</f>
        <v>#ERROR!</v>
      </c>
      <c r="N219" s="240"/>
    </row>
    <row r="220">
      <c r="A220" s="301"/>
      <c r="B220" s="227"/>
      <c r="C220" s="227"/>
      <c r="D220" s="227"/>
      <c r="E220" s="227"/>
      <c r="F220" s="227" t="str">
        <f>IFERROR(INDEX(Recettes!C:C,MATCH(E220,Recettes!B:B,0)),"")</f>
        <v>#ERROR!</v>
      </c>
      <c r="G220" s="227"/>
      <c r="H220" s="227"/>
      <c r="I220" s="281"/>
      <c r="J220" s="302"/>
      <c r="K220" s="281" t="str">
        <f>IFERROR(H220*I220*(1-J220/100),"")</f>
        <v>#ERROR!</v>
      </c>
      <c r="L220" s="281" t="str">
        <f>IFERROR(K220*(INDEX(Config!B:B,MATCH("TVA "&amp;F220,Config!A:A,0))-1),"")</f>
        <v>#ERROR!</v>
      </c>
      <c r="M220" s="281" t="str">
        <f>IFERROR(K220+L220,"")</f>
        <v>#ERROR!</v>
      </c>
      <c r="N220" s="233"/>
    </row>
    <row r="221">
      <c r="A221" s="303"/>
      <c r="B221" s="235"/>
      <c r="C221" s="235"/>
      <c r="D221" s="235"/>
      <c r="E221" s="235"/>
      <c r="F221" s="235" t="str">
        <f>IFERROR(INDEX(Recettes!C:C,MATCH(E221,Recettes!B:B,0)),"")</f>
        <v>#ERROR!</v>
      </c>
      <c r="G221" s="235"/>
      <c r="H221" s="235"/>
      <c r="I221" s="283"/>
      <c r="J221" s="304"/>
      <c r="K221" s="283" t="str">
        <f>IFERROR(H221*I221*(1-J221/100),"")</f>
        <v>#ERROR!</v>
      </c>
      <c r="L221" s="283" t="str">
        <f>IFERROR(K221*(INDEX(Config!B:B,MATCH("TVA "&amp;F221,Config!A:A,0))-1),"")</f>
        <v>#ERROR!</v>
      </c>
      <c r="M221" s="283" t="str">
        <f>IFERROR(K221+L221,"")</f>
        <v>#ERROR!</v>
      </c>
      <c r="N221" s="240"/>
    </row>
    <row r="222">
      <c r="A222" s="301"/>
      <c r="B222" s="227"/>
      <c r="C222" s="227"/>
      <c r="D222" s="227"/>
      <c r="E222" s="227"/>
      <c r="F222" s="227" t="str">
        <f>IFERROR(INDEX(Recettes!C:C,MATCH(E222,Recettes!B:B,0)),"")</f>
        <v>#ERROR!</v>
      </c>
      <c r="G222" s="227"/>
      <c r="H222" s="227"/>
      <c r="I222" s="281"/>
      <c r="J222" s="302"/>
      <c r="K222" s="281" t="str">
        <f>IFERROR(H222*I222*(1-J222/100),"")</f>
        <v>#ERROR!</v>
      </c>
      <c r="L222" s="281" t="str">
        <f>IFERROR(K222*(INDEX(Config!B:B,MATCH("TVA "&amp;F222,Config!A:A,0))-1),"")</f>
        <v>#ERROR!</v>
      </c>
      <c r="M222" s="281" t="str">
        <f>IFERROR(K222+L222,"")</f>
        <v>#ERROR!</v>
      </c>
      <c r="N222" s="233"/>
    </row>
    <row r="223">
      <c r="A223" s="303"/>
      <c r="B223" s="235"/>
      <c r="C223" s="235"/>
      <c r="D223" s="235"/>
      <c r="E223" s="235"/>
      <c r="F223" s="235" t="str">
        <f>IFERROR(INDEX(Recettes!C:C,MATCH(E223,Recettes!B:B,0)),"")</f>
        <v>#ERROR!</v>
      </c>
      <c r="G223" s="235"/>
      <c r="H223" s="235"/>
      <c r="I223" s="283"/>
      <c r="J223" s="304"/>
      <c r="K223" s="283" t="str">
        <f>IFERROR(H223*I223*(1-J223/100),"")</f>
        <v>#ERROR!</v>
      </c>
      <c r="L223" s="283" t="str">
        <f>IFERROR(K223*(INDEX(Config!B:B,MATCH("TVA "&amp;F223,Config!A:A,0))-1),"")</f>
        <v>#ERROR!</v>
      </c>
      <c r="M223" s="283" t="str">
        <f>IFERROR(K223+L223,"")</f>
        <v>#ERROR!</v>
      </c>
      <c r="N223" s="240"/>
    </row>
    <row r="224">
      <c r="A224" s="301"/>
      <c r="B224" s="227"/>
      <c r="C224" s="227"/>
      <c r="D224" s="227"/>
      <c r="E224" s="227"/>
      <c r="F224" s="227" t="str">
        <f>IFERROR(INDEX(Recettes!C:C,MATCH(E224,Recettes!B:B,0)),"")</f>
        <v>#ERROR!</v>
      </c>
      <c r="G224" s="227"/>
      <c r="H224" s="227"/>
      <c r="I224" s="281"/>
      <c r="J224" s="302"/>
      <c r="K224" s="281" t="str">
        <f>IFERROR(H224*I224*(1-J224/100),"")</f>
        <v>#ERROR!</v>
      </c>
      <c r="L224" s="281" t="str">
        <f>IFERROR(K224*(INDEX(Config!B:B,MATCH("TVA "&amp;F224,Config!A:A,0))-1),"")</f>
        <v>#ERROR!</v>
      </c>
      <c r="M224" s="281" t="str">
        <f>IFERROR(K224+L224,"")</f>
        <v>#ERROR!</v>
      </c>
      <c r="N224" s="233"/>
    </row>
    <row r="225">
      <c r="A225" s="303"/>
      <c r="B225" s="235"/>
      <c r="C225" s="235"/>
      <c r="D225" s="235"/>
      <c r="E225" s="235"/>
      <c r="F225" s="235" t="str">
        <f>IFERROR(INDEX(Recettes!C:C,MATCH(E225,Recettes!B:B,0)),"")</f>
        <v>#ERROR!</v>
      </c>
      <c r="G225" s="235"/>
      <c r="H225" s="235"/>
      <c r="I225" s="283"/>
      <c r="J225" s="304"/>
      <c r="K225" s="283" t="str">
        <f>IFERROR(H225*I225*(1-J225/100),"")</f>
        <v>#ERROR!</v>
      </c>
      <c r="L225" s="283" t="str">
        <f>IFERROR(K225*(INDEX(Config!B:B,MATCH("TVA "&amp;F225,Config!A:A,0))-1),"")</f>
        <v>#ERROR!</v>
      </c>
      <c r="M225" s="283" t="str">
        <f>IFERROR(K225+L225,"")</f>
        <v>#ERROR!</v>
      </c>
      <c r="N225" s="240"/>
    </row>
    <row r="226">
      <c r="A226" s="301"/>
      <c r="B226" s="227"/>
      <c r="C226" s="227"/>
      <c r="D226" s="227"/>
      <c r="E226" s="227"/>
      <c r="F226" s="227" t="str">
        <f>IFERROR(INDEX(Recettes!C:C,MATCH(E226,Recettes!B:B,0)),"")</f>
        <v>#ERROR!</v>
      </c>
      <c r="G226" s="227"/>
      <c r="H226" s="227"/>
      <c r="I226" s="281"/>
      <c r="J226" s="302"/>
      <c r="K226" s="281" t="str">
        <f>IFERROR(H226*I226*(1-J226/100),"")</f>
        <v>#ERROR!</v>
      </c>
      <c r="L226" s="281" t="str">
        <f>IFERROR(K226*(INDEX(Config!B:B,MATCH("TVA "&amp;F226,Config!A:A,0))-1),"")</f>
        <v>#ERROR!</v>
      </c>
      <c r="M226" s="281" t="str">
        <f>IFERROR(K226+L226,"")</f>
        <v>#ERROR!</v>
      </c>
      <c r="N226" s="233"/>
    </row>
    <row r="227">
      <c r="A227" s="303"/>
      <c r="B227" s="235"/>
      <c r="C227" s="235"/>
      <c r="D227" s="235"/>
      <c r="E227" s="235"/>
      <c r="F227" s="235" t="str">
        <f>IFERROR(INDEX(Recettes!C:C,MATCH(E227,Recettes!B:B,0)),"")</f>
        <v>#ERROR!</v>
      </c>
      <c r="G227" s="235"/>
      <c r="H227" s="235"/>
      <c r="I227" s="283"/>
      <c r="J227" s="304"/>
      <c r="K227" s="283" t="str">
        <f>IFERROR(H227*I227*(1-J227/100),"")</f>
        <v>#ERROR!</v>
      </c>
      <c r="L227" s="283" t="str">
        <f>IFERROR(K227*(INDEX(Config!B:B,MATCH("TVA "&amp;F227,Config!A:A,0))-1),"")</f>
        <v>#ERROR!</v>
      </c>
      <c r="M227" s="283" t="str">
        <f>IFERROR(K227+L227,"")</f>
        <v>#ERROR!</v>
      </c>
      <c r="N227" s="240"/>
    </row>
    <row r="228">
      <c r="A228" s="301"/>
      <c r="B228" s="227"/>
      <c r="C228" s="227"/>
      <c r="D228" s="227"/>
      <c r="E228" s="227"/>
      <c r="F228" s="227" t="str">
        <f>IFERROR(INDEX(Recettes!C:C,MATCH(E228,Recettes!B:B,0)),"")</f>
        <v>#ERROR!</v>
      </c>
      <c r="G228" s="227"/>
      <c r="H228" s="227"/>
      <c r="I228" s="281"/>
      <c r="J228" s="302"/>
      <c r="K228" s="281" t="str">
        <f>IFERROR(H228*I228*(1-J228/100),"")</f>
        <v>#ERROR!</v>
      </c>
      <c r="L228" s="281" t="str">
        <f>IFERROR(K228*(INDEX(Config!B:B,MATCH("TVA "&amp;F228,Config!A:A,0))-1),"")</f>
        <v>#ERROR!</v>
      </c>
      <c r="M228" s="281" t="str">
        <f>IFERROR(K228+L228,"")</f>
        <v>#ERROR!</v>
      </c>
      <c r="N228" s="233"/>
    </row>
    <row r="229">
      <c r="A229" s="303"/>
      <c r="B229" s="235"/>
      <c r="C229" s="235"/>
      <c r="D229" s="235"/>
      <c r="E229" s="235"/>
      <c r="F229" s="235" t="str">
        <f>IFERROR(INDEX(Recettes!C:C,MATCH(E229,Recettes!B:B,0)),"")</f>
        <v>#ERROR!</v>
      </c>
      <c r="G229" s="235"/>
      <c r="H229" s="235"/>
      <c r="I229" s="283"/>
      <c r="J229" s="304"/>
      <c r="K229" s="283" t="str">
        <f>IFERROR(H229*I229*(1-J229/100),"")</f>
        <v>#ERROR!</v>
      </c>
      <c r="L229" s="283" t="str">
        <f>IFERROR(K229*(INDEX(Config!B:B,MATCH("TVA "&amp;F229,Config!A:A,0))-1),"")</f>
        <v>#ERROR!</v>
      </c>
      <c r="M229" s="283" t="str">
        <f>IFERROR(K229+L229,"")</f>
        <v>#ERROR!</v>
      </c>
      <c r="N229" s="240"/>
    </row>
    <row r="230">
      <c r="A230" s="301"/>
      <c r="B230" s="227"/>
      <c r="C230" s="227"/>
      <c r="D230" s="227"/>
      <c r="E230" s="227"/>
      <c r="F230" s="227" t="str">
        <f>IFERROR(INDEX(Recettes!C:C,MATCH(E230,Recettes!B:B,0)),"")</f>
        <v>#ERROR!</v>
      </c>
      <c r="G230" s="227"/>
      <c r="H230" s="227"/>
      <c r="I230" s="281"/>
      <c r="J230" s="302"/>
      <c r="K230" s="281" t="str">
        <f>IFERROR(H230*I230*(1-J230/100),"")</f>
        <v>#ERROR!</v>
      </c>
      <c r="L230" s="281" t="str">
        <f>IFERROR(K230*(INDEX(Config!B:B,MATCH("TVA "&amp;F230,Config!A:A,0))-1),"")</f>
        <v>#ERROR!</v>
      </c>
      <c r="M230" s="281" t="str">
        <f>IFERROR(K230+L230,"")</f>
        <v>#ERROR!</v>
      </c>
      <c r="N230" s="233"/>
    </row>
    <row r="231">
      <c r="A231" s="303"/>
      <c r="B231" s="235"/>
      <c r="C231" s="235"/>
      <c r="D231" s="235"/>
      <c r="E231" s="235"/>
      <c r="F231" s="235" t="str">
        <f>IFERROR(INDEX(Recettes!C:C,MATCH(E231,Recettes!B:B,0)),"")</f>
        <v>#ERROR!</v>
      </c>
      <c r="G231" s="235"/>
      <c r="H231" s="235"/>
      <c r="I231" s="283"/>
      <c r="J231" s="304"/>
      <c r="K231" s="283" t="str">
        <f>IFERROR(H231*I231*(1-J231/100),"")</f>
        <v>#ERROR!</v>
      </c>
      <c r="L231" s="283" t="str">
        <f>IFERROR(K231*(INDEX(Config!B:B,MATCH("TVA "&amp;F231,Config!A:A,0))-1),"")</f>
        <v>#ERROR!</v>
      </c>
      <c r="M231" s="283" t="str">
        <f>IFERROR(K231+L231,"")</f>
        <v>#ERROR!</v>
      </c>
      <c r="N231" s="240"/>
    </row>
    <row r="232">
      <c r="A232" s="301"/>
      <c r="B232" s="227"/>
      <c r="C232" s="227"/>
      <c r="D232" s="227"/>
      <c r="E232" s="227"/>
      <c r="F232" s="227" t="str">
        <f>IFERROR(INDEX(Recettes!C:C,MATCH(E232,Recettes!B:B,0)),"")</f>
        <v>#ERROR!</v>
      </c>
      <c r="G232" s="227"/>
      <c r="H232" s="227"/>
      <c r="I232" s="281"/>
      <c r="J232" s="302"/>
      <c r="K232" s="281" t="str">
        <f>IFERROR(H232*I232*(1-J232/100),"")</f>
        <v>#ERROR!</v>
      </c>
      <c r="L232" s="281" t="str">
        <f>IFERROR(K232*(INDEX(Config!B:B,MATCH("TVA "&amp;F232,Config!A:A,0))-1),"")</f>
        <v>#ERROR!</v>
      </c>
      <c r="M232" s="281" t="str">
        <f>IFERROR(K232+L232,"")</f>
        <v>#ERROR!</v>
      </c>
      <c r="N232" s="233"/>
    </row>
    <row r="233">
      <c r="A233" s="303"/>
      <c r="B233" s="235"/>
      <c r="C233" s="235"/>
      <c r="D233" s="235"/>
      <c r="E233" s="235"/>
      <c r="F233" s="235" t="str">
        <f>IFERROR(INDEX(Recettes!C:C,MATCH(E233,Recettes!B:B,0)),"")</f>
        <v>#ERROR!</v>
      </c>
      <c r="G233" s="235"/>
      <c r="H233" s="235"/>
      <c r="I233" s="283"/>
      <c r="J233" s="304"/>
      <c r="K233" s="283" t="str">
        <f>IFERROR(H233*I233*(1-J233/100),"")</f>
        <v>#ERROR!</v>
      </c>
      <c r="L233" s="283" t="str">
        <f>IFERROR(K233*(INDEX(Config!B:B,MATCH("TVA "&amp;F233,Config!A:A,0))-1),"")</f>
        <v>#ERROR!</v>
      </c>
      <c r="M233" s="283" t="str">
        <f>IFERROR(K233+L233,"")</f>
        <v>#ERROR!</v>
      </c>
      <c r="N233" s="240"/>
    </row>
    <row r="234">
      <c r="A234" s="301"/>
      <c r="B234" s="227"/>
      <c r="C234" s="227"/>
      <c r="D234" s="227"/>
      <c r="E234" s="227"/>
      <c r="F234" s="227" t="str">
        <f>IFERROR(INDEX(Recettes!C:C,MATCH(E234,Recettes!B:B,0)),"")</f>
        <v>#ERROR!</v>
      </c>
      <c r="G234" s="227"/>
      <c r="H234" s="227"/>
      <c r="I234" s="281"/>
      <c r="J234" s="302"/>
      <c r="K234" s="281" t="str">
        <f>IFERROR(H234*I234*(1-J234/100),"")</f>
        <v>#ERROR!</v>
      </c>
      <c r="L234" s="281" t="str">
        <f>IFERROR(K234*(INDEX(Config!B:B,MATCH("TVA "&amp;F234,Config!A:A,0))-1),"")</f>
        <v>#ERROR!</v>
      </c>
      <c r="M234" s="281" t="str">
        <f>IFERROR(K234+L234,"")</f>
        <v>#ERROR!</v>
      </c>
      <c r="N234" s="233"/>
    </row>
    <row r="235">
      <c r="A235" s="303"/>
      <c r="B235" s="235"/>
      <c r="C235" s="235"/>
      <c r="D235" s="235"/>
      <c r="E235" s="235"/>
      <c r="F235" s="235" t="str">
        <f>IFERROR(INDEX(Recettes!C:C,MATCH(E235,Recettes!B:B,0)),"")</f>
        <v>#ERROR!</v>
      </c>
      <c r="G235" s="235"/>
      <c r="H235" s="235"/>
      <c r="I235" s="283"/>
      <c r="J235" s="304"/>
      <c r="K235" s="283" t="str">
        <f>IFERROR(H235*I235*(1-J235/100),"")</f>
        <v>#ERROR!</v>
      </c>
      <c r="L235" s="283" t="str">
        <f>IFERROR(K235*(INDEX(Config!B:B,MATCH("TVA "&amp;F235,Config!A:A,0))-1),"")</f>
        <v>#ERROR!</v>
      </c>
      <c r="M235" s="283" t="str">
        <f>IFERROR(K235+L235,"")</f>
        <v>#ERROR!</v>
      </c>
      <c r="N235" s="240"/>
    </row>
    <row r="236">
      <c r="A236" s="301"/>
      <c r="B236" s="227"/>
      <c r="C236" s="227"/>
      <c r="D236" s="227"/>
      <c r="E236" s="227"/>
      <c r="F236" s="227" t="str">
        <f>IFERROR(INDEX(Recettes!C:C,MATCH(E236,Recettes!B:B,0)),"")</f>
        <v>#ERROR!</v>
      </c>
      <c r="G236" s="227"/>
      <c r="H236" s="227"/>
      <c r="I236" s="281"/>
      <c r="J236" s="302"/>
      <c r="K236" s="281" t="str">
        <f>IFERROR(H236*I236*(1-J236/100),"")</f>
        <v>#ERROR!</v>
      </c>
      <c r="L236" s="281" t="str">
        <f>IFERROR(K236*(INDEX(Config!B:B,MATCH("TVA "&amp;F236,Config!A:A,0))-1),"")</f>
        <v>#ERROR!</v>
      </c>
      <c r="M236" s="281" t="str">
        <f>IFERROR(K236+L236,"")</f>
        <v>#ERROR!</v>
      </c>
      <c r="N236" s="233"/>
    </row>
    <row r="237">
      <c r="A237" s="303"/>
      <c r="B237" s="235"/>
      <c r="C237" s="235"/>
      <c r="D237" s="235"/>
      <c r="E237" s="235"/>
      <c r="F237" s="235" t="str">
        <f>IFERROR(INDEX(Recettes!C:C,MATCH(E237,Recettes!B:B,0)),"")</f>
        <v>#ERROR!</v>
      </c>
      <c r="G237" s="235"/>
      <c r="H237" s="235"/>
      <c r="I237" s="283"/>
      <c r="J237" s="304"/>
      <c r="K237" s="283" t="str">
        <f>IFERROR(H237*I237*(1-J237/100),"")</f>
        <v>#ERROR!</v>
      </c>
      <c r="L237" s="283" t="str">
        <f>IFERROR(K237*(INDEX(Config!B:B,MATCH("TVA "&amp;F237,Config!A:A,0))-1),"")</f>
        <v>#ERROR!</v>
      </c>
      <c r="M237" s="283" t="str">
        <f>IFERROR(K237+L237,"")</f>
        <v>#ERROR!</v>
      </c>
      <c r="N237" s="240"/>
    </row>
    <row r="238">
      <c r="A238" s="301"/>
      <c r="B238" s="227"/>
      <c r="C238" s="227"/>
      <c r="D238" s="227"/>
      <c r="E238" s="227"/>
      <c r="F238" s="227" t="str">
        <f>IFERROR(INDEX(Recettes!C:C,MATCH(E238,Recettes!B:B,0)),"")</f>
        <v>#ERROR!</v>
      </c>
      <c r="G238" s="227"/>
      <c r="H238" s="227"/>
      <c r="I238" s="281"/>
      <c r="J238" s="302"/>
      <c r="K238" s="281" t="str">
        <f>IFERROR(H238*I238*(1-J238/100),"")</f>
        <v>#ERROR!</v>
      </c>
      <c r="L238" s="281" t="str">
        <f>IFERROR(K238*(INDEX(Config!B:B,MATCH("TVA "&amp;F238,Config!A:A,0))-1),"")</f>
        <v>#ERROR!</v>
      </c>
      <c r="M238" s="281" t="str">
        <f>IFERROR(K238+L238,"")</f>
        <v>#ERROR!</v>
      </c>
      <c r="N238" s="233"/>
    </row>
    <row r="239">
      <c r="A239" s="303"/>
      <c r="B239" s="235"/>
      <c r="C239" s="235"/>
      <c r="D239" s="235"/>
      <c r="E239" s="235"/>
      <c r="F239" s="235" t="str">
        <f>IFERROR(INDEX(Recettes!C:C,MATCH(E239,Recettes!B:B,0)),"")</f>
        <v>#ERROR!</v>
      </c>
      <c r="G239" s="235"/>
      <c r="H239" s="235"/>
      <c r="I239" s="283"/>
      <c r="J239" s="304"/>
      <c r="K239" s="283" t="str">
        <f>IFERROR(H239*I239*(1-J239/100),"")</f>
        <v>#ERROR!</v>
      </c>
      <c r="L239" s="283" t="str">
        <f>IFERROR(K239*(INDEX(Config!B:B,MATCH("TVA "&amp;F239,Config!A:A,0))-1),"")</f>
        <v>#ERROR!</v>
      </c>
      <c r="M239" s="283" t="str">
        <f>IFERROR(K239+L239,"")</f>
        <v>#ERROR!</v>
      </c>
      <c r="N239" s="240"/>
    </row>
    <row r="240">
      <c r="A240" s="301"/>
      <c r="B240" s="227"/>
      <c r="C240" s="227"/>
      <c r="D240" s="227"/>
      <c r="E240" s="227"/>
      <c r="F240" s="227" t="str">
        <f>IFERROR(INDEX(Recettes!C:C,MATCH(E240,Recettes!B:B,0)),"")</f>
        <v>#ERROR!</v>
      </c>
      <c r="G240" s="227"/>
      <c r="H240" s="227"/>
      <c r="I240" s="281"/>
      <c r="J240" s="302"/>
      <c r="K240" s="281" t="str">
        <f>IFERROR(H240*I240*(1-J240/100),"")</f>
        <v>#ERROR!</v>
      </c>
      <c r="L240" s="281" t="str">
        <f>IFERROR(K240*(INDEX(Config!B:B,MATCH("TVA "&amp;F240,Config!A:A,0))-1),"")</f>
        <v>#ERROR!</v>
      </c>
      <c r="M240" s="281" t="str">
        <f>IFERROR(K240+L240,"")</f>
        <v>#ERROR!</v>
      </c>
      <c r="N240" s="233"/>
    </row>
    <row r="241">
      <c r="A241" s="303"/>
      <c r="B241" s="235"/>
      <c r="C241" s="235"/>
      <c r="D241" s="235"/>
      <c r="E241" s="235"/>
      <c r="F241" s="235" t="str">
        <f>IFERROR(INDEX(Recettes!C:C,MATCH(E241,Recettes!B:B,0)),"")</f>
        <v>#ERROR!</v>
      </c>
      <c r="G241" s="235"/>
      <c r="H241" s="235"/>
      <c r="I241" s="283"/>
      <c r="J241" s="304"/>
      <c r="K241" s="283" t="str">
        <f>IFERROR(H241*I241*(1-J241/100),"")</f>
        <v>#ERROR!</v>
      </c>
      <c r="L241" s="283" t="str">
        <f>IFERROR(K241*(INDEX(Config!B:B,MATCH("TVA "&amp;F241,Config!A:A,0))-1),"")</f>
        <v>#ERROR!</v>
      </c>
      <c r="M241" s="283" t="str">
        <f>IFERROR(K241+L241,"")</f>
        <v>#ERROR!</v>
      </c>
      <c r="N241" s="240"/>
    </row>
    <row r="242">
      <c r="A242" s="301"/>
      <c r="B242" s="227"/>
      <c r="C242" s="227"/>
      <c r="D242" s="227"/>
      <c r="E242" s="227"/>
      <c r="F242" s="227" t="str">
        <f>IFERROR(INDEX(Recettes!C:C,MATCH(E242,Recettes!B:B,0)),"")</f>
        <v>#ERROR!</v>
      </c>
      <c r="G242" s="227"/>
      <c r="H242" s="227"/>
      <c r="I242" s="281"/>
      <c r="J242" s="302"/>
      <c r="K242" s="281" t="str">
        <f>IFERROR(H242*I242*(1-J242/100),"")</f>
        <v>#ERROR!</v>
      </c>
      <c r="L242" s="281" t="str">
        <f>IFERROR(K242*(INDEX(Config!B:B,MATCH("TVA "&amp;F242,Config!A:A,0))-1),"")</f>
        <v>#ERROR!</v>
      </c>
      <c r="M242" s="281" t="str">
        <f>IFERROR(K242+L242,"")</f>
        <v>#ERROR!</v>
      </c>
      <c r="N242" s="233"/>
    </row>
    <row r="243">
      <c r="A243" s="303"/>
      <c r="B243" s="235"/>
      <c r="C243" s="235"/>
      <c r="D243" s="235"/>
      <c r="E243" s="235"/>
      <c r="F243" s="235" t="str">
        <f>IFERROR(INDEX(Recettes!C:C,MATCH(E243,Recettes!B:B,0)),"")</f>
        <v>#ERROR!</v>
      </c>
      <c r="G243" s="235"/>
      <c r="H243" s="235"/>
      <c r="I243" s="283"/>
      <c r="J243" s="304"/>
      <c r="K243" s="283" t="str">
        <f>IFERROR(H243*I243*(1-J243/100),"")</f>
        <v>#ERROR!</v>
      </c>
      <c r="L243" s="283" t="str">
        <f>IFERROR(K243*(INDEX(Config!B:B,MATCH("TVA "&amp;F243,Config!A:A,0))-1),"")</f>
        <v>#ERROR!</v>
      </c>
      <c r="M243" s="283" t="str">
        <f>IFERROR(K243+L243,"")</f>
        <v>#ERROR!</v>
      </c>
      <c r="N243" s="240"/>
    </row>
    <row r="244">
      <c r="A244" s="301"/>
      <c r="B244" s="227"/>
      <c r="C244" s="227"/>
      <c r="D244" s="227"/>
      <c r="E244" s="227"/>
      <c r="F244" s="227" t="str">
        <f>IFERROR(INDEX(Recettes!C:C,MATCH(E244,Recettes!B:B,0)),"")</f>
        <v>#ERROR!</v>
      </c>
      <c r="G244" s="227"/>
      <c r="H244" s="227"/>
      <c r="I244" s="281"/>
      <c r="J244" s="302"/>
      <c r="K244" s="281" t="str">
        <f>IFERROR(H244*I244*(1-J244/100),"")</f>
        <v>#ERROR!</v>
      </c>
      <c r="L244" s="281" t="str">
        <f>IFERROR(K244*(INDEX(Config!B:B,MATCH("TVA "&amp;F244,Config!A:A,0))-1),"")</f>
        <v>#ERROR!</v>
      </c>
      <c r="M244" s="281" t="str">
        <f>IFERROR(K244+L244,"")</f>
        <v>#ERROR!</v>
      </c>
      <c r="N244" s="233"/>
    </row>
    <row r="245">
      <c r="A245" s="303"/>
      <c r="B245" s="235"/>
      <c r="C245" s="235"/>
      <c r="D245" s="235"/>
      <c r="E245" s="235"/>
      <c r="F245" s="235" t="str">
        <f>IFERROR(INDEX(Recettes!C:C,MATCH(E245,Recettes!B:B,0)),"")</f>
        <v>#ERROR!</v>
      </c>
      <c r="G245" s="235"/>
      <c r="H245" s="235"/>
      <c r="I245" s="283"/>
      <c r="J245" s="304"/>
      <c r="K245" s="283" t="str">
        <f>IFERROR(H245*I245*(1-J245/100),"")</f>
        <v>#ERROR!</v>
      </c>
      <c r="L245" s="283" t="str">
        <f>IFERROR(K245*(INDEX(Config!B:B,MATCH("TVA "&amp;F245,Config!A:A,0))-1),"")</f>
        <v>#ERROR!</v>
      </c>
      <c r="M245" s="283" t="str">
        <f>IFERROR(K245+L245,"")</f>
        <v>#ERROR!</v>
      </c>
      <c r="N245" s="240"/>
    </row>
    <row r="246">
      <c r="A246" s="301"/>
      <c r="B246" s="227"/>
      <c r="C246" s="227"/>
      <c r="D246" s="227"/>
      <c r="E246" s="227"/>
      <c r="F246" s="227" t="str">
        <f>IFERROR(INDEX(Recettes!C:C,MATCH(E246,Recettes!B:B,0)),"")</f>
        <v>#ERROR!</v>
      </c>
      <c r="G246" s="227"/>
      <c r="H246" s="227"/>
      <c r="I246" s="281"/>
      <c r="J246" s="302"/>
      <c r="K246" s="281" t="str">
        <f>IFERROR(H246*I246*(1-J246/100),"")</f>
        <v>#ERROR!</v>
      </c>
      <c r="L246" s="281" t="str">
        <f>IFERROR(K246*(INDEX(Config!B:B,MATCH("TVA "&amp;F246,Config!A:A,0))-1),"")</f>
        <v>#ERROR!</v>
      </c>
      <c r="M246" s="281" t="str">
        <f>IFERROR(K246+L246,"")</f>
        <v>#ERROR!</v>
      </c>
      <c r="N246" s="233"/>
    </row>
    <row r="247">
      <c r="A247" s="303"/>
      <c r="B247" s="235"/>
      <c r="C247" s="235"/>
      <c r="D247" s="235"/>
      <c r="E247" s="235"/>
      <c r="F247" s="235" t="str">
        <f>IFERROR(INDEX(Recettes!C:C,MATCH(E247,Recettes!B:B,0)),"")</f>
        <v>#ERROR!</v>
      </c>
      <c r="G247" s="235"/>
      <c r="H247" s="235"/>
      <c r="I247" s="283"/>
      <c r="J247" s="304"/>
      <c r="K247" s="283" t="str">
        <f>IFERROR(H247*I247*(1-J247/100),"")</f>
        <v>#ERROR!</v>
      </c>
      <c r="L247" s="283" t="str">
        <f>IFERROR(K247*(INDEX(Config!B:B,MATCH("TVA "&amp;F247,Config!A:A,0))-1),"")</f>
        <v>#ERROR!</v>
      </c>
      <c r="M247" s="283" t="str">
        <f>IFERROR(K247+L247,"")</f>
        <v>#ERROR!</v>
      </c>
      <c r="N247" s="240"/>
    </row>
    <row r="248">
      <c r="A248" s="301"/>
      <c r="B248" s="227"/>
      <c r="C248" s="227"/>
      <c r="D248" s="227"/>
      <c r="E248" s="227"/>
      <c r="F248" s="227" t="str">
        <f>IFERROR(INDEX(Recettes!C:C,MATCH(E248,Recettes!B:B,0)),"")</f>
        <v>#ERROR!</v>
      </c>
      <c r="G248" s="227"/>
      <c r="H248" s="227"/>
      <c r="I248" s="281"/>
      <c r="J248" s="302"/>
      <c r="K248" s="281" t="str">
        <f>IFERROR(H248*I248*(1-J248/100),"")</f>
        <v>#ERROR!</v>
      </c>
      <c r="L248" s="281" t="str">
        <f>IFERROR(K248*(INDEX(Config!B:B,MATCH("TVA "&amp;F248,Config!A:A,0))-1),"")</f>
        <v>#ERROR!</v>
      </c>
      <c r="M248" s="281" t="str">
        <f>IFERROR(K248+L248,"")</f>
        <v>#ERROR!</v>
      </c>
      <c r="N248" s="233"/>
    </row>
    <row r="249">
      <c r="A249" s="303"/>
      <c r="B249" s="235"/>
      <c r="C249" s="235"/>
      <c r="D249" s="235"/>
      <c r="E249" s="235"/>
      <c r="F249" s="235" t="str">
        <f>IFERROR(INDEX(Recettes!C:C,MATCH(E249,Recettes!B:B,0)),"")</f>
        <v>#ERROR!</v>
      </c>
      <c r="G249" s="235"/>
      <c r="H249" s="235"/>
      <c r="I249" s="283"/>
      <c r="J249" s="304"/>
      <c r="K249" s="283" t="str">
        <f>IFERROR(H249*I249*(1-J249/100),"")</f>
        <v>#ERROR!</v>
      </c>
      <c r="L249" s="283" t="str">
        <f>IFERROR(K249*(INDEX(Config!B:B,MATCH("TVA "&amp;F249,Config!A:A,0))-1),"")</f>
        <v>#ERROR!</v>
      </c>
      <c r="M249" s="283" t="str">
        <f>IFERROR(K249+L249,"")</f>
        <v>#ERROR!</v>
      </c>
      <c r="N249" s="240"/>
    </row>
    <row r="250">
      <c r="A250" s="301"/>
      <c r="B250" s="227"/>
      <c r="C250" s="227"/>
      <c r="D250" s="227"/>
      <c r="E250" s="227"/>
      <c r="F250" s="227" t="str">
        <f>IFERROR(INDEX(Recettes!C:C,MATCH(E250,Recettes!B:B,0)),"")</f>
        <v>#ERROR!</v>
      </c>
      <c r="G250" s="227"/>
      <c r="H250" s="227"/>
      <c r="I250" s="281"/>
      <c r="J250" s="302"/>
      <c r="K250" s="281" t="str">
        <f>IFERROR(H250*I250*(1-J250/100),"")</f>
        <v>#ERROR!</v>
      </c>
      <c r="L250" s="281" t="str">
        <f>IFERROR(K250*(INDEX(Config!B:B,MATCH("TVA "&amp;F250,Config!A:A,0))-1),"")</f>
        <v>#ERROR!</v>
      </c>
      <c r="M250" s="281" t="str">
        <f>IFERROR(K250+L250,"")</f>
        <v>#ERROR!</v>
      </c>
      <c r="N250" s="233"/>
    </row>
    <row r="251">
      <c r="A251" s="303"/>
      <c r="B251" s="235"/>
      <c r="C251" s="235"/>
      <c r="D251" s="235"/>
      <c r="E251" s="235"/>
      <c r="F251" s="235" t="str">
        <f>IFERROR(INDEX(Recettes!C:C,MATCH(E251,Recettes!B:B,0)),"")</f>
        <v>#ERROR!</v>
      </c>
      <c r="G251" s="235"/>
      <c r="H251" s="235"/>
      <c r="I251" s="283"/>
      <c r="J251" s="304"/>
      <c r="K251" s="283" t="str">
        <f>IFERROR(H251*I251*(1-J251/100),"")</f>
        <v>#ERROR!</v>
      </c>
      <c r="L251" s="283" t="str">
        <f>IFERROR(K251*(INDEX(Config!B:B,MATCH("TVA "&amp;F251,Config!A:A,0))-1),"")</f>
        <v>#ERROR!</v>
      </c>
      <c r="M251" s="283" t="str">
        <f>IFERROR(K251+L251,"")</f>
        <v>#ERROR!</v>
      </c>
      <c r="N251" s="240"/>
    </row>
    <row r="252">
      <c r="A252" s="301"/>
      <c r="B252" s="227"/>
      <c r="C252" s="227"/>
      <c r="D252" s="227"/>
      <c r="E252" s="227"/>
      <c r="F252" s="227" t="str">
        <f>IFERROR(INDEX(Recettes!C:C,MATCH(E252,Recettes!B:B,0)),"")</f>
        <v>#ERROR!</v>
      </c>
      <c r="G252" s="227"/>
      <c r="H252" s="227"/>
      <c r="I252" s="281"/>
      <c r="J252" s="302"/>
      <c r="K252" s="281" t="str">
        <f>IFERROR(H252*I252*(1-J252/100),"")</f>
        <v>#ERROR!</v>
      </c>
      <c r="L252" s="281" t="str">
        <f>IFERROR(K252*(INDEX(Config!B:B,MATCH("TVA "&amp;F252,Config!A:A,0))-1),"")</f>
        <v>#ERROR!</v>
      </c>
      <c r="M252" s="281" t="str">
        <f>IFERROR(K252+L252,"")</f>
        <v>#ERROR!</v>
      </c>
      <c r="N252" s="233"/>
    </row>
    <row r="253">
      <c r="A253" s="303"/>
      <c r="B253" s="235"/>
      <c r="C253" s="235"/>
      <c r="D253" s="235"/>
      <c r="E253" s="235"/>
      <c r="F253" s="235" t="str">
        <f>IFERROR(INDEX(Recettes!C:C,MATCH(E253,Recettes!B:B,0)),"")</f>
        <v>#ERROR!</v>
      </c>
      <c r="G253" s="235"/>
      <c r="H253" s="235"/>
      <c r="I253" s="283"/>
      <c r="J253" s="304"/>
      <c r="K253" s="283" t="str">
        <f>IFERROR(H253*I253*(1-J253/100),"")</f>
        <v>#ERROR!</v>
      </c>
      <c r="L253" s="283" t="str">
        <f>IFERROR(K253*(INDEX(Config!B:B,MATCH("TVA "&amp;F253,Config!A:A,0))-1),"")</f>
        <v>#ERROR!</v>
      </c>
      <c r="M253" s="283" t="str">
        <f>IFERROR(K253+L253,"")</f>
        <v>#ERROR!</v>
      </c>
      <c r="N253" s="240"/>
    </row>
    <row r="254">
      <c r="A254" s="301"/>
      <c r="B254" s="227"/>
      <c r="C254" s="227"/>
      <c r="D254" s="227"/>
      <c r="E254" s="227"/>
      <c r="F254" s="227" t="str">
        <f>IFERROR(INDEX(Recettes!C:C,MATCH(E254,Recettes!B:B,0)),"")</f>
        <v>#ERROR!</v>
      </c>
      <c r="G254" s="227"/>
      <c r="H254" s="227"/>
      <c r="I254" s="281"/>
      <c r="J254" s="302"/>
      <c r="K254" s="281" t="str">
        <f>IFERROR(H254*I254*(1-J254/100),"")</f>
        <v>#ERROR!</v>
      </c>
      <c r="L254" s="281" t="str">
        <f>IFERROR(K254*(INDEX(Config!B:B,MATCH("TVA "&amp;F254,Config!A:A,0))-1),"")</f>
        <v>#ERROR!</v>
      </c>
      <c r="M254" s="281" t="str">
        <f>IFERROR(K254+L254,"")</f>
        <v>#ERROR!</v>
      </c>
      <c r="N254" s="233"/>
    </row>
    <row r="255">
      <c r="A255" s="303"/>
      <c r="B255" s="235"/>
      <c r="C255" s="235"/>
      <c r="D255" s="235"/>
      <c r="E255" s="235"/>
      <c r="F255" s="235" t="str">
        <f>IFERROR(INDEX(Recettes!C:C,MATCH(E255,Recettes!B:B,0)),"")</f>
        <v>#ERROR!</v>
      </c>
      <c r="G255" s="235"/>
      <c r="H255" s="235"/>
      <c r="I255" s="283"/>
      <c r="J255" s="304"/>
      <c r="K255" s="283" t="str">
        <f>IFERROR(H255*I255*(1-J255/100),"")</f>
        <v>#ERROR!</v>
      </c>
      <c r="L255" s="283" t="str">
        <f>IFERROR(K255*(INDEX(Config!B:B,MATCH("TVA "&amp;F255,Config!A:A,0))-1),"")</f>
        <v>#ERROR!</v>
      </c>
      <c r="M255" s="283" t="str">
        <f>IFERROR(K255+L255,"")</f>
        <v>#ERROR!</v>
      </c>
      <c r="N255" s="240"/>
    </row>
    <row r="256">
      <c r="A256" s="301"/>
      <c r="B256" s="227"/>
      <c r="C256" s="227"/>
      <c r="D256" s="227"/>
      <c r="E256" s="227"/>
      <c r="F256" s="227" t="str">
        <f>IFERROR(INDEX(Recettes!C:C,MATCH(E256,Recettes!B:B,0)),"")</f>
        <v>#ERROR!</v>
      </c>
      <c r="G256" s="227"/>
      <c r="H256" s="227"/>
      <c r="I256" s="281"/>
      <c r="J256" s="302"/>
      <c r="K256" s="281" t="str">
        <f>IFERROR(H256*I256*(1-J256/100),"")</f>
        <v>#ERROR!</v>
      </c>
      <c r="L256" s="281" t="str">
        <f>IFERROR(K256*(INDEX(Config!B:B,MATCH("TVA "&amp;F256,Config!A:A,0))-1),"")</f>
        <v>#ERROR!</v>
      </c>
      <c r="M256" s="281" t="str">
        <f>IFERROR(K256+L256,"")</f>
        <v>#ERROR!</v>
      </c>
      <c r="N256" s="233"/>
    </row>
    <row r="257">
      <c r="A257" s="303"/>
      <c r="B257" s="235"/>
      <c r="C257" s="235"/>
      <c r="D257" s="235"/>
      <c r="E257" s="235"/>
      <c r="F257" s="235" t="str">
        <f>IFERROR(INDEX(Recettes!C:C,MATCH(E257,Recettes!B:B,0)),"")</f>
        <v>#ERROR!</v>
      </c>
      <c r="G257" s="235"/>
      <c r="H257" s="235"/>
      <c r="I257" s="283"/>
      <c r="J257" s="304"/>
      <c r="K257" s="283" t="str">
        <f>IFERROR(H257*I257*(1-J257/100),"")</f>
        <v>#ERROR!</v>
      </c>
      <c r="L257" s="283" t="str">
        <f>IFERROR(K257*(INDEX(Config!B:B,MATCH("TVA "&amp;F257,Config!A:A,0))-1),"")</f>
        <v>#ERROR!</v>
      </c>
      <c r="M257" s="283" t="str">
        <f>IFERROR(K257+L257,"")</f>
        <v>#ERROR!</v>
      </c>
      <c r="N257" s="240"/>
    </row>
    <row r="258">
      <c r="A258" s="301"/>
      <c r="B258" s="227"/>
      <c r="C258" s="227"/>
      <c r="D258" s="227"/>
      <c r="E258" s="227"/>
      <c r="F258" s="227" t="str">
        <f>IFERROR(INDEX(Recettes!C:C,MATCH(E258,Recettes!B:B,0)),"")</f>
        <v>#ERROR!</v>
      </c>
      <c r="G258" s="227"/>
      <c r="H258" s="227"/>
      <c r="I258" s="281"/>
      <c r="J258" s="302"/>
      <c r="K258" s="281" t="str">
        <f>IFERROR(H258*I258*(1-J258/100),"")</f>
        <v>#ERROR!</v>
      </c>
      <c r="L258" s="281" t="str">
        <f>IFERROR(K258*(INDEX(Config!B:B,MATCH("TVA "&amp;F258,Config!A:A,0))-1),"")</f>
        <v>#ERROR!</v>
      </c>
      <c r="M258" s="281" t="str">
        <f>IFERROR(K258+L258,"")</f>
        <v>#ERROR!</v>
      </c>
      <c r="N258" s="233"/>
    </row>
    <row r="259">
      <c r="A259" s="303"/>
      <c r="B259" s="235"/>
      <c r="C259" s="235"/>
      <c r="D259" s="235"/>
      <c r="E259" s="235"/>
      <c r="F259" s="235" t="str">
        <f>IFERROR(INDEX(Recettes!C:C,MATCH(E259,Recettes!B:B,0)),"")</f>
        <v>#ERROR!</v>
      </c>
      <c r="G259" s="235"/>
      <c r="H259" s="235"/>
      <c r="I259" s="283"/>
      <c r="J259" s="304"/>
      <c r="K259" s="283" t="str">
        <f>IFERROR(H259*I259*(1-J259/100),"")</f>
        <v>#ERROR!</v>
      </c>
      <c r="L259" s="283" t="str">
        <f>IFERROR(K259*(INDEX(Config!B:B,MATCH("TVA "&amp;F259,Config!A:A,0))-1),"")</f>
        <v>#ERROR!</v>
      </c>
      <c r="M259" s="283" t="str">
        <f>IFERROR(K259+L259,"")</f>
        <v>#ERROR!</v>
      </c>
      <c r="N259" s="240"/>
    </row>
    <row r="260">
      <c r="A260" s="301"/>
      <c r="B260" s="227"/>
      <c r="C260" s="227"/>
      <c r="D260" s="227"/>
      <c r="E260" s="227"/>
      <c r="F260" s="227" t="str">
        <f>IFERROR(INDEX(Recettes!C:C,MATCH(E260,Recettes!B:B,0)),"")</f>
        <v>#ERROR!</v>
      </c>
      <c r="G260" s="227"/>
      <c r="H260" s="227"/>
      <c r="I260" s="281"/>
      <c r="J260" s="302"/>
      <c r="K260" s="281" t="str">
        <f>IFERROR(H260*I260*(1-J260/100),"")</f>
        <v>#ERROR!</v>
      </c>
      <c r="L260" s="281" t="str">
        <f>IFERROR(K260*(INDEX(Config!B:B,MATCH("TVA "&amp;F260,Config!A:A,0))-1),"")</f>
        <v>#ERROR!</v>
      </c>
      <c r="M260" s="281" t="str">
        <f>IFERROR(K260+L260,"")</f>
        <v>#ERROR!</v>
      </c>
      <c r="N260" s="233"/>
    </row>
    <row r="261">
      <c r="A261" s="303"/>
      <c r="B261" s="235"/>
      <c r="C261" s="235"/>
      <c r="D261" s="235"/>
      <c r="E261" s="235"/>
      <c r="F261" s="235" t="str">
        <f>IFERROR(INDEX(Recettes!C:C,MATCH(E261,Recettes!B:B,0)),"")</f>
        <v>#ERROR!</v>
      </c>
      <c r="G261" s="235"/>
      <c r="H261" s="235"/>
      <c r="I261" s="283"/>
      <c r="J261" s="304"/>
      <c r="K261" s="283" t="str">
        <f>IFERROR(H261*I261*(1-J261/100),"")</f>
        <v>#ERROR!</v>
      </c>
      <c r="L261" s="283" t="str">
        <f>IFERROR(K261*(INDEX(Config!B:B,MATCH("TVA "&amp;F261,Config!A:A,0))-1),"")</f>
        <v>#ERROR!</v>
      </c>
      <c r="M261" s="283" t="str">
        <f>IFERROR(K261+L261,"")</f>
        <v>#ERROR!</v>
      </c>
      <c r="N261" s="240"/>
    </row>
    <row r="262">
      <c r="A262" s="301"/>
      <c r="B262" s="227"/>
      <c r="C262" s="227"/>
      <c r="D262" s="227"/>
      <c r="E262" s="227"/>
      <c r="F262" s="227" t="str">
        <f>IFERROR(INDEX(Recettes!C:C,MATCH(E262,Recettes!B:B,0)),"")</f>
        <v>#ERROR!</v>
      </c>
      <c r="G262" s="227"/>
      <c r="H262" s="227"/>
      <c r="I262" s="281"/>
      <c r="J262" s="302"/>
      <c r="K262" s="281" t="str">
        <f>IFERROR(H262*I262*(1-J262/100),"")</f>
        <v>#ERROR!</v>
      </c>
      <c r="L262" s="281" t="str">
        <f>IFERROR(K262*(INDEX(Config!B:B,MATCH("TVA "&amp;F262,Config!A:A,0))-1),"")</f>
        <v>#ERROR!</v>
      </c>
      <c r="M262" s="281" t="str">
        <f>IFERROR(K262+L262,"")</f>
        <v>#ERROR!</v>
      </c>
      <c r="N262" s="233"/>
    </row>
    <row r="263">
      <c r="A263" s="303"/>
      <c r="B263" s="235"/>
      <c r="C263" s="235"/>
      <c r="D263" s="235"/>
      <c r="E263" s="235"/>
      <c r="F263" s="235" t="str">
        <f>IFERROR(INDEX(Recettes!C:C,MATCH(E263,Recettes!B:B,0)),"")</f>
        <v>#ERROR!</v>
      </c>
      <c r="G263" s="235"/>
      <c r="H263" s="235"/>
      <c r="I263" s="283"/>
      <c r="J263" s="304"/>
      <c r="K263" s="283" t="str">
        <f>IFERROR(H263*I263*(1-J263/100),"")</f>
        <v>#ERROR!</v>
      </c>
      <c r="L263" s="283" t="str">
        <f>IFERROR(K263*(INDEX(Config!B:B,MATCH("TVA "&amp;F263,Config!A:A,0))-1),"")</f>
        <v>#ERROR!</v>
      </c>
      <c r="M263" s="283" t="str">
        <f>IFERROR(K263+L263,"")</f>
        <v>#ERROR!</v>
      </c>
      <c r="N263" s="240"/>
    </row>
    <row r="264">
      <c r="A264" s="301"/>
      <c r="B264" s="227"/>
      <c r="C264" s="227"/>
      <c r="D264" s="227"/>
      <c r="E264" s="227"/>
      <c r="F264" s="227" t="str">
        <f>IFERROR(INDEX(Recettes!C:C,MATCH(E264,Recettes!B:B,0)),"")</f>
        <v>#ERROR!</v>
      </c>
      <c r="G264" s="227"/>
      <c r="H264" s="227"/>
      <c r="I264" s="281"/>
      <c r="J264" s="302"/>
      <c r="K264" s="281" t="str">
        <f>IFERROR(H264*I264*(1-J264/100),"")</f>
        <v>#ERROR!</v>
      </c>
      <c r="L264" s="281" t="str">
        <f>IFERROR(K264*(INDEX(Config!B:B,MATCH("TVA "&amp;F264,Config!A:A,0))-1),"")</f>
        <v>#ERROR!</v>
      </c>
      <c r="M264" s="281" t="str">
        <f>IFERROR(K264+L264,"")</f>
        <v>#ERROR!</v>
      </c>
      <c r="N264" s="233"/>
    </row>
    <row r="265">
      <c r="A265" s="303"/>
      <c r="B265" s="235"/>
      <c r="C265" s="235"/>
      <c r="D265" s="235"/>
      <c r="E265" s="235"/>
      <c r="F265" s="235" t="str">
        <f>IFERROR(INDEX(Recettes!C:C,MATCH(E265,Recettes!B:B,0)),"")</f>
        <v>#ERROR!</v>
      </c>
      <c r="G265" s="235"/>
      <c r="H265" s="235"/>
      <c r="I265" s="283"/>
      <c r="J265" s="304"/>
      <c r="K265" s="283" t="str">
        <f>IFERROR(H265*I265*(1-J265/100),"")</f>
        <v>#ERROR!</v>
      </c>
      <c r="L265" s="283" t="str">
        <f>IFERROR(K265*(INDEX(Config!B:B,MATCH("TVA "&amp;F265,Config!A:A,0))-1),"")</f>
        <v>#ERROR!</v>
      </c>
      <c r="M265" s="283" t="str">
        <f>IFERROR(K265+L265,"")</f>
        <v>#ERROR!</v>
      </c>
      <c r="N265" s="240"/>
    </row>
    <row r="266">
      <c r="A266" s="301"/>
      <c r="B266" s="227"/>
      <c r="C266" s="227"/>
      <c r="D266" s="227"/>
      <c r="E266" s="227"/>
      <c r="F266" s="227" t="str">
        <f>IFERROR(INDEX(Recettes!C:C,MATCH(E266,Recettes!B:B,0)),"")</f>
        <v>#ERROR!</v>
      </c>
      <c r="G266" s="227"/>
      <c r="H266" s="227"/>
      <c r="I266" s="281"/>
      <c r="J266" s="302"/>
      <c r="K266" s="281" t="str">
        <f>IFERROR(H266*I266*(1-J266/100),"")</f>
        <v>#ERROR!</v>
      </c>
      <c r="L266" s="281" t="str">
        <f>IFERROR(K266*(INDEX(Config!B:B,MATCH("TVA "&amp;F266,Config!A:A,0))-1),"")</f>
        <v>#ERROR!</v>
      </c>
      <c r="M266" s="281" t="str">
        <f>IFERROR(K266+L266,"")</f>
        <v>#ERROR!</v>
      </c>
      <c r="N266" s="233"/>
    </row>
    <row r="267">
      <c r="A267" s="303"/>
      <c r="B267" s="235"/>
      <c r="C267" s="235"/>
      <c r="D267" s="235"/>
      <c r="E267" s="235"/>
      <c r="F267" s="235" t="str">
        <f>IFERROR(INDEX(Recettes!C:C,MATCH(E267,Recettes!B:B,0)),"")</f>
        <v>#ERROR!</v>
      </c>
      <c r="G267" s="235"/>
      <c r="H267" s="235"/>
      <c r="I267" s="283"/>
      <c r="J267" s="304"/>
      <c r="K267" s="283" t="str">
        <f>IFERROR(H267*I267*(1-J267/100),"")</f>
        <v>#ERROR!</v>
      </c>
      <c r="L267" s="283" t="str">
        <f>IFERROR(K267*(INDEX(Config!B:B,MATCH("TVA "&amp;F267,Config!A:A,0))-1),"")</f>
        <v>#ERROR!</v>
      </c>
      <c r="M267" s="283" t="str">
        <f>IFERROR(K267+L267,"")</f>
        <v>#ERROR!</v>
      </c>
      <c r="N267" s="240"/>
    </row>
    <row r="268">
      <c r="A268" s="301"/>
      <c r="B268" s="227"/>
      <c r="C268" s="227"/>
      <c r="D268" s="227"/>
      <c r="E268" s="227"/>
      <c r="F268" s="227" t="str">
        <f>IFERROR(INDEX(Recettes!C:C,MATCH(E268,Recettes!B:B,0)),"")</f>
        <v>#ERROR!</v>
      </c>
      <c r="G268" s="227"/>
      <c r="H268" s="227"/>
      <c r="I268" s="281"/>
      <c r="J268" s="302"/>
      <c r="K268" s="281" t="str">
        <f>IFERROR(H268*I268*(1-J268/100),"")</f>
        <v>#ERROR!</v>
      </c>
      <c r="L268" s="281" t="str">
        <f>IFERROR(K268*(INDEX(Config!B:B,MATCH("TVA "&amp;F268,Config!A:A,0))-1),"")</f>
        <v>#ERROR!</v>
      </c>
      <c r="M268" s="281" t="str">
        <f>IFERROR(K268+L268,"")</f>
        <v>#ERROR!</v>
      </c>
      <c r="N268" s="233"/>
    </row>
    <row r="269">
      <c r="A269" s="303"/>
      <c r="B269" s="235"/>
      <c r="C269" s="235"/>
      <c r="D269" s="235"/>
      <c r="E269" s="235"/>
      <c r="F269" s="235" t="str">
        <f>IFERROR(INDEX(Recettes!C:C,MATCH(E269,Recettes!B:B,0)),"")</f>
        <v>#ERROR!</v>
      </c>
      <c r="G269" s="235"/>
      <c r="H269" s="235"/>
      <c r="I269" s="283"/>
      <c r="J269" s="304"/>
      <c r="K269" s="283" t="str">
        <f>IFERROR(H269*I269*(1-J269/100),"")</f>
        <v>#ERROR!</v>
      </c>
      <c r="L269" s="283" t="str">
        <f>IFERROR(K269*(INDEX(Config!B:B,MATCH("TVA "&amp;F269,Config!A:A,0))-1),"")</f>
        <v>#ERROR!</v>
      </c>
      <c r="M269" s="283" t="str">
        <f>IFERROR(K269+L269,"")</f>
        <v>#ERROR!</v>
      </c>
      <c r="N269" s="240"/>
    </row>
    <row r="270">
      <c r="A270" s="301"/>
      <c r="B270" s="227"/>
      <c r="C270" s="227"/>
      <c r="D270" s="227"/>
      <c r="E270" s="227"/>
      <c r="F270" s="227" t="str">
        <f>IFERROR(INDEX(Recettes!C:C,MATCH(E270,Recettes!B:B,0)),"")</f>
        <v>#ERROR!</v>
      </c>
      <c r="G270" s="227"/>
      <c r="H270" s="227"/>
      <c r="I270" s="281"/>
      <c r="J270" s="302"/>
      <c r="K270" s="281" t="str">
        <f>IFERROR(H270*I270*(1-J270/100),"")</f>
        <v>#ERROR!</v>
      </c>
      <c r="L270" s="281" t="str">
        <f>IFERROR(K270*(INDEX(Config!B:B,MATCH("TVA "&amp;F270,Config!A:A,0))-1),"")</f>
        <v>#ERROR!</v>
      </c>
      <c r="M270" s="281" t="str">
        <f>IFERROR(K270+L270,"")</f>
        <v>#ERROR!</v>
      </c>
      <c r="N270" s="233"/>
    </row>
    <row r="271">
      <c r="A271" s="303"/>
      <c r="B271" s="235"/>
      <c r="C271" s="235"/>
      <c r="D271" s="235"/>
      <c r="E271" s="235"/>
      <c r="F271" s="235" t="str">
        <f>IFERROR(INDEX(Recettes!C:C,MATCH(E271,Recettes!B:B,0)),"")</f>
        <v>#ERROR!</v>
      </c>
      <c r="G271" s="235"/>
      <c r="H271" s="235"/>
      <c r="I271" s="283"/>
      <c r="J271" s="304"/>
      <c r="K271" s="283" t="str">
        <f>IFERROR(H271*I271*(1-J271/100),"")</f>
        <v>#ERROR!</v>
      </c>
      <c r="L271" s="283" t="str">
        <f>IFERROR(K271*(INDEX(Config!B:B,MATCH("TVA "&amp;F271,Config!A:A,0))-1),"")</f>
        <v>#ERROR!</v>
      </c>
      <c r="M271" s="283" t="str">
        <f>IFERROR(K271+L271,"")</f>
        <v>#ERROR!</v>
      </c>
      <c r="N271" s="240"/>
    </row>
    <row r="272">
      <c r="A272" s="301"/>
      <c r="B272" s="227"/>
      <c r="C272" s="227"/>
      <c r="D272" s="227"/>
      <c r="E272" s="227"/>
      <c r="F272" s="227" t="str">
        <f>IFERROR(INDEX(Recettes!C:C,MATCH(E272,Recettes!B:B,0)),"")</f>
        <v>#ERROR!</v>
      </c>
      <c r="G272" s="227"/>
      <c r="H272" s="227"/>
      <c r="I272" s="281"/>
      <c r="J272" s="302"/>
      <c r="K272" s="281" t="str">
        <f>IFERROR(H272*I272*(1-J272/100),"")</f>
        <v>#ERROR!</v>
      </c>
      <c r="L272" s="281" t="str">
        <f>IFERROR(K272*(INDEX(Config!B:B,MATCH("TVA "&amp;F272,Config!A:A,0))-1),"")</f>
        <v>#ERROR!</v>
      </c>
      <c r="M272" s="281" t="str">
        <f>IFERROR(K272+L272,"")</f>
        <v>#ERROR!</v>
      </c>
      <c r="N272" s="233"/>
    </row>
    <row r="273">
      <c r="A273" s="303"/>
      <c r="B273" s="235"/>
      <c r="C273" s="235"/>
      <c r="D273" s="235"/>
      <c r="E273" s="235"/>
      <c r="F273" s="235" t="str">
        <f>IFERROR(INDEX(Recettes!C:C,MATCH(E273,Recettes!B:B,0)),"")</f>
        <v>#ERROR!</v>
      </c>
      <c r="G273" s="235"/>
      <c r="H273" s="235"/>
      <c r="I273" s="283"/>
      <c r="J273" s="304"/>
      <c r="K273" s="283" t="str">
        <f>IFERROR(H273*I273*(1-J273/100),"")</f>
        <v>#ERROR!</v>
      </c>
      <c r="L273" s="283" t="str">
        <f>IFERROR(K273*(INDEX(Config!B:B,MATCH("TVA "&amp;F273,Config!A:A,0))-1),"")</f>
        <v>#ERROR!</v>
      </c>
      <c r="M273" s="283" t="str">
        <f>IFERROR(K273+L273,"")</f>
        <v>#ERROR!</v>
      </c>
      <c r="N273" s="240"/>
    </row>
    <row r="274">
      <c r="A274" s="301"/>
      <c r="B274" s="227"/>
      <c r="C274" s="227"/>
      <c r="D274" s="227"/>
      <c r="E274" s="227"/>
      <c r="F274" s="227" t="str">
        <f>IFERROR(INDEX(Recettes!C:C,MATCH(E274,Recettes!B:B,0)),"")</f>
        <v>#ERROR!</v>
      </c>
      <c r="G274" s="227"/>
      <c r="H274" s="227"/>
      <c r="I274" s="281"/>
      <c r="J274" s="302"/>
      <c r="K274" s="281" t="str">
        <f>IFERROR(H274*I274*(1-J274/100),"")</f>
        <v>#ERROR!</v>
      </c>
      <c r="L274" s="281" t="str">
        <f>IFERROR(K274*(INDEX(Config!B:B,MATCH("TVA "&amp;F274,Config!A:A,0))-1),"")</f>
        <v>#ERROR!</v>
      </c>
      <c r="M274" s="281" t="str">
        <f>IFERROR(K274+L274,"")</f>
        <v>#ERROR!</v>
      </c>
      <c r="N274" s="233"/>
    </row>
    <row r="275">
      <c r="A275" s="303"/>
      <c r="B275" s="235"/>
      <c r="C275" s="235"/>
      <c r="D275" s="235"/>
      <c r="E275" s="235"/>
      <c r="F275" s="235" t="str">
        <f>IFERROR(INDEX(Recettes!C:C,MATCH(E275,Recettes!B:B,0)),"")</f>
        <v>#ERROR!</v>
      </c>
      <c r="G275" s="235"/>
      <c r="H275" s="235"/>
      <c r="I275" s="283"/>
      <c r="J275" s="304"/>
      <c r="K275" s="283" t="str">
        <f>IFERROR(H275*I275*(1-J275/100),"")</f>
        <v>#ERROR!</v>
      </c>
      <c r="L275" s="283" t="str">
        <f>IFERROR(K275*(INDEX(Config!B:B,MATCH("TVA "&amp;F275,Config!A:A,0))-1),"")</f>
        <v>#ERROR!</v>
      </c>
      <c r="M275" s="283" t="str">
        <f>IFERROR(K275+L275,"")</f>
        <v>#ERROR!</v>
      </c>
      <c r="N275" s="240"/>
    </row>
    <row r="276">
      <c r="A276" s="301"/>
      <c r="B276" s="227"/>
      <c r="C276" s="227"/>
      <c r="D276" s="227"/>
      <c r="E276" s="227"/>
      <c r="F276" s="227" t="str">
        <f>IFERROR(INDEX(Recettes!C:C,MATCH(E276,Recettes!B:B,0)),"")</f>
        <v>#ERROR!</v>
      </c>
      <c r="G276" s="227"/>
      <c r="H276" s="227"/>
      <c r="I276" s="281"/>
      <c r="J276" s="302"/>
      <c r="K276" s="281" t="str">
        <f>IFERROR(H276*I276*(1-J276/100),"")</f>
        <v>#ERROR!</v>
      </c>
      <c r="L276" s="281" t="str">
        <f>IFERROR(K276*(INDEX(Config!B:B,MATCH("TVA "&amp;F276,Config!A:A,0))-1),"")</f>
        <v>#ERROR!</v>
      </c>
      <c r="M276" s="281" t="str">
        <f>IFERROR(K276+L276,"")</f>
        <v>#ERROR!</v>
      </c>
      <c r="N276" s="233"/>
    </row>
    <row r="277">
      <c r="A277" s="303"/>
      <c r="B277" s="235"/>
      <c r="C277" s="235"/>
      <c r="D277" s="235"/>
      <c r="E277" s="235"/>
      <c r="F277" s="235" t="str">
        <f>IFERROR(INDEX(Recettes!C:C,MATCH(E277,Recettes!B:B,0)),"")</f>
        <v>#ERROR!</v>
      </c>
      <c r="G277" s="235"/>
      <c r="H277" s="235"/>
      <c r="I277" s="283"/>
      <c r="J277" s="304"/>
      <c r="K277" s="283" t="str">
        <f>IFERROR(H277*I277*(1-J277/100),"")</f>
        <v>#ERROR!</v>
      </c>
      <c r="L277" s="283" t="str">
        <f>IFERROR(K277*(INDEX(Config!B:B,MATCH("TVA "&amp;F277,Config!A:A,0))-1),"")</f>
        <v>#ERROR!</v>
      </c>
      <c r="M277" s="283" t="str">
        <f>IFERROR(K277+L277,"")</f>
        <v>#ERROR!</v>
      </c>
      <c r="N277" s="240"/>
    </row>
    <row r="278">
      <c r="A278" s="301"/>
      <c r="B278" s="227"/>
      <c r="C278" s="227"/>
      <c r="D278" s="227"/>
      <c r="E278" s="227"/>
      <c r="F278" s="227" t="str">
        <f>IFERROR(INDEX(Recettes!C:C,MATCH(E278,Recettes!B:B,0)),"")</f>
        <v>#ERROR!</v>
      </c>
      <c r="G278" s="227"/>
      <c r="H278" s="227"/>
      <c r="I278" s="281"/>
      <c r="J278" s="302"/>
      <c r="K278" s="281" t="str">
        <f>IFERROR(H278*I278*(1-J278/100),"")</f>
        <v>#ERROR!</v>
      </c>
      <c r="L278" s="281" t="str">
        <f>IFERROR(K278*(INDEX(Config!B:B,MATCH("TVA "&amp;F278,Config!A:A,0))-1),"")</f>
        <v>#ERROR!</v>
      </c>
      <c r="M278" s="281" t="str">
        <f>IFERROR(K278+L278,"")</f>
        <v>#ERROR!</v>
      </c>
      <c r="N278" s="233"/>
    </row>
    <row r="279">
      <c r="A279" s="303"/>
      <c r="B279" s="235"/>
      <c r="C279" s="235"/>
      <c r="D279" s="235"/>
      <c r="E279" s="235"/>
      <c r="F279" s="235" t="str">
        <f>IFERROR(INDEX(Recettes!C:C,MATCH(E279,Recettes!B:B,0)),"")</f>
        <v>#ERROR!</v>
      </c>
      <c r="G279" s="235"/>
      <c r="H279" s="235"/>
      <c r="I279" s="283"/>
      <c r="J279" s="304"/>
      <c r="K279" s="283" t="str">
        <f>IFERROR(H279*I279*(1-J279/100),"")</f>
        <v>#ERROR!</v>
      </c>
      <c r="L279" s="283" t="str">
        <f>IFERROR(K279*(INDEX(Config!B:B,MATCH("TVA "&amp;F279,Config!A:A,0))-1),"")</f>
        <v>#ERROR!</v>
      </c>
      <c r="M279" s="283" t="str">
        <f>IFERROR(K279+L279,"")</f>
        <v>#ERROR!</v>
      </c>
      <c r="N279" s="240"/>
    </row>
    <row r="280">
      <c r="A280" s="301"/>
      <c r="B280" s="227"/>
      <c r="C280" s="227"/>
      <c r="D280" s="227"/>
      <c r="E280" s="227"/>
      <c r="F280" s="227" t="str">
        <f>IFERROR(INDEX(Recettes!C:C,MATCH(E280,Recettes!B:B,0)),"")</f>
        <v>#ERROR!</v>
      </c>
      <c r="G280" s="227"/>
      <c r="H280" s="227"/>
      <c r="I280" s="281"/>
      <c r="J280" s="302"/>
      <c r="K280" s="281" t="str">
        <f>IFERROR(H280*I280*(1-J280/100),"")</f>
        <v>#ERROR!</v>
      </c>
      <c r="L280" s="281" t="str">
        <f>IFERROR(K280*(INDEX(Config!B:B,MATCH("TVA "&amp;F280,Config!A:A,0))-1),"")</f>
        <v>#ERROR!</v>
      </c>
      <c r="M280" s="281" t="str">
        <f>IFERROR(K280+L280,"")</f>
        <v>#ERROR!</v>
      </c>
      <c r="N280" s="233"/>
    </row>
    <row r="281">
      <c r="A281" s="303"/>
      <c r="B281" s="235"/>
      <c r="C281" s="235"/>
      <c r="D281" s="235"/>
      <c r="E281" s="235"/>
      <c r="F281" s="235" t="str">
        <f>IFERROR(INDEX(Recettes!C:C,MATCH(E281,Recettes!B:B,0)),"")</f>
        <v>#ERROR!</v>
      </c>
      <c r="G281" s="235"/>
      <c r="H281" s="235"/>
      <c r="I281" s="283"/>
      <c r="J281" s="304"/>
      <c r="K281" s="283" t="str">
        <f>IFERROR(H281*I281*(1-J281/100),"")</f>
        <v>#ERROR!</v>
      </c>
      <c r="L281" s="283" t="str">
        <f>IFERROR(K281*(INDEX(Config!B:B,MATCH("TVA "&amp;F281,Config!A:A,0))-1),"")</f>
        <v>#ERROR!</v>
      </c>
      <c r="M281" s="283" t="str">
        <f>IFERROR(K281+L281,"")</f>
        <v>#ERROR!</v>
      </c>
      <c r="N281" s="240"/>
    </row>
    <row r="282">
      <c r="A282" s="301"/>
      <c r="B282" s="227"/>
      <c r="C282" s="227"/>
      <c r="D282" s="227"/>
      <c r="E282" s="227"/>
      <c r="F282" s="227" t="str">
        <f>IFERROR(INDEX(Recettes!C:C,MATCH(E282,Recettes!B:B,0)),"")</f>
        <v>#ERROR!</v>
      </c>
      <c r="G282" s="227"/>
      <c r="H282" s="227"/>
      <c r="I282" s="281"/>
      <c r="J282" s="302"/>
      <c r="K282" s="281" t="str">
        <f>IFERROR(H282*I282*(1-J282/100),"")</f>
        <v>#ERROR!</v>
      </c>
      <c r="L282" s="281" t="str">
        <f>IFERROR(K282*(INDEX(Config!B:B,MATCH("TVA "&amp;F282,Config!A:A,0))-1),"")</f>
        <v>#ERROR!</v>
      </c>
      <c r="M282" s="281" t="str">
        <f>IFERROR(K282+L282,"")</f>
        <v>#ERROR!</v>
      </c>
      <c r="N282" s="233"/>
    </row>
    <row r="283">
      <c r="A283" s="303"/>
      <c r="B283" s="235"/>
      <c r="C283" s="235"/>
      <c r="D283" s="235"/>
      <c r="E283" s="235"/>
      <c r="F283" s="235" t="str">
        <f>IFERROR(INDEX(Recettes!C:C,MATCH(E283,Recettes!B:B,0)),"")</f>
        <v>#ERROR!</v>
      </c>
      <c r="G283" s="235"/>
      <c r="H283" s="235"/>
      <c r="I283" s="283"/>
      <c r="J283" s="304"/>
      <c r="K283" s="283" t="str">
        <f>IFERROR(H283*I283*(1-J283/100),"")</f>
        <v>#ERROR!</v>
      </c>
      <c r="L283" s="283" t="str">
        <f>IFERROR(K283*(INDEX(Config!B:B,MATCH("TVA "&amp;F283,Config!A:A,0))-1),"")</f>
        <v>#ERROR!</v>
      </c>
      <c r="M283" s="283" t="str">
        <f>IFERROR(K283+L283,"")</f>
        <v>#ERROR!</v>
      </c>
      <c r="N283" s="240"/>
    </row>
    <row r="284">
      <c r="A284" s="301"/>
      <c r="B284" s="227"/>
      <c r="C284" s="227"/>
      <c r="D284" s="227"/>
      <c r="E284" s="227"/>
      <c r="F284" s="227" t="str">
        <f>IFERROR(INDEX(Recettes!C:C,MATCH(E284,Recettes!B:B,0)),"")</f>
        <v>#ERROR!</v>
      </c>
      <c r="G284" s="227"/>
      <c r="H284" s="227"/>
      <c r="I284" s="281"/>
      <c r="J284" s="302"/>
      <c r="K284" s="281" t="str">
        <f>IFERROR(H284*I284*(1-J284/100),"")</f>
        <v>#ERROR!</v>
      </c>
      <c r="L284" s="281" t="str">
        <f>IFERROR(K284*(INDEX(Config!B:B,MATCH("TVA "&amp;F284,Config!A:A,0))-1),"")</f>
        <v>#ERROR!</v>
      </c>
      <c r="M284" s="281" t="str">
        <f>IFERROR(K284+L284,"")</f>
        <v>#ERROR!</v>
      </c>
      <c r="N284" s="233"/>
    </row>
    <row r="285">
      <c r="A285" s="303"/>
      <c r="B285" s="235"/>
      <c r="C285" s="235"/>
      <c r="D285" s="235"/>
      <c r="E285" s="235"/>
      <c r="F285" s="235" t="str">
        <f>IFERROR(INDEX(Recettes!C:C,MATCH(E285,Recettes!B:B,0)),"")</f>
        <v>#ERROR!</v>
      </c>
      <c r="G285" s="235"/>
      <c r="H285" s="235"/>
      <c r="I285" s="283"/>
      <c r="J285" s="304"/>
      <c r="K285" s="283" t="str">
        <f>IFERROR(H285*I285*(1-J285/100),"")</f>
        <v>#ERROR!</v>
      </c>
      <c r="L285" s="283" t="str">
        <f>IFERROR(K285*(INDEX(Config!B:B,MATCH("TVA "&amp;F285,Config!A:A,0))-1),"")</f>
        <v>#ERROR!</v>
      </c>
      <c r="M285" s="283" t="str">
        <f>IFERROR(K285+L285,"")</f>
        <v>#ERROR!</v>
      </c>
      <c r="N285" s="240"/>
    </row>
    <row r="286">
      <c r="A286" s="301"/>
      <c r="B286" s="227"/>
      <c r="C286" s="227"/>
      <c r="D286" s="227"/>
      <c r="E286" s="227"/>
      <c r="F286" s="227" t="str">
        <f>IFERROR(INDEX(Recettes!C:C,MATCH(E286,Recettes!B:B,0)),"")</f>
        <v>#ERROR!</v>
      </c>
      <c r="G286" s="227"/>
      <c r="H286" s="227"/>
      <c r="I286" s="281"/>
      <c r="J286" s="302"/>
      <c r="K286" s="281" t="str">
        <f>IFERROR(H286*I286*(1-J286/100),"")</f>
        <v>#ERROR!</v>
      </c>
      <c r="L286" s="281" t="str">
        <f>IFERROR(K286*(INDEX(Config!B:B,MATCH("TVA "&amp;F286,Config!A:A,0))-1),"")</f>
        <v>#ERROR!</v>
      </c>
      <c r="M286" s="281" t="str">
        <f>IFERROR(K286+L286,"")</f>
        <v>#ERROR!</v>
      </c>
      <c r="N286" s="233"/>
    </row>
    <row r="287">
      <c r="A287" s="303"/>
      <c r="B287" s="235"/>
      <c r="C287" s="235"/>
      <c r="D287" s="235"/>
      <c r="E287" s="235"/>
      <c r="F287" s="235" t="str">
        <f>IFERROR(INDEX(Recettes!C:C,MATCH(E287,Recettes!B:B,0)),"")</f>
        <v>#ERROR!</v>
      </c>
      <c r="G287" s="235"/>
      <c r="H287" s="235"/>
      <c r="I287" s="283"/>
      <c r="J287" s="304"/>
      <c r="K287" s="283" t="str">
        <f>IFERROR(H287*I287*(1-J287/100),"")</f>
        <v>#ERROR!</v>
      </c>
      <c r="L287" s="283" t="str">
        <f>IFERROR(K287*(INDEX(Config!B:B,MATCH("TVA "&amp;F287,Config!A:A,0))-1),"")</f>
        <v>#ERROR!</v>
      </c>
      <c r="M287" s="283" t="str">
        <f>IFERROR(K287+L287,"")</f>
        <v>#ERROR!</v>
      </c>
      <c r="N287" s="240"/>
    </row>
    <row r="288">
      <c r="A288" s="301"/>
      <c r="B288" s="227"/>
      <c r="C288" s="227"/>
      <c r="D288" s="227"/>
      <c r="E288" s="227"/>
      <c r="F288" s="227" t="str">
        <f>IFERROR(INDEX(Recettes!C:C,MATCH(E288,Recettes!B:B,0)),"")</f>
        <v>#ERROR!</v>
      </c>
      <c r="G288" s="227"/>
      <c r="H288" s="227"/>
      <c r="I288" s="281"/>
      <c r="J288" s="302"/>
      <c r="K288" s="281" t="str">
        <f>IFERROR(H288*I288*(1-J288/100),"")</f>
        <v>#ERROR!</v>
      </c>
      <c r="L288" s="281" t="str">
        <f>IFERROR(K288*(INDEX(Config!B:B,MATCH("TVA "&amp;F288,Config!A:A,0))-1),"")</f>
        <v>#ERROR!</v>
      </c>
      <c r="M288" s="281" t="str">
        <f>IFERROR(K288+L288,"")</f>
        <v>#ERROR!</v>
      </c>
      <c r="N288" s="233"/>
    </row>
    <row r="289">
      <c r="A289" s="303"/>
      <c r="B289" s="235"/>
      <c r="C289" s="235"/>
      <c r="D289" s="235"/>
      <c r="E289" s="235"/>
      <c r="F289" s="235" t="str">
        <f>IFERROR(INDEX(Recettes!C:C,MATCH(E289,Recettes!B:B,0)),"")</f>
        <v>#ERROR!</v>
      </c>
      <c r="G289" s="235"/>
      <c r="H289" s="235"/>
      <c r="I289" s="283"/>
      <c r="J289" s="304"/>
      <c r="K289" s="283" t="str">
        <f>IFERROR(H289*I289*(1-J289/100),"")</f>
        <v>#ERROR!</v>
      </c>
      <c r="L289" s="283" t="str">
        <f>IFERROR(K289*(INDEX(Config!B:B,MATCH("TVA "&amp;F289,Config!A:A,0))-1),"")</f>
        <v>#ERROR!</v>
      </c>
      <c r="M289" s="283" t="str">
        <f>IFERROR(K289+L289,"")</f>
        <v>#ERROR!</v>
      </c>
      <c r="N289" s="240"/>
    </row>
    <row r="290">
      <c r="A290" s="301"/>
      <c r="B290" s="227"/>
      <c r="C290" s="227"/>
      <c r="D290" s="227"/>
      <c r="E290" s="227"/>
      <c r="F290" s="227" t="str">
        <f>IFERROR(INDEX(Recettes!C:C,MATCH(E290,Recettes!B:B,0)),"")</f>
        <v>#ERROR!</v>
      </c>
      <c r="G290" s="227"/>
      <c r="H290" s="227"/>
      <c r="I290" s="281"/>
      <c r="J290" s="302"/>
      <c r="K290" s="281" t="str">
        <f>IFERROR(H290*I290*(1-J290/100),"")</f>
        <v>#ERROR!</v>
      </c>
      <c r="L290" s="281" t="str">
        <f>IFERROR(K290*(INDEX(Config!B:B,MATCH("TVA "&amp;F290,Config!A:A,0))-1),"")</f>
        <v>#ERROR!</v>
      </c>
      <c r="M290" s="281" t="str">
        <f>IFERROR(K290+L290,"")</f>
        <v>#ERROR!</v>
      </c>
      <c r="N290" s="233"/>
    </row>
    <row r="291">
      <c r="A291" s="303"/>
      <c r="B291" s="235"/>
      <c r="C291" s="235"/>
      <c r="D291" s="235"/>
      <c r="E291" s="235"/>
      <c r="F291" s="235" t="str">
        <f>IFERROR(INDEX(Recettes!C:C,MATCH(E291,Recettes!B:B,0)),"")</f>
        <v>#ERROR!</v>
      </c>
      <c r="G291" s="235"/>
      <c r="H291" s="235"/>
      <c r="I291" s="283"/>
      <c r="J291" s="304"/>
      <c r="K291" s="283" t="str">
        <f>IFERROR(H291*I291*(1-J291/100),"")</f>
        <v>#ERROR!</v>
      </c>
      <c r="L291" s="283" t="str">
        <f>IFERROR(K291*(INDEX(Config!B:B,MATCH("TVA "&amp;F291,Config!A:A,0))-1),"")</f>
        <v>#ERROR!</v>
      </c>
      <c r="M291" s="283" t="str">
        <f>IFERROR(K291+L291,"")</f>
        <v>#ERROR!</v>
      </c>
      <c r="N291" s="240"/>
    </row>
    <row r="292">
      <c r="A292" s="301"/>
      <c r="B292" s="227"/>
      <c r="C292" s="227"/>
      <c r="D292" s="227"/>
      <c r="E292" s="227"/>
      <c r="F292" s="227" t="str">
        <f>IFERROR(INDEX(Recettes!C:C,MATCH(E292,Recettes!B:B,0)),"")</f>
        <v>#ERROR!</v>
      </c>
      <c r="G292" s="227"/>
      <c r="H292" s="227"/>
      <c r="I292" s="281"/>
      <c r="J292" s="302"/>
      <c r="K292" s="281" t="str">
        <f>IFERROR(H292*I292*(1-J292/100),"")</f>
        <v>#ERROR!</v>
      </c>
      <c r="L292" s="281" t="str">
        <f>IFERROR(K292*(INDEX(Config!B:B,MATCH("TVA "&amp;F292,Config!A:A,0))-1),"")</f>
        <v>#ERROR!</v>
      </c>
      <c r="M292" s="281" t="str">
        <f>IFERROR(K292+L292,"")</f>
        <v>#ERROR!</v>
      </c>
      <c r="N292" s="233"/>
    </row>
    <row r="293">
      <c r="A293" s="303"/>
      <c r="B293" s="235"/>
      <c r="C293" s="235"/>
      <c r="D293" s="235"/>
      <c r="E293" s="235"/>
      <c r="F293" s="235" t="str">
        <f>IFERROR(INDEX(Recettes!C:C,MATCH(E293,Recettes!B:B,0)),"")</f>
        <v>#ERROR!</v>
      </c>
      <c r="G293" s="235"/>
      <c r="H293" s="235"/>
      <c r="I293" s="283"/>
      <c r="J293" s="304"/>
      <c r="K293" s="283" t="str">
        <f>IFERROR(H293*I293*(1-J293/100),"")</f>
        <v>#ERROR!</v>
      </c>
      <c r="L293" s="283" t="str">
        <f>IFERROR(K293*(INDEX(Config!B:B,MATCH("TVA "&amp;F293,Config!A:A,0))-1),"")</f>
        <v>#ERROR!</v>
      </c>
      <c r="M293" s="283" t="str">
        <f>IFERROR(K293+L293,"")</f>
        <v>#ERROR!</v>
      </c>
      <c r="N293" s="240"/>
    </row>
    <row r="294">
      <c r="A294" s="301"/>
      <c r="B294" s="227"/>
      <c r="C294" s="227"/>
      <c r="D294" s="227"/>
      <c r="E294" s="227"/>
      <c r="F294" s="227" t="str">
        <f>IFERROR(INDEX(Recettes!C:C,MATCH(E294,Recettes!B:B,0)),"")</f>
        <v>#ERROR!</v>
      </c>
      <c r="G294" s="227"/>
      <c r="H294" s="227"/>
      <c r="I294" s="281"/>
      <c r="J294" s="302"/>
      <c r="K294" s="281" t="str">
        <f>IFERROR(H294*I294*(1-J294/100),"")</f>
        <v>#ERROR!</v>
      </c>
      <c r="L294" s="281" t="str">
        <f>IFERROR(K294*(INDEX(Config!B:B,MATCH("TVA "&amp;F294,Config!A:A,0))-1),"")</f>
        <v>#ERROR!</v>
      </c>
      <c r="M294" s="281" t="str">
        <f>IFERROR(K294+L294,"")</f>
        <v>#ERROR!</v>
      </c>
      <c r="N294" s="233"/>
    </row>
    <row r="295">
      <c r="A295" s="303"/>
      <c r="B295" s="235"/>
      <c r="C295" s="235"/>
      <c r="D295" s="235"/>
      <c r="E295" s="235"/>
      <c r="F295" s="235" t="str">
        <f>IFERROR(INDEX(Recettes!C:C,MATCH(E295,Recettes!B:B,0)),"")</f>
        <v>#ERROR!</v>
      </c>
      <c r="G295" s="235"/>
      <c r="H295" s="235"/>
      <c r="I295" s="283"/>
      <c r="J295" s="304"/>
      <c r="K295" s="283" t="str">
        <f>IFERROR(H295*I295*(1-J295/100),"")</f>
        <v>#ERROR!</v>
      </c>
      <c r="L295" s="283" t="str">
        <f>IFERROR(K295*(INDEX(Config!B:B,MATCH("TVA "&amp;F295,Config!A:A,0))-1),"")</f>
        <v>#ERROR!</v>
      </c>
      <c r="M295" s="283" t="str">
        <f>IFERROR(K295+L295,"")</f>
        <v>#ERROR!</v>
      </c>
      <c r="N295" s="240"/>
    </row>
    <row r="296">
      <c r="A296" s="301"/>
      <c r="B296" s="227"/>
      <c r="C296" s="227"/>
      <c r="D296" s="227"/>
      <c r="E296" s="227"/>
      <c r="F296" s="227" t="str">
        <f>IFERROR(INDEX(Recettes!C:C,MATCH(E296,Recettes!B:B,0)),"")</f>
        <v>#ERROR!</v>
      </c>
      <c r="G296" s="227"/>
      <c r="H296" s="227"/>
      <c r="I296" s="281"/>
      <c r="J296" s="302"/>
      <c r="K296" s="281" t="str">
        <f>IFERROR(H296*I296*(1-J296/100),"")</f>
        <v>#ERROR!</v>
      </c>
      <c r="L296" s="281" t="str">
        <f>IFERROR(K296*(INDEX(Config!B:B,MATCH("TVA "&amp;F296,Config!A:A,0))-1),"")</f>
        <v>#ERROR!</v>
      </c>
      <c r="M296" s="281" t="str">
        <f>IFERROR(K296+L296,"")</f>
        <v>#ERROR!</v>
      </c>
      <c r="N296" s="233"/>
    </row>
    <row r="297">
      <c r="A297" s="303"/>
      <c r="B297" s="235"/>
      <c r="C297" s="235"/>
      <c r="D297" s="235"/>
      <c r="E297" s="235"/>
      <c r="F297" s="235" t="str">
        <f>IFERROR(INDEX(Recettes!C:C,MATCH(E297,Recettes!B:B,0)),"")</f>
        <v>#ERROR!</v>
      </c>
      <c r="G297" s="235"/>
      <c r="H297" s="235"/>
      <c r="I297" s="283"/>
      <c r="J297" s="304"/>
      <c r="K297" s="283" t="str">
        <f>IFERROR(H297*I297*(1-J297/100),"")</f>
        <v>#ERROR!</v>
      </c>
      <c r="L297" s="283" t="str">
        <f>IFERROR(K297*(INDEX(Config!B:B,MATCH("TVA "&amp;F297,Config!A:A,0))-1),"")</f>
        <v>#ERROR!</v>
      </c>
      <c r="M297" s="283" t="str">
        <f>IFERROR(K297+L297,"")</f>
        <v>#ERROR!</v>
      </c>
      <c r="N297" s="240"/>
    </row>
    <row r="298">
      <c r="A298" s="301"/>
      <c r="B298" s="227"/>
      <c r="C298" s="227"/>
      <c r="D298" s="227"/>
      <c r="E298" s="227"/>
      <c r="F298" s="227" t="str">
        <f>IFERROR(INDEX(Recettes!C:C,MATCH(E298,Recettes!B:B,0)),"")</f>
        <v>#ERROR!</v>
      </c>
      <c r="G298" s="227"/>
      <c r="H298" s="227"/>
      <c r="I298" s="281"/>
      <c r="J298" s="302"/>
      <c r="K298" s="281" t="str">
        <f>IFERROR(H298*I298*(1-J298/100),"")</f>
        <v>#ERROR!</v>
      </c>
      <c r="L298" s="281" t="str">
        <f>IFERROR(K298*(INDEX(Config!B:B,MATCH("TVA "&amp;F298,Config!A:A,0))-1),"")</f>
        <v>#ERROR!</v>
      </c>
      <c r="M298" s="281" t="str">
        <f>IFERROR(K298+L298,"")</f>
        <v>#ERROR!</v>
      </c>
      <c r="N298" s="233"/>
    </row>
    <row r="299">
      <c r="A299" s="303"/>
      <c r="B299" s="235"/>
      <c r="C299" s="235"/>
      <c r="D299" s="235"/>
      <c r="E299" s="235"/>
      <c r="F299" s="235" t="str">
        <f>IFERROR(INDEX(Recettes!C:C,MATCH(E299,Recettes!B:B,0)),"")</f>
        <v>#ERROR!</v>
      </c>
      <c r="G299" s="235"/>
      <c r="H299" s="235"/>
      <c r="I299" s="283"/>
      <c r="J299" s="304"/>
      <c r="K299" s="283" t="str">
        <f>IFERROR(H299*I299*(1-J299/100),"")</f>
        <v>#ERROR!</v>
      </c>
      <c r="L299" s="283" t="str">
        <f>IFERROR(K299*(INDEX(Config!B:B,MATCH("TVA "&amp;F299,Config!A:A,0))-1),"")</f>
        <v>#ERROR!</v>
      </c>
      <c r="M299" s="283" t="str">
        <f>IFERROR(K299+L299,"")</f>
        <v>#ERROR!</v>
      </c>
      <c r="N299" s="240"/>
    </row>
    <row r="300">
      <c r="A300" s="301"/>
      <c r="B300" s="227"/>
      <c r="C300" s="227"/>
      <c r="D300" s="227"/>
      <c r="E300" s="227"/>
      <c r="F300" s="227" t="str">
        <f>IFERROR(INDEX(Recettes!C:C,MATCH(E300,Recettes!B:B,0)),"")</f>
        <v>#ERROR!</v>
      </c>
      <c r="G300" s="227"/>
      <c r="H300" s="227"/>
      <c r="I300" s="281"/>
      <c r="J300" s="302"/>
      <c r="K300" s="281" t="str">
        <f>IFERROR(H300*I300*(1-J300/100),"")</f>
        <v>#ERROR!</v>
      </c>
      <c r="L300" s="281" t="str">
        <f>IFERROR(K300*(INDEX(Config!B:B,MATCH("TVA "&amp;F300,Config!A:A,0))-1),"")</f>
        <v>#ERROR!</v>
      </c>
      <c r="M300" s="281" t="str">
        <f>IFERROR(K300+L300,"")</f>
        <v>#ERROR!</v>
      </c>
      <c r="N300" s="233"/>
    </row>
    <row r="301">
      <c r="A301" s="303"/>
      <c r="B301" s="235"/>
      <c r="C301" s="235"/>
      <c r="D301" s="235"/>
      <c r="E301" s="235"/>
      <c r="F301" s="235" t="str">
        <f>IFERROR(INDEX(Recettes!C:C,MATCH(E301,Recettes!B:B,0)),"")</f>
        <v>#ERROR!</v>
      </c>
      <c r="G301" s="235"/>
      <c r="H301" s="235"/>
      <c r="I301" s="283"/>
      <c r="J301" s="304"/>
      <c r="K301" s="283" t="str">
        <f>IFERROR(H301*I301*(1-J301/100),"")</f>
        <v>#ERROR!</v>
      </c>
      <c r="L301" s="283" t="str">
        <f>IFERROR(K301*(INDEX(Config!B:B,MATCH("TVA "&amp;F301,Config!A:A,0))-1),"")</f>
        <v>#ERROR!</v>
      </c>
      <c r="M301" s="283" t="str">
        <f>IFERROR(K301+L301,"")</f>
        <v>#ERROR!</v>
      </c>
      <c r="N301" s="240"/>
    </row>
    <row r="302">
      <c r="A302" s="301"/>
      <c r="B302" s="227"/>
      <c r="C302" s="227"/>
      <c r="D302" s="227"/>
      <c r="E302" s="227"/>
      <c r="F302" s="227" t="str">
        <f>IFERROR(INDEX(Recettes!C:C,MATCH(E302,Recettes!B:B,0)),"")</f>
        <v>#ERROR!</v>
      </c>
      <c r="G302" s="227"/>
      <c r="H302" s="227"/>
      <c r="I302" s="281"/>
      <c r="J302" s="302"/>
      <c r="K302" s="281" t="str">
        <f>IFERROR(H302*I302*(1-J302/100),"")</f>
        <v>#ERROR!</v>
      </c>
      <c r="L302" s="281" t="str">
        <f>IFERROR(K302*(INDEX(Config!B:B,MATCH("TVA "&amp;F302,Config!A:A,0))-1),"")</f>
        <v>#ERROR!</v>
      </c>
      <c r="M302" s="281" t="str">
        <f>IFERROR(K302+L302,"")</f>
        <v>#ERROR!</v>
      </c>
      <c r="N302" s="233"/>
    </row>
    <row r="303">
      <c r="A303" s="303"/>
      <c r="B303" s="235"/>
      <c r="C303" s="235"/>
      <c r="D303" s="235"/>
      <c r="E303" s="235"/>
      <c r="F303" s="235" t="str">
        <f>IFERROR(INDEX(Recettes!C:C,MATCH(E303,Recettes!B:B,0)),"")</f>
        <v>#ERROR!</v>
      </c>
      <c r="G303" s="235"/>
      <c r="H303" s="235"/>
      <c r="I303" s="283"/>
      <c r="J303" s="304"/>
      <c r="K303" s="283" t="str">
        <f>IFERROR(H303*I303*(1-J303/100),"")</f>
        <v>#ERROR!</v>
      </c>
      <c r="L303" s="283" t="str">
        <f>IFERROR(K303*(INDEX(Config!B:B,MATCH("TVA "&amp;F303,Config!A:A,0))-1),"")</f>
        <v>#ERROR!</v>
      </c>
      <c r="M303" s="283" t="str">
        <f>IFERROR(K303+L303,"")</f>
        <v>#ERROR!</v>
      </c>
      <c r="N303" s="240"/>
    </row>
    <row r="304">
      <c r="A304" s="301"/>
      <c r="B304" s="227"/>
      <c r="C304" s="227"/>
      <c r="D304" s="227"/>
      <c r="E304" s="227"/>
      <c r="F304" s="227" t="str">
        <f>IFERROR(INDEX(Recettes!C:C,MATCH(E304,Recettes!B:B,0)),"")</f>
        <v>#ERROR!</v>
      </c>
      <c r="G304" s="227"/>
      <c r="H304" s="227"/>
      <c r="I304" s="281"/>
      <c r="J304" s="302"/>
      <c r="K304" s="281" t="str">
        <f>IFERROR(H304*I304*(1-J304/100),"")</f>
        <v>#ERROR!</v>
      </c>
      <c r="L304" s="281" t="str">
        <f>IFERROR(K304*(INDEX(Config!B:B,MATCH("TVA "&amp;F304,Config!A:A,0))-1),"")</f>
        <v>#ERROR!</v>
      </c>
      <c r="M304" s="281" t="str">
        <f>IFERROR(K304+L304,"")</f>
        <v>#ERROR!</v>
      </c>
      <c r="N304" s="233"/>
    </row>
    <row r="305">
      <c r="A305" s="303"/>
      <c r="B305" s="235"/>
      <c r="C305" s="235"/>
      <c r="D305" s="235"/>
      <c r="E305" s="235"/>
      <c r="F305" s="235" t="str">
        <f>IFERROR(INDEX(Recettes!C:C,MATCH(E305,Recettes!B:B,0)),"")</f>
        <v>#ERROR!</v>
      </c>
      <c r="G305" s="235"/>
      <c r="H305" s="235"/>
      <c r="I305" s="283"/>
      <c r="J305" s="304"/>
      <c r="K305" s="283" t="str">
        <f>IFERROR(H305*I305*(1-J305/100),"")</f>
        <v>#ERROR!</v>
      </c>
      <c r="L305" s="283" t="str">
        <f>IFERROR(K305*(INDEX(Config!B:B,MATCH("TVA "&amp;F305,Config!A:A,0))-1),"")</f>
        <v>#ERROR!</v>
      </c>
      <c r="M305" s="283" t="str">
        <f>IFERROR(K305+L305,"")</f>
        <v>#ERROR!</v>
      </c>
      <c r="N305" s="240"/>
    </row>
    <row r="306">
      <c r="A306" s="301"/>
      <c r="B306" s="227"/>
      <c r="C306" s="227"/>
      <c r="D306" s="227"/>
      <c r="E306" s="227"/>
      <c r="F306" s="227" t="str">
        <f>IFERROR(INDEX(Recettes!C:C,MATCH(E306,Recettes!B:B,0)),"")</f>
        <v>#ERROR!</v>
      </c>
      <c r="G306" s="227"/>
      <c r="H306" s="227"/>
      <c r="I306" s="281"/>
      <c r="J306" s="302"/>
      <c r="K306" s="281" t="str">
        <f>IFERROR(H306*I306*(1-J306/100),"")</f>
        <v>#ERROR!</v>
      </c>
      <c r="L306" s="281" t="str">
        <f>IFERROR(K306*(INDEX(Config!B:B,MATCH("TVA "&amp;F306,Config!A:A,0))-1),"")</f>
        <v>#ERROR!</v>
      </c>
      <c r="M306" s="281" t="str">
        <f>IFERROR(K306+L306,"")</f>
        <v>#ERROR!</v>
      </c>
      <c r="N306" s="233"/>
    </row>
    <row r="307">
      <c r="A307" s="303"/>
      <c r="B307" s="235"/>
      <c r="C307" s="235"/>
      <c r="D307" s="235"/>
      <c r="E307" s="235"/>
      <c r="F307" s="235" t="str">
        <f>IFERROR(INDEX(Recettes!C:C,MATCH(E307,Recettes!B:B,0)),"")</f>
        <v>#ERROR!</v>
      </c>
      <c r="G307" s="235"/>
      <c r="H307" s="235"/>
      <c r="I307" s="283"/>
      <c r="J307" s="304"/>
      <c r="K307" s="283" t="str">
        <f>IFERROR(H307*I307*(1-J307/100),"")</f>
        <v>#ERROR!</v>
      </c>
      <c r="L307" s="283" t="str">
        <f>IFERROR(K307*(INDEX(Config!B:B,MATCH("TVA "&amp;F307,Config!A:A,0))-1),"")</f>
        <v>#ERROR!</v>
      </c>
      <c r="M307" s="283" t="str">
        <f>IFERROR(K307+L307,"")</f>
        <v>#ERROR!</v>
      </c>
      <c r="N307" s="240"/>
    </row>
    <row r="308">
      <c r="A308" s="301"/>
      <c r="B308" s="227"/>
      <c r="C308" s="227"/>
      <c r="D308" s="227"/>
      <c r="E308" s="227"/>
      <c r="F308" s="227" t="str">
        <f>IFERROR(INDEX(Recettes!C:C,MATCH(E308,Recettes!B:B,0)),"")</f>
        <v>#ERROR!</v>
      </c>
      <c r="G308" s="227"/>
      <c r="H308" s="227"/>
      <c r="I308" s="281"/>
      <c r="J308" s="302"/>
      <c r="K308" s="281" t="str">
        <f>IFERROR(H308*I308*(1-J308/100),"")</f>
        <v>#ERROR!</v>
      </c>
      <c r="L308" s="281" t="str">
        <f>IFERROR(K308*(INDEX(Config!B:B,MATCH("TVA "&amp;F308,Config!A:A,0))-1),"")</f>
        <v>#ERROR!</v>
      </c>
      <c r="M308" s="281" t="str">
        <f>IFERROR(K308+L308,"")</f>
        <v>#ERROR!</v>
      </c>
      <c r="N308" s="233"/>
    </row>
    <row r="309">
      <c r="A309" s="303"/>
      <c r="B309" s="235"/>
      <c r="C309" s="235"/>
      <c r="D309" s="235"/>
      <c r="E309" s="235"/>
      <c r="F309" s="235" t="str">
        <f>IFERROR(INDEX(Recettes!C:C,MATCH(E309,Recettes!B:B,0)),"")</f>
        <v>#ERROR!</v>
      </c>
      <c r="G309" s="235"/>
      <c r="H309" s="235"/>
      <c r="I309" s="283"/>
      <c r="J309" s="304"/>
      <c r="K309" s="283" t="str">
        <f>IFERROR(H309*I309*(1-J309/100),"")</f>
        <v>#ERROR!</v>
      </c>
      <c r="L309" s="283" t="str">
        <f>IFERROR(K309*(INDEX(Config!B:B,MATCH("TVA "&amp;F309,Config!A:A,0))-1),"")</f>
        <v>#ERROR!</v>
      </c>
      <c r="M309" s="283" t="str">
        <f>IFERROR(K309+L309,"")</f>
        <v>#ERROR!</v>
      </c>
      <c r="N309" s="240"/>
    </row>
    <row r="310">
      <c r="A310" s="301"/>
      <c r="B310" s="227"/>
      <c r="C310" s="227"/>
      <c r="D310" s="227"/>
      <c r="E310" s="227"/>
      <c r="F310" s="227" t="str">
        <f>IFERROR(INDEX(Recettes!C:C,MATCH(E310,Recettes!B:B,0)),"")</f>
        <v>#ERROR!</v>
      </c>
      <c r="G310" s="227"/>
      <c r="H310" s="227"/>
      <c r="I310" s="281"/>
      <c r="J310" s="302"/>
      <c r="K310" s="281" t="str">
        <f>IFERROR(H310*I310*(1-J310/100),"")</f>
        <v>#ERROR!</v>
      </c>
      <c r="L310" s="281" t="str">
        <f>IFERROR(K310*(INDEX(Config!B:B,MATCH("TVA "&amp;F310,Config!A:A,0))-1),"")</f>
        <v>#ERROR!</v>
      </c>
      <c r="M310" s="281" t="str">
        <f>IFERROR(K310+L310,"")</f>
        <v>#ERROR!</v>
      </c>
      <c r="N310" s="233"/>
    </row>
    <row r="311">
      <c r="A311" s="303"/>
      <c r="B311" s="235"/>
      <c r="C311" s="235"/>
      <c r="D311" s="235"/>
      <c r="E311" s="235"/>
      <c r="F311" s="235" t="str">
        <f>IFERROR(INDEX(Recettes!C:C,MATCH(E311,Recettes!B:B,0)),"")</f>
        <v>#ERROR!</v>
      </c>
      <c r="G311" s="235"/>
      <c r="H311" s="235"/>
      <c r="I311" s="283"/>
      <c r="J311" s="304"/>
      <c r="K311" s="283" t="str">
        <f>IFERROR(H311*I311*(1-J311/100),"")</f>
        <v>#ERROR!</v>
      </c>
      <c r="L311" s="283" t="str">
        <f>IFERROR(K311*(INDEX(Config!B:B,MATCH("TVA "&amp;F311,Config!A:A,0))-1),"")</f>
        <v>#ERROR!</v>
      </c>
      <c r="M311" s="283" t="str">
        <f>IFERROR(K311+L311,"")</f>
        <v>#ERROR!</v>
      </c>
      <c r="N311" s="240"/>
    </row>
    <row r="312">
      <c r="A312" s="301"/>
      <c r="B312" s="227"/>
      <c r="C312" s="227"/>
      <c r="D312" s="227"/>
      <c r="E312" s="227"/>
      <c r="F312" s="227" t="str">
        <f>IFERROR(INDEX(Recettes!C:C,MATCH(E312,Recettes!B:B,0)),"")</f>
        <v>#ERROR!</v>
      </c>
      <c r="G312" s="227"/>
      <c r="H312" s="227"/>
      <c r="I312" s="281"/>
      <c r="J312" s="302"/>
      <c r="K312" s="281" t="str">
        <f>IFERROR(H312*I312*(1-J312/100),"")</f>
        <v>#ERROR!</v>
      </c>
      <c r="L312" s="281" t="str">
        <f>IFERROR(K312*(INDEX(Config!B:B,MATCH("TVA "&amp;F312,Config!A:A,0))-1),"")</f>
        <v>#ERROR!</v>
      </c>
      <c r="M312" s="281" t="str">
        <f>IFERROR(K312+L312,"")</f>
        <v>#ERROR!</v>
      </c>
      <c r="N312" s="233"/>
    </row>
    <row r="313">
      <c r="A313" s="303"/>
      <c r="B313" s="235"/>
      <c r="C313" s="235"/>
      <c r="D313" s="235"/>
      <c r="E313" s="235"/>
      <c r="F313" s="235" t="str">
        <f>IFERROR(INDEX(Recettes!C:C,MATCH(E313,Recettes!B:B,0)),"")</f>
        <v>#ERROR!</v>
      </c>
      <c r="G313" s="235"/>
      <c r="H313" s="235"/>
      <c r="I313" s="283"/>
      <c r="J313" s="304"/>
      <c r="K313" s="283" t="str">
        <f>IFERROR(H313*I313*(1-J313/100),"")</f>
        <v>#ERROR!</v>
      </c>
      <c r="L313" s="283" t="str">
        <f>IFERROR(K313*(INDEX(Config!B:B,MATCH("TVA "&amp;F313,Config!A:A,0))-1),"")</f>
        <v>#ERROR!</v>
      </c>
      <c r="M313" s="283" t="str">
        <f>IFERROR(K313+L313,"")</f>
        <v>#ERROR!</v>
      </c>
      <c r="N313" s="240"/>
    </row>
    <row r="314">
      <c r="A314" s="301"/>
      <c r="B314" s="227"/>
      <c r="C314" s="227"/>
      <c r="D314" s="227"/>
      <c r="E314" s="227"/>
      <c r="F314" s="227" t="str">
        <f>IFERROR(INDEX(Recettes!C:C,MATCH(E314,Recettes!B:B,0)),"")</f>
        <v>#ERROR!</v>
      </c>
      <c r="G314" s="227"/>
      <c r="H314" s="227"/>
      <c r="I314" s="281"/>
      <c r="J314" s="302"/>
      <c r="K314" s="281" t="str">
        <f>IFERROR(H314*I314*(1-J314/100),"")</f>
        <v>#ERROR!</v>
      </c>
      <c r="L314" s="281" t="str">
        <f>IFERROR(K314*(INDEX(Config!B:B,MATCH("TVA "&amp;F314,Config!A:A,0))-1),"")</f>
        <v>#ERROR!</v>
      </c>
      <c r="M314" s="281" t="str">
        <f>IFERROR(K314+L314,"")</f>
        <v>#ERROR!</v>
      </c>
      <c r="N314" s="233"/>
    </row>
    <row r="315">
      <c r="A315" s="303"/>
      <c r="B315" s="235"/>
      <c r="C315" s="235"/>
      <c r="D315" s="235"/>
      <c r="E315" s="235"/>
      <c r="F315" s="235" t="str">
        <f>IFERROR(INDEX(Recettes!C:C,MATCH(E315,Recettes!B:B,0)),"")</f>
        <v>#ERROR!</v>
      </c>
      <c r="G315" s="235"/>
      <c r="H315" s="235"/>
      <c r="I315" s="283"/>
      <c r="J315" s="304"/>
      <c r="K315" s="283" t="str">
        <f>IFERROR(H315*I315*(1-J315/100),"")</f>
        <v>#ERROR!</v>
      </c>
      <c r="L315" s="283" t="str">
        <f>IFERROR(K315*(INDEX(Config!B:B,MATCH("TVA "&amp;F315,Config!A:A,0))-1),"")</f>
        <v>#ERROR!</v>
      </c>
      <c r="M315" s="283" t="str">
        <f>IFERROR(K315+L315,"")</f>
        <v>#ERROR!</v>
      </c>
      <c r="N315" s="240"/>
    </row>
    <row r="316">
      <c r="A316" s="301"/>
      <c r="B316" s="227"/>
      <c r="C316" s="227"/>
      <c r="D316" s="227"/>
      <c r="E316" s="227"/>
      <c r="F316" s="227" t="str">
        <f>IFERROR(INDEX(Recettes!C:C,MATCH(E316,Recettes!B:B,0)),"")</f>
        <v>#ERROR!</v>
      </c>
      <c r="G316" s="227"/>
      <c r="H316" s="227"/>
      <c r="I316" s="281"/>
      <c r="J316" s="302"/>
      <c r="K316" s="281" t="str">
        <f>IFERROR(H316*I316*(1-J316/100),"")</f>
        <v>#ERROR!</v>
      </c>
      <c r="L316" s="281" t="str">
        <f>IFERROR(K316*(INDEX(Config!B:B,MATCH("TVA "&amp;F316,Config!A:A,0))-1),"")</f>
        <v>#ERROR!</v>
      </c>
      <c r="M316" s="281" t="str">
        <f>IFERROR(K316+L316,"")</f>
        <v>#ERROR!</v>
      </c>
      <c r="N316" s="233"/>
    </row>
    <row r="317">
      <c r="A317" s="303"/>
      <c r="B317" s="235"/>
      <c r="C317" s="235"/>
      <c r="D317" s="235"/>
      <c r="E317" s="235"/>
      <c r="F317" s="235" t="str">
        <f>IFERROR(INDEX(Recettes!C:C,MATCH(E317,Recettes!B:B,0)),"")</f>
        <v>#ERROR!</v>
      </c>
      <c r="G317" s="235"/>
      <c r="H317" s="235"/>
      <c r="I317" s="283"/>
      <c r="J317" s="304"/>
      <c r="K317" s="283" t="str">
        <f>IFERROR(H317*I317*(1-J317/100),"")</f>
        <v>#ERROR!</v>
      </c>
      <c r="L317" s="283" t="str">
        <f>IFERROR(K317*(INDEX(Config!B:B,MATCH("TVA "&amp;F317,Config!A:A,0))-1),"")</f>
        <v>#ERROR!</v>
      </c>
      <c r="M317" s="283" t="str">
        <f>IFERROR(K317+L317,"")</f>
        <v>#ERROR!</v>
      </c>
      <c r="N317" s="240"/>
    </row>
    <row r="318">
      <c r="A318" s="301"/>
      <c r="B318" s="227"/>
      <c r="C318" s="227"/>
      <c r="D318" s="227"/>
      <c r="E318" s="227"/>
      <c r="F318" s="227" t="str">
        <f>IFERROR(INDEX(Recettes!C:C,MATCH(E318,Recettes!B:B,0)),"")</f>
        <v>#ERROR!</v>
      </c>
      <c r="G318" s="227"/>
      <c r="H318" s="227"/>
      <c r="I318" s="281"/>
      <c r="J318" s="302"/>
      <c r="K318" s="281" t="str">
        <f>IFERROR(H318*I318*(1-J318/100),"")</f>
        <v>#ERROR!</v>
      </c>
      <c r="L318" s="281" t="str">
        <f>IFERROR(K318*(INDEX(Config!B:B,MATCH("TVA "&amp;F318,Config!A:A,0))-1),"")</f>
        <v>#ERROR!</v>
      </c>
      <c r="M318" s="281" t="str">
        <f>IFERROR(K318+L318,"")</f>
        <v>#ERROR!</v>
      </c>
      <c r="N318" s="233"/>
    </row>
    <row r="319">
      <c r="A319" s="303"/>
      <c r="B319" s="235"/>
      <c r="C319" s="235"/>
      <c r="D319" s="235"/>
      <c r="E319" s="235"/>
      <c r="F319" s="235" t="str">
        <f>IFERROR(INDEX(Recettes!C:C,MATCH(E319,Recettes!B:B,0)),"")</f>
        <v>#ERROR!</v>
      </c>
      <c r="G319" s="235"/>
      <c r="H319" s="235"/>
      <c r="I319" s="283"/>
      <c r="J319" s="304"/>
      <c r="K319" s="283" t="str">
        <f>IFERROR(H319*I319*(1-J319/100),"")</f>
        <v>#ERROR!</v>
      </c>
      <c r="L319" s="283" t="str">
        <f>IFERROR(K319*(INDEX(Config!B:B,MATCH("TVA "&amp;F319,Config!A:A,0))-1),"")</f>
        <v>#ERROR!</v>
      </c>
      <c r="M319" s="283" t="str">
        <f>IFERROR(K319+L319,"")</f>
        <v>#ERROR!</v>
      </c>
      <c r="N319" s="240"/>
    </row>
    <row r="320">
      <c r="A320" s="301"/>
      <c r="B320" s="227"/>
      <c r="C320" s="227"/>
      <c r="D320" s="227"/>
      <c r="E320" s="227"/>
      <c r="F320" s="227" t="str">
        <f>IFERROR(INDEX(Recettes!C:C,MATCH(E320,Recettes!B:B,0)),"")</f>
        <v>#ERROR!</v>
      </c>
      <c r="G320" s="227"/>
      <c r="H320" s="227"/>
      <c r="I320" s="281"/>
      <c r="J320" s="302"/>
      <c r="K320" s="281" t="str">
        <f>IFERROR(H320*I320*(1-J320/100),"")</f>
        <v>#ERROR!</v>
      </c>
      <c r="L320" s="281" t="str">
        <f>IFERROR(K320*(INDEX(Config!B:B,MATCH("TVA "&amp;F320,Config!A:A,0))-1),"")</f>
        <v>#ERROR!</v>
      </c>
      <c r="M320" s="281" t="str">
        <f>IFERROR(K320+L320,"")</f>
        <v>#ERROR!</v>
      </c>
      <c r="N320" s="233"/>
    </row>
    <row r="321">
      <c r="A321" s="303"/>
      <c r="B321" s="235"/>
      <c r="C321" s="235"/>
      <c r="D321" s="235"/>
      <c r="E321" s="235"/>
      <c r="F321" s="235" t="str">
        <f>IFERROR(INDEX(Recettes!C:C,MATCH(E321,Recettes!B:B,0)),"")</f>
        <v>#ERROR!</v>
      </c>
      <c r="G321" s="235"/>
      <c r="H321" s="235"/>
      <c r="I321" s="283"/>
      <c r="J321" s="304"/>
      <c r="K321" s="283" t="str">
        <f>IFERROR(H321*I321*(1-J321/100),"")</f>
        <v>#ERROR!</v>
      </c>
      <c r="L321" s="283" t="str">
        <f>IFERROR(K321*(INDEX(Config!B:B,MATCH("TVA "&amp;F321,Config!A:A,0))-1),"")</f>
        <v>#ERROR!</v>
      </c>
      <c r="M321" s="283" t="str">
        <f>IFERROR(K321+L321,"")</f>
        <v>#ERROR!</v>
      </c>
      <c r="N321" s="240"/>
    </row>
    <row r="322">
      <c r="A322" s="301"/>
      <c r="B322" s="227"/>
      <c r="C322" s="227"/>
      <c r="D322" s="227"/>
      <c r="E322" s="227"/>
      <c r="F322" s="227" t="str">
        <f>IFERROR(INDEX(Recettes!C:C,MATCH(E322,Recettes!B:B,0)),"")</f>
        <v>#ERROR!</v>
      </c>
      <c r="G322" s="227"/>
      <c r="H322" s="227"/>
      <c r="I322" s="281"/>
      <c r="J322" s="302"/>
      <c r="K322" s="281" t="str">
        <f>IFERROR(H322*I322*(1-J322/100),"")</f>
        <v>#ERROR!</v>
      </c>
      <c r="L322" s="281" t="str">
        <f>IFERROR(K322*(INDEX(Config!B:B,MATCH("TVA "&amp;F322,Config!A:A,0))-1),"")</f>
        <v>#ERROR!</v>
      </c>
      <c r="M322" s="281" t="str">
        <f>IFERROR(K322+L322,"")</f>
        <v>#ERROR!</v>
      </c>
      <c r="N322" s="233"/>
    </row>
    <row r="323">
      <c r="A323" s="303"/>
      <c r="B323" s="235"/>
      <c r="C323" s="235"/>
      <c r="D323" s="235"/>
      <c r="E323" s="235"/>
      <c r="F323" s="235" t="str">
        <f>IFERROR(INDEX(Recettes!C:C,MATCH(E323,Recettes!B:B,0)),"")</f>
        <v>#ERROR!</v>
      </c>
      <c r="G323" s="235"/>
      <c r="H323" s="235"/>
      <c r="I323" s="283"/>
      <c r="J323" s="304"/>
      <c r="K323" s="283" t="str">
        <f>IFERROR(H323*I323*(1-J323/100),"")</f>
        <v>#ERROR!</v>
      </c>
      <c r="L323" s="283" t="str">
        <f>IFERROR(K323*(INDEX(Config!B:B,MATCH("TVA "&amp;F323,Config!A:A,0))-1),"")</f>
        <v>#ERROR!</v>
      </c>
      <c r="M323" s="283" t="str">
        <f>IFERROR(K323+L323,"")</f>
        <v>#ERROR!</v>
      </c>
      <c r="N323" s="240"/>
    </row>
    <row r="324">
      <c r="A324" s="301"/>
      <c r="B324" s="227"/>
      <c r="C324" s="227"/>
      <c r="D324" s="227"/>
      <c r="E324" s="227"/>
      <c r="F324" s="227" t="str">
        <f>IFERROR(INDEX(Recettes!C:C,MATCH(E324,Recettes!B:B,0)),"")</f>
        <v>#ERROR!</v>
      </c>
      <c r="G324" s="227"/>
      <c r="H324" s="227"/>
      <c r="I324" s="281"/>
      <c r="J324" s="302"/>
      <c r="K324" s="281" t="str">
        <f>IFERROR(H324*I324*(1-J324/100),"")</f>
        <v>#ERROR!</v>
      </c>
      <c r="L324" s="281" t="str">
        <f>IFERROR(K324*(INDEX(Config!B:B,MATCH("TVA "&amp;F324,Config!A:A,0))-1),"")</f>
        <v>#ERROR!</v>
      </c>
      <c r="M324" s="281" t="str">
        <f>IFERROR(K324+L324,"")</f>
        <v>#ERROR!</v>
      </c>
      <c r="N324" s="233"/>
    </row>
    <row r="325">
      <c r="A325" s="303"/>
      <c r="B325" s="235"/>
      <c r="C325" s="235"/>
      <c r="D325" s="235"/>
      <c r="E325" s="235"/>
      <c r="F325" s="235" t="str">
        <f>IFERROR(INDEX(Recettes!C:C,MATCH(E325,Recettes!B:B,0)),"")</f>
        <v>#ERROR!</v>
      </c>
      <c r="G325" s="235"/>
      <c r="H325" s="235"/>
      <c r="I325" s="283"/>
      <c r="J325" s="304"/>
      <c r="K325" s="283" t="str">
        <f>IFERROR(H325*I325*(1-J325/100),"")</f>
        <v>#ERROR!</v>
      </c>
      <c r="L325" s="283" t="str">
        <f>IFERROR(K325*(INDEX(Config!B:B,MATCH("TVA "&amp;F325,Config!A:A,0))-1),"")</f>
        <v>#ERROR!</v>
      </c>
      <c r="M325" s="283" t="str">
        <f>IFERROR(K325+L325,"")</f>
        <v>#ERROR!</v>
      </c>
      <c r="N325" s="240"/>
    </row>
    <row r="326">
      <c r="A326" s="301"/>
      <c r="B326" s="227"/>
      <c r="C326" s="227"/>
      <c r="D326" s="227"/>
      <c r="E326" s="227"/>
      <c r="F326" s="227" t="str">
        <f>IFERROR(INDEX(Recettes!C:C,MATCH(E326,Recettes!B:B,0)),"")</f>
        <v>#ERROR!</v>
      </c>
      <c r="G326" s="227"/>
      <c r="H326" s="227"/>
      <c r="I326" s="281"/>
      <c r="J326" s="302"/>
      <c r="K326" s="281" t="str">
        <f>IFERROR(H326*I326*(1-J326/100),"")</f>
        <v>#ERROR!</v>
      </c>
      <c r="L326" s="281" t="str">
        <f>IFERROR(K326*(INDEX(Config!B:B,MATCH("TVA "&amp;F326,Config!A:A,0))-1),"")</f>
        <v>#ERROR!</v>
      </c>
      <c r="M326" s="281" t="str">
        <f>IFERROR(K326+L326,"")</f>
        <v>#ERROR!</v>
      </c>
      <c r="N326" s="233"/>
    </row>
    <row r="327">
      <c r="A327" s="303"/>
      <c r="B327" s="235"/>
      <c r="C327" s="235"/>
      <c r="D327" s="235"/>
      <c r="E327" s="235"/>
      <c r="F327" s="235" t="str">
        <f>IFERROR(INDEX(Recettes!C:C,MATCH(E327,Recettes!B:B,0)),"")</f>
        <v>#ERROR!</v>
      </c>
      <c r="G327" s="235"/>
      <c r="H327" s="235"/>
      <c r="I327" s="283"/>
      <c r="J327" s="304"/>
      <c r="K327" s="283" t="str">
        <f>IFERROR(H327*I327*(1-J327/100),"")</f>
        <v>#ERROR!</v>
      </c>
      <c r="L327" s="283" t="str">
        <f>IFERROR(K327*(INDEX(Config!B:B,MATCH("TVA "&amp;F327,Config!A:A,0))-1),"")</f>
        <v>#ERROR!</v>
      </c>
      <c r="M327" s="283" t="str">
        <f>IFERROR(K327+L327,"")</f>
        <v>#ERROR!</v>
      </c>
      <c r="N327" s="240"/>
    </row>
    <row r="328">
      <c r="A328" s="301"/>
      <c r="B328" s="227"/>
      <c r="C328" s="227"/>
      <c r="D328" s="227"/>
      <c r="E328" s="227"/>
      <c r="F328" s="227" t="str">
        <f>IFERROR(INDEX(Recettes!C:C,MATCH(E328,Recettes!B:B,0)),"")</f>
        <v>#ERROR!</v>
      </c>
      <c r="G328" s="227"/>
      <c r="H328" s="227"/>
      <c r="I328" s="281"/>
      <c r="J328" s="302"/>
      <c r="K328" s="281" t="str">
        <f>IFERROR(H328*I328*(1-J328/100),"")</f>
        <v>#ERROR!</v>
      </c>
      <c r="L328" s="281" t="str">
        <f>IFERROR(K328*(INDEX(Config!B:B,MATCH("TVA "&amp;F328,Config!A:A,0))-1),"")</f>
        <v>#ERROR!</v>
      </c>
      <c r="M328" s="281" t="str">
        <f>IFERROR(K328+L328,"")</f>
        <v>#ERROR!</v>
      </c>
      <c r="N328" s="233"/>
    </row>
    <row r="329">
      <c r="A329" s="303"/>
      <c r="B329" s="235"/>
      <c r="C329" s="235"/>
      <c r="D329" s="235"/>
      <c r="E329" s="235"/>
      <c r="F329" s="235" t="str">
        <f>IFERROR(INDEX(Recettes!C:C,MATCH(E329,Recettes!B:B,0)),"")</f>
        <v>#ERROR!</v>
      </c>
      <c r="G329" s="235"/>
      <c r="H329" s="235"/>
      <c r="I329" s="283"/>
      <c r="J329" s="304"/>
      <c r="K329" s="283" t="str">
        <f>IFERROR(H329*I329*(1-J329/100),"")</f>
        <v>#ERROR!</v>
      </c>
      <c r="L329" s="283" t="str">
        <f>IFERROR(K329*(INDEX(Config!B:B,MATCH("TVA "&amp;F329,Config!A:A,0))-1),"")</f>
        <v>#ERROR!</v>
      </c>
      <c r="M329" s="283" t="str">
        <f>IFERROR(K329+L329,"")</f>
        <v>#ERROR!</v>
      </c>
      <c r="N329" s="240"/>
    </row>
    <row r="330">
      <c r="A330" s="301"/>
      <c r="B330" s="227"/>
      <c r="C330" s="227"/>
      <c r="D330" s="227"/>
      <c r="E330" s="227"/>
      <c r="F330" s="227" t="str">
        <f>IFERROR(INDEX(Recettes!C:C,MATCH(E330,Recettes!B:B,0)),"")</f>
        <v>#ERROR!</v>
      </c>
      <c r="G330" s="227"/>
      <c r="H330" s="227"/>
      <c r="I330" s="281"/>
      <c r="J330" s="302"/>
      <c r="K330" s="281" t="str">
        <f>IFERROR(H330*I330*(1-J330/100),"")</f>
        <v>#ERROR!</v>
      </c>
      <c r="L330" s="281" t="str">
        <f>IFERROR(K330*(INDEX(Config!B:B,MATCH("TVA "&amp;F330,Config!A:A,0))-1),"")</f>
        <v>#ERROR!</v>
      </c>
      <c r="M330" s="281" t="str">
        <f>IFERROR(K330+L330,"")</f>
        <v>#ERROR!</v>
      </c>
      <c r="N330" s="233"/>
    </row>
    <row r="331">
      <c r="A331" s="303"/>
      <c r="B331" s="235"/>
      <c r="C331" s="235"/>
      <c r="D331" s="235"/>
      <c r="E331" s="235"/>
      <c r="F331" s="235" t="str">
        <f>IFERROR(INDEX(Recettes!C:C,MATCH(E331,Recettes!B:B,0)),"")</f>
        <v>#ERROR!</v>
      </c>
      <c r="G331" s="235"/>
      <c r="H331" s="235"/>
      <c r="I331" s="283"/>
      <c r="J331" s="304"/>
      <c r="K331" s="283" t="str">
        <f>IFERROR(H331*I331*(1-J331/100),"")</f>
        <v>#ERROR!</v>
      </c>
      <c r="L331" s="283" t="str">
        <f>IFERROR(K331*(INDEX(Config!B:B,MATCH("TVA "&amp;F331,Config!A:A,0))-1),"")</f>
        <v>#ERROR!</v>
      </c>
      <c r="M331" s="283" t="str">
        <f>IFERROR(K331+L331,"")</f>
        <v>#ERROR!</v>
      </c>
      <c r="N331" s="240"/>
    </row>
    <row r="332">
      <c r="A332" s="301"/>
      <c r="B332" s="227"/>
      <c r="C332" s="227"/>
      <c r="D332" s="227"/>
      <c r="E332" s="227"/>
      <c r="F332" s="227" t="str">
        <f>IFERROR(INDEX(Recettes!C:C,MATCH(E332,Recettes!B:B,0)),"")</f>
        <v>#ERROR!</v>
      </c>
      <c r="G332" s="227"/>
      <c r="H332" s="227"/>
      <c r="I332" s="281"/>
      <c r="J332" s="302"/>
      <c r="K332" s="281" t="str">
        <f>IFERROR(H332*I332*(1-J332/100),"")</f>
        <v>#ERROR!</v>
      </c>
      <c r="L332" s="281" t="str">
        <f>IFERROR(K332*(INDEX(Config!B:B,MATCH("TVA "&amp;F332,Config!A:A,0))-1),"")</f>
        <v>#ERROR!</v>
      </c>
      <c r="M332" s="281" t="str">
        <f>IFERROR(K332+L332,"")</f>
        <v>#ERROR!</v>
      </c>
      <c r="N332" s="233"/>
    </row>
    <row r="333">
      <c r="A333" s="303"/>
      <c r="B333" s="235"/>
      <c r="C333" s="235"/>
      <c r="D333" s="235"/>
      <c r="E333" s="235"/>
      <c r="F333" s="235" t="str">
        <f>IFERROR(INDEX(Recettes!C:C,MATCH(E333,Recettes!B:B,0)),"")</f>
        <v>#ERROR!</v>
      </c>
      <c r="G333" s="235"/>
      <c r="H333" s="235"/>
      <c r="I333" s="283"/>
      <c r="J333" s="304"/>
      <c r="K333" s="283" t="str">
        <f>IFERROR(H333*I333*(1-J333/100),"")</f>
        <v>#ERROR!</v>
      </c>
      <c r="L333" s="283" t="str">
        <f>IFERROR(K333*(INDEX(Config!B:B,MATCH("TVA "&amp;F333,Config!A:A,0))-1),"")</f>
        <v>#ERROR!</v>
      </c>
      <c r="M333" s="283" t="str">
        <f>IFERROR(K333+L333,"")</f>
        <v>#ERROR!</v>
      </c>
      <c r="N333" s="240"/>
    </row>
    <row r="334">
      <c r="A334" s="301"/>
      <c r="B334" s="227"/>
      <c r="C334" s="227"/>
      <c r="D334" s="227"/>
      <c r="E334" s="227"/>
      <c r="F334" s="227" t="str">
        <f>IFERROR(INDEX(Recettes!C:C,MATCH(E334,Recettes!B:B,0)),"")</f>
        <v>#ERROR!</v>
      </c>
      <c r="G334" s="227"/>
      <c r="H334" s="227"/>
      <c r="I334" s="281"/>
      <c r="J334" s="302"/>
      <c r="K334" s="281" t="str">
        <f>IFERROR(H334*I334*(1-J334/100),"")</f>
        <v>#ERROR!</v>
      </c>
      <c r="L334" s="281" t="str">
        <f>IFERROR(K334*(INDEX(Config!B:B,MATCH("TVA "&amp;F334,Config!A:A,0))-1),"")</f>
        <v>#ERROR!</v>
      </c>
      <c r="M334" s="281" t="str">
        <f>IFERROR(K334+L334,"")</f>
        <v>#ERROR!</v>
      </c>
      <c r="N334" s="233"/>
    </row>
    <row r="335">
      <c r="A335" s="303"/>
      <c r="B335" s="235"/>
      <c r="C335" s="235"/>
      <c r="D335" s="235"/>
      <c r="E335" s="235"/>
      <c r="F335" s="235" t="str">
        <f>IFERROR(INDEX(Recettes!C:C,MATCH(E335,Recettes!B:B,0)),"")</f>
        <v>#ERROR!</v>
      </c>
      <c r="G335" s="235"/>
      <c r="H335" s="235"/>
      <c r="I335" s="283"/>
      <c r="J335" s="304"/>
      <c r="K335" s="283" t="str">
        <f>IFERROR(H335*I335*(1-J335/100),"")</f>
        <v>#ERROR!</v>
      </c>
      <c r="L335" s="283" t="str">
        <f>IFERROR(K335*(INDEX(Config!B:B,MATCH("TVA "&amp;F335,Config!A:A,0))-1),"")</f>
        <v>#ERROR!</v>
      </c>
      <c r="M335" s="283" t="str">
        <f>IFERROR(K335+L335,"")</f>
        <v>#ERROR!</v>
      </c>
      <c r="N335" s="240"/>
    </row>
    <row r="336">
      <c r="A336" s="301"/>
      <c r="B336" s="227"/>
      <c r="C336" s="227"/>
      <c r="D336" s="227"/>
      <c r="E336" s="227"/>
      <c r="F336" s="227" t="str">
        <f>IFERROR(INDEX(Recettes!C:C,MATCH(E336,Recettes!B:B,0)),"")</f>
        <v>#ERROR!</v>
      </c>
      <c r="G336" s="227"/>
      <c r="H336" s="227"/>
      <c r="I336" s="281"/>
      <c r="J336" s="302"/>
      <c r="K336" s="281" t="str">
        <f>IFERROR(H336*I336*(1-J336/100),"")</f>
        <v>#ERROR!</v>
      </c>
      <c r="L336" s="281" t="str">
        <f>IFERROR(K336*(INDEX(Config!B:B,MATCH("TVA "&amp;F336,Config!A:A,0))-1),"")</f>
        <v>#ERROR!</v>
      </c>
      <c r="M336" s="281" t="str">
        <f>IFERROR(K336+L336,"")</f>
        <v>#ERROR!</v>
      </c>
      <c r="N336" s="233"/>
    </row>
    <row r="337">
      <c r="A337" s="303"/>
      <c r="B337" s="235"/>
      <c r="C337" s="235"/>
      <c r="D337" s="235"/>
      <c r="E337" s="235"/>
      <c r="F337" s="235" t="str">
        <f>IFERROR(INDEX(Recettes!C:C,MATCH(E337,Recettes!B:B,0)),"")</f>
        <v>#ERROR!</v>
      </c>
      <c r="G337" s="235"/>
      <c r="H337" s="235"/>
      <c r="I337" s="283"/>
      <c r="J337" s="304"/>
      <c r="K337" s="283" t="str">
        <f>IFERROR(H337*I337*(1-J337/100),"")</f>
        <v>#ERROR!</v>
      </c>
      <c r="L337" s="283" t="str">
        <f>IFERROR(K337*(INDEX(Config!B:B,MATCH("TVA "&amp;F337,Config!A:A,0))-1),"")</f>
        <v>#ERROR!</v>
      </c>
      <c r="M337" s="283" t="str">
        <f>IFERROR(K337+L337,"")</f>
        <v>#ERROR!</v>
      </c>
      <c r="N337" s="240"/>
    </row>
    <row r="338">
      <c r="A338" s="301"/>
      <c r="B338" s="227"/>
      <c r="C338" s="227"/>
      <c r="D338" s="227"/>
      <c r="E338" s="227"/>
      <c r="F338" s="227" t="str">
        <f>IFERROR(INDEX(Recettes!C:C,MATCH(E338,Recettes!B:B,0)),"")</f>
        <v>#ERROR!</v>
      </c>
      <c r="G338" s="227"/>
      <c r="H338" s="227"/>
      <c r="I338" s="281"/>
      <c r="J338" s="302"/>
      <c r="K338" s="281" t="str">
        <f>IFERROR(H338*I338*(1-J338/100),"")</f>
        <v>#ERROR!</v>
      </c>
      <c r="L338" s="281" t="str">
        <f>IFERROR(K338*(INDEX(Config!B:B,MATCH("TVA "&amp;F338,Config!A:A,0))-1),"")</f>
        <v>#ERROR!</v>
      </c>
      <c r="M338" s="281" t="str">
        <f>IFERROR(K338+L338,"")</f>
        <v>#ERROR!</v>
      </c>
      <c r="N338" s="233"/>
    </row>
    <row r="339">
      <c r="A339" s="303"/>
      <c r="B339" s="235"/>
      <c r="C339" s="235"/>
      <c r="D339" s="235"/>
      <c r="E339" s="235"/>
      <c r="F339" s="235" t="str">
        <f>IFERROR(INDEX(Recettes!C:C,MATCH(E339,Recettes!B:B,0)),"")</f>
        <v>#ERROR!</v>
      </c>
      <c r="G339" s="235"/>
      <c r="H339" s="235"/>
      <c r="I339" s="283"/>
      <c r="J339" s="304"/>
      <c r="K339" s="283" t="str">
        <f>IFERROR(H339*I339*(1-J339/100),"")</f>
        <v>#ERROR!</v>
      </c>
      <c r="L339" s="283" t="str">
        <f>IFERROR(K339*(INDEX(Config!B:B,MATCH("TVA "&amp;F339,Config!A:A,0))-1),"")</f>
        <v>#ERROR!</v>
      </c>
      <c r="M339" s="283" t="str">
        <f>IFERROR(K339+L339,"")</f>
        <v>#ERROR!</v>
      </c>
      <c r="N339" s="240"/>
    </row>
    <row r="340">
      <c r="A340" s="301"/>
      <c r="B340" s="227"/>
      <c r="C340" s="227"/>
      <c r="D340" s="227"/>
      <c r="E340" s="227"/>
      <c r="F340" s="227" t="str">
        <f>IFERROR(INDEX(Recettes!C:C,MATCH(E340,Recettes!B:B,0)),"")</f>
        <v>#ERROR!</v>
      </c>
      <c r="G340" s="227"/>
      <c r="H340" s="227"/>
      <c r="I340" s="281"/>
      <c r="J340" s="302"/>
      <c r="K340" s="281" t="str">
        <f>IFERROR(H340*I340*(1-J340/100),"")</f>
        <v>#ERROR!</v>
      </c>
      <c r="L340" s="281" t="str">
        <f>IFERROR(K340*(INDEX(Config!B:B,MATCH("TVA "&amp;F340,Config!A:A,0))-1),"")</f>
        <v>#ERROR!</v>
      </c>
      <c r="M340" s="281" t="str">
        <f>IFERROR(K340+L340,"")</f>
        <v>#ERROR!</v>
      </c>
      <c r="N340" s="233"/>
    </row>
    <row r="341">
      <c r="A341" s="303"/>
      <c r="B341" s="235"/>
      <c r="C341" s="235"/>
      <c r="D341" s="235"/>
      <c r="E341" s="235"/>
      <c r="F341" s="235" t="str">
        <f>IFERROR(INDEX(Recettes!C:C,MATCH(E341,Recettes!B:B,0)),"")</f>
        <v>#ERROR!</v>
      </c>
      <c r="G341" s="235"/>
      <c r="H341" s="235"/>
      <c r="I341" s="283"/>
      <c r="J341" s="304"/>
      <c r="K341" s="283" t="str">
        <f>IFERROR(H341*I341*(1-J341/100),"")</f>
        <v>#ERROR!</v>
      </c>
      <c r="L341" s="283" t="str">
        <f>IFERROR(K341*(INDEX(Config!B:B,MATCH("TVA "&amp;F341,Config!A:A,0))-1),"")</f>
        <v>#ERROR!</v>
      </c>
      <c r="M341" s="283" t="str">
        <f>IFERROR(K341+L341,"")</f>
        <v>#ERROR!</v>
      </c>
      <c r="N341" s="240"/>
    </row>
    <row r="342">
      <c r="A342" s="301"/>
      <c r="B342" s="227"/>
      <c r="C342" s="227"/>
      <c r="D342" s="227"/>
      <c r="E342" s="227"/>
      <c r="F342" s="227" t="str">
        <f>IFERROR(INDEX(Recettes!C:C,MATCH(E342,Recettes!B:B,0)),"")</f>
        <v>#ERROR!</v>
      </c>
      <c r="G342" s="227"/>
      <c r="H342" s="227"/>
      <c r="I342" s="281"/>
      <c r="J342" s="302"/>
      <c r="K342" s="281" t="str">
        <f>IFERROR(H342*I342*(1-J342/100),"")</f>
        <v>#ERROR!</v>
      </c>
      <c r="L342" s="281" t="str">
        <f>IFERROR(K342*(INDEX(Config!B:B,MATCH("TVA "&amp;F342,Config!A:A,0))-1),"")</f>
        <v>#ERROR!</v>
      </c>
      <c r="M342" s="281" t="str">
        <f>IFERROR(K342+L342,"")</f>
        <v>#ERROR!</v>
      </c>
      <c r="N342" s="233"/>
    </row>
    <row r="343">
      <c r="A343" s="303"/>
      <c r="B343" s="235"/>
      <c r="C343" s="235"/>
      <c r="D343" s="235"/>
      <c r="E343" s="235"/>
      <c r="F343" s="235" t="str">
        <f>IFERROR(INDEX(Recettes!C:C,MATCH(E343,Recettes!B:B,0)),"")</f>
        <v>#ERROR!</v>
      </c>
      <c r="G343" s="235"/>
      <c r="H343" s="235"/>
      <c r="I343" s="283"/>
      <c r="J343" s="304"/>
      <c r="K343" s="283" t="str">
        <f>IFERROR(H343*I343*(1-J343/100),"")</f>
        <v>#ERROR!</v>
      </c>
      <c r="L343" s="283" t="str">
        <f>IFERROR(K343*(INDEX(Config!B:B,MATCH("TVA "&amp;F343,Config!A:A,0))-1),"")</f>
        <v>#ERROR!</v>
      </c>
      <c r="M343" s="283" t="str">
        <f>IFERROR(K343+L343,"")</f>
        <v>#ERROR!</v>
      </c>
      <c r="N343" s="240"/>
    </row>
    <row r="344">
      <c r="A344" s="301"/>
      <c r="B344" s="227"/>
      <c r="C344" s="227"/>
      <c r="D344" s="227"/>
      <c r="E344" s="227"/>
      <c r="F344" s="227" t="str">
        <f>IFERROR(INDEX(Recettes!C:C,MATCH(E344,Recettes!B:B,0)),"")</f>
        <v>#ERROR!</v>
      </c>
      <c r="G344" s="227"/>
      <c r="H344" s="227"/>
      <c r="I344" s="281"/>
      <c r="J344" s="302"/>
      <c r="K344" s="281" t="str">
        <f>IFERROR(H344*I344*(1-J344/100),"")</f>
        <v>#ERROR!</v>
      </c>
      <c r="L344" s="281" t="str">
        <f>IFERROR(K344*(INDEX(Config!B:B,MATCH("TVA "&amp;F344,Config!A:A,0))-1),"")</f>
        <v>#ERROR!</v>
      </c>
      <c r="M344" s="281" t="str">
        <f>IFERROR(K344+L344,"")</f>
        <v>#ERROR!</v>
      </c>
      <c r="N344" s="233"/>
    </row>
    <row r="345">
      <c r="A345" s="303"/>
      <c r="B345" s="235"/>
      <c r="C345" s="235"/>
      <c r="D345" s="235"/>
      <c r="E345" s="235"/>
      <c r="F345" s="235" t="str">
        <f>IFERROR(INDEX(Recettes!C:C,MATCH(E345,Recettes!B:B,0)),"")</f>
        <v>#ERROR!</v>
      </c>
      <c r="G345" s="235"/>
      <c r="H345" s="235"/>
      <c r="I345" s="283"/>
      <c r="J345" s="304"/>
      <c r="K345" s="283" t="str">
        <f>IFERROR(H345*I345*(1-J345/100),"")</f>
        <v>#ERROR!</v>
      </c>
      <c r="L345" s="283" t="str">
        <f>IFERROR(K345*(INDEX(Config!B:B,MATCH("TVA "&amp;F345,Config!A:A,0))-1),"")</f>
        <v>#ERROR!</v>
      </c>
      <c r="M345" s="283" t="str">
        <f>IFERROR(K345+L345,"")</f>
        <v>#ERROR!</v>
      </c>
      <c r="N345" s="240"/>
    </row>
    <row r="346">
      <c r="A346" s="301"/>
      <c r="B346" s="227"/>
      <c r="C346" s="227"/>
      <c r="D346" s="227"/>
      <c r="E346" s="227"/>
      <c r="F346" s="227" t="str">
        <f>IFERROR(INDEX(Recettes!C:C,MATCH(E346,Recettes!B:B,0)),"")</f>
        <v>#ERROR!</v>
      </c>
      <c r="G346" s="227"/>
      <c r="H346" s="227"/>
      <c r="I346" s="281"/>
      <c r="J346" s="302"/>
      <c r="K346" s="281" t="str">
        <f>IFERROR(H346*I346*(1-J346/100),"")</f>
        <v>#ERROR!</v>
      </c>
      <c r="L346" s="281" t="str">
        <f>IFERROR(K346*(INDEX(Config!B:B,MATCH("TVA "&amp;F346,Config!A:A,0))-1),"")</f>
        <v>#ERROR!</v>
      </c>
      <c r="M346" s="281" t="str">
        <f>IFERROR(K346+L346,"")</f>
        <v>#ERROR!</v>
      </c>
      <c r="N346" s="233"/>
    </row>
    <row r="347">
      <c r="A347" s="303"/>
      <c r="B347" s="235"/>
      <c r="C347" s="235"/>
      <c r="D347" s="235"/>
      <c r="E347" s="235"/>
      <c r="F347" s="235" t="str">
        <f>IFERROR(INDEX(Recettes!C:C,MATCH(E347,Recettes!B:B,0)),"")</f>
        <v>#ERROR!</v>
      </c>
      <c r="G347" s="235"/>
      <c r="H347" s="235"/>
      <c r="I347" s="283"/>
      <c r="J347" s="304"/>
      <c r="K347" s="283" t="str">
        <f>IFERROR(H347*I347*(1-J347/100),"")</f>
        <v>#ERROR!</v>
      </c>
      <c r="L347" s="283" t="str">
        <f>IFERROR(K347*(INDEX(Config!B:B,MATCH("TVA "&amp;F347,Config!A:A,0))-1),"")</f>
        <v>#ERROR!</v>
      </c>
      <c r="M347" s="283" t="str">
        <f>IFERROR(K347+L347,"")</f>
        <v>#ERROR!</v>
      </c>
      <c r="N347" s="240"/>
    </row>
    <row r="348">
      <c r="A348" s="301"/>
      <c r="B348" s="227"/>
      <c r="C348" s="227"/>
      <c r="D348" s="227"/>
      <c r="E348" s="227"/>
      <c r="F348" s="227" t="str">
        <f>IFERROR(INDEX(Recettes!C:C,MATCH(E348,Recettes!B:B,0)),"")</f>
        <v>#ERROR!</v>
      </c>
      <c r="G348" s="227"/>
      <c r="H348" s="227"/>
      <c r="I348" s="281"/>
      <c r="J348" s="302"/>
      <c r="K348" s="281" t="str">
        <f>IFERROR(H348*I348*(1-J348/100),"")</f>
        <v>#ERROR!</v>
      </c>
      <c r="L348" s="281" t="str">
        <f>IFERROR(K348*(INDEX(Config!B:B,MATCH("TVA "&amp;F348,Config!A:A,0))-1),"")</f>
        <v>#ERROR!</v>
      </c>
      <c r="M348" s="281" t="str">
        <f>IFERROR(K348+L348,"")</f>
        <v>#ERROR!</v>
      </c>
      <c r="N348" s="233"/>
    </row>
    <row r="349">
      <c r="A349" s="303"/>
      <c r="B349" s="235"/>
      <c r="C349" s="235"/>
      <c r="D349" s="235"/>
      <c r="E349" s="235"/>
      <c r="F349" s="235" t="str">
        <f>IFERROR(INDEX(Recettes!C:C,MATCH(E349,Recettes!B:B,0)),"")</f>
        <v>#ERROR!</v>
      </c>
      <c r="G349" s="235"/>
      <c r="H349" s="235"/>
      <c r="I349" s="283"/>
      <c r="J349" s="304"/>
      <c r="K349" s="283" t="str">
        <f>IFERROR(H349*I349*(1-J349/100),"")</f>
        <v>#ERROR!</v>
      </c>
      <c r="L349" s="283" t="str">
        <f>IFERROR(K349*(INDEX(Config!B:B,MATCH("TVA "&amp;F349,Config!A:A,0))-1),"")</f>
        <v>#ERROR!</v>
      </c>
      <c r="M349" s="283" t="str">
        <f>IFERROR(K349+L349,"")</f>
        <v>#ERROR!</v>
      </c>
      <c r="N349" s="240"/>
    </row>
    <row r="350">
      <c r="A350" s="301"/>
      <c r="B350" s="227"/>
      <c r="C350" s="227"/>
      <c r="D350" s="227"/>
      <c r="E350" s="227"/>
      <c r="F350" s="227" t="str">
        <f>IFERROR(INDEX(Recettes!C:C,MATCH(E350,Recettes!B:B,0)),"")</f>
        <v>#ERROR!</v>
      </c>
      <c r="G350" s="227"/>
      <c r="H350" s="227"/>
      <c r="I350" s="281"/>
      <c r="J350" s="302"/>
      <c r="K350" s="281" t="str">
        <f>IFERROR(H350*I350*(1-J350/100),"")</f>
        <v>#ERROR!</v>
      </c>
      <c r="L350" s="281" t="str">
        <f>IFERROR(K350*(INDEX(Config!B:B,MATCH("TVA "&amp;F350,Config!A:A,0))-1),"")</f>
        <v>#ERROR!</v>
      </c>
      <c r="M350" s="281" t="str">
        <f>IFERROR(K350+L350,"")</f>
        <v>#ERROR!</v>
      </c>
      <c r="N350" s="233"/>
    </row>
    <row r="351">
      <c r="A351" s="303"/>
      <c r="B351" s="235"/>
      <c r="C351" s="235"/>
      <c r="D351" s="235"/>
      <c r="E351" s="235"/>
      <c r="F351" s="235" t="str">
        <f>IFERROR(INDEX(Recettes!C:C,MATCH(E351,Recettes!B:B,0)),"")</f>
        <v>#ERROR!</v>
      </c>
      <c r="G351" s="235"/>
      <c r="H351" s="235"/>
      <c r="I351" s="283"/>
      <c r="J351" s="304"/>
      <c r="K351" s="283" t="str">
        <f>IFERROR(H351*I351*(1-J351/100),"")</f>
        <v>#ERROR!</v>
      </c>
      <c r="L351" s="283" t="str">
        <f>IFERROR(K351*(INDEX(Config!B:B,MATCH("TVA "&amp;F351,Config!A:A,0))-1),"")</f>
        <v>#ERROR!</v>
      </c>
      <c r="M351" s="283" t="str">
        <f>IFERROR(K351+L351,"")</f>
        <v>#ERROR!</v>
      </c>
      <c r="N351" s="240"/>
    </row>
    <row r="352">
      <c r="A352" s="301"/>
      <c r="B352" s="227"/>
      <c r="C352" s="227"/>
      <c r="D352" s="227"/>
      <c r="E352" s="227"/>
      <c r="F352" s="227" t="str">
        <f>IFERROR(INDEX(Recettes!C:C,MATCH(E352,Recettes!B:B,0)),"")</f>
        <v>#ERROR!</v>
      </c>
      <c r="G352" s="227"/>
      <c r="H352" s="227"/>
      <c r="I352" s="281"/>
      <c r="J352" s="302"/>
      <c r="K352" s="281" t="str">
        <f>IFERROR(H352*I352*(1-J352/100),"")</f>
        <v>#ERROR!</v>
      </c>
      <c r="L352" s="281" t="str">
        <f>IFERROR(K352*(INDEX(Config!B:B,MATCH("TVA "&amp;F352,Config!A:A,0))-1),"")</f>
        <v>#ERROR!</v>
      </c>
      <c r="M352" s="281" t="str">
        <f>IFERROR(K352+L352,"")</f>
        <v>#ERROR!</v>
      </c>
      <c r="N352" s="233"/>
    </row>
    <row r="353">
      <c r="A353" s="303"/>
      <c r="B353" s="235"/>
      <c r="C353" s="235"/>
      <c r="D353" s="235"/>
      <c r="E353" s="235"/>
      <c r="F353" s="235" t="str">
        <f>IFERROR(INDEX(Recettes!C:C,MATCH(E353,Recettes!B:B,0)),"")</f>
        <v>#ERROR!</v>
      </c>
      <c r="G353" s="235"/>
      <c r="H353" s="235"/>
      <c r="I353" s="283"/>
      <c r="J353" s="304"/>
      <c r="K353" s="283" t="str">
        <f>IFERROR(H353*I353*(1-J353/100),"")</f>
        <v>#ERROR!</v>
      </c>
      <c r="L353" s="283" t="str">
        <f>IFERROR(K353*(INDEX(Config!B:B,MATCH("TVA "&amp;F353,Config!A:A,0))-1),"")</f>
        <v>#ERROR!</v>
      </c>
      <c r="M353" s="283" t="str">
        <f>IFERROR(K353+L353,"")</f>
        <v>#ERROR!</v>
      </c>
      <c r="N353" s="240"/>
    </row>
    <row r="354">
      <c r="A354" s="301"/>
      <c r="B354" s="227"/>
      <c r="C354" s="227"/>
      <c r="D354" s="227"/>
      <c r="E354" s="227"/>
      <c r="F354" s="227" t="str">
        <f>IFERROR(INDEX(Recettes!C:C,MATCH(E354,Recettes!B:B,0)),"")</f>
        <v>#ERROR!</v>
      </c>
      <c r="G354" s="227"/>
      <c r="H354" s="227"/>
      <c r="I354" s="281"/>
      <c r="J354" s="302"/>
      <c r="K354" s="281" t="str">
        <f>IFERROR(H354*I354*(1-J354/100),"")</f>
        <v>#ERROR!</v>
      </c>
      <c r="L354" s="281" t="str">
        <f>IFERROR(K354*(INDEX(Config!B:B,MATCH("TVA "&amp;F354,Config!A:A,0))-1),"")</f>
        <v>#ERROR!</v>
      </c>
      <c r="M354" s="281" t="str">
        <f>IFERROR(K354+L354,"")</f>
        <v>#ERROR!</v>
      </c>
      <c r="N354" s="233"/>
    </row>
    <row r="355">
      <c r="A355" s="303"/>
      <c r="B355" s="235"/>
      <c r="C355" s="235"/>
      <c r="D355" s="235"/>
      <c r="E355" s="235"/>
      <c r="F355" s="235" t="str">
        <f>IFERROR(INDEX(Recettes!C:C,MATCH(E355,Recettes!B:B,0)),"")</f>
        <v>#ERROR!</v>
      </c>
      <c r="G355" s="235"/>
      <c r="H355" s="235"/>
      <c r="I355" s="283"/>
      <c r="J355" s="304"/>
      <c r="K355" s="283" t="str">
        <f>IFERROR(H355*I355*(1-J355/100),"")</f>
        <v>#ERROR!</v>
      </c>
      <c r="L355" s="283" t="str">
        <f>IFERROR(K355*(INDEX(Config!B:B,MATCH("TVA "&amp;F355,Config!A:A,0))-1),"")</f>
        <v>#ERROR!</v>
      </c>
      <c r="M355" s="283" t="str">
        <f>IFERROR(K355+L355,"")</f>
        <v>#ERROR!</v>
      </c>
      <c r="N355" s="240"/>
    </row>
    <row r="356">
      <c r="A356" s="301"/>
      <c r="B356" s="227"/>
      <c r="C356" s="227"/>
      <c r="D356" s="227"/>
      <c r="E356" s="227"/>
      <c r="F356" s="227" t="str">
        <f>IFERROR(INDEX(Recettes!C:C,MATCH(E356,Recettes!B:B,0)),"")</f>
        <v>#ERROR!</v>
      </c>
      <c r="G356" s="227"/>
      <c r="H356" s="227"/>
      <c r="I356" s="281"/>
      <c r="J356" s="302"/>
      <c r="K356" s="281" t="str">
        <f>IFERROR(H356*I356*(1-J356/100),"")</f>
        <v>#ERROR!</v>
      </c>
      <c r="L356" s="281" t="str">
        <f>IFERROR(K356*(INDEX(Config!B:B,MATCH("TVA "&amp;F356,Config!A:A,0))-1),"")</f>
        <v>#ERROR!</v>
      </c>
      <c r="M356" s="281" t="str">
        <f>IFERROR(K356+L356,"")</f>
        <v>#ERROR!</v>
      </c>
      <c r="N356" s="233"/>
    </row>
    <row r="357">
      <c r="A357" s="303"/>
      <c r="B357" s="235"/>
      <c r="C357" s="235"/>
      <c r="D357" s="235"/>
      <c r="E357" s="235"/>
      <c r="F357" s="235" t="str">
        <f>IFERROR(INDEX(Recettes!C:C,MATCH(E357,Recettes!B:B,0)),"")</f>
        <v>#ERROR!</v>
      </c>
      <c r="G357" s="235"/>
      <c r="H357" s="235"/>
      <c r="I357" s="283"/>
      <c r="J357" s="304"/>
      <c r="K357" s="283" t="str">
        <f>IFERROR(H357*I357*(1-J357/100),"")</f>
        <v>#ERROR!</v>
      </c>
      <c r="L357" s="283" t="str">
        <f>IFERROR(K357*(INDEX(Config!B:B,MATCH("TVA "&amp;F357,Config!A:A,0))-1),"")</f>
        <v>#ERROR!</v>
      </c>
      <c r="M357" s="283" t="str">
        <f>IFERROR(K357+L357,"")</f>
        <v>#ERROR!</v>
      </c>
      <c r="N357" s="240"/>
    </row>
    <row r="358">
      <c r="A358" s="301"/>
      <c r="B358" s="227"/>
      <c r="C358" s="227"/>
      <c r="D358" s="227"/>
      <c r="E358" s="227"/>
      <c r="F358" s="227" t="str">
        <f>IFERROR(INDEX(Recettes!C:C,MATCH(E358,Recettes!B:B,0)),"")</f>
        <v>#ERROR!</v>
      </c>
      <c r="G358" s="227"/>
      <c r="H358" s="227"/>
      <c r="I358" s="281"/>
      <c r="J358" s="302"/>
      <c r="K358" s="281" t="str">
        <f>IFERROR(H358*I358*(1-J358/100),"")</f>
        <v>#ERROR!</v>
      </c>
      <c r="L358" s="281" t="str">
        <f>IFERROR(K358*(INDEX(Config!B:B,MATCH("TVA "&amp;F358,Config!A:A,0))-1),"")</f>
        <v>#ERROR!</v>
      </c>
      <c r="M358" s="281" t="str">
        <f>IFERROR(K358+L358,"")</f>
        <v>#ERROR!</v>
      </c>
      <c r="N358" s="233"/>
    </row>
    <row r="359">
      <c r="A359" s="303"/>
      <c r="B359" s="235"/>
      <c r="C359" s="235"/>
      <c r="D359" s="235"/>
      <c r="E359" s="235"/>
      <c r="F359" s="235" t="str">
        <f>IFERROR(INDEX(Recettes!C:C,MATCH(E359,Recettes!B:B,0)),"")</f>
        <v>#ERROR!</v>
      </c>
      <c r="G359" s="235"/>
      <c r="H359" s="235"/>
      <c r="I359" s="283"/>
      <c r="J359" s="304"/>
      <c r="K359" s="283" t="str">
        <f>IFERROR(H359*I359*(1-J359/100),"")</f>
        <v>#ERROR!</v>
      </c>
      <c r="L359" s="283" t="str">
        <f>IFERROR(K359*(INDEX(Config!B:B,MATCH("TVA "&amp;F359,Config!A:A,0))-1),"")</f>
        <v>#ERROR!</v>
      </c>
      <c r="M359" s="283" t="str">
        <f>IFERROR(K359+L359,"")</f>
        <v>#ERROR!</v>
      </c>
      <c r="N359" s="240"/>
    </row>
    <row r="360">
      <c r="A360" s="301"/>
      <c r="B360" s="227"/>
      <c r="C360" s="227"/>
      <c r="D360" s="227"/>
      <c r="E360" s="227"/>
      <c r="F360" s="227" t="str">
        <f>IFERROR(INDEX(Recettes!C:C,MATCH(E360,Recettes!B:B,0)),"")</f>
        <v>#ERROR!</v>
      </c>
      <c r="G360" s="227"/>
      <c r="H360" s="227"/>
      <c r="I360" s="281"/>
      <c r="J360" s="302"/>
      <c r="K360" s="281" t="str">
        <f>IFERROR(H360*I360*(1-J360/100),"")</f>
        <v>#ERROR!</v>
      </c>
      <c r="L360" s="281" t="str">
        <f>IFERROR(K360*(INDEX(Config!B:B,MATCH("TVA "&amp;F360,Config!A:A,0))-1),"")</f>
        <v>#ERROR!</v>
      </c>
      <c r="M360" s="281" t="str">
        <f>IFERROR(K360+L360,"")</f>
        <v>#ERROR!</v>
      </c>
      <c r="N360" s="233"/>
    </row>
    <row r="361">
      <c r="A361" s="303"/>
      <c r="B361" s="235"/>
      <c r="C361" s="235"/>
      <c r="D361" s="235"/>
      <c r="E361" s="235"/>
      <c r="F361" s="235" t="str">
        <f>IFERROR(INDEX(Recettes!C:C,MATCH(E361,Recettes!B:B,0)),"")</f>
        <v>#ERROR!</v>
      </c>
      <c r="G361" s="235"/>
      <c r="H361" s="235"/>
      <c r="I361" s="283"/>
      <c r="J361" s="304"/>
      <c r="K361" s="283" t="str">
        <f>IFERROR(H361*I361*(1-J361/100),"")</f>
        <v>#ERROR!</v>
      </c>
      <c r="L361" s="283" t="str">
        <f>IFERROR(K361*(INDEX(Config!B:B,MATCH("TVA "&amp;F361,Config!A:A,0))-1),"")</f>
        <v>#ERROR!</v>
      </c>
      <c r="M361" s="283" t="str">
        <f>IFERROR(K361+L361,"")</f>
        <v>#ERROR!</v>
      </c>
      <c r="N361" s="240"/>
    </row>
    <row r="362">
      <c r="A362" s="301"/>
      <c r="B362" s="227"/>
      <c r="C362" s="227"/>
      <c r="D362" s="227"/>
      <c r="E362" s="227"/>
      <c r="F362" s="227" t="str">
        <f>IFERROR(INDEX(Recettes!C:C,MATCH(E362,Recettes!B:B,0)),"")</f>
        <v>#ERROR!</v>
      </c>
      <c r="G362" s="227"/>
      <c r="H362" s="227"/>
      <c r="I362" s="281"/>
      <c r="J362" s="302"/>
      <c r="K362" s="281" t="str">
        <f>IFERROR(H362*I362*(1-J362/100),"")</f>
        <v>#ERROR!</v>
      </c>
      <c r="L362" s="281" t="str">
        <f>IFERROR(K362*(INDEX(Config!B:B,MATCH("TVA "&amp;F362,Config!A:A,0))-1),"")</f>
        <v>#ERROR!</v>
      </c>
      <c r="M362" s="281" t="str">
        <f>IFERROR(K362+L362,"")</f>
        <v>#ERROR!</v>
      </c>
      <c r="N362" s="233"/>
    </row>
    <row r="363">
      <c r="A363" s="303"/>
      <c r="B363" s="235"/>
      <c r="C363" s="235"/>
      <c r="D363" s="235"/>
      <c r="E363" s="235"/>
      <c r="F363" s="235" t="str">
        <f>IFERROR(INDEX(Recettes!C:C,MATCH(E363,Recettes!B:B,0)),"")</f>
        <v>#ERROR!</v>
      </c>
      <c r="G363" s="235"/>
      <c r="H363" s="235"/>
      <c r="I363" s="283"/>
      <c r="J363" s="304"/>
      <c r="K363" s="283" t="str">
        <f>IFERROR(H363*I363*(1-J363/100),"")</f>
        <v>#ERROR!</v>
      </c>
      <c r="L363" s="283" t="str">
        <f>IFERROR(K363*(INDEX(Config!B:B,MATCH("TVA "&amp;F363,Config!A:A,0))-1),"")</f>
        <v>#ERROR!</v>
      </c>
      <c r="M363" s="283" t="str">
        <f>IFERROR(K363+L363,"")</f>
        <v>#ERROR!</v>
      </c>
      <c r="N363" s="240"/>
    </row>
    <row r="364">
      <c r="A364" s="301"/>
      <c r="B364" s="227"/>
      <c r="C364" s="227"/>
      <c r="D364" s="227"/>
      <c r="E364" s="227"/>
      <c r="F364" s="227" t="str">
        <f>IFERROR(INDEX(Recettes!C:C,MATCH(E364,Recettes!B:B,0)),"")</f>
        <v>#ERROR!</v>
      </c>
      <c r="G364" s="227"/>
      <c r="H364" s="227"/>
      <c r="I364" s="281"/>
      <c r="J364" s="302"/>
      <c r="K364" s="281" t="str">
        <f>IFERROR(H364*I364*(1-J364/100),"")</f>
        <v>#ERROR!</v>
      </c>
      <c r="L364" s="281" t="str">
        <f>IFERROR(K364*(INDEX(Config!B:B,MATCH("TVA "&amp;F364,Config!A:A,0))-1),"")</f>
        <v>#ERROR!</v>
      </c>
      <c r="M364" s="281" t="str">
        <f>IFERROR(K364+L364,"")</f>
        <v>#ERROR!</v>
      </c>
      <c r="N364" s="233"/>
    </row>
    <row r="365">
      <c r="A365" s="303"/>
      <c r="B365" s="235"/>
      <c r="C365" s="235"/>
      <c r="D365" s="235"/>
      <c r="E365" s="235"/>
      <c r="F365" s="235" t="str">
        <f>IFERROR(INDEX(Recettes!C:C,MATCH(E365,Recettes!B:B,0)),"")</f>
        <v>#ERROR!</v>
      </c>
      <c r="G365" s="235"/>
      <c r="H365" s="235"/>
      <c r="I365" s="283"/>
      <c r="J365" s="304"/>
      <c r="K365" s="283" t="str">
        <f>IFERROR(H365*I365*(1-J365/100),"")</f>
        <v>#ERROR!</v>
      </c>
      <c r="L365" s="283" t="str">
        <f>IFERROR(K365*(INDEX(Config!B:B,MATCH("TVA "&amp;F365,Config!A:A,0))-1),"")</f>
        <v>#ERROR!</v>
      </c>
      <c r="M365" s="283" t="str">
        <f>IFERROR(K365+L365,"")</f>
        <v>#ERROR!</v>
      </c>
      <c r="N365" s="240"/>
    </row>
    <row r="366">
      <c r="A366" s="301"/>
      <c r="B366" s="227"/>
      <c r="C366" s="227"/>
      <c r="D366" s="227"/>
      <c r="E366" s="227"/>
      <c r="F366" s="227" t="str">
        <f>IFERROR(INDEX(Recettes!C:C,MATCH(E366,Recettes!B:B,0)),"")</f>
        <v>#ERROR!</v>
      </c>
      <c r="G366" s="227"/>
      <c r="H366" s="227"/>
      <c r="I366" s="281"/>
      <c r="J366" s="302"/>
      <c r="K366" s="281" t="str">
        <f>IFERROR(H366*I366*(1-J366/100),"")</f>
        <v>#ERROR!</v>
      </c>
      <c r="L366" s="281" t="str">
        <f>IFERROR(K366*(INDEX(Config!B:B,MATCH("TVA "&amp;F366,Config!A:A,0))-1),"")</f>
        <v>#ERROR!</v>
      </c>
      <c r="M366" s="281" t="str">
        <f>IFERROR(K366+L366,"")</f>
        <v>#ERROR!</v>
      </c>
      <c r="N366" s="233"/>
    </row>
    <row r="367">
      <c r="A367" s="303"/>
      <c r="B367" s="235"/>
      <c r="C367" s="235"/>
      <c r="D367" s="235"/>
      <c r="E367" s="235"/>
      <c r="F367" s="235" t="str">
        <f>IFERROR(INDEX(Recettes!C:C,MATCH(E367,Recettes!B:B,0)),"")</f>
        <v>#ERROR!</v>
      </c>
      <c r="G367" s="235"/>
      <c r="H367" s="235"/>
      <c r="I367" s="283"/>
      <c r="J367" s="304"/>
      <c r="K367" s="283" t="str">
        <f>IFERROR(H367*I367*(1-J367/100),"")</f>
        <v>#ERROR!</v>
      </c>
      <c r="L367" s="283" t="str">
        <f>IFERROR(K367*(INDEX(Config!B:B,MATCH("TVA "&amp;F367,Config!A:A,0))-1),"")</f>
        <v>#ERROR!</v>
      </c>
      <c r="M367" s="283" t="str">
        <f>IFERROR(K367+L367,"")</f>
        <v>#ERROR!</v>
      </c>
      <c r="N367" s="240"/>
    </row>
    <row r="368">
      <c r="A368" s="301"/>
      <c r="B368" s="227"/>
      <c r="C368" s="227"/>
      <c r="D368" s="227"/>
      <c r="E368" s="227"/>
      <c r="F368" s="227" t="str">
        <f>IFERROR(INDEX(Recettes!C:C,MATCH(E368,Recettes!B:B,0)),"")</f>
        <v>#ERROR!</v>
      </c>
      <c r="G368" s="227"/>
      <c r="H368" s="227"/>
      <c r="I368" s="281"/>
      <c r="J368" s="302"/>
      <c r="K368" s="281" t="str">
        <f>IFERROR(H368*I368*(1-J368/100),"")</f>
        <v>#ERROR!</v>
      </c>
      <c r="L368" s="281" t="str">
        <f>IFERROR(K368*(INDEX(Config!B:B,MATCH("TVA "&amp;F368,Config!A:A,0))-1),"")</f>
        <v>#ERROR!</v>
      </c>
      <c r="M368" s="281" t="str">
        <f>IFERROR(K368+L368,"")</f>
        <v>#ERROR!</v>
      </c>
      <c r="N368" s="233"/>
    </row>
    <row r="369">
      <c r="A369" s="303"/>
      <c r="B369" s="235"/>
      <c r="C369" s="235"/>
      <c r="D369" s="235"/>
      <c r="E369" s="235"/>
      <c r="F369" s="235" t="str">
        <f>IFERROR(INDEX(Recettes!C:C,MATCH(E369,Recettes!B:B,0)),"")</f>
        <v>#ERROR!</v>
      </c>
      <c r="G369" s="235"/>
      <c r="H369" s="235"/>
      <c r="I369" s="283"/>
      <c r="J369" s="304"/>
      <c r="K369" s="283" t="str">
        <f>IFERROR(H369*I369*(1-J369/100),"")</f>
        <v>#ERROR!</v>
      </c>
      <c r="L369" s="283" t="str">
        <f>IFERROR(K369*(INDEX(Config!B:B,MATCH("TVA "&amp;F369,Config!A:A,0))-1),"")</f>
        <v>#ERROR!</v>
      </c>
      <c r="M369" s="283" t="str">
        <f>IFERROR(K369+L369,"")</f>
        <v>#ERROR!</v>
      </c>
      <c r="N369" s="240"/>
    </row>
    <row r="370">
      <c r="A370" s="301"/>
      <c r="B370" s="227"/>
      <c r="C370" s="227"/>
      <c r="D370" s="227"/>
      <c r="E370" s="227"/>
      <c r="F370" s="227" t="str">
        <f>IFERROR(INDEX(Recettes!C:C,MATCH(E370,Recettes!B:B,0)),"")</f>
        <v>#ERROR!</v>
      </c>
      <c r="G370" s="227"/>
      <c r="H370" s="227"/>
      <c r="I370" s="281"/>
      <c r="J370" s="302"/>
      <c r="K370" s="281" t="str">
        <f>IFERROR(H370*I370*(1-J370/100),"")</f>
        <v>#ERROR!</v>
      </c>
      <c r="L370" s="281" t="str">
        <f>IFERROR(K370*(INDEX(Config!B:B,MATCH("TVA "&amp;F370,Config!A:A,0))-1),"")</f>
        <v>#ERROR!</v>
      </c>
      <c r="M370" s="281" t="str">
        <f>IFERROR(K370+L370,"")</f>
        <v>#ERROR!</v>
      </c>
      <c r="N370" s="233"/>
    </row>
    <row r="371">
      <c r="A371" s="303"/>
      <c r="B371" s="235"/>
      <c r="C371" s="235"/>
      <c r="D371" s="235"/>
      <c r="E371" s="235"/>
      <c r="F371" s="235" t="str">
        <f>IFERROR(INDEX(Recettes!C:C,MATCH(E371,Recettes!B:B,0)),"")</f>
        <v>#ERROR!</v>
      </c>
      <c r="G371" s="235"/>
      <c r="H371" s="235"/>
      <c r="I371" s="283"/>
      <c r="J371" s="304"/>
      <c r="K371" s="283" t="str">
        <f>IFERROR(H371*I371*(1-J371/100),"")</f>
        <v>#ERROR!</v>
      </c>
      <c r="L371" s="283" t="str">
        <f>IFERROR(K371*(INDEX(Config!B:B,MATCH("TVA "&amp;F371,Config!A:A,0))-1),"")</f>
        <v>#ERROR!</v>
      </c>
      <c r="M371" s="283" t="str">
        <f>IFERROR(K371+L371,"")</f>
        <v>#ERROR!</v>
      </c>
      <c r="N371" s="240"/>
    </row>
    <row r="372">
      <c r="A372" s="301"/>
      <c r="B372" s="227"/>
      <c r="C372" s="227"/>
      <c r="D372" s="227"/>
      <c r="E372" s="227"/>
      <c r="F372" s="227" t="str">
        <f>IFERROR(INDEX(Recettes!C:C,MATCH(E372,Recettes!B:B,0)),"")</f>
        <v>#ERROR!</v>
      </c>
      <c r="G372" s="227"/>
      <c r="H372" s="227"/>
      <c r="I372" s="281"/>
      <c r="J372" s="302"/>
      <c r="K372" s="281" t="str">
        <f>IFERROR(H372*I372*(1-J372/100),"")</f>
        <v>#ERROR!</v>
      </c>
      <c r="L372" s="281" t="str">
        <f>IFERROR(K372*(INDEX(Config!B:B,MATCH("TVA "&amp;F372,Config!A:A,0))-1),"")</f>
        <v>#ERROR!</v>
      </c>
      <c r="M372" s="281" t="str">
        <f>IFERROR(K372+L372,"")</f>
        <v>#ERROR!</v>
      </c>
      <c r="N372" s="233"/>
    </row>
    <row r="373">
      <c r="A373" s="303"/>
      <c r="B373" s="235"/>
      <c r="C373" s="235"/>
      <c r="D373" s="235"/>
      <c r="E373" s="235"/>
      <c r="F373" s="235" t="str">
        <f>IFERROR(INDEX(Recettes!C:C,MATCH(E373,Recettes!B:B,0)),"")</f>
        <v>#ERROR!</v>
      </c>
      <c r="G373" s="235"/>
      <c r="H373" s="235"/>
      <c r="I373" s="283"/>
      <c r="J373" s="304"/>
      <c r="K373" s="283" t="str">
        <f>IFERROR(H373*I373*(1-J373/100),"")</f>
        <v>#ERROR!</v>
      </c>
      <c r="L373" s="283" t="str">
        <f>IFERROR(K373*(INDEX(Config!B:B,MATCH("TVA "&amp;F373,Config!A:A,0))-1),"")</f>
        <v>#ERROR!</v>
      </c>
      <c r="M373" s="283" t="str">
        <f>IFERROR(K373+L373,"")</f>
        <v>#ERROR!</v>
      </c>
      <c r="N373" s="240"/>
    </row>
    <row r="374">
      <c r="A374" s="301"/>
      <c r="B374" s="227"/>
      <c r="C374" s="227"/>
      <c r="D374" s="227"/>
      <c r="E374" s="227"/>
      <c r="F374" s="227" t="str">
        <f>IFERROR(INDEX(Recettes!C:C,MATCH(E374,Recettes!B:B,0)),"")</f>
        <v>#ERROR!</v>
      </c>
      <c r="G374" s="227"/>
      <c r="H374" s="227"/>
      <c r="I374" s="281"/>
      <c r="J374" s="302"/>
      <c r="K374" s="281" t="str">
        <f>IFERROR(H374*I374*(1-J374/100),"")</f>
        <v>#ERROR!</v>
      </c>
      <c r="L374" s="281" t="str">
        <f>IFERROR(K374*(INDEX(Config!B:B,MATCH("TVA "&amp;F374,Config!A:A,0))-1),"")</f>
        <v>#ERROR!</v>
      </c>
      <c r="M374" s="281" t="str">
        <f>IFERROR(K374+L374,"")</f>
        <v>#ERROR!</v>
      </c>
      <c r="N374" s="233"/>
    </row>
    <row r="375">
      <c r="A375" s="303"/>
      <c r="B375" s="235"/>
      <c r="C375" s="235"/>
      <c r="D375" s="235"/>
      <c r="E375" s="235"/>
      <c r="F375" s="235" t="str">
        <f>IFERROR(INDEX(Recettes!C:C,MATCH(E375,Recettes!B:B,0)),"")</f>
        <v>#ERROR!</v>
      </c>
      <c r="G375" s="235"/>
      <c r="H375" s="235"/>
      <c r="I375" s="283"/>
      <c r="J375" s="304"/>
      <c r="K375" s="283" t="str">
        <f>IFERROR(H375*I375*(1-J375/100),"")</f>
        <v>#ERROR!</v>
      </c>
      <c r="L375" s="283" t="str">
        <f>IFERROR(K375*(INDEX(Config!B:B,MATCH("TVA "&amp;F375,Config!A:A,0))-1),"")</f>
        <v>#ERROR!</v>
      </c>
      <c r="M375" s="283" t="str">
        <f>IFERROR(K375+L375,"")</f>
        <v>#ERROR!</v>
      </c>
      <c r="N375" s="240"/>
    </row>
    <row r="376">
      <c r="A376" s="301"/>
      <c r="B376" s="227"/>
      <c r="C376" s="227"/>
      <c r="D376" s="227"/>
      <c r="E376" s="227"/>
      <c r="F376" s="227" t="str">
        <f>IFERROR(INDEX(Recettes!C:C,MATCH(E376,Recettes!B:B,0)),"")</f>
        <v>#ERROR!</v>
      </c>
      <c r="G376" s="227"/>
      <c r="H376" s="227"/>
      <c r="I376" s="281"/>
      <c r="J376" s="302"/>
      <c r="K376" s="281" t="str">
        <f>IFERROR(H376*I376*(1-J376/100),"")</f>
        <v>#ERROR!</v>
      </c>
      <c r="L376" s="281" t="str">
        <f>IFERROR(K376*(INDEX(Config!B:B,MATCH("TVA "&amp;F376,Config!A:A,0))-1),"")</f>
        <v>#ERROR!</v>
      </c>
      <c r="M376" s="281" t="str">
        <f>IFERROR(K376+L376,"")</f>
        <v>#ERROR!</v>
      </c>
      <c r="N376" s="233"/>
    </row>
    <row r="377">
      <c r="A377" s="303"/>
      <c r="B377" s="235"/>
      <c r="C377" s="235"/>
      <c r="D377" s="235"/>
      <c r="E377" s="235"/>
      <c r="F377" s="235" t="str">
        <f>IFERROR(INDEX(Recettes!C:C,MATCH(E377,Recettes!B:B,0)),"")</f>
        <v>#ERROR!</v>
      </c>
      <c r="G377" s="235"/>
      <c r="H377" s="235"/>
      <c r="I377" s="283"/>
      <c r="J377" s="304"/>
      <c r="K377" s="283" t="str">
        <f>IFERROR(H377*I377*(1-J377/100),"")</f>
        <v>#ERROR!</v>
      </c>
      <c r="L377" s="283" t="str">
        <f>IFERROR(K377*(INDEX(Config!B:B,MATCH("TVA "&amp;F377,Config!A:A,0))-1),"")</f>
        <v>#ERROR!</v>
      </c>
      <c r="M377" s="283" t="str">
        <f>IFERROR(K377+L377,"")</f>
        <v>#ERROR!</v>
      </c>
      <c r="N377" s="240"/>
    </row>
    <row r="378">
      <c r="A378" s="301"/>
      <c r="B378" s="227"/>
      <c r="C378" s="227"/>
      <c r="D378" s="227"/>
      <c r="E378" s="227"/>
      <c r="F378" s="227" t="str">
        <f>IFERROR(INDEX(Recettes!C:C,MATCH(E378,Recettes!B:B,0)),"")</f>
        <v>#ERROR!</v>
      </c>
      <c r="G378" s="227"/>
      <c r="H378" s="227"/>
      <c r="I378" s="281"/>
      <c r="J378" s="302"/>
      <c r="K378" s="281" t="str">
        <f>IFERROR(H378*I378*(1-J378/100),"")</f>
        <v>#ERROR!</v>
      </c>
      <c r="L378" s="281" t="str">
        <f>IFERROR(K378*(INDEX(Config!B:B,MATCH("TVA "&amp;F378,Config!A:A,0))-1),"")</f>
        <v>#ERROR!</v>
      </c>
      <c r="M378" s="281" t="str">
        <f>IFERROR(K378+L378,"")</f>
        <v>#ERROR!</v>
      </c>
      <c r="N378" s="233"/>
    </row>
    <row r="379">
      <c r="A379" s="303"/>
      <c r="B379" s="235"/>
      <c r="C379" s="235"/>
      <c r="D379" s="235"/>
      <c r="E379" s="235"/>
      <c r="F379" s="235" t="str">
        <f>IFERROR(INDEX(Recettes!C:C,MATCH(E379,Recettes!B:B,0)),"")</f>
        <v>#ERROR!</v>
      </c>
      <c r="G379" s="235"/>
      <c r="H379" s="235"/>
      <c r="I379" s="283"/>
      <c r="J379" s="304"/>
      <c r="K379" s="283" t="str">
        <f>IFERROR(H379*I379*(1-J379/100),"")</f>
        <v>#ERROR!</v>
      </c>
      <c r="L379" s="283" t="str">
        <f>IFERROR(K379*(INDEX(Config!B:B,MATCH("TVA "&amp;F379,Config!A:A,0))-1),"")</f>
        <v>#ERROR!</v>
      </c>
      <c r="M379" s="283" t="str">
        <f>IFERROR(K379+L379,"")</f>
        <v>#ERROR!</v>
      </c>
      <c r="N379" s="240"/>
    </row>
    <row r="380">
      <c r="A380" s="301"/>
      <c r="B380" s="227"/>
      <c r="C380" s="227"/>
      <c r="D380" s="227"/>
      <c r="E380" s="227"/>
      <c r="F380" s="227" t="str">
        <f>IFERROR(INDEX(Recettes!C:C,MATCH(E380,Recettes!B:B,0)),"")</f>
        <v>#ERROR!</v>
      </c>
      <c r="G380" s="227"/>
      <c r="H380" s="227"/>
      <c r="I380" s="281"/>
      <c r="J380" s="302"/>
      <c r="K380" s="281" t="str">
        <f>IFERROR(H380*I380*(1-J380/100),"")</f>
        <v>#ERROR!</v>
      </c>
      <c r="L380" s="281" t="str">
        <f>IFERROR(K380*(INDEX(Config!B:B,MATCH("TVA "&amp;F380,Config!A:A,0))-1),"")</f>
        <v>#ERROR!</v>
      </c>
      <c r="M380" s="281" t="str">
        <f>IFERROR(K380+L380,"")</f>
        <v>#ERROR!</v>
      </c>
      <c r="N380" s="233"/>
    </row>
    <row r="381">
      <c r="A381" s="303"/>
      <c r="B381" s="235"/>
      <c r="C381" s="235"/>
      <c r="D381" s="235"/>
      <c r="E381" s="235"/>
      <c r="F381" s="235" t="str">
        <f>IFERROR(INDEX(Recettes!C:C,MATCH(E381,Recettes!B:B,0)),"")</f>
        <v>#ERROR!</v>
      </c>
      <c r="G381" s="235"/>
      <c r="H381" s="235"/>
      <c r="I381" s="283"/>
      <c r="J381" s="304"/>
      <c r="K381" s="283" t="str">
        <f>IFERROR(H381*I381*(1-J381/100),"")</f>
        <v>#ERROR!</v>
      </c>
      <c r="L381" s="283" t="str">
        <f>IFERROR(K381*(INDEX(Config!B:B,MATCH("TVA "&amp;F381,Config!A:A,0))-1),"")</f>
        <v>#ERROR!</v>
      </c>
      <c r="M381" s="283" t="str">
        <f>IFERROR(K381+L381,"")</f>
        <v>#ERROR!</v>
      </c>
      <c r="N381" s="240"/>
    </row>
    <row r="382">
      <c r="A382" s="301"/>
      <c r="B382" s="227"/>
      <c r="C382" s="227"/>
      <c r="D382" s="227"/>
      <c r="E382" s="227"/>
      <c r="F382" s="227" t="str">
        <f>IFERROR(INDEX(Recettes!C:C,MATCH(E382,Recettes!B:B,0)),"")</f>
        <v>#ERROR!</v>
      </c>
      <c r="G382" s="227"/>
      <c r="H382" s="227"/>
      <c r="I382" s="281"/>
      <c r="J382" s="302"/>
      <c r="K382" s="281" t="str">
        <f>IFERROR(H382*I382*(1-J382/100),"")</f>
        <v>#ERROR!</v>
      </c>
      <c r="L382" s="281" t="str">
        <f>IFERROR(K382*(INDEX(Config!B:B,MATCH("TVA "&amp;F382,Config!A:A,0))-1),"")</f>
        <v>#ERROR!</v>
      </c>
      <c r="M382" s="281" t="str">
        <f>IFERROR(K382+L382,"")</f>
        <v>#ERROR!</v>
      </c>
      <c r="N382" s="233"/>
    </row>
    <row r="383">
      <c r="A383" s="303"/>
      <c r="B383" s="235"/>
      <c r="C383" s="235"/>
      <c r="D383" s="235"/>
      <c r="E383" s="235"/>
      <c r="F383" s="235" t="str">
        <f>IFERROR(INDEX(Recettes!C:C,MATCH(E383,Recettes!B:B,0)),"")</f>
        <v>#ERROR!</v>
      </c>
      <c r="G383" s="235"/>
      <c r="H383" s="235"/>
      <c r="I383" s="283"/>
      <c r="J383" s="304"/>
      <c r="K383" s="283" t="str">
        <f>IFERROR(H383*I383*(1-J383/100),"")</f>
        <v>#ERROR!</v>
      </c>
      <c r="L383" s="283" t="str">
        <f>IFERROR(K383*(INDEX(Config!B:B,MATCH("TVA "&amp;F383,Config!A:A,0))-1),"")</f>
        <v>#ERROR!</v>
      </c>
      <c r="M383" s="283" t="str">
        <f>IFERROR(K383+L383,"")</f>
        <v>#ERROR!</v>
      </c>
      <c r="N383" s="240"/>
    </row>
    <row r="384">
      <c r="A384" s="301"/>
      <c r="B384" s="227"/>
      <c r="C384" s="227"/>
      <c r="D384" s="227"/>
      <c r="E384" s="227"/>
      <c r="F384" s="227" t="str">
        <f>IFERROR(INDEX(Recettes!C:C,MATCH(E384,Recettes!B:B,0)),"")</f>
        <v>#ERROR!</v>
      </c>
      <c r="G384" s="227"/>
      <c r="H384" s="227"/>
      <c r="I384" s="281"/>
      <c r="J384" s="302"/>
      <c r="K384" s="281" t="str">
        <f>IFERROR(H384*I384*(1-J384/100),"")</f>
        <v>#ERROR!</v>
      </c>
      <c r="L384" s="281" t="str">
        <f>IFERROR(K384*(INDEX(Config!B:B,MATCH("TVA "&amp;F384,Config!A:A,0))-1),"")</f>
        <v>#ERROR!</v>
      </c>
      <c r="M384" s="281" t="str">
        <f>IFERROR(K384+L384,"")</f>
        <v>#ERROR!</v>
      </c>
      <c r="N384" s="233"/>
    </row>
    <row r="385">
      <c r="A385" s="303"/>
      <c r="B385" s="235"/>
      <c r="C385" s="235"/>
      <c r="D385" s="235"/>
      <c r="E385" s="235"/>
      <c r="F385" s="235" t="str">
        <f>IFERROR(INDEX(Recettes!C:C,MATCH(E385,Recettes!B:B,0)),"")</f>
        <v>#ERROR!</v>
      </c>
      <c r="G385" s="235"/>
      <c r="H385" s="235"/>
      <c r="I385" s="283"/>
      <c r="J385" s="304"/>
      <c r="K385" s="283" t="str">
        <f>IFERROR(H385*I385*(1-J385/100),"")</f>
        <v>#ERROR!</v>
      </c>
      <c r="L385" s="283" t="str">
        <f>IFERROR(K385*(INDEX(Config!B:B,MATCH("TVA "&amp;F385,Config!A:A,0))-1),"")</f>
        <v>#ERROR!</v>
      </c>
      <c r="M385" s="283" t="str">
        <f>IFERROR(K385+L385,"")</f>
        <v>#ERROR!</v>
      </c>
      <c r="N385" s="240"/>
    </row>
    <row r="386">
      <c r="A386" s="301"/>
      <c r="B386" s="227"/>
      <c r="C386" s="227"/>
      <c r="D386" s="227"/>
      <c r="E386" s="227"/>
      <c r="F386" s="227" t="str">
        <f>IFERROR(INDEX(Recettes!C:C,MATCH(E386,Recettes!B:B,0)),"")</f>
        <v>#ERROR!</v>
      </c>
      <c r="G386" s="227"/>
      <c r="H386" s="227"/>
      <c r="I386" s="281"/>
      <c r="J386" s="302"/>
      <c r="K386" s="281" t="str">
        <f>IFERROR(H386*I386*(1-J386/100),"")</f>
        <v>#ERROR!</v>
      </c>
      <c r="L386" s="281" t="str">
        <f>IFERROR(K386*(INDEX(Config!B:B,MATCH("TVA "&amp;F386,Config!A:A,0))-1),"")</f>
        <v>#ERROR!</v>
      </c>
      <c r="M386" s="281" t="str">
        <f>IFERROR(K386+L386,"")</f>
        <v>#ERROR!</v>
      </c>
      <c r="N386" s="233"/>
    </row>
    <row r="387">
      <c r="A387" s="303"/>
      <c r="B387" s="235"/>
      <c r="C387" s="235"/>
      <c r="D387" s="235"/>
      <c r="E387" s="235"/>
      <c r="F387" s="235" t="str">
        <f>IFERROR(INDEX(Recettes!C:C,MATCH(E387,Recettes!B:B,0)),"")</f>
        <v>#ERROR!</v>
      </c>
      <c r="G387" s="235"/>
      <c r="H387" s="235"/>
      <c r="I387" s="283"/>
      <c r="J387" s="304"/>
      <c r="K387" s="283" t="str">
        <f>IFERROR(H387*I387*(1-J387/100),"")</f>
        <v>#ERROR!</v>
      </c>
      <c r="L387" s="283" t="str">
        <f>IFERROR(K387*(INDEX(Config!B:B,MATCH("TVA "&amp;F387,Config!A:A,0))-1),"")</f>
        <v>#ERROR!</v>
      </c>
      <c r="M387" s="283" t="str">
        <f>IFERROR(K387+L387,"")</f>
        <v>#ERROR!</v>
      </c>
      <c r="N387" s="240"/>
    </row>
    <row r="388">
      <c r="A388" s="301"/>
      <c r="B388" s="227"/>
      <c r="C388" s="227"/>
      <c r="D388" s="227"/>
      <c r="E388" s="227"/>
      <c r="F388" s="227" t="str">
        <f>IFERROR(INDEX(Recettes!C:C,MATCH(E388,Recettes!B:B,0)),"")</f>
        <v>#ERROR!</v>
      </c>
      <c r="G388" s="227"/>
      <c r="H388" s="227"/>
      <c r="I388" s="281"/>
      <c r="J388" s="302"/>
      <c r="K388" s="281" t="str">
        <f>IFERROR(H388*I388*(1-J388/100),"")</f>
        <v>#ERROR!</v>
      </c>
      <c r="L388" s="281" t="str">
        <f>IFERROR(K388*(INDEX(Config!B:B,MATCH("TVA "&amp;F388,Config!A:A,0))-1),"")</f>
        <v>#ERROR!</v>
      </c>
      <c r="M388" s="281" t="str">
        <f>IFERROR(K388+L388,"")</f>
        <v>#ERROR!</v>
      </c>
      <c r="N388" s="233"/>
    </row>
    <row r="389">
      <c r="A389" s="303"/>
      <c r="B389" s="235"/>
      <c r="C389" s="235"/>
      <c r="D389" s="235"/>
      <c r="E389" s="235"/>
      <c r="F389" s="235" t="str">
        <f>IFERROR(INDEX(Recettes!C:C,MATCH(E389,Recettes!B:B,0)),"")</f>
        <v>#ERROR!</v>
      </c>
      <c r="G389" s="235"/>
      <c r="H389" s="235"/>
      <c r="I389" s="283"/>
      <c r="J389" s="304"/>
      <c r="K389" s="283" t="str">
        <f>IFERROR(H389*I389*(1-J389/100),"")</f>
        <v>#ERROR!</v>
      </c>
      <c r="L389" s="283" t="str">
        <f>IFERROR(K389*(INDEX(Config!B:B,MATCH("TVA "&amp;F389,Config!A:A,0))-1),"")</f>
        <v>#ERROR!</v>
      </c>
      <c r="M389" s="283" t="str">
        <f>IFERROR(K389+L389,"")</f>
        <v>#ERROR!</v>
      </c>
      <c r="N389" s="240"/>
    </row>
    <row r="390">
      <c r="A390" s="301"/>
      <c r="B390" s="227"/>
      <c r="C390" s="227"/>
      <c r="D390" s="227"/>
      <c r="E390" s="227"/>
      <c r="F390" s="227" t="str">
        <f>IFERROR(INDEX(Recettes!C:C,MATCH(E390,Recettes!B:B,0)),"")</f>
        <v>#ERROR!</v>
      </c>
      <c r="G390" s="227"/>
      <c r="H390" s="227"/>
      <c r="I390" s="281"/>
      <c r="J390" s="302"/>
      <c r="K390" s="281" t="str">
        <f>IFERROR(H390*I390*(1-J390/100),"")</f>
        <v>#ERROR!</v>
      </c>
      <c r="L390" s="281" t="str">
        <f>IFERROR(K390*(INDEX(Config!B:B,MATCH("TVA "&amp;F390,Config!A:A,0))-1),"")</f>
        <v>#ERROR!</v>
      </c>
      <c r="M390" s="281" t="str">
        <f>IFERROR(K390+L390,"")</f>
        <v>#ERROR!</v>
      </c>
      <c r="N390" s="233"/>
    </row>
    <row r="391">
      <c r="A391" s="303"/>
      <c r="B391" s="235"/>
      <c r="C391" s="235"/>
      <c r="D391" s="235"/>
      <c r="E391" s="235"/>
      <c r="F391" s="235" t="str">
        <f>IFERROR(INDEX(Recettes!C:C,MATCH(E391,Recettes!B:B,0)),"")</f>
        <v>#ERROR!</v>
      </c>
      <c r="G391" s="235"/>
      <c r="H391" s="235"/>
      <c r="I391" s="283"/>
      <c r="J391" s="304"/>
      <c r="K391" s="283" t="str">
        <f>IFERROR(H391*I391*(1-J391/100),"")</f>
        <v>#ERROR!</v>
      </c>
      <c r="L391" s="283" t="str">
        <f>IFERROR(K391*(INDEX(Config!B:B,MATCH("TVA "&amp;F391,Config!A:A,0))-1),"")</f>
        <v>#ERROR!</v>
      </c>
      <c r="M391" s="283" t="str">
        <f>IFERROR(K391+L391,"")</f>
        <v>#ERROR!</v>
      </c>
      <c r="N391" s="240"/>
    </row>
    <row r="392">
      <c r="A392" s="301"/>
      <c r="B392" s="227"/>
      <c r="C392" s="227"/>
      <c r="D392" s="227"/>
      <c r="E392" s="227"/>
      <c r="F392" s="227" t="str">
        <f>IFERROR(INDEX(Recettes!C:C,MATCH(E392,Recettes!B:B,0)),"")</f>
        <v>#ERROR!</v>
      </c>
      <c r="G392" s="227"/>
      <c r="H392" s="227"/>
      <c r="I392" s="281"/>
      <c r="J392" s="302"/>
      <c r="K392" s="281" t="str">
        <f>IFERROR(H392*I392*(1-J392/100),"")</f>
        <v>#ERROR!</v>
      </c>
      <c r="L392" s="281" t="str">
        <f>IFERROR(K392*(INDEX(Config!B:B,MATCH("TVA "&amp;F392,Config!A:A,0))-1),"")</f>
        <v>#ERROR!</v>
      </c>
      <c r="M392" s="281" t="str">
        <f>IFERROR(K392+L392,"")</f>
        <v>#ERROR!</v>
      </c>
      <c r="N392" s="233"/>
    </row>
    <row r="393">
      <c r="A393" s="303"/>
      <c r="B393" s="235"/>
      <c r="C393" s="235"/>
      <c r="D393" s="235"/>
      <c r="E393" s="235"/>
      <c r="F393" s="235" t="str">
        <f>IFERROR(INDEX(Recettes!C:C,MATCH(E393,Recettes!B:B,0)),"")</f>
        <v>#ERROR!</v>
      </c>
      <c r="G393" s="235"/>
      <c r="H393" s="235"/>
      <c r="I393" s="283"/>
      <c r="J393" s="304"/>
      <c r="K393" s="283" t="str">
        <f>IFERROR(H393*I393*(1-J393/100),"")</f>
        <v>#ERROR!</v>
      </c>
      <c r="L393" s="283" t="str">
        <f>IFERROR(K393*(INDEX(Config!B:B,MATCH("TVA "&amp;F393,Config!A:A,0))-1),"")</f>
        <v>#ERROR!</v>
      </c>
      <c r="M393" s="283" t="str">
        <f>IFERROR(K393+L393,"")</f>
        <v>#ERROR!</v>
      </c>
      <c r="N393" s="240"/>
    </row>
    <row r="394">
      <c r="A394" s="301"/>
      <c r="B394" s="227"/>
      <c r="C394" s="227"/>
      <c r="D394" s="227"/>
      <c r="E394" s="227"/>
      <c r="F394" s="227" t="str">
        <f>IFERROR(INDEX(Recettes!C:C,MATCH(E394,Recettes!B:B,0)),"")</f>
        <v>#ERROR!</v>
      </c>
      <c r="G394" s="227"/>
      <c r="H394" s="227"/>
      <c r="I394" s="281"/>
      <c r="J394" s="302"/>
      <c r="K394" s="281" t="str">
        <f>IFERROR(H394*I394*(1-J394/100),"")</f>
        <v>#ERROR!</v>
      </c>
      <c r="L394" s="281" t="str">
        <f>IFERROR(K394*(INDEX(Config!B:B,MATCH("TVA "&amp;F394,Config!A:A,0))-1),"")</f>
        <v>#ERROR!</v>
      </c>
      <c r="M394" s="281" t="str">
        <f>IFERROR(K394+L394,"")</f>
        <v>#ERROR!</v>
      </c>
      <c r="N394" s="233"/>
    </row>
    <row r="395">
      <c r="A395" s="303"/>
      <c r="B395" s="235"/>
      <c r="C395" s="235"/>
      <c r="D395" s="235"/>
      <c r="E395" s="235"/>
      <c r="F395" s="235" t="str">
        <f>IFERROR(INDEX(Recettes!C:C,MATCH(E395,Recettes!B:B,0)),"")</f>
        <v>#ERROR!</v>
      </c>
      <c r="G395" s="235"/>
      <c r="H395" s="235"/>
      <c r="I395" s="283"/>
      <c r="J395" s="304"/>
      <c r="K395" s="283" t="str">
        <f>IFERROR(H395*I395*(1-J395/100),"")</f>
        <v>#ERROR!</v>
      </c>
      <c r="L395" s="283" t="str">
        <f>IFERROR(K395*(INDEX(Config!B:B,MATCH("TVA "&amp;F395,Config!A:A,0))-1),"")</f>
        <v>#ERROR!</v>
      </c>
      <c r="M395" s="283" t="str">
        <f>IFERROR(K395+L395,"")</f>
        <v>#ERROR!</v>
      </c>
      <c r="N395" s="240"/>
    </row>
    <row r="396">
      <c r="A396" s="301"/>
      <c r="B396" s="227"/>
      <c r="C396" s="227"/>
      <c r="D396" s="227"/>
      <c r="E396" s="227"/>
      <c r="F396" s="227" t="str">
        <f>IFERROR(INDEX(Recettes!C:C,MATCH(E396,Recettes!B:B,0)),"")</f>
        <v>#ERROR!</v>
      </c>
      <c r="G396" s="227"/>
      <c r="H396" s="227"/>
      <c r="I396" s="281"/>
      <c r="J396" s="302"/>
      <c r="K396" s="281" t="str">
        <f>IFERROR(H396*I396*(1-J396/100),"")</f>
        <v>#ERROR!</v>
      </c>
      <c r="L396" s="281" t="str">
        <f>IFERROR(K396*(INDEX(Config!B:B,MATCH("TVA "&amp;F396,Config!A:A,0))-1),"")</f>
        <v>#ERROR!</v>
      </c>
      <c r="M396" s="281" t="str">
        <f>IFERROR(K396+L396,"")</f>
        <v>#ERROR!</v>
      </c>
      <c r="N396" s="233"/>
    </row>
    <row r="397">
      <c r="A397" s="303"/>
      <c r="B397" s="235"/>
      <c r="C397" s="235"/>
      <c r="D397" s="235"/>
      <c r="E397" s="235"/>
      <c r="F397" s="235" t="str">
        <f>IFERROR(INDEX(Recettes!C:C,MATCH(E397,Recettes!B:B,0)),"")</f>
        <v>#ERROR!</v>
      </c>
      <c r="G397" s="235"/>
      <c r="H397" s="235"/>
      <c r="I397" s="283"/>
      <c r="J397" s="304"/>
      <c r="K397" s="283" t="str">
        <f>IFERROR(H397*I397*(1-J397/100),"")</f>
        <v>#ERROR!</v>
      </c>
      <c r="L397" s="283" t="str">
        <f>IFERROR(K397*(INDEX(Config!B:B,MATCH("TVA "&amp;F397,Config!A:A,0))-1),"")</f>
        <v>#ERROR!</v>
      </c>
      <c r="M397" s="283" t="str">
        <f>IFERROR(K397+L397,"")</f>
        <v>#ERROR!</v>
      </c>
      <c r="N397" s="240"/>
    </row>
    <row r="398">
      <c r="A398" s="301"/>
      <c r="B398" s="227"/>
      <c r="C398" s="227"/>
      <c r="D398" s="227"/>
      <c r="E398" s="227"/>
      <c r="F398" s="227" t="str">
        <f>IFERROR(INDEX(Recettes!C:C,MATCH(E398,Recettes!B:B,0)),"")</f>
        <v>#ERROR!</v>
      </c>
      <c r="G398" s="227"/>
      <c r="H398" s="227"/>
      <c r="I398" s="281"/>
      <c r="J398" s="302"/>
      <c r="K398" s="281" t="str">
        <f>IFERROR(H398*I398*(1-J398/100),"")</f>
        <v>#ERROR!</v>
      </c>
      <c r="L398" s="281" t="str">
        <f>IFERROR(K398*(INDEX(Config!B:B,MATCH("TVA "&amp;F398,Config!A:A,0))-1),"")</f>
        <v>#ERROR!</v>
      </c>
      <c r="M398" s="281" t="str">
        <f>IFERROR(K398+L398,"")</f>
        <v>#ERROR!</v>
      </c>
      <c r="N398" s="233"/>
    </row>
    <row r="399">
      <c r="A399" s="303"/>
      <c r="B399" s="235"/>
      <c r="C399" s="235"/>
      <c r="D399" s="235"/>
      <c r="E399" s="235"/>
      <c r="F399" s="235" t="str">
        <f>IFERROR(INDEX(Recettes!C:C,MATCH(E399,Recettes!B:B,0)),"")</f>
        <v>#ERROR!</v>
      </c>
      <c r="G399" s="235"/>
      <c r="H399" s="235"/>
      <c r="I399" s="283"/>
      <c r="J399" s="304"/>
      <c r="K399" s="283" t="str">
        <f>IFERROR(H399*I399*(1-J399/100),"")</f>
        <v>#ERROR!</v>
      </c>
      <c r="L399" s="283" t="str">
        <f>IFERROR(K399*(INDEX(Config!B:B,MATCH("TVA "&amp;F399,Config!A:A,0))-1),"")</f>
        <v>#ERROR!</v>
      </c>
      <c r="M399" s="283" t="str">
        <f>IFERROR(K399+L399,"")</f>
        <v>#ERROR!</v>
      </c>
      <c r="N399" s="240"/>
    </row>
    <row r="400">
      <c r="A400" s="301"/>
      <c r="B400" s="227"/>
      <c r="C400" s="227"/>
      <c r="D400" s="227"/>
      <c r="E400" s="227"/>
      <c r="F400" s="227" t="str">
        <f>IFERROR(INDEX(Recettes!C:C,MATCH(E400,Recettes!B:B,0)),"")</f>
        <v>#ERROR!</v>
      </c>
      <c r="G400" s="227"/>
      <c r="H400" s="227"/>
      <c r="I400" s="281"/>
      <c r="J400" s="302"/>
      <c r="K400" s="281" t="str">
        <f>IFERROR(H400*I400*(1-J400/100),"")</f>
        <v>#ERROR!</v>
      </c>
      <c r="L400" s="281" t="str">
        <f>IFERROR(K400*(INDEX(Config!B:B,MATCH("TVA "&amp;F400,Config!A:A,0))-1),"")</f>
        <v>#ERROR!</v>
      </c>
      <c r="M400" s="281" t="str">
        <f>IFERROR(K400+L400,"")</f>
        <v>#ERROR!</v>
      </c>
      <c r="N400" s="233"/>
    </row>
    <row r="401">
      <c r="A401" s="303"/>
      <c r="B401" s="235"/>
      <c r="C401" s="235"/>
      <c r="D401" s="235"/>
      <c r="E401" s="235"/>
      <c r="F401" s="235" t="str">
        <f>IFERROR(INDEX(Recettes!C:C,MATCH(E401,Recettes!B:B,0)),"")</f>
        <v>#ERROR!</v>
      </c>
      <c r="G401" s="235"/>
      <c r="H401" s="235"/>
      <c r="I401" s="283"/>
      <c r="J401" s="304"/>
      <c r="K401" s="283" t="str">
        <f>IFERROR(H401*I401*(1-J401/100),"")</f>
        <v>#ERROR!</v>
      </c>
      <c r="L401" s="283" t="str">
        <f>IFERROR(K401*(INDEX(Config!B:B,MATCH("TVA "&amp;F401,Config!A:A,0))-1),"")</f>
        <v>#ERROR!</v>
      </c>
      <c r="M401" s="283" t="str">
        <f>IFERROR(K401+L401,"")</f>
        <v>#ERROR!</v>
      </c>
      <c r="N401" s="240"/>
    </row>
    <row r="402">
      <c r="A402" s="301"/>
      <c r="B402" s="227"/>
      <c r="C402" s="227"/>
      <c r="D402" s="227"/>
      <c r="E402" s="227"/>
      <c r="F402" s="227" t="str">
        <f>IFERROR(INDEX(Recettes!C:C,MATCH(E402,Recettes!B:B,0)),"")</f>
        <v>#ERROR!</v>
      </c>
      <c r="G402" s="227"/>
      <c r="H402" s="227"/>
      <c r="I402" s="281"/>
      <c r="J402" s="302"/>
      <c r="K402" s="281" t="str">
        <f>IFERROR(H402*I402*(1-J402/100),"")</f>
        <v>#ERROR!</v>
      </c>
      <c r="L402" s="281" t="str">
        <f>IFERROR(K402*(INDEX(Config!B:B,MATCH("TVA "&amp;F402,Config!A:A,0))-1),"")</f>
        <v>#ERROR!</v>
      </c>
      <c r="M402" s="281" t="str">
        <f>IFERROR(K402+L402,"")</f>
        <v>#ERROR!</v>
      </c>
      <c r="N402" s="233"/>
    </row>
    <row r="403">
      <c r="A403" s="303"/>
      <c r="B403" s="235"/>
      <c r="C403" s="235"/>
      <c r="D403" s="235"/>
      <c r="E403" s="235"/>
      <c r="F403" s="235" t="str">
        <f>IFERROR(INDEX(Recettes!C:C,MATCH(E403,Recettes!B:B,0)),"")</f>
        <v>#ERROR!</v>
      </c>
      <c r="G403" s="235"/>
      <c r="H403" s="235"/>
      <c r="I403" s="283"/>
      <c r="J403" s="304"/>
      <c r="K403" s="283" t="str">
        <f>IFERROR(H403*I403*(1-J403/100),"")</f>
        <v>#ERROR!</v>
      </c>
      <c r="L403" s="283" t="str">
        <f>IFERROR(K403*(INDEX(Config!B:B,MATCH("TVA "&amp;F403,Config!A:A,0))-1),"")</f>
        <v>#ERROR!</v>
      </c>
      <c r="M403" s="283" t="str">
        <f>IFERROR(K403+L403,"")</f>
        <v>#ERROR!</v>
      </c>
      <c r="N403" s="240"/>
    </row>
    <row r="404">
      <c r="A404" s="301"/>
      <c r="B404" s="227"/>
      <c r="C404" s="227"/>
      <c r="D404" s="227"/>
      <c r="E404" s="227"/>
      <c r="F404" s="227" t="str">
        <f>IFERROR(INDEX(Recettes!C:C,MATCH(E404,Recettes!B:B,0)),"")</f>
        <v>#ERROR!</v>
      </c>
      <c r="G404" s="227"/>
      <c r="H404" s="227"/>
      <c r="I404" s="281"/>
      <c r="J404" s="302"/>
      <c r="K404" s="281" t="str">
        <f>IFERROR(H404*I404*(1-J404/100),"")</f>
        <v>#ERROR!</v>
      </c>
      <c r="L404" s="281" t="str">
        <f>IFERROR(K404*(INDEX(Config!B:B,MATCH("TVA "&amp;F404,Config!A:A,0))-1),"")</f>
        <v>#ERROR!</v>
      </c>
      <c r="M404" s="281" t="str">
        <f>IFERROR(K404+L404,"")</f>
        <v>#ERROR!</v>
      </c>
      <c r="N404" s="233"/>
    </row>
    <row r="405">
      <c r="A405" s="303"/>
      <c r="B405" s="235"/>
      <c r="C405" s="235"/>
      <c r="D405" s="235"/>
      <c r="E405" s="235"/>
      <c r="F405" s="235" t="str">
        <f>IFERROR(INDEX(Recettes!C:C,MATCH(E405,Recettes!B:B,0)),"")</f>
        <v>#ERROR!</v>
      </c>
      <c r="G405" s="235"/>
      <c r="H405" s="235"/>
      <c r="I405" s="283"/>
      <c r="J405" s="304"/>
      <c r="K405" s="283" t="str">
        <f>IFERROR(H405*I405*(1-J405/100),"")</f>
        <v>#ERROR!</v>
      </c>
      <c r="L405" s="283" t="str">
        <f>IFERROR(K405*(INDEX(Config!B:B,MATCH("TVA "&amp;F405,Config!A:A,0))-1),"")</f>
        <v>#ERROR!</v>
      </c>
      <c r="M405" s="283" t="str">
        <f>IFERROR(K405+L405,"")</f>
        <v>#ERROR!</v>
      </c>
      <c r="N405" s="240"/>
    </row>
    <row r="406">
      <c r="A406" s="301"/>
      <c r="B406" s="227"/>
      <c r="C406" s="227"/>
      <c r="D406" s="227"/>
      <c r="E406" s="227"/>
      <c r="F406" s="227" t="str">
        <f>IFERROR(INDEX(Recettes!C:C,MATCH(E406,Recettes!B:B,0)),"")</f>
        <v>#ERROR!</v>
      </c>
      <c r="G406" s="227"/>
      <c r="H406" s="227"/>
      <c r="I406" s="281"/>
      <c r="J406" s="302"/>
      <c r="K406" s="281" t="str">
        <f>IFERROR(H406*I406*(1-J406/100),"")</f>
        <v>#ERROR!</v>
      </c>
      <c r="L406" s="281" t="str">
        <f>IFERROR(K406*(INDEX(Config!B:B,MATCH("TVA "&amp;F406,Config!A:A,0))-1),"")</f>
        <v>#ERROR!</v>
      </c>
      <c r="M406" s="281" t="str">
        <f>IFERROR(K406+L406,"")</f>
        <v>#ERROR!</v>
      </c>
      <c r="N406" s="233"/>
    </row>
    <row r="407">
      <c r="A407" s="303"/>
      <c r="B407" s="235"/>
      <c r="C407" s="235"/>
      <c r="D407" s="235"/>
      <c r="E407" s="235"/>
      <c r="F407" s="235" t="str">
        <f>IFERROR(INDEX(Recettes!C:C,MATCH(E407,Recettes!B:B,0)),"")</f>
        <v>#ERROR!</v>
      </c>
      <c r="G407" s="235"/>
      <c r="H407" s="235"/>
      <c r="I407" s="283"/>
      <c r="J407" s="304"/>
      <c r="K407" s="283" t="str">
        <f>IFERROR(H407*I407*(1-J407/100),"")</f>
        <v>#ERROR!</v>
      </c>
      <c r="L407" s="283" t="str">
        <f>IFERROR(K407*(INDEX(Config!B:B,MATCH("TVA "&amp;F407,Config!A:A,0))-1),"")</f>
        <v>#ERROR!</v>
      </c>
      <c r="M407" s="283" t="str">
        <f>IFERROR(K407+L407,"")</f>
        <v>#ERROR!</v>
      </c>
      <c r="N407" s="240"/>
    </row>
    <row r="408">
      <c r="A408" s="301"/>
      <c r="B408" s="227"/>
      <c r="C408" s="227"/>
      <c r="D408" s="227"/>
      <c r="E408" s="227"/>
      <c r="F408" s="227" t="str">
        <f>IFERROR(INDEX(Recettes!C:C,MATCH(E408,Recettes!B:B,0)),"")</f>
        <v>#ERROR!</v>
      </c>
      <c r="G408" s="227"/>
      <c r="H408" s="227"/>
      <c r="I408" s="281"/>
      <c r="J408" s="302"/>
      <c r="K408" s="281" t="str">
        <f>IFERROR(H408*I408*(1-J408/100),"")</f>
        <v>#ERROR!</v>
      </c>
      <c r="L408" s="281" t="str">
        <f>IFERROR(K408*(INDEX(Config!B:B,MATCH("TVA "&amp;F408,Config!A:A,0))-1),"")</f>
        <v>#ERROR!</v>
      </c>
      <c r="M408" s="281" t="str">
        <f>IFERROR(K408+L408,"")</f>
        <v>#ERROR!</v>
      </c>
      <c r="N408" s="233"/>
    </row>
    <row r="409">
      <c r="A409" s="303"/>
      <c r="B409" s="235"/>
      <c r="C409" s="235"/>
      <c r="D409" s="235"/>
      <c r="E409" s="235"/>
      <c r="F409" s="235" t="str">
        <f>IFERROR(INDEX(Recettes!C:C,MATCH(E409,Recettes!B:B,0)),"")</f>
        <v>#ERROR!</v>
      </c>
      <c r="G409" s="235"/>
      <c r="H409" s="235"/>
      <c r="I409" s="283"/>
      <c r="J409" s="304"/>
      <c r="K409" s="283" t="str">
        <f>IFERROR(H409*I409*(1-J409/100),"")</f>
        <v>#ERROR!</v>
      </c>
      <c r="L409" s="283" t="str">
        <f>IFERROR(K409*(INDEX(Config!B:B,MATCH("TVA "&amp;F409,Config!A:A,0))-1),"")</f>
        <v>#ERROR!</v>
      </c>
      <c r="M409" s="283" t="str">
        <f>IFERROR(K409+L409,"")</f>
        <v>#ERROR!</v>
      </c>
      <c r="N409" s="240"/>
    </row>
    <row r="410">
      <c r="A410" s="301"/>
      <c r="B410" s="227"/>
      <c r="C410" s="227"/>
      <c r="D410" s="227"/>
      <c r="E410" s="227"/>
      <c r="F410" s="227" t="str">
        <f>IFERROR(INDEX(Recettes!C:C,MATCH(E410,Recettes!B:B,0)),"")</f>
        <v>#ERROR!</v>
      </c>
      <c r="G410" s="227"/>
      <c r="H410" s="227"/>
      <c r="I410" s="281"/>
      <c r="J410" s="302"/>
      <c r="K410" s="281" t="str">
        <f>IFERROR(H410*I410*(1-J410/100),"")</f>
        <v>#ERROR!</v>
      </c>
      <c r="L410" s="281" t="str">
        <f>IFERROR(K410*(INDEX(Config!B:B,MATCH("TVA "&amp;F410,Config!A:A,0))-1),"")</f>
        <v>#ERROR!</v>
      </c>
      <c r="M410" s="281" t="str">
        <f>IFERROR(K410+L410,"")</f>
        <v>#ERROR!</v>
      </c>
      <c r="N410" s="233"/>
    </row>
    <row r="411">
      <c r="A411" s="303"/>
      <c r="B411" s="235"/>
      <c r="C411" s="235"/>
      <c r="D411" s="235"/>
      <c r="E411" s="235"/>
      <c r="F411" s="235" t="str">
        <f>IFERROR(INDEX(Recettes!C:C,MATCH(E411,Recettes!B:B,0)),"")</f>
        <v>#ERROR!</v>
      </c>
      <c r="G411" s="235"/>
      <c r="H411" s="235"/>
      <c r="I411" s="283"/>
      <c r="J411" s="304"/>
      <c r="K411" s="283" t="str">
        <f>IFERROR(H411*I411*(1-J411/100),"")</f>
        <v>#ERROR!</v>
      </c>
      <c r="L411" s="283" t="str">
        <f>IFERROR(K411*(INDEX(Config!B:B,MATCH("TVA "&amp;F411,Config!A:A,0))-1),"")</f>
        <v>#ERROR!</v>
      </c>
      <c r="M411" s="283" t="str">
        <f>IFERROR(K411+L411,"")</f>
        <v>#ERROR!</v>
      </c>
      <c r="N411" s="240"/>
    </row>
    <row r="412">
      <c r="A412" s="301"/>
      <c r="B412" s="227"/>
      <c r="C412" s="227"/>
      <c r="D412" s="227"/>
      <c r="E412" s="227"/>
      <c r="F412" s="227" t="str">
        <f>IFERROR(INDEX(Recettes!C:C,MATCH(E412,Recettes!B:B,0)),"")</f>
        <v>#ERROR!</v>
      </c>
      <c r="G412" s="227"/>
      <c r="H412" s="227"/>
      <c r="I412" s="281"/>
      <c r="J412" s="302"/>
      <c r="K412" s="281" t="str">
        <f>IFERROR(H412*I412*(1-J412/100),"")</f>
        <v>#ERROR!</v>
      </c>
      <c r="L412" s="281" t="str">
        <f>IFERROR(K412*(INDEX(Config!B:B,MATCH("TVA "&amp;F412,Config!A:A,0))-1),"")</f>
        <v>#ERROR!</v>
      </c>
      <c r="M412" s="281" t="str">
        <f>IFERROR(K412+L412,"")</f>
        <v>#ERROR!</v>
      </c>
      <c r="N412" s="233"/>
    </row>
    <row r="413">
      <c r="A413" s="303"/>
      <c r="B413" s="235"/>
      <c r="C413" s="235"/>
      <c r="D413" s="235"/>
      <c r="E413" s="235"/>
      <c r="F413" s="235" t="str">
        <f>IFERROR(INDEX(Recettes!C:C,MATCH(E413,Recettes!B:B,0)),"")</f>
        <v>#ERROR!</v>
      </c>
      <c r="G413" s="235"/>
      <c r="H413" s="235"/>
      <c r="I413" s="283"/>
      <c r="J413" s="304"/>
      <c r="K413" s="283" t="str">
        <f>IFERROR(H413*I413*(1-J413/100),"")</f>
        <v>#ERROR!</v>
      </c>
      <c r="L413" s="283" t="str">
        <f>IFERROR(K413*(INDEX(Config!B:B,MATCH("TVA "&amp;F413,Config!A:A,0))-1),"")</f>
        <v>#ERROR!</v>
      </c>
      <c r="M413" s="283" t="str">
        <f>IFERROR(K413+L413,"")</f>
        <v>#ERROR!</v>
      </c>
      <c r="N413" s="240"/>
    </row>
    <row r="414">
      <c r="A414" s="301"/>
      <c r="B414" s="227"/>
      <c r="C414" s="227"/>
      <c r="D414" s="227"/>
      <c r="E414" s="227"/>
      <c r="F414" s="227" t="str">
        <f>IFERROR(INDEX(Recettes!C:C,MATCH(E414,Recettes!B:B,0)),"")</f>
        <v>#ERROR!</v>
      </c>
      <c r="G414" s="227"/>
      <c r="H414" s="227"/>
      <c r="I414" s="281"/>
      <c r="J414" s="302"/>
      <c r="K414" s="281" t="str">
        <f>IFERROR(H414*I414*(1-J414/100),"")</f>
        <v>#ERROR!</v>
      </c>
      <c r="L414" s="281" t="str">
        <f>IFERROR(K414*(INDEX(Config!B:B,MATCH("TVA "&amp;F414,Config!A:A,0))-1),"")</f>
        <v>#ERROR!</v>
      </c>
      <c r="M414" s="281" t="str">
        <f>IFERROR(K414+L414,"")</f>
        <v>#ERROR!</v>
      </c>
      <c r="N414" s="233"/>
    </row>
    <row r="415">
      <c r="A415" s="303"/>
      <c r="B415" s="235"/>
      <c r="C415" s="235"/>
      <c r="D415" s="235"/>
      <c r="E415" s="235"/>
      <c r="F415" s="235" t="str">
        <f>IFERROR(INDEX(Recettes!C:C,MATCH(E415,Recettes!B:B,0)),"")</f>
        <v>#ERROR!</v>
      </c>
      <c r="G415" s="235"/>
      <c r="H415" s="235"/>
      <c r="I415" s="283"/>
      <c r="J415" s="304"/>
      <c r="K415" s="283" t="str">
        <f>IFERROR(H415*I415*(1-J415/100),"")</f>
        <v>#ERROR!</v>
      </c>
      <c r="L415" s="283" t="str">
        <f>IFERROR(K415*(INDEX(Config!B:B,MATCH("TVA "&amp;F415,Config!A:A,0))-1),"")</f>
        <v>#ERROR!</v>
      </c>
      <c r="M415" s="283" t="str">
        <f>IFERROR(K415+L415,"")</f>
        <v>#ERROR!</v>
      </c>
      <c r="N415" s="240"/>
    </row>
    <row r="416">
      <c r="A416" s="301"/>
      <c r="B416" s="227"/>
      <c r="C416" s="227"/>
      <c r="D416" s="227"/>
      <c r="E416" s="227"/>
      <c r="F416" s="227" t="str">
        <f>IFERROR(INDEX(Recettes!C:C,MATCH(E416,Recettes!B:B,0)),"")</f>
        <v>#ERROR!</v>
      </c>
      <c r="G416" s="227"/>
      <c r="H416" s="227"/>
      <c r="I416" s="281"/>
      <c r="J416" s="302"/>
      <c r="K416" s="281" t="str">
        <f>IFERROR(H416*I416*(1-J416/100),"")</f>
        <v>#ERROR!</v>
      </c>
      <c r="L416" s="281" t="str">
        <f>IFERROR(K416*(INDEX(Config!B:B,MATCH("TVA "&amp;F416,Config!A:A,0))-1),"")</f>
        <v>#ERROR!</v>
      </c>
      <c r="M416" s="281" t="str">
        <f>IFERROR(K416+L416,"")</f>
        <v>#ERROR!</v>
      </c>
      <c r="N416" s="233"/>
    </row>
    <row r="417">
      <c r="A417" s="303"/>
      <c r="B417" s="235"/>
      <c r="C417" s="235"/>
      <c r="D417" s="235"/>
      <c r="E417" s="235"/>
      <c r="F417" s="235" t="str">
        <f>IFERROR(INDEX(Recettes!C:C,MATCH(E417,Recettes!B:B,0)),"")</f>
        <v>#ERROR!</v>
      </c>
      <c r="G417" s="235"/>
      <c r="H417" s="235"/>
      <c r="I417" s="283"/>
      <c r="J417" s="304"/>
      <c r="K417" s="283" t="str">
        <f>IFERROR(H417*I417*(1-J417/100),"")</f>
        <v>#ERROR!</v>
      </c>
      <c r="L417" s="283" t="str">
        <f>IFERROR(K417*(INDEX(Config!B:B,MATCH("TVA "&amp;F417,Config!A:A,0))-1),"")</f>
        <v>#ERROR!</v>
      </c>
      <c r="M417" s="283" t="str">
        <f>IFERROR(K417+L417,"")</f>
        <v>#ERROR!</v>
      </c>
      <c r="N417" s="240"/>
    </row>
    <row r="418">
      <c r="A418" s="301"/>
      <c r="B418" s="227"/>
      <c r="C418" s="227"/>
      <c r="D418" s="227"/>
      <c r="E418" s="227"/>
      <c r="F418" s="227" t="str">
        <f>IFERROR(INDEX(Recettes!C:C,MATCH(E418,Recettes!B:B,0)),"")</f>
        <v>#ERROR!</v>
      </c>
      <c r="G418" s="227"/>
      <c r="H418" s="227"/>
      <c r="I418" s="281"/>
      <c r="J418" s="302"/>
      <c r="K418" s="281" t="str">
        <f>IFERROR(H418*I418*(1-J418/100),"")</f>
        <v>#ERROR!</v>
      </c>
      <c r="L418" s="281" t="str">
        <f>IFERROR(K418*(INDEX(Config!B:B,MATCH("TVA "&amp;F418,Config!A:A,0))-1),"")</f>
        <v>#ERROR!</v>
      </c>
      <c r="M418" s="281" t="str">
        <f>IFERROR(K418+L418,"")</f>
        <v>#ERROR!</v>
      </c>
      <c r="N418" s="233"/>
    </row>
    <row r="419">
      <c r="A419" s="303"/>
      <c r="B419" s="235"/>
      <c r="C419" s="235"/>
      <c r="D419" s="235"/>
      <c r="E419" s="235"/>
      <c r="F419" s="235" t="str">
        <f>IFERROR(INDEX(Recettes!C:C,MATCH(E419,Recettes!B:B,0)),"")</f>
        <v>#ERROR!</v>
      </c>
      <c r="G419" s="235"/>
      <c r="H419" s="235"/>
      <c r="I419" s="283"/>
      <c r="J419" s="304"/>
      <c r="K419" s="283" t="str">
        <f>IFERROR(H419*I419*(1-J419/100),"")</f>
        <v>#ERROR!</v>
      </c>
      <c r="L419" s="283" t="str">
        <f>IFERROR(K419*(INDEX(Config!B:B,MATCH("TVA "&amp;F419,Config!A:A,0))-1),"")</f>
        <v>#ERROR!</v>
      </c>
      <c r="M419" s="283" t="str">
        <f>IFERROR(K419+L419,"")</f>
        <v>#ERROR!</v>
      </c>
      <c r="N419" s="240"/>
    </row>
    <row r="420">
      <c r="A420" s="301"/>
      <c r="B420" s="227"/>
      <c r="C420" s="227"/>
      <c r="D420" s="227"/>
      <c r="E420" s="227"/>
      <c r="F420" s="227" t="str">
        <f>IFERROR(INDEX(Recettes!C:C,MATCH(E420,Recettes!B:B,0)),"")</f>
        <v>#ERROR!</v>
      </c>
      <c r="G420" s="227"/>
      <c r="H420" s="227"/>
      <c r="I420" s="281"/>
      <c r="J420" s="302"/>
      <c r="K420" s="281" t="str">
        <f>IFERROR(H420*I420*(1-J420/100),"")</f>
        <v>#ERROR!</v>
      </c>
      <c r="L420" s="281" t="str">
        <f>IFERROR(K420*(INDEX(Config!B:B,MATCH("TVA "&amp;F420,Config!A:A,0))-1),"")</f>
        <v>#ERROR!</v>
      </c>
      <c r="M420" s="281" t="str">
        <f>IFERROR(K420+L420,"")</f>
        <v>#ERROR!</v>
      </c>
      <c r="N420" s="233"/>
    </row>
    <row r="421">
      <c r="A421" s="303"/>
      <c r="B421" s="235"/>
      <c r="C421" s="235"/>
      <c r="D421" s="235"/>
      <c r="E421" s="235"/>
      <c r="F421" s="235" t="str">
        <f>IFERROR(INDEX(Recettes!C:C,MATCH(E421,Recettes!B:B,0)),"")</f>
        <v>#ERROR!</v>
      </c>
      <c r="G421" s="235"/>
      <c r="H421" s="235"/>
      <c r="I421" s="283"/>
      <c r="J421" s="304"/>
      <c r="K421" s="283" t="str">
        <f>IFERROR(H421*I421*(1-J421/100),"")</f>
        <v>#ERROR!</v>
      </c>
      <c r="L421" s="283" t="str">
        <f>IFERROR(K421*(INDEX(Config!B:B,MATCH("TVA "&amp;F421,Config!A:A,0))-1),"")</f>
        <v>#ERROR!</v>
      </c>
      <c r="M421" s="283" t="str">
        <f>IFERROR(K421+L421,"")</f>
        <v>#ERROR!</v>
      </c>
      <c r="N421" s="240"/>
    </row>
    <row r="422">
      <c r="A422" s="301"/>
      <c r="B422" s="227"/>
      <c r="C422" s="227"/>
      <c r="D422" s="227"/>
      <c r="E422" s="227"/>
      <c r="F422" s="227" t="str">
        <f>IFERROR(INDEX(Recettes!C:C,MATCH(E422,Recettes!B:B,0)),"")</f>
        <v>#ERROR!</v>
      </c>
      <c r="G422" s="227"/>
      <c r="H422" s="227"/>
      <c r="I422" s="281"/>
      <c r="J422" s="302"/>
      <c r="K422" s="281" t="str">
        <f>IFERROR(H422*I422*(1-J422/100),"")</f>
        <v>#ERROR!</v>
      </c>
      <c r="L422" s="281" t="str">
        <f>IFERROR(K422*(INDEX(Config!B:B,MATCH("TVA "&amp;F422,Config!A:A,0))-1),"")</f>
        <v>#ERROR!</v>
      </c>
      <c r="M422" s="281" t="str">
        <f>IFERROR(K422+L422,"")</f>
        <v>#ERROR!</v>
      </c>
      <c r="N422" s="233"/>
    </row>
    <row r="423">
      <c r="A423" s="303"/>
      <c r="B423" s="235"/>
      <c r="C423" s="235"/>
      <c r="D423" s="235"/>
      <c r="E423" s="235"/>
      <c r="F423" s="235" t="str">
        <f>IFERROR(INDEX(Recettes!C:C,MATCH(E423,Recettes!B:B,0)),"")</f>
        <v>#ERROR!</v>
      </c>
      <c r="G423" s="235"/>
      <c r="H423" s="235"/>
      <c r="I423" s="283"/>
      <c r="J423" s="304"/>
      <c r="K423" s="283" t="str">
        <f>IFERROR(H423*I423*(1-J423/100),"")</f>
        <v>#ERROR!</v>
      </c>
      <c r="L423" s="283" t="str">
        <f>IFERROR(K423*(INDEX(Config!B:B,MATCH("TVA "&amp;F423,Config!A:A,0))-1),"")</f>
        <v>#ERROR!</v>
      </c>
      <c r="M423" s="283" t="str">
        <f>IFERROR(K423+L423,"")</f>
        <v>#ERROR!</v>
      </c>
      <c r="N423" s="240"/>
    </row>
    <row r="424">
      <c r="A424" s="301"/>
      <c r="B424" s="227"/>
      <c r="C424" s="227"/>
      <c r="D424" s="227"/>
      <c r="E424" s="227"/>
      <c r="F424" s="227" t="str">
        <f>IFERROR(INDEX(Recettes!C:C,MATCH(E424,Recettes!B:B,0)),"")</f>
        <v>#ERROR!</v>
      </c>
      <c r="G424" s="227"/>
      <c r="H424" s="227"/>
      <c r="I424" s="281"/>
      <c r="J424" s="302"/>
      <c r="K424" s="281" t="str">
        <f>IFERROR(H424*I424*(1-J424/100),"")</f>
        <v>#ERROR!</v>
      </c>
      <c r="L424" s="281" t="str">
        <f>IFERROR(K424*(INDEX(Config!B:B,MATCH("TVA "&amp;F424,Config!A:A,0))-1),"")</f>
        <v>#ERROR!</v>
      </c>
      <c r="M424" s="281" t="str">
        <f>IFERROR(K424+L424,"")</f>
        <v>#ERROR!</v>
      </c>
      <c r="N424" s="233"/>
    </row>
    <row r="425">
      <c r="A425" s="303"/>
      <c r="B425" s="235"/>
      <c r="C425" s="235"/>
      <c r="D425" s="235"/>
      <c r="E425" s="235"/>
      <c r="F425" s="235" t="str">
        <f>IFERROR(INDEX(Recettes!C:C,MATCH(E425,Recettes!B:B,0)),"")</f>
        <v>#ERROR!</v>
      </c>
      <c r="G425" s="235"/>
      <c r="H425" s="235"/>
      <c r="I425" s="283"/>
      <c r="J425" s="304"/>
      <c r="K425" s="283" t="str">
        <f>IFERROR(H425*I425*(1-J425/100),"")</f>
        <v>#ERROR!</v>
      </c>
      <c r="L425" s="283" t="str">
        <f>IFERROR(K425*(INDEX(Config!B:B,MATCH("TVA "&amp;F425,Config!A:A,0))-1),"")</f>
        <v>#ERROR!</v>
      </c>
      <c r="M425" s="283" t="str">
        <f>IFERROR(K425+L425,"")</f>
        <v>#ERROR!</v>
      </c>
      <c r="N425" s="240"/>
    </row>
    <row r="426">
      <c r="A426" s="301"/>
      <c r="B426" s="227"/>
      <c r="C426" s="227"/>
      <c r="D426" s="227"/>
      <c r="E426" s="227"/>
      <c r="F426" s="227" t="str">
        <f>IFERROR(INDEX(Recettes!C:C,MATCH(E426,Recettes!B:B,0)),"")</f>
        <v>#ERROR!</v>
      </c>
      <c r="G426" s="227"/>
      <c r="H426" s="227"/>
      <c r="I426" s="281"/>
      <c r="J426" s="302"/>
      <c r="K426" s="281" t="str">
        <f>IFERROR(H426*I426*(1-J426/100),"")</f>
        <v>#ERROR!</v>
      </c>
      <c r="L426" s="281" t="str">
        <f>IFERROR(K426*(INDEX(Config!B:B,MATCH("TVA "&amp;F426,Config!A:A,0))-1),"")</f>
        <v>#ERROR!</v>
      </c>
      <c r="M426" s="281" t="str">
        <f>IFERROR(K426+L426,"")</f>
        <v>#ERROR!</v>
      </c>
      <c r="N426" s="233"/>
    </row>
    <row r="427">
      <c r="A427" s="303"/>
      <c r="B427" s="235"/>
      <c r="C427" s="235"/>
      <c r="D427" s="235"/>
      <c r="E427" s="235"/>
      <c r="F427" s="235" t="str">
        <f>IFERROR(INDEX(Recettes!C:C,MATCH(E427,Recettes!B:B,0)),"")</f>
        <v>#ERROR!</v>
      </c>
      <c r="G427" s="235"/>
      <c r="H427" s="235"/>
      <c r="I427" s="283"/>
      <c r="J427" s="304"/>
      <c r="K427" s="283" t="str">
        <f>IFERROR(H427*I427*(1-J427/100),"")</f>
        <v>#ERROR!</v>
      </c>
      <c r="L427" s="283" t="str">
        <f>IFERROR(K427*(INDEX(Config!B:B,MATCH("TVA "&amp;F427,Config!A:A,0))-1),"")</f>
        <v>#ERROR!</v>
      </c>
      <c r="M427" s="283" t="str">
        <f>IFERROR(K427+L427,"")</f>
        <v>#ERROR!</v>
      </c>
      <c r="N427" s="240"/>
    </row>
    <row r="428">
      <c r="A428" s="301"/>
      <c r="B428" s="227"/>
      <c r="C428" s="227"/>
      <c r="D428" s="227"/>
      <c r="E428" s="227"/>
      <c r="F428" s="227" t="str">
        <f>IFERROR(INDEX(Recettes!C:C,MATCH(E428,Recettes!B:B,0)),"")</f>
        <v>#ERROR!</v>
      </c>
      <c r="G428" s="227"/>
      <c r="H428" s="227"/>
      <c r="I428" s="281"/>
      <c r="J428" s="302"/>
      <c r="K428" s="281" t="str">
        <f>IFERROR(H428*I428*(1-J428/100),"")</f>
        <v>#ERROR!</v>
      </c>
      <c r="L428" s="281" t="str">
        <f>IFERROR(K428*(INDEX(Config!B:B,MATCH("TVA "&amp;F428,Config!A:A,0))-1),"")</f>
        <v>#ERROR!</v>
      </c>
      <c r="M428" s="281" t="str">
        <f>IFERROR(K428+L428,"")</f>
        <v>#ERROR!</v>
      </c>
      <c r="N428" s="233"/>
    </row>
    <row r="429">
      <c r="A429" s="303"/>
      <c r="B429" s="235"/>
      <c r="C429" s="235"/>
      <c r="D429" s="235"/>
      <c r="E429" s="235"/>
      <c r="F429" s="235" t="str">
        <f>IFERROR(INDEX(Recettes!C:C,MATCH(E429,Recettes!B:B,0)),"")</f>
        <v>#ERROR!</v>
      </c>
      <c r="G429" s="235"/>
      <c r="H429" s="235"/>
      <c r="I429" s="283"/>
      <c r="J429" s="304"/>
      <c r="K429" s="283" t="str">
        <f>IFERROR(H429*I429*(1-J429/100),"")</f>
        <v>#ERROR!</v>
      </c>
      <c r="L429" s="283" t="str">
        <f>IFERROR(K429*(INDEX(Config!B:B,MATCH("TVA "&amp;F429,Config!A:A,0))-1),"")</f>
        <v>#ERROR!</v>
      </c>
      <c r="M429" s="283" t="str">
        <f>IFERROR(K429+L429,"")</f>
        <v>#ERROR!</v>
      </c>
      <c r="N429" s="240"/>
    </row>
    <row r="430">
      <c r="A430" s="301"/>
      <c r="B430" s="227"/>
      <c r="C430" s="227"/>
      <c r="D430" s="227"/>
      <c r="E430" s="227"/>
      <c r="F430" s="227" t="str">
        <f>IFERROR(INDEX(Recettes!C:C,MATCH(E430,Recettes!B:B,0)),"")</f>
        <v>#ERROR!</v>
      </c>
      <c r="G430" s="227"/>
      <c r="H430" s="227"/>
      <c r="I430" s="281"/>
      <c r="J430" s="302"/>
      <c r="K430" s="281" t="str">
        <f>IFERROR(H430*I430*(1-J430/100),"")</f>
        <v>#ERROR!</v>
      </c>
      <c r="L430" s="281" t="str">
        <f>IFERROR(K430*(INDEX(Config!B:B,MATCH("TVA "&amp;F430,Config!A:A,0))-1),"")</f>
        <v>#ERROR!</v>
      </c>
      <c r="M430" s="281" t="str">
        <f>IFERROR(K430+L430,"")</f>
        <v>#ERROR!</v>
      </c>
      <c r="N430" s="233"/>
    </row>
    <row r="431">
      <c r="A431" s="303"/>
      <c r="B431" s="235"/>
      <c r="C431" s="235"/>
      <c r="D431" s="235"/>
      <c r="E431" s="235"/>
      <c r="F431" s="235" t="str">
        <f>IFERROR(INDEX(Recettes!C:C,MATCH(E431,Recettes!B:B,0)),"")</f>
        <v>#ERROR!</v>
      </c>
      <c r="G431" s="235"/>
      <c r="H431" s="235"/>
      <c r="I431" s="283"/>
      <c r="J431" s="304"/>
      <c r="K431" s="283" t="str">
        <f>IFERROR(H431*I431*(1-J431/100),"")</f>
        <v>#ERROR!</v>
      </c>
      <c r="L431" s="283" t="str">
        <f>IFERROR(K431*(INDEX(Config!B:B,MATCH("TVA "&amp;F431,Config!A:A,0))-1),"")</f>
        <v>#ERROR!</v>
      </c>
      <c r="M431" s="283" t="str">
        <f>IFERROR(K431+L431,"")</f>
        <v>#ERROR!</v>
      </c>
      <c r="N431" s="240"/>
    </row>
    <row r="432">
      <c r="A432" s="301"/>
      <c r="B432" s="227"/>
      <c r="C432" s="227"/>
      <c r="D432" s="227"/>
      <c r="E432" s="227"/>
      <c r="F432" s="227" t="str">
        <f>IFERROR(INDEX(Recettes!C:C,MATCH(E432,Recettes!B:B,0)),"")</f>
        <v>#ERROR!</v>
      </c>
      <c r="G432" s="227"/>
      <c r="H432" s="227"/>
      <c r="I432" s="281"/>
      <c r="J432" s="302"/>
      <c r="K432" s="281" t="str">
        <f>IFERROR(H432*I432*(1-J432/100),"")</f>
        <v>#ERROR!</v>
      </c>
      <c r="L432" s="281" t="str">
        <f>IFERROR(K432*(INDEX(Config!B:B,MATCH("TVA "&amp;F432,Config!A:A,0))-1),"")</f>
        <v>#ERROR!</v>
      </c>
      <c r="M432" s="281" t="str">
        <f>IFERROR(K432+L432,"")</f>
        <v>#ERROR!</v>
      </c>
      <c r="N432" s="233"/>
    </row>
    <row r="433">
      <c r="A433" s="303"/>
      <c r="B433" s="235"/>
      <c r="C433" s="235"/>
      <c r="D433" s="235"/>
      <c r="E433" s="235"/>
      <c r="F433" s="235" t="str">
        <f>IFERROR(INDEX(Recettes!C:C,MATCH(E433,Recettes!B:B,0)),"")</f>
        <v>#ERROR!</v>
      </c>
      <c r="G433" s="235"/>
      <c r="H433" s="235"/>
      <c r="I433" s="283"/>
      <c r="J433" s="304"/>
      <c r="K433" s="283" t="str">
        <f>IFERROR(H433*I433*(1-J433/100),"")</f>
        <v>#ERROR!</v>
      </c>
      <c r="L433" s="283" t="str">
        <f>IFERROR(K433*(INDEX(Config!B:B,MATCH("TVA "&amp;F433,Config!A:A,0))-1),"")</f>
        <v>#ERROR!</v>
      </c>
      <c r="M433" s="283" t="str">
        <f>IFERROR(K433+L433,"")</f>
        <v>#ERROR!</v>
      </c>
      <c r="N433" s="240"/>
    </row>
    <row r="434">
      <c r="A434" s="301"/>
      <c r="B434" s="227"/>
      <c r="C434" s="227"/>
      <c r="D434" s="227"/>
      <c r="E434" s="227"/>
      <c r="F434" s="227" t="str">
        <f>IFERROR(INDEX(Recettes!C:C,MATCH(E434,Recettes!B:B,0)),"")</f>
        <v>#ERROR!</v>
      </c>
      <c r="G434" s="227"/>
      <c r="H434" s="227"/>
      <c r="I434" s="281"/>
      <c r="J434" s="302"/>
      <c r="K434" s="281" t="str">
        <f>IFERROR(H434*I434*(1-J434/100),"")</f>
        <v>#ERROR!</v>
      </c>
      <c r="L434" s="281" t="str">
        <f>IFERROR(K434*(INDEX(Config!B:B,MATCH("TVA "&amp;F434,Config!A:A,0))-1),"")</f>
        <v>#ERROR!</v>
      </c>
      <c r="M434" s="281" t="str">
        <f>IFERROR(K434+L434,"")</f>
        <v>#ERROR!</v>
      </c>
      <c r="N434" s="233"/>
    </row>
    <row r="435">
      <c r="A435" s="303"/>
      <c r="B435" s="235"/>
      <c r="C435" s="235"/>
      <c r="D435" s="235"/>
      <c r="E435" s="235"/>
      <c r="F435" s="235" t="str">
        <f>IFERROR(INDEX(Recettes!C:C,MATCH(E435,Recettes!B:B,0)),"")</f>
        <v>#ERROR!</v>
      </c>
      <c r="G435" s="235"/>
      <c r="H435" s="235"/>
      <c r="I435" s="283"/>
      <c r="J435" s="304"/>
      <c r="K435" s="283" t="str">
        <f>IFERROR(H435*I435*(1-J435/100),"")</f>
        <v>#ERROR!</v>
      </c>
      <c r="L435" s="283" t="str">
        <f>IFERROR(K435*(INDEX(Config!B:B,MATCH("TVA "&amp;F435,Config!A:A,0))-1),"")</f>
        <v>#ERROR!</v>
      </c>
      <c r="M435" s="283" t="str">
        <f>IFERROR(K435+L435,"")</f>
        <v>#ERROR!</v>
      </c>
      <c r="N435" s="240"/>
    </row>
    <row r="436">
      <c r="A436" s="301"/>
      <c r="B436" s="227"/>
      <c r="C436" s="227"/>
      <c r="D436" s="227"/>
      <c r="E436" s="227"/>
      <c r="F436" s="227" t="str">
        <f>IFERROR(INDEX(Recettes!C:C,MATCH(E436,Recettes!B:B,0)),"")</f>
        <v>#ERROR!</v>
      </c>
      <c r="G436" s="227"/>
      <c r="H436" s="227"/>
      <c r="I436" s="281"/>
      <c r="J436" s="302"/>
      <c r="K436" s="281" t="str">
        <f>IFERROR(H436*I436*(1-J436/100),"")</f>
        <v>#ERROR!</v>
      </c>
      <c r="L436" s="281" t="str">
        <f>IFERROR(K436*(INDEX(Config!B:B,MATCH("TVA "&amp;F436,Config!A:A,0))-1),"")</f>
        <v>#ERROR!</v>
      </c>
      <c r="M436" s="281" t="str">
        <f>IFERROR(K436+L436,"")</f>
        <v>#ERROR!</v>
      </c>
      <c r="N436" s="233"/>
    </row>
    <row r="437">
      <c r="A437" s="303"/>
      <c r="B437" s="235"/>
      <c r="C437" s="235"/>
      <c r="D437" s="235"/>
      <c r="E437" s="235"/>
      <c r="F437" s="235" t="str">
        <f>IFERROR(INDEX(Recettes!C:C,MATCH(E437,Recettes!B:B,0)),"")</f>
        <v>#ERROR!</v>
      </c>
      <c r="G437" s="235"/>
      <c r="H437" s="235"/>
      <c r="I437" s="283"/>
      <c r="J437" s="304"/>
      <c r="K437" s="283" t="str">
        <f>IFERROR(H437*I437*(1-J437/100),"")</f>
        <v>#ERROR!</v>
      </c>
      <c r="L437" s="283" t="str">
        <f>IFERROR(K437*(INDEX(Config!B:B,MATCH("TVA "&amp;F437,Config!A:A,0))-1),"")</f>
        <v>#ERROR!</v>
      </c>
      <c r="M437" s="283" t="str">
        <f>IFERROR(K437+L437,"")</f>
        <v>#ERROR!</v>
      </c>
      <c r="N437" s="240"/>
    </row>
    <row r="438">
      <c r="A438" s="301"/>
      <c r="B438" s="227"/>
      <c r="C438" s="227"/>
      <c r="D438" s="227"/>
      <c r="E438" s="227"/>
      <c r="F438" s="227" t="str">
        <f>IFERROR(INDEX(Recettes!C:C,MATCH(E438,Recettes!B:B,0)),"")</f>
        <v>#ERROR!</v>
      </c>
      <c r="G438" s="227"/>
      <c r="H438" s="227"/>
      <c r="I438" s="281"/>
      <c r="J438" s="302"/>
      <c r="K438" s="281" t="str">
        <f>IFERROR(H438*I438*(1-J438/100),"")</f>
        <v>#ERROR!</v>
      </c>
      <c r="L438" s="281" t="str">
        <f>IFERROR(K438*(INDEX(Config!B:B,MATCH("TVA "&amp;F438,Config!A:A,0))-1),"")</f>
        <v>#ERROR!</v>
      </c>
      <c r="M438" s="281" t="str">
        <f>IFERROR(K438+L438,"")</f>
        <v>#ERROR!</v>
      </c>
      <c r="N438" s="233"/>
    </row>
    <row r="439">
      <c r="A439" s="303"/>
      <c r="B439" s="235"/>
      <c r="C439" s="235"/>
      <c r="D439" s="235"/>
      <c r="E439" s="235"/>
      <c r="F439" s="235" t="str">
        <f>IFERROR(INDEX(Recettes!C:C,MATCH(E439,Recettes!B:B,0)),"")</f>
        <v>#ERROR!</v>
      </c>
      <c r="G439" s="235"/>
      <c r="H439" s="235"/>
      <c r="I439" s="283"/>
      <c r="J439" s="304"/>
      <c r="K439" s="283" t="str">
        <f>IFERROR(H439*I439*(1-J439/100),"")</f>
        <v>#ERROR!</v>
      </c>
      <c r="L439" s="283" t="str">
        <f>IFERROR(K439*(INDEX(Config!B:B,MATCH("TVA "&amp;F439,Config!A:A,0))-1),"")</f>
        <v>#ERROR!</v>
      </c>
      <c r="M439" s="283" t="str">
        <f>IFERROR(K439+L439,"")</f>
        <v>#ERROR!</v>
      </c>
      <c r="N439" s="240"/>
    </row>
    <row r="440">
      <c r="A440" s="301"/>
      <c r="B440" s="227"/>
      <c r="C440" s="227"/>
      <c r="D440" s="227"/>
      <c r="E440" s="227"/>
      <c r="F440" s="227" t="str">
        <f>IFERROR(INDEX(Recettes!C:C,MATCH(E440,Recettes!B:B,0)),"")</f>
        <v>#ERROR!</v>
      </c>
      <c r="G440" s="227"/>
      <c r="H440" s="227"/>
      <c r="I440" s="281"/>
      <c r="J440" s="302"/>
      <c r="K440" s="281" t="str">
        <f>IFERROR(H440*I440*(1-J440/100),"")</f>
        <v>#ERROR!</v>
      </c>
      <c r="L440" s="281" t="str">
        <f>IFERROR(K440*(INDEX(Config!B:B,MATCH("TVA "&amp;F440,Config!A:A,0))-1),"")</f>
        <v>#ERROR!</v>
      </c>
      <c r="M440" s="281" t="str">
        <f>IFERROR(K440+L440,"")</f>
        <v>#ERROR!</v>
      </c>
      <c r="N440" s="233"/>
    </row>
    <row r="441">
      <c r="A441" s="303"/>
      <c r="B441" s="235"/>
      <c r="C441" s="235"/>
      <c r="D441" s="235"/>
      <c r="E441" s="235"/>
      <c r="F441" s="235" t="str">
        <f>IFERROR(INDEX(Recettes!C:C,MATCH(E441,Recettes!B:B,0)),"")</f>
        <v>#ERROR!</v>
      </c>
      <c r="G441" s="235"/>
      <c r="H441" s="235"/>
      <c r="I441" s="283"/>
      <c r="J441" s="304"/>
      <c r="K441" s="283" t="str">
        <f>IFERROR(H441*I441*(1-J441/100),"")</f>
        <v>#ERROR!</v>
      </c>
      <c r="L441" s="283" t="str">
        <f>IFERROR(K441*(INDEX(Config!B:B,MATCH("TVA "&amp;F441,Config!A:A,0))-1),"")</f>
        <v>#ERROR!</v>
      </c>
      <c r="M441" s="283" t="str">
        <f>IFERROR(K441+L441,"")</f>
        <v>#ERROR!</v>
      </c>
      <c r="N441" s="240"/>
    </row>
    <row r="442">
      <c r="A442" s="301"/>
      <c r="B442" s="227"/>
      <c r="C442" s="227"/>
      <c r="D442" s="227"/>
      <c r="E442" s="227"/>
      <c r="F442" s="227" t="str">
        <f>IFERROR(INDEX(Recettes!C:C,MATCH(E442,Recettes!B:B,0)),"")</f>
        <v>#ERROR!</v>
      </c>
      <c r="G442" s="227"/>
      <c r="H442" s="227"/>
      <c r="I442" s="281"/>
      <c r="J442" s="302"/>
      <c r="K442" s="281" t="str">
        <f>IFERROR(H442*I442*(1-J442/100),"")</f>
        <v>#ERROR!</v>
      </c>
      <c r="L442" s="281" t="str">
        <f>IFERROR(K442*(INDEX(Config!B:B,MATCH("TVA "&amp;F442,Config!A:A,0))-1),"")</f>
        <v>#ERROR!</v>
      </c>
      <c r="M442" s="281" t="str">
        <f>IFERROR(K442+L442,"")</f>
        <v>#ERROR!</v>
      </c>
      <c r="N442" s="233"/>
    </row>
    <row r="443">
      <c r="A443" s="303"/>
      <c r="B443" s="235"/>
      <c r="C443" s="235"/>
      <c r="D443" s="235"/>
      <c r="E443" s="235"/>
      <c r="F443" s="235" t="str">
        <f>IFERROR(INDEX(Recettes!C:C,MATCH(E443,Recettes!B:B,0)),"")</f>
        <v>#ERROR!</v>
      </c>
      <c r="G443" s="235"/>
      <c r="H443" s="235"/>
      <c r="I443" s="283"/>
      <c r="J443" s="304"/>
      <c r="K443" s="283" t="str">
        <f>IFERROR(H443*I443*(1-J443/100),"")</f>
        <v>#ERROR!</v>
      </c>
      <c r="L443" s="283" t="str">
        <f>IFERROR(K443*(INDEX(Config!B:B,MATCH("TVA "&amp;F443,Config!A:A,0))-1),"")</f>
        <v>#ERROR!</v>
      </c>
      <c r="M443" s="283" t="str">
        <f>IFERROR(K443+L443,"")</f>
        <v>#ERROR!</v>
      </c>
      <c r="N443" s="240"/>
    </row>
    <row r="444">
      <c r="A444" s="301"/>
      <c r="B444" s="227"/>
      <c r="C444" s="227"/>
      <c r="D444" s="227"/>
      <c r="E444" s="227"/>
      <c r="F444" s="227" t="str">
        <f>IFERROR(INDEX(Recettes!C:C,MATCH(E444,Recettes!B:B,0)),"")</f>
        <v>#ERROR!</v>
      </c>
      <c r="G444" s="227"/>
      <c r="H444" s="227"/>
      <c r="I444" s="281"/>
      <c r="J444" s="302"/>
      <c r="K444" s="281" t="str">
        <f>IFERROR(H444*I444*(1-J444/100),"")</f>
        <v>#ERROR!</v>
      </c>
      <c r="L444" s="281" t="str">
        <f>IFERROR(K444*(INDEX(Config!B:B,MATCH("TVA "&amp;F444,Config!A:A,0))-1),"")</f>
        <v>#ERROR!</v>
      </c>
      <c r="M444" s="281" t="str">
        <f>IFERROR(K444+L444,"")</f>
        <v>#ERROR!</v>
      </c>
      <c r="N444" s="233"/>
    </row>
    <row r="445">
      <c r="A445" s="303"/>
      <c r="B445" s="235"/>
      <c r="C445" s="235"/>
      <c r="D445" s="235"/>
      <c r="E445" s="235"/>
      <c r="F445" s="235" t="str">
        <f>IFERROR(INDEX(Recettes!C:C,MATCH(E445,Recettes!B:B,0)),"")</f>
        <v>#ERROR!</v>
      </c>
      <c r="G445" s="235"/>
      <c r="H445" s="235"/>
      <c r="I445" s="283"/>
      <c r="J445" s="304"/>
      <c r="K445" s="283" t="str">
        <f>IFERROR(H445*I445*(1-J445/100),"")</f>
        <v>#ERROR!</v>
      </c>
      <c r="L445" s="283" t="str">
        <f>IFERROR(K445*(INDEX(Config!B:B,MATCH("TVA "&amp;F445,Config!A:A,0))-1),"")</f>
        <v>#ERROR!</v>
      </c>
      <c r="M445" s="283" t="str">
        <f>IFERROR(K445+L445,"")</f>
        <v>#ERROR!</v>
      </c>
      <c r="N445" s="240"/>
    </row>
    <row r="446">
      <c r="A446" s="301"/>
      <c r="B446" s="227"/>
      <c r="C446" s="227"/>
      <c r="D446" s="227"/>
      <c r="E446" s="227"/>
      <c r="F446" s="227" t="str">
        <f>IFERROR(INDEX(Recettes!C:C,MATCH(E446,Recettes!B:B,0)),"")</f>
        <v>#ERROR!</v>
      </c>
      <c r="G446" s="227"/>
      <c r="H446" s="227"/>
      <c r="I446" s="281"/>
      <c r="J446" s="302"/>
      <c r="K446" s="281" t="str">
        <f>IFERROR(H446*I446*(1-J446/100),"")</f>
        <v>#ERROR!</v>
      </c>
      <c r="L446" s="281" t="str">
        <f>IFERROR(K446*(INDEX(Config!B:B,MATCH("TVA "&amp;F446,Config!A:A,0))-1),"")</f>
        <v>#ERROR!</v>
      </c>
      <c r="M446" s="281" t="str">
        <f>IFERROR(K446+L446,"")</f>
        <v>#ERROR!</v>
      </c>
      <c r="N446" s="233"/>
    </row>
    <row r="447">
      <c r="A447" s="303"/>
      <c r="B447" s="235"/>
      <c r="C447" s="235"/>
      <c r="D447" s="235"/>
      <c r="E447" s="235"/>
      <c r="F447" s="235" t="str">
        <f>IFERROR(INDEX(Recettes!C:C,MATCH(E447,Recettes!B:B,0)),"")</f>
        <v>#ERROR!</v>
      </c>
      <c r="G447" s="235"/>
      <c r="H447" s="235"/>
      <c r="I447" s="283"/>
      <c r="J447" s="304"/>
      <c r="K447" s="283" t="str">
        <f>IFERROR(H447*I447*(1-J447/100),"")</f>
        <v>#ERROR!</v>
      </c>
      <c r="L447" s="283" t="str">
        <f>IFERROR(K447*(INDEX(Config!B:B,MATCH("TVA "&amp;F447,Config!A:A,0))-1),"")</f>
        <v>#ERROR!</v>
      </c>
      <c r="M447" s="283" t="str">
        <f>IFERROR(K447+L447,"")</f>
        <v>#ERROR!</v>
      </c>
      <c r="N447" s="240"/>
    </row>
    <row r="448">
      <c r="A448" s="301"/>
      <c r="B448" s="227"/>
      <c r="C448" s="227"/>
      <c r="D448" s="227"/>
      <c r="E448" s="227"/>
      <c r="F448" s="227" t="str">
        <f>IFERROR(INDEX(Recettes!C:C,MATCH(E448,Recettes!B:B,0)),"")</f>
        <v>#ERROR!</v>
      </c>
      <c r="G448" s="227"/>
      <c r="H448" s="227"/>
      <c r="I448" s="281"/>
      <c r="J448" s="302"/>
      <c r="K448" s="281" t="str">
        <f>IFERROR(H448*I448*(1-J448/100),"")</f>
        <v>#ERROR!</v>
      </c>
      <c r="L448" s="281" t="str">
        <f>IFERROR(K448*(INDEX(Config!B:B,MATCH("TVA "&amp;F448,Config!A:A,0))-1),"")</f>
        <v>#ERROR!</v>
      </c>
      <c r="M448" s="281" t="str">
        <f>IFERROR(K448+L448,"")</f>
        <v>#ERROR!</v>
      </c>
      <c r="N448" s="233"/>
    </row>
    <row r="449">
      <c r="A449" s="303"/>
      <c r="B449" s="235"/>
      <c r="C449" s="235"/>
      <c r="D449" s="235"/>
      <c r="E449" s="235"/>
      <c r="F449" s="235" t="str">
        <f>IFERROR(INDEX(Recettes!C:C,MATCH(E449,Recettes!B:B,0)),"")</f>
        <v>#ERROR!</v>
      </c>
      <c r="G449" s="235"/>
      <c r="H449" s="235"/>
      <c r="I449" s="283"/>
      <c r="J449" s="304"/>
      <c r="K449" s="283" t="str">
        <f>IFERROR(H449*I449*(1-J449/100),"")</f>
        <v>#ERROR!</v>
      </c>
      <c r="L449" s="283" t="str">
        <f>IFERROR(K449*(INDEX(Config!B:B,MATCH("TVA "&amp;F449,Config!A:A,0))-1),"")</f>
        <v>#ERROR!</v>
      </c>
      <c r="M449" s="283" t="str">
        <f>IFERROR(K449+L449,"")</f>
        <v>#ERROR!</v>
      </c>
      <c r="N449" s="240"/>
    </row>
    <row r="450">
      <c r="A450" s="301"/>
      <c r="B450" s="227"/>
      <c r="C450" s="227"/>
      <c r="D450" s="227"/>
      <c r="E450" s="227"/>
      <c r="F450" s="227" t="str">
        <f>IFERROR(INDEX(Recettes!C:C,MATCH(E450,Recettes!B:B,0)),"")</f>
        <v>#ERROR!</v>
      </c>
      <c r="G450" s="227"/>
      <c r="H450" s="227"/>
      <c r="I450" s="281"/>
      <c r="J450" s="302"/>
      <c r="K450" s="281" t="str">
        <f>IFERROR(H450*I450*(1-J450/100),"")</f>
        <v>#ERROR!</v>
      </c>
      <c r="L450" s="281" t="str">
        <f>IFERROR(K450*(INDEX(Config!B:B,MATCH("TVA "&amp;F450,Config!A:A,0))-1),"")</f>
        <v>#ERROR!</v>
      </c>
      <c r="M450" s="281" t="str">
        <f>IFERROR(K450+L450,"")</f>
        <v>#ERROR!</v>
      </c>
      <c r="N450" s="233"/>
    </row>
    <row r="451">
      <c r="A451" s="303"/>
      <c r="B451" s="235"/>
      <c r="C451" s="235"/>
      <c r="D451" s="235"/>
      <c r="E451" s="235"/>
      <c r="F451" s="235" t="str">
        <f>IFERROR(INDEX(Recettes!C:C,MATCH(E451,Recettes!B:B,0)),"")</f>
        <v>#ERROR!</v>
      </c>
      <c r="G451" s="235"/>
      <c r="H451" s="235"/>
      <c r="I451" s="283"/>
      <c r="J451" s="304"/>
      <c r="K451" s="283" t="str">
        <f>IFERROR(H451*I451*(1-J451/100),"")</f>
        <v>#ERROR!</v>
      </c>
      <c r="L451" s="283" t="str">
        <f>IFERROR(K451*(INDEX(Config!B:B,MATCH("TVA "&amp;F451,Config!A:A,0))-1),"")</f>
        <v>#ERROR!</v>
      </c>
      <c r="M451" s="283" t="str">
        <f>IFERROR(K451+L451,"")</f>
        <v>#ERROR!</v>
      </c>
      <c r="N451" s="240"/>
    </row>
    <row r="452">
      <c r="A452" s="301"/>
      <c r="B452" s="227"/>
      <c r="C452" s="227"/>
      <c r="D452" s="227"/>
      <c r="E452" s="227"/>
      <c r="F452" s="227" t="str">
        <f>IFERROR(INDEX(Recettes!C:C,MATCH(E452,Recettes!B:B,0)),"")</f>
        <v>#ERROR!</v>
      </c>
      <c r="G452" s="227"/>
      <c r="H452" s="227"/>
      <c r="I452" s="281"/>
      <c r="J452" s="302"/>
      <c r="K452" s="281" t="str">
        <f>IFERROR(H452*I452*(1-J452/100),"")</f>
        <v>#ERROR!</v>
      </c>
      <c r="L452" s="281" t="str">
        <f>IFERROR(K452*(INDEX(Config!B:B,MATCH("TVA "&amp;F452,Config!A:A,0))-1),"")</f>
        <v>#ERROR!</v>
      </c>
      <c r="M452" s="281" t="str">
        <f>IFERROR(K452+L452,"")</f>
        <v>#ERROR!</v>
      </c>
      <c r="N452" s="233"/>
    </row>
    <row r="453">
      <c r="A453" s="303"/>
      <c r="B453" s="235"/>
      <c r="C453" s="235"/>
      <c r="D453" s="235"/>
      <c r="E453" s="235"/>
      <c r="F453" s="235" t="str">
        <f>IFERROR(INDEX(Recettes!C:C,MATCH(E453,Recettes!B:B,0)),"")</f>
        <v>#ERROR!</v>
      </c>
      <c r="G453" s="235"/>
      <c r="H453" s="235"/>
      <c r="I453" s="283"/>
      <c r="J453" s="304"/>
      <c r="K453" s="283" t="str">
        <f>IFERROR(H453*I453*(1-J453/100),"")</f>
        <v>#ERROR!</v>
      </c>
      <c r="L453" s="283" t="str">
        <f>IFERROR(K453*(INDEX(Config!B:B,MATCH("TVA "&amp;F453,Config!A:A,0))-1),"")</f>
        <v>#ERROR!</v>
      </c>
      <c r="M453" s="283" t="str">
        <f>IFERROR(K453+L453,"")</f>
        <v>#ERROR!</v>
      </c>
      <c r="N453" s="240"/>
    </row>
    <row r="454">
      <c r="A454" s="301"/>
      <c r="B454" s="227"/>
      <c r="C454" s="227"/>
      <c r="D454" s="227"/>
      <c r="E454" s="227"/>
      <c r="F454" s="227" t="str">
        <f>IFERROR(INDEX(Recettes!C:C,MATCH(E454,Recettes!B:B,0)),"")</f>
        <v>#ERROR!</v>
      </c>
      <c r="G454" s="227"/>
      <c r="H454" s="227"/>
      <c r="I454" s="281"/>
      <c r="J454" s="302"/>
      <c r="K454" s="281" t="str">
        <f>IFERROR(H454*I454*(1-J454/100),"")</f>
        <v>#ERROR!</v>
      </c>
      <c r="L454" s="281" t="str">
        <f>IFERROR(K454*(INDEX(Config!B:B,MATCH("TVA "&amp;F454,Config!A:A,0))-1),"")</f>
        <v>#ERROR!</v>
      </c>
      <c r="M454" s="281" t="str">
        <f>IFERROR(K454+L454,"")</f>
        <v>#ERROR!</v>
      </c>
      <c r="N454" s="233"/>
    </row>
    <row r="455">
      <c r="A455" s="303"/>
      <c r="B455" s="235"/>
      <c r="C455" s="235"/>
      <c r="D455" s="235"/>
      <c r="E455" s="235"/>
      <c r="F455" s="235" t="str">
        <f>IFERROR(INDEX(Recettes!C:C,MATCH(E455,Recettes!B:B,0)),"")</f>
        <v>#ERROR!</v>
      </c>
      <c r="G455" s="235"/>
      <c r="H455" s="235"/>
      <c r="I455" s="283"/>
      <c r="J455" s="304"/>
      <c r="K455" s="283" t="str">
        <f>IFERROR(H455*I455*(1-J455/100),"")</f>
        <v>#ERROR!</v>
      </c>
      <c r="L455" s="283" t="str">
        <f>IFERROR(K455*(INDEX(Config!B:B,MATCH("TVA "&amp;F455,Config!A:A,0))-1),"")</f>
        <v>#ERROR!</v>
      </c>
      <c r="M455" s="283" t="str">
        <f>IFERROR(K455+L455,"")</f>
        <v>#ERROR!</v>
      </c>
      <c r="N455" s="240"/>
    </row>
    <row r="456">
      <c r="A456" s="301"/>
      <c r="B456" s="227"/>
      <c r="C456" s="227"/>
      <c r="D456" s="227"/>
      <c r="E456" s="227"/>
      <c r="F456" s="227" t="str">
        <f>IFERROR(INDEX(Recettes!C:C,MATCH(E456,Recettes!B:B,0)),"")</f>
        <v>#ERROR!</v>
      </c>
      <c r="G456" s="227"/>
      <c r="H456" s="227"/>
      <c r="I456" s="281"/>
      <c r="J456" s="302"/>
      <c r="K456" s="281" t="str">
        <f>IFERROR(H456*I456*(1-J456/100),"")</f>
        <v>#ERROR!</v>
      </c>
      <c r="L456" s="281" t="str">
        <f>IFERROR(K456*(INDEX(Config!B:B,MATCH("TVA "&amp;F456,Config!A:A,0))-1),"")</f>
        <v>#ERROR!</v>
      </c>
      <c r="M456" s="281" t="str">
        <f>IFERROR(K456+L456,"")</f>
        <v>#ERROR!</v>
      </c>
      <c r="N456" s="233"/>
    </row>
    <row r="457">
      <c r="A457" s="303"/>
      <c r="B457" s="235"/>
      <c r="C457" s="235"/>
      <c r="D457" s="235"/>
      <c r="E457" s="235"/>
      <c r="F457" s="235" t="str">
        <f>IFERROR(INDEX(Recettes!C:C,MATCH(E457,Recettes!B:B,0)),"")</f>
        <v>#ERROR!</v>
      </c>
      <c r="G457" s="235"/>
      <c r="H457" s="235"/>
      <c r="I457" s="283"/>
      <c r="J457" s="304"/>
      <c r="K457" s="283" t="str">
        <f>IFERROR(H457*I457*(1-J457/100),"")</f>
        <v>#ERROR!</v>
      </c>
      <c r="L457" s="283" t="str">
        <f>IFERROR(K457*(INDEX(Config!B:B,MATCH("TVA "&amp;F457,Config!A:A,0))-1),"")</f>
        <v>#ERROR!</v>
      </c>
      <c r="M457" s="283" t="str">
        <f>IFERROR(K457+L457,"")</f>
        <v>#ERROR!</v>
      </c>
      <c r="N457" s="240"/>
    </row>
    <row r="458">
      <c r="A458" s="301"/>
      <c r="B458" s="227"/>
      <c r="C458" s="227"/>
      <c r="D458" s="227"/>
      <c r="E458" s="227"/>
      <c r="F458" s="227" t="str">
        <f>IFERROR(INDEX(Recettes!C:C,MATCH(E458,Recettes!B:B,0)),"")</f>
        <v>#ERROR!</v>
      </c>
      <c r="G458" s="227"/>
      <c r="H458" s="227"/>
      <c r="I458" s="281"/>
      <c r="J458" s="302"/>
      <c r="K458" s="281" t="str">
        <f>IFERROR(H458*I458*(1-J458/100),"")</f>
        <v>#ERROR!</v>
      </c>
      <c r="L458" s="281" t="str">
        <f>IFERROR(K458*(INDEX(Config!B:B,MATCH("TVA "&amp;F458,Config!A:A,0))-1),"")</f>
        <v>#ERROR!</v>
      </c>
      <c r="M458" s="281" t="str">
        <f>IFERROR(K458+L458,"")</f>
        <v>#ERROR!</v>
      </c>
      <c r="N458" s="233"/>
    </row>
    <row r="459">
      <c r="A459" s="303"/>
      <c r="B459" s="235"/>
      <c r="C459" s="235"/>
      <c r="D459" s="235"/>
      <c r="E459" s="235"/>
      <c r="F459" s="235" t="str">
        <f>IFERROR(INDEX(Recettes!C:C,MATCH(E459,Recettes!B:B,0)),"")</f>
        <v>#ERROR!</v>
      </c>
      <c r="G459" s="235"/>
      <c r="H459" s="235"/>
      <c r="I459" s="283"/>
      <c r="J459" s="304"/>
      <c r="K459" s="283" t="str">
        <f>IFERROR(H459*I459*(1-J459/100),"")</f>
        <v>#ERROR!</v>
      </c>
      <c r="L459" s="283" t="str">
        <f>IFERROR(K459*(INDEX(Config!B:B,MATCH("TVA "&amp;F459,Config!A:A,0))-1),"")</f>
        <v>#ERROR!</v>
      </c>
      <c r="M459" s="283" t="str">
        <f>IFERROR(K459+L459,"")</f>
        <v>#ERROR!</v>
      </c>
      <c r="N459" s="240"/>
    </row>
    <row r="460">
      <c r="A460" s="301"/>
      <c r="B460" s="227"/>
      <c r="C460" s="227"/>
      <c r="D460" s="227"/>
      <c r="E460" s="227"/>
      <c r="F460" s="227" t="str">
        <f>IFERROR(INDEX(Recettes!C:C,MATCH(E460,Recettes!B:B,0)),"")</f>
        <v>#ERROR!</v>
      </c>
      <c r="G460" s="227"/>
      <c r="H460" s="227"/>
      <c r="I460" s="281"/>
      <c r="J460" s="302"/>
      <c r="K460" s="281" t="str">
        <f>IFERROR(H460*I460*(1-J460/100),"")</f>
        <v>#ERROR!</v>
      </c>
      <c r="L460" s="281" t="str">
        <f>IFERROR(K460*(INDEX(Config!B:B,MATCH("TVA "&amp;F460,Config!A:A,0))-1),"")</f>
        <v>#ERROR!</v>
      </c>
      <c r="M460" s="281" t="str">
        <f>IFERROR(K460+L460,"")</f>
        <v>#ERROR!</v>
      </c>
      <c r="N460" s="233"/>
    </row>
    <row r="461">
      <c r="A461" s="303"/>
      <c r="B461" s="235"/>
      <c r="C461" s="235"/>
      <c r="D461" s="235"/>
      <c r="E461" s="235"/>
      <c r="F461" s="235" t="str">
        <f>IFERROR(INDEX(Recettes!C:C,MATCH(E461,Recettes!B:B,0)),"")</f>
        <v>#ERROR!</v>
      </c>
      <c r="G461" s="235"/>
      <c r="H461" s="235"/>
      <c r="I461" s="283"/>
      <c r="J461" s="304"/>
      <c r="K461" s="283" t="str">
        <f>IFERROR(H461*I461*(1-J461/100),"")</f>
        <v>#ERROR!</v>
      </c>
      <c r="L461" s="283" t="str">
        <f>IFERROR(K461*(INDEX(Config!B:B,MATCH("TVA "&amp;F461,Config!A:A,0))-1),"")</f>
        <v>#ERROR!</v>
      </c>
      <c r="M461" s="283" t="str">
        <f>IFERROR(K461+L461,"")</f>
        <v>#ERROR!</v>
      </c>
      <c r="N461" s="240"/>
    </row>
    <row r="462">
      <c r="A462" s="301"/>
      <c r="B462" s="227"/>
      <c r="C462" s="227"/>
      <c r="D462" s="227"/>
      <c r="E462" s="227"/>
      <c r="F462" s="227" t="str">
        <f>IFERROR(INDEX(Recettes!C:C,MATCH(E462,Recettes!B:B,0)),"")</f>
        <v>#ERROR!</v>
      </c>
      <c r="G462" s="227"/>
      <c r="H462" s="227"/>
      <c r="I462" s="281"/>
      <c r="J462" s="302"/>
      <c r="K462" s="281" t="str">
        <f>IFERROR(H462*I462*(1-J462/100),"")</f>
        <v>#ERROR!</v>
      </c>
      <c r="L462" s="281" t="str">
        <f>IFERROR(K462*(INDEX(Config!B:B,MATCH("TVA "&amp;F462,Config!A:A,0))-1),"")</f>
        <v>#ERROR!</v>
      </c>
      <c r="M462" s="281" t="str">
        <f>IFERROR(K462+L462,"")</f>
        <v>#ERROR!</v>
      </c>
      <c r="N462" s="233"/>
    </row>
    <row r="463">
      <c r="A463" s="303"/>
      <c r="B463" s="235"/>
      <c r="C463" s="235"/>
      <c r="D463" s="235"/>
      <c r="E463" s="235"/>
      <c r="F463" s="235" t="str">
        <f>IFERROR(INDEX(Recettes!C:C,MATCH(E463,Recettes!B:B,0)),"")</f>
        <v>#ERROR!</v>
      </c>
      <c r="G463" s="235"/>
      <c r="H463" s="235"/>
      <c r="I463" s="283"/>
      <c r="J463" s="304"/>
      <c r="K463" s="283" t="str">
        <f>IFERROR(H463*I463*(1-J463/100),"")</f>
        <v>#ERROR!</v>
      </c>
      <c r="L463" s="283" t="str">
        <f>IFERROR(K463*(INDEX(Config!B:B,MATCH("TVA "&amp;F463,Config!A:A,0))-1),"")</f>
        <v>#ERROR!</v>
      </c>
      <c r="M463" s="283" t="str">
        <f>IFERROR(K463+L463,"")</f>
        <v>#ERROR!</v>
      </c>
      <c r="N463" s="240"/>
    </row>
    <row r="464">
      <c r="A464" s="301"/>
      <c r="B464" s="227"/>
      <c r="C464" s="227"/>
      <c r="D464" s="227"/>
      <c r="E464" s="227"/>
      <c r="F464" s="227" t="str">
        <f>IFERROR(INDEX(Recettes!C:C,MATCH(E464,Recettes!B:B,0)),"")</f>
        <v>#ERROR!</v>
      </c>
      <c r="G464" s="227"/>
      <c r="H464" s="227"/>
      <c r="I464" s="281"/>
      <c r="J464" s="302"/>
      <c r="K464" s="281" t="str">
        <f>IFERROR(H464*I464*(1-J464/100),"")</f>
        <v>#ERROR!</v>
      </c>
      <c r="L464" s="281" t="str">
        <f>IFERROR(K464*(INDEX(Config!B:B,MATCH("TVA "&amp;F464,Config!A:A,0))-1),"")</f>
        <v>#ERROR!</v>
      </c>
      <c r="M464" s="281" t="str">
        <f>IFERROR(K464+L464,"")</f>
        <v>#ERROR!</v>
      </c>
      <c r="N464" s="233"/>
    </row>
    <row r="465">
      <c r="A465" s="303"/>
      <c r="B465" s="235"/>
      <c r="C465" s="235"/>
      <c r="D465" s="235"/>
      <c r="E465" s="235"/>
      <c r="F465" s="235" t="str">
        <f>IFERROR(INDEX(Recettes!C:C,MATCH(E465,Recettes!B:B,0)),"")</f>
        <v>#ERROR!</v>
      </c>
      <c r="G465" s="235"/>
      <c r="H465" s="235"/>
      <c r="I465" s="283"/>
      <c r="J465" s="304"/>
      <c r="K465" s="283" t="str">
        <f>IFERROR(H465*I465*(1-J465/100),"")</f>
        <v>#ERROR!</v>
      </c>
      <c r="L465" s="283" t="str">
        <f>IFERROR(K465*(INDEX(Config!B:B,MATCH("TVA "&amp;F465,Config!A:A,0))-1),"")</f>
        <v>#ERROR!</v>
      </c>
      <c r="M465" s="283" t="str">
        <f>IFERROR(K465+L465,"")</f>
        <v>#ERROR!</v>
      </c>
      <c r="N465" s="240"/>
    </row>
    <row r="466">
      <c r="A466" s="301"/>
      <c r="B466" s="227"/>
      <c r="C466" s="227"/>
      <c r="D466" s="227"/>
      <c r="E466" s="227"/>
      <c r="F466" s="227" t="str">
        <f>IFERROR(INDEX(Recettes!C:C,MATCH(E466,Recettes!B:B,0)),"")</f>
        <v>#ERROR!</v>
      </c>
      <c r="G466" s="227"/>
      <c r="H466" s="227"/>
      <c r="I466" s="281"/>
      <c r="J466" s="302"/>
      <c r="K466" s="281" t="str">
        <f>IFERROR(H466*I466*(1-J466/100),"")</f>
        <v>#ERROR!</v>
      </c>
      <c r="L466" s="281" t="str">
        <f>IFERROR(K466*(INDEX(Config!B:B,MATCH("TVA "&amp;F466,Config!A:A,0))-1),"")</f>
        <v>#ERROR!</v>
      </c>
      <c r="M466" s="281" t="str">
        <f>IFERROR(K466+L466,"")</f>
        <v>#ERROR!</v>
      </c>
      <c r="N466" s="233"/>
    </row>
    <row r="467">
      <c r="A467" s="303"/>
      <c r="B467" s="235"/>
      <c r="C467" s="235"/>
      <c r="D467" s="235"/>
      <c r="E467" s="235"/>
      <c r="F467" s="235" t="str">
        <f>IFERROR(INDEX(Recettes!C:C,MATCH(E467,Recettes!B:B,0)),"")</f>
        <v>#ERROR!</v>
      </c>
      <c r="G467" s="235"/>
      <c r="H467" s="235"/>
      <c r="I467" s="283"/>
      <c r="J467" s="304"/>
      <c r="K467" s="283" t="str">
        <f>IFERROR(H467*I467*(1-J467/100),"")</f>
        <v>#ERROR!</v>
      </c>
      <c r="L467" s="283" t="str">
        <f>IFERROR(K467*(INDEX(Config!B:B,MATCH("TVA "&amp;F467,Config!A:A,0))-1),"")</f>
        <v>#ERROR!</v>
      </c>
      <c r="M467" s="283" t="str">
        <f>IFERROR(K467+L467,"")</f>
        <v>#ERROR!</v>
      </c>
      <c r="N467" s="240"/>
    </row>
    <row r="468">
      <c r="A468" s="301"/>
      <c r="B468" s="227"/>
      <c r="C468" s="227"/>
      <c r="D468" s="227"/>
      <c r="E468" s="227"/>
      <c r="F468" s="227" t="str">
        <f>IFERROR(INDEX(Recettes!C:C,MATCH(E468,Recettes!B:B,0)),"")</f>
        <v>#ERROR!</v>
      </c>
      <c r="G468" s="227"/>
      <c r="H468" s="227"/>
      <c r="I468" s="281"/>
      <c r="J468" s="302"/>
      <c r="K468" s="281" t="str">
        <f>IFERROR(H468*I468*(1-J468/100),"")</f>
        <v>#ERROR!</v>
      </c>
      <c r="L468" s="281" t="str">
        <f>IFERROR(K468*(INDEX(Config!B:B,MATCH("TVA "&amp;F468,Config!A:A,0))-1),"")</f>
        <v>#ERROR!</v>
      </c>
      <c r="M468" s="281" t="str">
        <f>IFERROR(K468+L468,"")</f>
        <v>#ERROR!</v>
      </c>
      <c r="N468" s="233"/>
    </row>
    <row r="469">
      <c r="A469" s="303"/>
      <c r="B469" s="235"/>
      <c r="C469" s="235"/>
      <c r="D469" s="235"/>
      <c r="E469" s="235"/>
      <c r="F469" s="235" t="str">
        <f>IFERROR(INDEX(Recettes!C:C,MATCH(E469,Recettes!B:B,0)),"")</f>
        <v>#ERROR!</v>
      </c>
      <c r="G469" s="235"/>
      <c r="H469" s="235"/>
      <c r="I469" s="283"/>
      <c r="J469" s="304"/>
      <c r="K469" s="283" t="str">
        <f>IFERROR(H469*I469*(1-J469/100),"")</f>
        <v>#ERROR!</v>
      </c>
      <c r="L469" s="283" t="str">
        <f>IFERROR(K469*(INDEX(Config!B:B,MATCH("TVA "&amp;F469,Config!A:A,0))-1),"")</f>
        <v>#ERROR!</v>
      </c>
      <c r="M469" s="283" t="str">
        <f>IFERROR(K469+L469,"")</f>
        <v>#ERROR!</v>
      </c>
      <c r="N469" s="240"/>
    </row>
    <row r="470">
      <c r="A470" s="301"/>
      <c r="B470" s="227"/>
      <c r="C470" s="227"/>
      <c r="D470" s="227"/>
      <c r="E470" s="227"/>
      <c r="F470" s="227" t="str">
        <f>IFERROR(INDEX(Recettes!C:C,MATCH(E470,Recettes!B:B,0)),"")</f>
        <v>#ERROR!</v>
      </c>
      <c r="G470" s="227"/>
      <c r="H470" s="227"/>
      <c r="I470" s="281"/>
      <c r="J470" s="302"/>
      <c r="K470" s="281" t="str">
        <f>IFERROR(H470*I470*(1-J470/100),"")</f>
        <v>#ERROR!</v>
      </c>
      <c r="L470" s="281" t="str">
        <f>IFERROR(K470*(INDEX(Config!B:B,MATCH("TVA "&amp;F470,Config!A:A,0))-1),"")</f>
        <v>#ERROR!</v>
      </c>
      <c r="M470" s="281" t="str">
        <f>IFERROR(K470+L470,"")</f>
        <v>#ERROR!</v>
      </c>
      <c r="N470" s="233"/>
    </row>
    <row r="471">
      <c r="A471" s="303"/>
      <c r="B471" s="235"/>
      <c r="C471" s="235"/>
      <c r="D471" s="235"/>
      <c r="E471" s="235"/>
      <c r="F471" s="235" t="str">
        <f>IFERROR(INDEX(Recettes!C:C,MATCH(E471,Recettes!B:B,0)),"")</f>
        <v>#ERROR!</v>
      </c>
      <c r="G471" s="235"/>
      <c r="H471" s="235"/>
      <c r="I471" s="283"/>
      <c r="J471" s="304"/>
      <c r="K471" s="283" t="str">
        <f>IFERROR(H471*I471*(1-J471/100),"")</f>
        <v>#ERROR!</v>
      </c>
      <c r="L471" s="283" t="str">
        <f>IFERROR(K471*(INDEX(Config!B:B,MATCH("TVA "&amp;F471,Config!A:A,0))-1),"")</f>
        <v>#ERROR!</v>
      </c>
      <c r="M471" s="283" t="str">
        <f>IFERROR(K471+L471,"")</f>
        <v>#ERROR!</v>
      </c>
      <c r="N471" s="240"/>
    </row>
    <row r="472">
      <c r="A472" s="301"/>
      <c r="B472" s="227"/>
      <c r="C472" s="227"/>
      <c r="D472" s="227"/>
      <c r="E472" s="227"/>
      <c r="F472" s="227" t="str">
        <f>IFERROR(INDEX(Recettes!C:C,MATCH(E472,Recettes!B:B,0)),"")</f>
        <v>#ERROR!</v>
      </c>
      <c r="G472" s="227"/>
      <c r="H472" s="227"/>
      <c r="I472" s="281"/>
      <c r="J472" s="302"/>
      <c r="K472" s="281" t="str">
        <f>IFERROR(H472*I472*(1-J472/100),"")</f>
        <v>#ERROR!</v>
      </c>
      <c r="L472" s="281" t="str">
        <f>IFERROR(K472*(INDEX(Config!B:B,MATCH("TVA "&amp;F472,Config!A:A,0))-1),"")</f>
        <v>#ERROR!</v>
      </c>
      <c r="M472" s="281" t="str">
        <f>IFERROR(K472+L472,"")</f>
        <v>#ERROR!</v>
      </c>
      <c r="N472" s="233"/>
    </row>
    <row r="473">
      <c r="A473" s="303"/>
      <c r="B473" s="235"/>
      <c r="C473" s="235"/>
      <c r="D473" s="235"/>
      <c r="E473" s="235"/>
      <c r="F473" s="235" t="str">
        <f>IFERROR(INDEX(Recettes!C:C,MATCH(E473,Recettes!B:B,0)),"")</f>
        <v>#ERROR!</v>
      </c>
      <c r="G473" s="235"/>
      <c r="H473" s="235"/>
      <c r="I473" s="283"/>
      <c r="J473" s="304"/>
      <c r="K473" s="283" t="str">
        <f>IFERROR(H473*I473*(1-J473/100),"")</f>
        <v>#ERROR!</v>
      </c>
      <c r="L473" s="283" t="str">
        <f>IFERROR(K473*(INDEX(Config!B:B,MATCH("TVA "&amp;F473,Config!A:A,0))-1),"")</f>
        <v>#ERROR!</v>
      </c>
      <c r="M473" s="283" t="str">
        <f>IFERROR(K473+L473,"")</f>
        <v>#ERROR!</v>
      </c>
      <c r="N473" s="240"/>
    </row>
    <row r="474">
      <c r="A474" s="301"/>
      <c r="B474" s="227"/>
      <c r="C474" s="227"/>
      <c r="D474" s="227"/>
      <c r="E474" s="227"/>
      <c r="F474" s="227" t="str">
        <f>IFERROR(INDEX(Recettes!C:C,MATCH(E474,Recettes!B:B,0)),"")</f>
        <v>#ERROR!</v>
      </c>
      <c r="G474" s="227"/>
      <c r="H474" s="227"/>
      <c r="I474" s="281"/>
      <c r="J474" s="302"/>
      <c r="K474" s="281" t="str">
        <f>IFERROR(H474*I474*(1-J474/100),"")</f>
        <v>#ERROR!</v>
      </c>
      <c r="L474" s="281" t="str">
        <f>IFERROR(K474*(INDEX(Config!B:B,MATCH("TVA "&amp;F474,Config!A:A,0))-1),"")</f>
        <v>#ERROR!</v>
      </c>
      <c r="M474" s="281" t="str">
        <f>IFERROR(K474+L474,"")</f>
        <v>#ERROR!</v>
      </c>
      <c r="N474" s="233"/>
    </row>
    <row r="475">
      <c r="A475" s="303"/>
      <c r="B475" s="235"/>
      <c r="C475" s="235"/>
      <c r="D475" s="235"/>
      <c r="E475" s="235"/>
      <c r="F475" s="235" t="str">
        <f>IFERROR(INDEX(Recettes!C:C,MATCH(E475,Recettes!B:B,0)),"")</f>
        <v>#ERROR!</v>
      </c>
      <c r="G475" s="235"/>
      <c r="H475" s="235"/>
      <c r="I475" s="283"/>
      <c r="J475" s="304"/>
      <c r="K475" s="283" t="str">
        <f>IFERROR(H475*I475*(1-J475/100),"")</f>
        <v>#ERROR!</v>
      </c>
      <c r="L475" s="283" t="str">
        <f>IFERROR(K475*(INDEX(Config!B:B,MATCH("TVA "&amp;F475,Config!A:A,0))-1),"")</f>
        <v>#ERROR!</v>
      </c>
      <c r="M475" s="283" t="str">
        <f>IFERROR(K475+L475,"")</f>
        <v>#ERROR!</v>
      </c>
      <c r="N475" s="240"/>
    </row>
    <row r="476">
      <c r="A476" s="301"/>
      <c r="B476" s="227"/>
      <c r="C476" s="227"/>
      <c r="D476" s="227"/>
      <c r="E476" s="227"/>
      <c r="F476" s="227" t="str">
        <f>IFERROR(INDEX(Recettes!C:C,MATCH(E476,Recettes!B:B,0)),"")</f>
        <v>#ERROR!</v>
      </c>
      <c r="G476" s="227"/>
      <c r="H476" s="227"/>
      <c r="I476" s="281"/>
      <c r="J476" s="302"/>
      <c r="K476" s="281" t="str">
        <f>IFERROR(H476*I476*(1-J476/100),"")</f>
        <v>#ERROR!</v>
      </c>
      <c r="L476" s="281" t="str">
        <f>IFERROR(K476*(INDEX(Config!B:B,MATCH("TVA "&amp;F476,Config!A:A,0))-1),"")</f>
        <v>#ERROR!</v>
      </c>
      <c r="M476" s="281" t="str">
        <f>IFERROR(K476+L476,"")</f>
        <v>#ERROR!</v>
      </c>
      <c r="N476" s="233"/>
    </row>
    <row r="477">
      <c r="A477" s="303"/>
      <c r="B477" s="235"/>
      <c r="C477" s="235"/>
      <c r="D477" s="235"/>
      <c r="E477" s="235"/>
      <c r="F477" s="235" t="str">
        <f>IFERROR(INDEX(Recettes!C:C,MATCH(E477,Recettes!B:B,0)),"")</f>
        <v>#ERROR!</v>
      </c>
      <c r="G477" s="235"/>
      <c r="H477" s="235"/>
      <c r="I477" s="283"/>
      <c r="J477" s="304"/>
      <c r="K477" s="283" t="str">
        <f>IFERROR(H477*I477*(1-J477/100),"")</f>
        <v>#ERROR!</v>
      </c>
      <c r="L477" s="283" t="str">
        <f>IFERROR(K477*(INDEX(Config!B:B,MATCH("TVA "&amp;F477,Config!A:A,0))-1),"")</f>
        <v>#ERROR!</v>
      </c>
      <c r="M477" s="283" t="str">
        <f>IFERROR(K477+L477,"")</f>
        <v>#ERROR!</v>
      </c>
      <c r="N477" s="240"/>
    </row>
    <row r="478">
      <c r="A478" s="301"/>
      <c r="B478" s="227"/>
      <c r="C478" s="227"/>
      <c r="D478" s="227"/>
      <c r="E478" s="227"/>
      <c r="F478" s="227" t="str">
        <f>IFERROR(INDEX(Recettes!C:C,MATCH(E478,Recettes!B:B,0)),"")</f>
        <v>#ERROR!</v>
      </c>
      <c r="G478" s="227"/>
      <c r="H478" s="227"/>
      <c r="I478" s="281"/>
      <c r="J478" s="302"/>
      <c r="K478" s="281" t="str">
        <f>IFERROR(H478*I478*(1-J478/100),"")</f>
        <v>#ERROR!</v>
      </c>
      <c r="L478" s="281" t="str">
        <f>IFERROR(K478*(INDEX(Config!B:B,MATCH("TVA "&amp;F478,Config!A:A,0))-1),"")</f>
        <v>#ERROR!</v>
      </c>
      <c r="M478" s="281" t="str">
        <f>IFERROR(K478+L478,"")</f>
        <v>#ERROR!</v>
      </c>
      <c r="N478" s="233"/>
    </row>
    <row r="479">
      <c r="A479" s="303"/>
      <c r="B479" s="235"/>
      <c r="C479" s="235"/>
      <c r="D479" s="235"/>
      <c r="E479" s="235"/>
      <c r="F479" s="235" t="str">
        <f>IFERROR(INDEX(Recettes!C:C,MATCH(E479,Recettes!B:B,0)),"")</f>
        <v>#ERROR!</v>
      </c>
      <c r="G479" s="235"/>
      <c r="H479" s="235"/>
      <c r="I479" s="283"/>
      <c r="J479" s="304"/>
      <c r="K479" s="283" t="str">
        <f>IFERROR(H479*I479*(1-J479/100),"")</f>
        <v>#ERROR!</v>
      </c>
      <c r="L479" s="283" t="str">
        <f>IFERROR(K479*(INDEX(Config!B:B,MATCH("TVA "&amp;F479,Config!A:A,0))-1),"")</f>
        <v>#ERROR!</v>
      </c>
      <c r="M479" s="283" t="str">
        <f>IFERROR(K479+L479,"")</f>
        <v>#ERROR!</v>
      </c>
      <c r="N479" s="240"/>
    </row>
    <row r="480">
      <c r="A480" s="301"/>
      <c r="B480" s="227"/>
      <c r="C480" s="227"/>
      <c r="D480" s="227"/>
      <c r="E480" s="227"/>
      <c r="F480" s="227" t="str">
        <f>IFERROR(INDEX(Recettes!C:C,MATCH(E480,Recettes!B:B,0)),"")</f>
        <v>#ERROR!</v>
      </c>
      <c r="G480" s="227"/>
      <c r="H480" s="227"/>
      <c r="I480" s="281"/>
      <c r="J480" s="302"/>
      <c r="K480" s="281" t="str">
        <f>IFERROR(H480*I480*(1-J480/100),"")</f>
        <v>#ERROR!</v>
      </c>
      <c r="L480" s="281" t="str">
        <f>IFERROR(K480*(INDEX(Config!B:B,MATCH("TVA "&amp;F480,Config!A:A,0))-1),"")</f>
        <v>#ERROR!</v>
      </c>
      <c r="M480" s="281" t="str">
        <f>IFERROR(K480+L480,"")</f>
        <v>#ERROR!</v>
      </c>
      <c r="N480" s="233"/>
    </row>
    <row r="481">
      <c r="A481" s="303"/>
      <c r="B481" s="235"/>
      <c r="C481" s="235"/>
      <c r="D481" s="235"/>
      <c r="E481" s="235"/>
      <c r="F481" s="235" t="str">
        <f>IFERROR(INDEX(Recettes!C:C,MATCH(E481,Recettes!B:B,0)),"")</f>
        <v>#ERROR!</v>
      </c>
      <c r="G481" s="235"/>
      <c r="H481" s="235"/>
      <c r="I481" s="283"/>
      <c r="J481" s="304"/>
      <c r="K481" s="283" t="str">
        <f>IFERROR(H481*I481*(1-J481/100),"")</f>
        <v>#ERROR!</v>
      </c>
      <c r="L481" s="283" t="str">
        <f>IFERROR(K481*(INDEX(Config!B:B,MATCH("TVA "&amp;F481,Config!A:A,0))-1),"")</f>
        <v>#ERROR!</v>
      </c>
      <c r="M481" s="283" t="str">
        <f>IFERROR(K481+L481,"")</f>
        <v>#ERROR!</v>
      </c>
      <c r="N481" s="240"/>
    </row>
    <row r="482">
      <c r="A482" s="301"/>
      <c r="B482" s="227"/>
      <c r="C482" s="227"/>
      <c r="D482" s="227"/>
      <c r="E482" s="227"/>
      <c r="F482" s="227" t="str">
        <f>IFERROR(INDEX(Recettes!C:C,MATCH(E482,Recettes!B:B,0)),"")</f>
        <v>#ERROR!</v>
      </c>
      <c r="G482" s="227"/>
      <c r="H482" s="227"/>
      <c r="I482" s="281"/>
      <c r="J482" s="302"/>
      <c r="K482" s="281" t="str">
        <f>IFERROR(H482*I482*(1-J482/100),"")</f>
        <v>#ERROR!</v>
      </c>
      <c r="L482" s="281" t="str">
        <f>IFERROR(K482*(INDEX(Config!B:B,MATCH("TVA "&amp;F482,Config!A:A,0))-1),"")</f>
        <v>#ERROR!</v>
      </c>
      <c r="M482" s="281" t="str">
        <f>IFERROR(K482+L482,"")</f>
        <v>#ERROR!</v>
      </c>
      <c r="N482" s="233"/>
    </row>
    <row r="483">
      <c r="A483" s="303"/>
      <c r="B483" s="235"/>
      <c r="C483" s="235"/>
      <c r="D483" s="235"/>
      <c r="E483" s="235"/>
      <c r="F483" s="235" t="str">
        <f>IFERROR(INDEX(Recettes!C:C,MATCH(E483,Recettes!B:B,0)),"")</f>
        <v>#ERROR!</v>
      </c>
      <c r="G483" s="235"/>
      <c r="H483" s="235"/>
      <c r="I483" s="283"/>
      <c r="J483" s="304"/>
      <c r="K483" s="283" t="str">
        <f>IFERROR(H483*I483*(1-J483/100),"")</f>
        <v>#ERROR!</v>
      </c>
      <c r="L483" s="283" t="str">
        <f>IFERROR(K483*(INDEX(Config!B:B,MATCH("TVA "&amp;F483,Config!A:A,0))-1),"")</f>
        <v>#ERROR!</v>
      </c>
      <c r="M483" s="283" t="str">
        <f>IFERROR(K483+L483,"")</f>
        <v>#ERROR!</v>
      </c>
      <c r="N483" s="240"/>
    </row>
    <row r="484">
      <c r="A484" s="301"/>
      <c r="B484" s="227"/>
      <c r="C484" s="227"/>
      <c r="D484" s="227"/>
      <c r="E484" s="227"/>
      <c r="F484" s="227" t="str">
        <f>IFERROR(INDEX(Recettes!C:C,MATCH(E484,Recettes!B:B,0)),"")</f>
        <v>#ERROR!</v>
      </c>
      <c r="G484" s="227"/>
      <c r="H484" s="227"/>
      <c r="I484" s="281"/>
      <c r="J484" s="302"/>
      <c r="K484" s="281" t="str">
        <f>IFERROR(H484*I484*(1-J484/100),"")</f>
        <v>#ERROR!</v>
      </c>
      <c r="L484" s="281" t="str">
        <f>IFERROR(K484*(INDEX(Config!B:B,MATCH("TVA "&amp;F484,Config!A:A,0))-1),"")</f>
        <v>#ERROR!</v>
      </c>
      <c r="M484" s="281" t="str">
        <f>IFERROR(K484+L484,"")</f>
        <v>#ERROR!</v>
      </c>
      <c r="N484" s="233"/>
    </row>
    <row r="485">
      <c r="A485" s="303"/>
      <c r="B485" s="235"/>
      <c r="C485" s="235"/>
      <c r="D485" s="235"/>
      <c r="E485" s="235"/>
      <c r="F485" s="235" t="str">
        <f>IFERROR(INDEX(Recettes!C:C,MATCH(E485,Recettes!B:B,0)),"")</f>
        <v>#ERROR!</v>
      </c>
      <c r="G485" s="235"/>
      <c r="H485" s="235"/>
      <c r="I485" s="283"/>
      <c r="J485" s="304"/>
      <c r="K485" s="283" t="str">
        <f>IFERROR(H485*I485*(1-J485/100),"")</f>
        <v>#ERROR!</v>
      </c>
      <c r="L485" s="283" t="str">
        <f>IFERROR(K485*(INDEX(Config!B:B,MATCH("TVA "&amp;F485,Config!A:A,0))-1),"")</f>
        <v>#ERROR!</v>
      </c>
      <c r="M485" s="283" t="str">
        <f>IFERROR(K485+L485,"")</f>
        <v>#ERROR!</v>
      </c>
      <c r="N485" s="240"/>
    </row>
    <row r="486">
      <c r="A486" s="301"/>
      <c r="B486" s="227"/>
      <c r="C486" s="227"/>
      <c r="D486" s="227"/>
      <c r="E486" s="227"/>
      <c r="F486" s="227" t="str">
        <f>IFERROR(INDEX(Recettes!C:C,MATCH(E486,Recettes!B:B,0)),"")</f>
        <v>#ERROR!</v>
      </c>
      <c r="G486" s="227"/>
      <c r="H486" s="227"/>
      <c r="I486" s="281"/>
      <c r="J486" s="302"/>
      <c r="K486" s="281" t="str">
        <f>IFERROR(H486*I486*(1-J486/100),"")</f>
        <v>#ERROR!</v>
      </c>
      <c r="L486" s="281" t="str">
        <f>IFERROR(K486*(INDEX(Config!B:B,MATCH("TVA "&amp;F486,Config!A:A,0))-1),"")</f>
        <v>#ERROR!</v>
      </c>
      <c r="M486" s="281" t="str">
        <f>IFERROR(K486+L486,"")</f>
        <v>#ERROR!</v>
      </c>
      <c r="N486" s="233"/>
    </row>
    <row r="487">
      <c r="A487" s="303"/>
      <c r="B487" s="235"/>
      <c r="C487" s="235"/>
      <c r="D487" s="235"/>
      <c r="E487" s="235"/>
      <c r="F487" s="235" t="str">
        <f>IFERROR(INDEX(Recettes!C:C,MATCH(E487,Recettes!B:B,0)),"")</f>
        <v>#ERROR!</v>
      </c>
      <c r="G487" s="235"/>
      <c r="H487" s="235"/>
      <c r="I487" s="283"/>
      <c r="J487" s="304"/>
      <c r="K487" s="283" t="str">
        <f>IFERROR(H487*I487*(1-J487/100),"")</f>
        <v>#ERROR!</v>
      </c>
      <c r="L487" s="283" t="str">
        <f>IFERROR(K487*(INDEX(Config!B:B,MATCH("TVA "&amp;F487,Config!A:A,0))-1),"")</f>
        <v>#ERROR!</v>
      </c>
      <c r="M487" s="283" t="str">
        <f>IFERROR(K487+L487,"")</f>
        <v>#ERROR!</v>
      </c>
      <c r="N487" s="240"/>
    </row>
    <row r="488">
      <c r="A488" s="301"/>
      <c r="B488" s="227"/>
      <c r="C488" s="227"/>
      <c r="D488" s="227"/>
      <c r="E488" s="227"/>
      <c r="F488" s="227" t="str">
        <f>IFERROR(INDEX(Recettes!C:C,MATCH(E488,Recettes!B:B,0)),"")</f>
        <v>#ERROR!</v>
      </c>
      <c r="G488" s="227"/>
      <c r="H488" s="227"/>
      <c r="I488" s="281"/>
      <c r="J488" s="302"/>
      <c r="K488" s="281" t="str">
        <f>IFERROR(H488*I488*(1-J488/100),"")</f>
        <v>#ERROR!</v>
      </c>
      <c r="L488" s="281" t="str">
        <f>IFERROR(K488*(INDEX(Config!B:B,MATCH("TVA "&amp;F488,Config!A:A,0))-1),"")</f>
        <v>#ERROR!</v>
      </c>
      <c r="M488" s="281" t="str">
        <f>IFERROR(K488+L488,"")</f>
        <v>#ERROR!</v>
      </c>
      <c r="N488" s="233"/>
    </row>
    <row r="489">
      <c r="A489" s="303"/>
      <c r="B489" s="235"/>
      <c r="C489" s="235"/>
      <c r="D489" s="235"/>
      <c r="E489" s="235"/>
      <c r="F489" s="235" t="str">
        <f>IFERROR(INDEX(Recettes!C:C,MATCH(E489,Recettes!B:B,0)),"")</f>
        <v>#ERROR!</v>
      </c>
      <c r="G489" s="235"/>
      <c r="H489" s="235"/>
      <c r="I489" s="283"/>
      <c r="J489" s="304"/>
      <c r="K489" s="283" t="str">
        <f>IFERROR(H489*I489*(1-J489/100),"")</f>
        <v>#ERROR!</v>
      </c>
      <c r="L489" s="283" t="str">
        <f>IFERROR(K489*(INDEX(Config!B:B,MATCH("TVA "&amp;F489,Config!A:A,0))-1),"")</f>
        <v>#ERROR!</v>
      </c>
      <c r="M489" s="283" t="str">
        <f>IFERROR(K489+L489,"")</f>
        <v>#ERROR!</v>
      </c>
      <c r="N489" s="240"/>
    </row>
    <row r="490">
      <c r="A490" s="301"/>
      <c r="B490" s="227"/>
      <c r="C490" s="227"/>
      <c r="D490" s="227"/>
      <c r="E490" s="227"/>
      <c r="F490" s="227" t="str">
        <f>IFERROR(INDEX(Recettes!C:C,MATCH(E490,Recettes!B:B,0)),"")</f>
        <v>#ERROR!</v>
      </c>
      <c r="G490" s="227"/>
      <c r="H490" s="227"/>
      <c r="I490" s="281"/>
      <c r="J490" s="302"/>
      <c r="K490" s="281" t="str">
        <f>IFERROR(H490*I490*(1-J490/100),"")</f>
        <v>#ERROR!</v>
      </c>
      <c r="L490" s="281" t="str">
        <f>IFERROR(K490*(INDEX(Config!B:B,MATCH("TVA "&amp;F490,Config!A:A,0))-1),"")</f>
        <v>#ERROR!</v>
      </c>
      <c r="M490" s="281" t="str">
        <f>IFERROR(K490+L490,"")</f>
        <v>#ERROR!</v>
      </c>
      <c r="N490" s="233"/>
    </row>
    <row r="491">
      <c r="A491" s="303"/>
      <c r="B491" s="235"/>
      <c r="C491" s="235"/>
      <c r="D491" s="235"/>
      <c r="E491" s="235"/>
      <c r="F491" s="235" t="str">
        <f>IFERROR(INDEX(Recettes!C:C,MATCH(E491,Recettes!B:B,0)),"")</f>
        <v>#ERROR!</v>
      </c>
      <c r="G491" s="235"/>
      <c r="H491" s="235"/>
      <c r="I491" s="283"/>
      <c r="J491" s="304"/>
      <c r="K491" s="283" t="str">
        <f>IFERROR(H491*I491*(1-J491/100),"")</f>
        <v>#ERROR!</v>
      </c>
      <c r="L491" s="283" t="str">
        <f>IFERROR(K491*(INDEX(Config!B:B,MATCH("TVA "&amp;F491,Config!A:A,0))-1),"")</f>
        <v>#ERROR!</v>
      </c>
      <c r="M491" s="283" t="str">
        <f>IFERROR(K491+L491,"")</f>
        <v>#ERROR!</v>
      </c>
      <c r="N491" s="240"/>
    </row>
    <row r="492">
      <c r="A492" s="301"/>
      <c r="B492" s="227"/>
      <c r="C492" s="227"/>
      <c r="D492" s="227"/>
      <c r="E492" s="227"/>
      <c r="F492" s="227" t="str">
        <f>IFERROR(INDEX(Recettes!C:C,MATCH(E492,Recettes!B:B,0)),"")</f>
        <v>#ERROR!</v>
      </c>
      <c r="G492" s="227"/>
      <c r="H492" s="227"/>
      <c r="I492" s="281"/>
      <c r="J492" s="302"/>
      <c r="K492" s="281" t="str">
        <f>IFERROR(H492*I492*(1-J492/100),"")</f>
        <v>#ERROR!</v>
      </c>
      <c r="L492" s="281" t="str">
        <f>IFERROR(K492*(INDEX(Config!B:B,MATCH("TVA "&amp;F492,Config!A:A,0))-1),"")</f>
        <v>#ERROR!</v>
      </c>
      <c r="M492" s="281" t="str">
        <f>IFERROR(K492+L492,"")</f>
        <v>#ERROR!</v>
      </c>
      <c r="N492" s="233"/>
    </row>
    <row r="493">
      <c r="A493" s="303"/>
      <c r="B493" s="235"/>
      <c r="C493" s="235"/>
      <c r="D493" s="235"/>
      <c r="E493" s="235"/>
      <c r="F493" s="235" t="str">
        <f>IFERROR(INDEX(Recettes!C:C,MATCH(E493,Recettes!B:B,0)),"")</f>
        <v>#ERROR!</v>
      </c>
      <c r="G493" s="235"/>
      <c r="H493" s="235"/>
      <c r="I493" s="283"/>
      <c r="J493" s="304"/>
      <c r="K493" s="283" t="str">
        <f>IFERROR(H493*I493*(1-J493/100),"")</f>
        <v>#ERROR!</v>
      </c>
      <c r="L493" s="283" t="str">
        <f>IFERROR(K493*(INDEX(Config!B:B,MATCH("TVA "&amp;F493,Config!A:A,0))-1),"")</f>
        <v>#ERROR!</v>
      </c>
      <c r="M493" s="283" t="str">
        <f>IFERROR(K493+L493,"")</f>
        <v>#ERROR!</v>
      </c>
      <c r="N493" s="240"/>
    </row>
    <row r="494">
      <c r="A494" s="301"/>
      <c r="B494" s="227"/>
      <c r="C494" s="227"/>
      <c r="D494" s="227"/>
      <c r="E494" s="227"/>
      <c r="F494" s="227" t="str">
        <f>IFERROR(INDEX(Recettes!C:C,MATCH(E494,Recettes!B:B,0)),"")</f>
        <v>#ERROR!</v>
      </c>
      <c r="G494" s="227"/>
      <c r="H494" s="227"/>
      <c r="I494" s="281"/>
      <c r="J494" s="302"/>
      <c r="K494" s="281" t="str">
        <f>IFERROR(H494*I494*(1-J494/100),"")</f>
        <v>#ERROR!</v>
      </c>
      <c r="L494" s="281" t="str">
        <f>IFERROR(K494*(INDEX(Config!B:B,MATCH("TVA "&amp;F494,Config!A:A,0))-1),"")</f>
        <v>#ERROR!</v>
      </c>
      <c r="M494" s="281" t="str">
        <f>IFERROR(K494+L494,"")</f>
        <v>#ERROR!</v>
      </c>
      <c r="N494" s="233"/>
    </row>
    <row r="495">
      <c r="A495" s="303"/>
      <c r="B495" s="235"/>
      <c r="C495" s="235"/>
      <c r="D495" s="235"/>
      <c r="E495" s="235"/>
      <c r="F495" s="235" t="str">
        <f>IFERROR(INDEX(Recettes!C:C,MATCH(E495,Recettes!B:B,0)),"")</f>
        <v>#ERROR!</v>
      </c>
      <c r="G495" s="235"/>
      <c r="H495" s="235"/>
      <c r="I495" s="283"/>
      <c r="J495" s="304"/>
      <c r="K495" s="283" t="str">
        <f>IFERROR(H495*I495*(1-J495/100),"")</f>
        <v>#ERROR!</v>
      </c>
      <c r="L495" s="283" t="str">
        <f>IFERROR(K495*(INDEX(Config!B:B,MATCH("TVA "&amp;F495,Config!A:A,0))-1),"")</f>
        <v>#ERROR!</v>
      </c>
      <c r="M495" s="283" t="str">
        <f>IFERROR(K495+L495,"")</f>
        <v>#ERROR!</v>
      </c>
      <c r="N495" s="240"/>
    </row>
    <row r="496">
      <c r="A496" s="301"/>
      <c r="B496" s="227"/>
      <c r="C496" s="227"/>
      <c r="D496" s="227"/>
      <c r="E496" s="227"/>
      <c r="F496" s="227" t="str">
        <f>IFERROR(INDEX(Recettes!C:C,MATCH(E496,Recettes!B:B,0)),"")</f>
        <v>#ERROR!</v>
      </c>
      <c r="G496" s="227"/>
      <c r="H496" s="227"/>
      <c r="I496" s="281"/>
      <c r="J496" s="302"/>
      <c r="K496" s="281" t="str">
        <f>IFERROR(H496*I496*(1-J496/100),"")</f>
        <v>#ERROR!</v>
      </c>
      <c r="L496" s="281" t="str">
        <f>IFERROR(K496*(INDEX(Config!B:B,MATCH("TVA "&amp;F496,Config!A:A,0))-1),"")</f>
        <v>#ERROR!</v>
      </c>
      <c r="M496" s="281" t="str">
        <f>IFERROR(K496+L496,"")</f>
        <v>#ERROR!</v>
      </c>
      <c r="N496" s="233"/>
    </row>
    <row r="497">
      <c r="A497" s="303"/>
      <c r="B497" s="235"/>
      <c r="C497" s="235"/>
      <c r="D497" s="235"/>
      <c r="E497" s="235"/>
      <c r="F497" s="235" t="str">
        <f>IFERROR(INDEX(Recettes!C:C,MATCH(E497,Recettes!B:B,0)),"")</f>
        <v>#ERROR!</v>
      </c>
      <c r="G497" s="235"/>
      <c r="H497" s="235"/>
      <c r="I497" s="283"/>
      <c r="J497" s="304"/>
      <c r="K497" s="283" t="str">
        <f>IFERROR(H497*I497*(1-J497/100),"")</f>
        <v>#ERROR!</v>
      </c>
      <c r="L497" s="283" t="str">
        <f>IFERROR(K497*(INDEX(Config!B:B,MATCH("TVA "&amp;F497,Config!A:A,0))-1),"")</f>
        <v>#ERROR!</v>
      </c>
      <c r="M497" s="283" t="str">
        <f>IFERROR(K497+L497,"")</f>
        <v>#ERROR!</v>
      </c>
      <c r="N497" s="240"/>
    </row>
    <row r="498">
      <c r="A498" s="301"/>
      <c r="B498" s="227"/>
      <c r="C498" s="227"/>
      <c r="D498" s="227"/>
      <c r="E498" s="227"/>
      <c r="F498" s="227" t="str">
        <f>IFERROR(INDEX(Recettes!C:C,MATCH(E498,Recettes!B:B,0)),"")</f>
        <v>#ERROR!</v>
      </c>
      <c r="G498" s="227"/>
      <c r="H498" s="227"/>
      <c r="I498" s="281"/>
      <c r="J498" s="302"/>
      <c r="K498" s="281" t="str">
        <f>IFERROR(H498*I498*(1-J498/100),"")</f>
        <v>#ERROR!</v>
      </c>
      <c r="L498" s="281" t="str">
        <f>IFERROR(K498*(INDEX(Config!B:B,MATCH("TVA "&amp;F498,Config!A:A,0))-1),"")</f>
        <v>#ERROR!</v>
      </c>
      <c r="M498" s="281" t="str">
        <f>IFERROR(K498+L498,"")</f>
        <v>#ERROR!</v>
      </c>
      <c r="N498" s="233"/>
    </row>
    <row r="499">
      <c r="A499" s="303"/>
      <c r="B499" s="235"/>
      <c r="C499" s="235"/>
      <c r="D499" s="235"/>
      <c r="E499" s="235"/>
      <c r="F499" s="235" t="str">
        <f>IFERROR(INDEX(Recettes!C:C,MATCH(E499,Recettes!B:B,0)),"")</f>
        <v>#ERROR!</v>
      </c>
      <c r="G499" s="235"/>
      <c r="H499" s="235"/>
      <c r="I499" s="283"/>
      <c r="J499" s="304"/>
      <c r="K499" s="283" t="str">
        <f>IFERROR(H499*I499*(1-J499/100),"")</f>
        <v>#ERROR!</v>
      </c>
      <c r="L499" s="283" t="str">
        <f>IFERROR(K499*(INDEX(Config!B:B,MATCH("TVA "&amp;F499,Config!A:A,0))-1),"")</f>
        <v>#ERROR!</v>
      </c>
      <c r="M499" s="283" t="str">
        <f>IFERROR(K499+L499,"")</f>
        <v>#ERROR!</v>
      </c>
      <c r="N499" s="240"/>
    </row>
    <row r="500">
      <c r="A500" s="301"/>
      <c r="B500" s="227"/>
      <c r="C500" s="227"/>
      <c r="D500" s="227"/>
      <c r="E500" s="227"/>
      <c r="F500" s="227" t="str">
        <f>IFERROR(INDEX(Recettes!C:C,MATCH(E500,Recettes!B:B,0)),"")</f>
        <v>#ERROR!</v>
      </c>
      <c r="G500" s="227"/>
      <c r="H500" s="227"/>
      <c r="I500" s="281"/>
      <c r="J500" s="302"/>
      <c r="K500" s="281" t="str">
        <f>IFERROR(H500*I500*(1-J500/100),"")</f>
        <v>#ERROR!</v>
      </c>
      <c r="L500" s="281" t="str">
        <f>IFERROR(K500*(INDEX(Config!B:B,MATCH("TVA "&amp;F500,Config!A:A,0))-1),"")</f>
        <v>#ERROR!</v>
      </c>
      <c r="M500" s="281" t="str">
        <f>IFERROR(K500+L500,"")</f>
        <v>#ERROR!</v>
      </c>
      <c r="N500" s="233"/>
    </row>
    <row r="501">
      <c r="A501" s="303"/>
      <c r="B501" s="235"/>
      <c r="C501" s="235"/>
      <c r="D501" s="235"/>
      <c r="E501" s="235"/>
      <c r="F501" s="235" t="str">
        <f>IFERROR(INDEX(Recettes!C:C,MATCH(E501,Recettes!B:B,0)),"")</f>
        <v>#ERROR!</v>
      </c>
      <c r="G501" s="235"/>
      <c r="H501" s="235"/>
      <c r="I501" s="283"/>
      <c r="J501" s="304"/>
      <c r="K501" s="283" t="str">
        <f>IFERROR(H501*I501*(1-J501/100),"")</f>
        <v>#ERROR!</v>
      </c>
      <c r="L501" s="283" t="str">
        <f>IFERROR(K501*(INDEX(Config!B:B,MATCH("TVA "&amp;F501,Config!A:A,0))-1),"")</f>
        <v>#ERROR!</v>
      </c>
      <c r="M501" s="283" t="str">
        <f>IFERROR(K501+L501,"")</f>
        <v>#ERROR!</v>
      </c>
      <c r="N501" s="240"/>
    </row>
    <row r="502">
      <c r="A502" s="301"/>
      <c r="B502" s="227"/>
      <c r="C502" s="227"/>
      <c r="D502" s="227"/>
      <c r="E502" s="227"/>
      <c r="F502" s="227" t="str">
        <f>IFERROR(INDEX(Recettes!C:C,MATCH(E502,Recettes!B:B,0)),"")</f>
        <v>#ERROR!</v>
      </c>
      <c r="G502" s="227"/>
      <c r="H502" s="227"/>
      <c r="I502" s="281"/>
      <c r="J502" s="302"/>
      <c r="K502" s="281" t="str">
        <f>IFERROR(H502*I502*(1-J502/100),"")</f>
        <v>#ERROR!</v>
      </c>
      <c r="L502" s="281" t="str">
        <f>IFERROR(K502*(INDEX(Config!B:B,MATCH("TVA "&amp;F502,Config!A:A,0))-1),"")</f>
        <v>#ERROR!</v>
      </c>
      <c r="M502" s="281" t="str">
        <f>IFERROR(K502+L502,"")</f>
        <v>#ERROR!</v>
      </c>
      <c r="N502" s="233"/>
    </row>
    <row r="503">
      <c r="A503" s="303"/>
      <c r="B503" s="235"/>
      <c r="C503" s="235"/>
      <c r="D503" s="235"/>
      <c r="E503" s="235"/>
      <c r="F503" s="235" t="str">
        <f>IFERROR(INDEX(Recettes!C:C,MATCH(E503,Recettes!B:B,0)),"")</f>
        <v>#ERROR!</v>
      </c>
      <c r="G503" s="235"/>
      <c r="H503" s="235"/>
      <c r="I503" s="283"/>
      <c r="J503" s="304"/>
      <c r="K503" s="283" t="str">
        <f>IFERROR(H503*I503*(1-J503/100),"")</f>
        <v>#ERROR!</v>
      </c>
      <c r="L503" s="283" t="str">
        <f>IFERROR(K503*(INDEX(Config!B:B,MATCH("TVA "&amp;F503,Config!A:A,0))-1),"")</f>
        <v>#ERROR!</v>
      </c>
      <c r="M503" s="283" t="str">
        <f>IFERROR(K503+L503,"")</f>
        <v>#ERROR!</v>
      </c>
      <c r="N503" s="240"/>
    </row>
    <row r="504">
      <c r="A504" s="305"/>
      <c r="B504" s="246"/>
      <c r="C504" s="246"/>
      <c r="D504" s="246"/>
      <c r="E504" s="246"/>
      <c r="F504" s="246" t="str">
        <f>IFERROR(INDEX(Recettes!C:C,MATCH(E504,Recettes!B:B,0)),"")</f>
        <v>#ERROR!</v>
      </c>
      <c r="G504" s="246"/>
      <c r="H504" s="246"/>
      <c r="I504" s="285"/>
      <c r="J504" s="306"/>
      <c r="K504" s="285" t="str">
        <f>IFERROR(H504*I504*(1-J504/100),"")</f>
        <v>#ERROR!</v>
      </c>
      <c r="L504" s="285" t="str">
        <f>IFERROR(K504*(INDEX(Config!B:B,MATCH("TVA "&amp;F504,Config!A:A,0))-1),"")</f>
        <v>#ERROR!</v>
      </c>
      <c r="M504" s="285" t="str">
        <f>IFERROR(K504+L504,"")</f>
        <v>#ERROR!</v>
      </c>
      <c r="N504" s="251"/>
    </row>
  </sheetData>
  <mergeCells count="3">
    <mergeCell ref="A1:N1"/>
    <mergeCell ref="A2:N2"/>
    <mergeCell ref="A3:N3"/>
  </mergeCells>
  <dataValidations>
    <dataValidation type="list" allowBlank="1" sqref="G5:G504">
      <formula1>"RR100-290,RR100-370,RR100-580,RR100-850,RR100-1050,RR100-1550,W60-050,W60-080,W60-160"</formula1>
    </dataValidation>
    <dataValidation type="list" allowBlank="1" sqref="E5:E504">
      <formula1>"Rillettes du Chef,Pate du Chef,Mousse du Chef,Plat Traiteur du Chef,Dessert du Chef - Creme Vanill,Pate de Campagne Maison 41,Pate Echalote &amp; Thym Citron,Pate Basque Piment d'Espelette,Pate Pleurotes &amp; Persil Plat,Pate Chataigne Ardeche,Pate Echalotes Gri"&amp;"ses d'Anjou,Rillettes Classiques au Thym,Rillettes Poireaux Confits,Rillettes Gingembre &amp; Citron,Rillettes Poivre de Madagascar,Rillettes Poireaux Confits Nord,Rillettes Curry Vert Reunion,Mousse Brandade de Morue,Saucisses Lentilles Puy,Bourguignon de Bo"&amp;"euf,Pot-au-Feu de Boeuf,Saute Porc &amp; Puree,Cassoulet Maison 41,Garbure Bearnaise,Creme Oeufs Vanille Bourbon,Creme Chocolat Noir 70%,Creme Caramel Renversee,Riz au Lait Cannelle &amp; Orange,Far Breton aux Pruneaux"</formula1>
    </dataValidation>
    <dataValidation type="list" allowBlank="1" sqref="C5:C504">
      <formula1>"B to C Marches,E-commerce,Restaurants,Epiceries fines,Hotels / Airbnb,GMS"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392B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3" width="22.63"/>
    <col customWidth="1" min="4" max="16" width="11.38"/>
  </cols>
  <sheetData>
    <row r="1" ht="25.5" customHeight="1">
      <c r="A1" s="30" t="s">
        <v>753</v>
      </c>
    </row>
    <row r="2" ht="25.5" customHeight="1">
      <c r="A2" s="40" t="s">
        <v>754</v>
      </c>
    </row>
    <row r="3" ht="21.0" customHeight="1">
      <c r="A3" s="31" t="s">
        <v>755</v>
      </c>
      <c r="B3" s="31" t="s">
        <v>75</v>
      </c>
      <c r="C3" s="31" t="s">
        <v>756</v>
      </c>
      <c r="D3" s="31" t="s">
        <v>757</v>
      </c>
      <c r="E3" s="31" t="s">
        <v>758</v>
      </c>
      <c r="F3" s="31" t="s">
        <v>759</v>
      </c>
      <c r="G3" s="31" t="s">
        <v>760</v>
      </c>
      <c r="H3" s="31" t="s">
        <v>761</v>
      </c>
      <c r="I3" s="31" t="s">
        <v>762</v>
      </c>
      <c r="J3" s="31" t="s">
        <v>763</v>
      </c>
      <c r="K3" s="31" t="s">
        <v>764</v>
      </c>
      <c r="L3" s="31" t="s">
        <v>765</v>
      </c>
      <c r="M3" s="31" t="s">
        <v>766</v>
      </c>
      <c r="N3" s="31" t="s">
        <v>767</v>
      </c>
      <c r="O3" s="31" t="s">
        <v>768</v>
      </c>
      <c r="P3" s="31" t="s">
        <v>769</v>
      </c>
    </row>
    <row r="4" ht="16.5" customHeight="1">
      <c r="A4" s="43" t="s">
        <v>770</v>
      </c>
      <c r="B4" s="307" t="s">
        <v>771</v>
      </c>
      <c r="C4" s="308">
        <v>800.0</v>
      </c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10">
        <f t="shared" ref="P4:P16" si="1">SUM(D4:O4)</f>
        <v>0</v>
      </c>
    </row>
    <row r="5" ht="16.5" customHeight="1">
      <c r="A5" s="51" t="s">
        <v>772</v>
      </c>
      <c r="B5" s="307" t="s">
        <v>771</v>
      </c>
      <c r="C5" s="311">
        <v>180.0</v>
      </c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10">
        <f t="shared" si="1"/>
        <v>0</v>
      </c>
    </row>
    <row r="6" ht="16.5" customHeight="1">
      <c r="A6" s="43" t="s">
        <v>773</v>
      </c>
      <c r="B6" s="307" t="s">
        <v>771</v>
      </c>
      <c r="C6" s="308">
        <v>250.0</v>
      </c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10">
        <f t="shared" si="1"/>
        <v>0</v>
      </c>
    </row>
    <row r="7" ht="16.5" customHeight="1">
      <c r="A7" s="51" t="s">
        <v>774</v>
      </c>
      <c r="B7" s="307" t="s">
        <v>771</v>
      </c>
      <c r="C7" s="311">
        <v>120.0</v>
      </c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10">
        <f t="shared" si="1"/>
        <v>0</v>
      </c>
    </row>
    <row r="8" ht="16.5" customHeight="1">
      <c r="A8" s="43" t="s">
        <v>775</v>
      </c>
      <c r="B8" s="307" t="s">
        <v>771</v>
      </c>
      <c r="C8" s="308">
        <v>11.0</v>
      </c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10">
        <f t="shared" si="1"/>
        <v>0</v>
      </c>
    </row>
    <row r="9" ht="16.5" customHeight="1">
      <c r="A9" s="51" t="s">
        <v>776</v>
      </c>
      <c r="B9" s="307" t="s">
        <v>771</v>
      </c>
      <c r="C9" s="311">
        <v>2400.0</v>
      </c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10">
        <f t="shared" si="1"/>
        <v>0</v>
      </c>
    </row>
    <row r="10" ht="16.5" customHeight="1">
      <c r="A10" s="43" t="s">
        <v>777</v>
      </c>
      <c r="B10" s="307" t="s">
        <v>771</v>
      </c>
      <c r="C10" s="308">
        <v>1073.0</v>
      </c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10">
        <f t="shared" si="1"/>
        <v>0</v>
      </c>
    </row>
    <row r="11" ht="16.5" customHeight="1">
      <c r="A11" s="51" t="s">
        <v>778</v>
      </c>
      <c r="B11" s="312" t="s">
        <v>779</v>
      </c>
      <c r="C11" s="311">
        <v>350.0</v>
      </c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10">
        <f t="shared" si="1"/>
        <v>0</v>
      </c>
    </row>
    <row r="12" ht="16.5" customHeight="1">
      <c r="A12" s="43" t="s">
        <v>780</v>
      </c>
      <c r="B12" s="313" t="s">
        <v>781</v>
      </c>
      <c r="C12" s="308">
        <v>300.0</v>
      </c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10">
        <f t="shared" si="1"/>
        <v>0</v>
      </c>
    </row>
    <row r="13" ht="16.5" customHeight="1">
      <c r="A13" s="51" t="s">
        <v>782</v>
      </c>
      <c r="B13" s="313" t="s">
        <v>781</v>
      </c>
      <c r="C13" s="311">
        <v>150.0</v>
      </c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10">
        <f t="shared" si="1"/>
        <v>0</v>
      </c>
    </row>
    <row r="14" ht="16.5" customHeight="1">
      <c r="A14" s="43" t="s">
        <v>783</v>
      </c>
      <c r="B14" s="313" t="s">
        <v>781</v>
      </c>
      <c r="C14" s="308">
        <v>0.0</v>
      </c>
      <c r="D14" s="309"/>
      <c r="E14" s="309"/>
      <c r="F14" s="309"/>
      <c r="G14" s="309"/>
      <c r="H14" s="309"/>
      <c r="I14" s="309"/>
      <c r="J14" s="309"/>
      <c r="K14" s="309"/>
      <c r="L14" s="309"/>
      <c r="M14" s="309"/>
      <c r="N14" s="309"/>
      <c r="O14" s="309"/>
      <c r="P14" s="310">
        <f t="shared" si="1"/>
        <v>0</v>
      </c>
    </row>
    <row r="15" ht="16.5" customHeight="1">
      <c r="A15" s="51" t="s">
        <v>784</v>
      </c>
      <c r="B15" s="313" t="s">
        <v>781</v>
      </c>
      <c r="C15" s="311">
        <v>0.0</v>
      </c>
      <c r="D15" s="309"/>
      <c r="E15" s="309"/>
      <c r="F15" s="309"/>
      <c r="G15" s="309"/>
      <c r="H15" s="309"/>
      <c r="I15" s="309"/>
      <c r="J15" s="309"/>
      <c r="K15" s="309"/>
      <c r="L15" s="309"/>
      <c r="M15" s="309"/>
      <c r="N15" s="309"/>
      <c r="O15" s="309"/>
      <c r="P15" s="310">
        <f t="shared" si="1"/>
        <v>0</v>
      </c>
    </row>
    <row r="16" ht="16.5" customHeight="1">
      <c r="A16" s="43" t="s">
        <v>785</v>
      </c>
      <c r="B16" s="313" t="s">
        <v>781</v>
      </c>
      <c r="C16" s="308">
        <v>215.0</v>
      </c>
      <c r="D16" s="309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310">
        <f t="shared" si="1"/>
        <v>0</v>
      </c>
    </row>
    <row r="17">
      <c r="A17" s="27" t="s">
        <v>786</v>
      </c>
      <c r="B17" s="27" t="s">
        <v>771</v>
      </c>
      <c r="C17" s="55">
        <v>800.0</v>
      </c>
      <c r="D17" s="55">
        <v>750.0</v>
      </c>
      <c r="E17" s="314">
        <v>46082.0</v>
      </c>
      <c r="F17" s="27" t="s">
        <v>787</v>
      </c>
    </row>
    <row r="18" ht="19.5" customHeight="1">
      <c r="A18" s="131" t="s">
        <v>788</v>
      </c>
      <c r="D18" s="132">
        <f t="shared" ref="D18:O18" si="2">SUM(D4:D16)</f>
        <v>0</v>
      </c>
      <c r="E18" s="132">
        <f t="shared" si="2"/>
        <v>0</v>
      </c>
      <c r="F18" s="132">
        <f t="shared" si="2"/>
        <v>0</v>
      </c>
      <c r="G18" s="132">
        <f t="shared" si="2"/>
        <v>0</v>
      </c>
      <c r="H18" s="132">
        <f t="shared" si="2"/>
        <v>0</v>
      </c>
      <c r="I18" s="132">
        <f t="shared" si="2"/>
        <v>0</v>
      </c>
      <c r="J18" s="132">
        <f t="shared" si="2"/>
        <v>0</v>
      </c>
      <c r="K18" s="132">
        <f t="shared" si="2"/>
        <v>0</v>
      </c>
      <c r="L18" s="132">
        <f t="shared" si="2"/>
        <v>0</v>
      </c>
      <c r="M18" s="132">
        <f t="shared" si="2"/>
        <v>0</v>
      </c>
      <c r="N18" s="132">
        <f t="shared" si="2"/>
        <v>0</v>
      </c>
      <c r="O18" s="132">
        <f t="shared" si="2"/>
        <v>0</v>
      </c>
      <c r="P18" s="315">
        <f>SUM(D18:O18)</f>
        <v>0</v>
      </c>
    </row>
  </sheetData>
  <mergeCells count="3">
    <mergeCell ref="A1:P1"/>
    <mergeCell ref="A2:P2"/>
    <mergeCell ref="A18:C18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449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2" width="16.38"/>
  </cols>
  <sheetData>
    <row r="1" ht="25.5" customHeight="1">
      <c r="A1" s="30" t="s">
        <v>789</v>
      </c>
    </row>
    <row r="2" ht="25.5" customHeight="1">
      <c r="A2" s="182" t="s">
        <v>790</v>
      </c>
    </row>
    <row r="3" ht="21.0" customHeight="1">
      <c r="A3" s="31" t="s">
        <v>791</v>
      </c>
      <c r="B3" s="31" t="s">
        <v>792</v>
      </c>
      <c r="C3" s="31" t="s">
        <v>793</v>
      </c>
      <c r="D3" s="31" t="s">
        <v>794</v>
      </c>
      <c r="E3" s="31" t="s">
        <v>795</v>
      </c>
      <c r="F3" s="31" t="s">
        <v>796</v>
      </c>
      <c r="G3" s="31" t="s">
        <v>797</v>
      </c>
      <c r="H3" s="31" t="s">
        <v>798</v>
      </c>
      <c r="I3" s="31" t="s">
        <v>799</v>
      </c>
      <c r="J3" s="31" t="s">
        <v>800</v>
      </c>
      <c r="K3" s="31" t="s">
        <v>801</v>
      </c>
      <c r="L3" s="31" t="s">
        <v>802</v>
      </c>
    </row>
    <row r="4" ht="16.5" customHeight="1">
      <c r="A4" s="183" t="s">
        <v>757</v>
      </c>
      <c r="B4" s="316"/>
      <c r="C4" s="317">
        <v>0.0</v>
      </c>
      <c r="D4" s="258" t="str">
        <f>IFERROR(C4-B4,"")</f>
        <v>#ERROR!</v>
      </c>
      <c r="E4" s="316"/>
      <c r="F4" s="318"/>
      <c r="G4" s="319" t="str">
        <f>IFERROR(F4-E4,"")</f>
        <v>#ERROR!</v>
      </c>
      <c r="H4" s="316"/>
      <c r="I4" s="318"/>
      <c r="J4" s="257" t="str">
        <f>IFERROR(I4-H4,"")</f>
        <v>#ERROR!</v>
      </c>
      <c r="K4" s="308">
        <v>0.0</v>
      </c>
      <c r="L4" s="258" t="str">
        <f>IFERROR(C4-K4,"")</f>
        <v>#ERROR!</v>
      </c>
    </row>
    <row r="5" ht="16.5" customHeight="1">
      <c r="A5" s="320" t="s">
        <v>758</v>
      </c>
      <c r="B5" s="316"/>
      <c r="C5" s="317">
        <v>0.0</v>
      </c>
      <c r="D5" s="260" t="str">
        <f>IFERROR(C5-B5,"")</f>
        <v>#ERROR!</v>
      </c>
      <c r="E5" s="316"/>
      <c r="F5" s="318"/>
      <c r="G5" s="321" t="str">
        <f>IFERROR(F5-E5,"")</f>
        <v>#ERROR!</v>
      </c>
      <c r="H5" s="316"/>
      <c r="I5" s="318"/>
      <c r="J5" s="259" t="str">
        <f>IFERROR(I5-H5,"")</f>
        <v>#ERROR!</v>
      </c>
      <c r="K5" s="311">
        <v>0.0</v>
      </c>
      <c r="L5" s="260" t="str">
        <f>IFERROR(C5-K5,"")</f>
        <v>#ERROR!</v>
      </c>
    </row>
    <row r="6" ht="16.5" customHeight="1">
      <c r="A6" s="183" t="s">
        <v>759</v>
      </c>
      <c r="B6" s="316"/>
      <c r="C6" s="317">
        <v>0.0</v>
      </c>
      <c r="D6" s="258" t="str">
        <f>IFERROR(C6-B6,"")</f>
        <v>#ERROR!</v>
      </c>
      <c r="E6" s="316"/>
      <c r="F6" s="318"/>
      <c r="G6" s="319" t="str">
        <f>IFERROR(F6-E6,"")</f>
        <v>#ERROR!</v>
      </c>
      <c r="H6" s="316"/>
      <c r="I6" s="318"/>
      <c r="J6" s="257" t="str">
        <f>IFERROR(I6-H6,"")</f>
        <v>#ERROR!</v>
      </c>
      <c r="K6" s="308">
        <v>0.0</v>
      </c>
      <c r="L6" s="258" t="str">
        <f>IFERROR(C6-K6,"")</f>
        <v>#ERROR!</v>
      </c>
    </row>
    <row r="7" ht="16.5" customHeight="1">
      <c r="A7" s="320" t="s">
        <v>760</v>
      </c>
      <c r="B7" s="316"/>
      <c r="C7" s="317">
        <v>0.0</v>
      </c>
      <c r="D7" s="260" t="str">
        <f>IFERROR(C7-B7,"")</f>
        <v>#ERROR!</v>
      </c>
      <c r="E7" s="316"/>
      <c r="F7" s="318"/>
      <c r="G7" s="321" t="str">
        <f>IFERROR(F7-E7,"")</f>
        <v>#ERROR!</v>
      </c>
      <c r="H7" s="316"/>
      <c r="I7" s="318"/>
      <c r="J7" s="259" t="str">
        <f>IFERROR(I7-H7,"")</f>
        <v>#ERROR!</v>
      </c>
      <c r="K7" s="311">
        <v>0.0</v>
      </c>
      <c r="L7" s="260" t="str">
        <f>IFERROR(C7-K7,"")</f>
        <v>#ERROR!</v>
      </c>
    </row>
    <row r="8" ht="16.5" customHeight="1">
      <c r="A8" s="183" t="s">
        <v>761</v>
      </c>
      <c r="B8" s="316"/>
      <c r="C8" s="317">
        <v>0.0</v>
      </c>
      <c r="D8" s="258" t="str">
        <f>IFERROR(C8-B8,"")</f>
        <v>#ERROR!</v>
      </c>
      <c r="E8" s="316"/>
      <c r="F8" s="318"/>
      <c r="G8" s="319" t="str">
        <f>IFERROR(F8-E8,"")</f>
        <v>#ERROR!</v>
      </c>
      <c r="H8" s="316"/>
      <c r="I8" s="318"/>
      <c r="J8" s="257" t="str">
        <f>IFERROR(I8-H8,"")</f>
        <v>#ERROR!</v>
      </c>
      <c r="K8" s="308">
        <v>0.0</v>
      </c>
      <c r="L8" s="258" t="str">
        <f>IFERROR(C8-K8,"")</f>
        <v>#ERROR!</v>
      </c>
    </row>
    <row r="9" ht="16.5" customHeight="1">
      <c r="A9" s="320" t="s">
        <v>762</v>
      </c>
      <c r="B9" s="316"/>
      <c r="C9" s="317">
        <v>0.0</v>
      </c>
      <c r="D9" s="260" t="str">
        <f>IFERROR(C9-B9,"")</f>
        <v>#ERROR!</v>
      </c>
      <c r="E9" s="316"/>
      <c r="F9" s="318"/>
      <c r="G9" s="321" t="str">
        <f>IFERROR(F9-E9,"")</f>
        <v>#ERROR!</v>
      </c>
      <c r="H9" s="316"/>
      <c r="I9" s="318"/>
      <c r="J9" s="259" t="str">
        <f>IFERROR(I9-H9,"")</f>
        <v>#ERROR!</v>
      </c>
      <c r="K9" s="311">
        <v>0.0</v>
      </c>
      <c r="L9" s="260" t="str">
        <f>IFERROR(C9-K9,"")</f>
        <v>#ERROR!</v>
      </c>
    </row>
    <row r="10" ht="16.5" customHeight="1">
      <c r="A10" s="183" t="s">
        <v>763</v>
      </c>
      <c r="B10" s="316"/>
      <c r="C10" s="317">
        <v>0.0</v>
      </c>
      <c r="D10" s="258" t="str">
        <f>IFERROR(C10-B10,"")</f>
        <v>#ERROR!</v>
      </c>
      <c r="E10" s="316"/>
      <c r="F10" s="318"/>
      <c r="G10" s="319" t="str">
        <f>IFERROR(F10-E10,"")</f>
        <v>#ERROR!</v>
      </c>
      <c r="H10" s="316"/>
      <c r="I10" s="318"/>
      <c r="J10" s="257" t="str">
        <f>IFERROR(I10-H10,"")</f>
        <v>#ERROR!</v>
      </c>
      <c r="K10" s="308">
        <v>0.0</v>
      </c>
      <c r="L10" s="258" t="str">
        <f>IFERROR(C10-K10,"")</f>
        <v>#ERROR!</v>
      </c>
    </row>
    <row r="11" ht="16.5" customHeight="1">
      <c r="A11" s="320" t="s">
        <v>764</v>
      </c>
      <c r="B11" s="316"/>
      <c r="C11" s="317">
        <v>0.0</v>
      </c>
      <c r="D11" s="260" t="str">
        <f>IFERROR(C11-B11,"")</f>
        <v>#ERROR!</v>
      </c>
      <c r="E11" s="316"/>
      <c r="F11" s="318"/>
      <c r="G11" s="321" t="str">
        <f>IFERROR(F11-E11,"")</f>
        <v>#ERROR!</v>
      </c>
      <c r="H11" s="316"/>
      <c r="I11" s="318"/>
      <c r="J11" s="259" t="str">
        <f>IFERROR(I11-H11,"")</f>
        <v>#ERROR!</v>
      </c>
      <c r="K11" s="311">
        <v>0.0</v>
      </c>
      <c r="L11" s="260" t="str">
        <f>IFERROR(C11-K11,"")</f>
        <v>#ERROR!</v>
      </c>
    </row>
    <row r="12" ht="16.5" customHeight="1">
      <c r="A12" s="183" t="s">
        <v>765</v>
      </c>
      <c r="B12" s="316"/>
      <c r="C12" s="317">
        <v>0.0</v>
      </c>
      <c r="D12" s="258" t="str">
        <f>IFERROR(C12-B12,"")</f>
        <v>#ERROR!</v>
      </c>
      <c r="E12" s="316"/>
      <c r="F12" s="318"/>
      <c r="G12" s="319" t="str">
        <f>IFERROR(F12-E12,"")</f>
        <v>#ERROR!</v>
      </c>
      <c r="H12" s="316"/>
      <c r="I12" s="318"/>
      <c r="J12" s="257" t="str">
        <f>IFERROR(I12-H12,"")</f>
        <v>#ERROR!</v>
      </c>
      <c r="K12" s="308">
        <v>0.0</v>
      </c>
      <c r="L12" s="258" t="str">
        <f>IFERROR(C12-K12,"")</f>
        <v>#ERROR!</v>
      </c>
    </row>
    <row r="13" ht="16.5" customHeight="1">
      <c r="A13" s="320" t="s">
        <v>766</v>
      </c>
      <c r="B13" s="316"/>
      <c r="C13" s="317">
        <v>0.0</v>
      </c>
      <c r="D13" s="260" t="str">
        <f>IFERROR(C13-B13,"")</f>
        <v>#ERROR!</v>
      </c>
      <c r="E13" s="316"/>
      <c r="F13" s="318"/>
      <c r="G13" s="321" t="str">
        <f>IFERROR(F13-E13,"")</f>
        <v>#ERROR!</v>
      </c>
      <c r="H13" s="316"/>
      <c r="I13" s="318"/>
      <c r="J13" s="259" t="str">
        <f>IFERROR(I13-H13,"")</f>
        <v>#ERROR!</v>
      </c>
      <c r="K13" s="311">
        <v>0.0</v>
      </c>
      <c r="L13" s="260" t="str">
        <f>IFERROR(C13-K13,"")</f>
        <v>#ERROR!</v>
      </c>
    </row>
    <row r="14" ht="16.5" customHeight="1">
      <c r="A14" s="183" t="s">
        <v>767</v>
      </c>
      <c r="B14" s="316"/>
      <c r="C14" s="317">
        <v>0.0</v>
      </c>
      <c r="D14" s="258" t="str">
        <f>IFERROR(C14-B14,"")</f>
        <v>#ERROR!</v>
      </c>
      <c r="E14" s="316"/>
      <c r="F14" s="318"/>
      <c r="G14" s="319" t="str">
        <f>IFERROR(F14-E14,"")</f>
        <v>#ERROR!</v>
      </c>
      <c r="H14" s="316"/>
      <c r="I14" s="318"/>
      <c r="J14" s="257" t="str">
        <f>IFERROR(I14-H14,"")</f>
        <v>#ERROR!</v>
      </c>
      <c r="K14" s="308">
        <v>0.0</v>
      </c>
      <c r="L14" s="258" t="str">
        <f>IFERROR(C14-K14,"")</f>
        <v>#ERROR!</v>
      </c>
    </row>
    <row r="15" ht="16.5" customHeight="1">
      <c r="A15" s="320" t="s">
        <v>768</v>
      </c>
      <c r="B15" s="316"/>
      <c r="C15" s="317">
        <v>0.0</v>
      </c>
      <c r="D15" s="260" t="str">
        <f>IFERROR(C15-B15,"")</f>
        <v>#ERROR!</v>
      </c>
      <c r="E15" s="316"/>
      <c r="F15" s="318"/>
      <c r="G15" s="321" t="str">
        <f>IFERROR(F15-E15,"")</f>
        <v>#ERROR!</v>
      </c>
      <c r="H15" s="316"/>
      <c r="I15" s="318"/>
      <c r="J15" s="259" t="str">
        <f>IFERROR(I15-H15,"")</f>
        <v>#ERROR!</v>
      </c>
      <c r="K15" s="311">
        <v>0.0</v>
      </c>
      <c r="L15" s="260" t="str">
        <f>IFERROR(C15-K15,"")</f>
        <v>#ERROR!</v>
      </c>
    </row>
  </sheetData>
  <mergeCells count="2">
    <mergeCell ref="A1:L1"/>
    <mergeCell ref="A2:L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366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16.38"/>
    <col customWidth="1" min="3" max="3" width="17.63"/>
    <col customWidth="1" min="4" max="4" width="27.63"/>
    <col customWidth="1" min="5" max="5" width="15.13"/>
    <col customWidth="1" min="6" max="6" width="10.13"/>
    <col customWidth="1" min="7" max="8" width="13.88"/>
    <col customWidth="1" min="9" max="9" width="16.38"/>
    <col customWidth="1" min="10" max="10" width="22.63"/>
  </cols>
  <sheetData>
    <row r="1" ht="25.5" customHeight="1">
      <c r="A1" s="30" t="s">
        <v>803</v>
      </c>
    </row>
    <row r="2" ht="25.5" customHeight="1">
      <c r="A2" s="123" t="s">
        <v>804</v>
      </c>
    </row>
    <row r="3" ht="21.0" customHeight="1">
      <c r="A3" s="31" t="s">
        <v>73</v>
      </c>
      <c r="B3" s="31" t="s">
        <v>75</v>
      </c>
      <c r="C3" s="31" t="s">
        <v>54</v>
      </c>
      <c r="D3" s="31" t="s">
        <v>559</v>
      </c>
      <c r="E3" s="31" t="s">
        <v>805</v>
      </c>
      <c r="F3" s="31" t="s">
        <v>806</v>
      </c>
      <c r="G3" s="31" t="s">
        <v>83</v>
      </c>
      <c r="H3" s="31" t="s">
        <v>807</v>
      </c>
      <c r="I3" s="31" t="s">
        <v>808</v>
      </c>
      <c r="J3" s="31" t="s">
        <v>61</v>
      </c>
    </row>
    <row r="4">
      <c r="A4" s="290">
        <v>46111.08333333333</v>
      </c>
      <c r="B4" s="216" t="s">
        <v>809</v>
      </c>
      <c r="C4" s="216" t="s">
        <v>810</v>
      </c>
      <c r="D4" s="216" t="s">
        <v>811</v>
      </c>
      <c r="E4" s="221">
        <v>11.8</v>
      </c>
      <c r="F4" s="221">
        <v>5.5</v>
      </c>
      <c r="G4" s="291">
        <v>12.449</v>
      </c>
      <c r="H4" s="291" t="s">
        <v>812</v>
      </c>
      <c r="I4" s="217"/>
      <c r="J4" s="223"/>
    </row>
    <row r="5">
      <c r="A5" s="293">
        <v>46112.08333333333</v>
      </c>
      <c r="B5" s="226" t="s">
        <v>809</v>
      </c>
      <c r="C5" s="226" t="s">
        <v>813</v>
      </c>
      <c r="D5" s="226" t="s">
        <v>814</v>
      </c>
      <c r="E5" s="231">
        <v>3.3175355450236967</v>
      </c>
      <c r="F5" s="231">
        <v>5.5</v>
      </c>
      <c r="G5" s="294">
        <v>3.5</v>
      </c>
      <c r="H5" s="294" t="s">
        <v>812</v>
      </c>
      <c r="I5" s="227"/>
      <c r="J5" s="233"/>
    </row>
    <row r="6">
      <c r="A6" s="296">
        <v>46112.08333333333</v>
      </c>
      <c r="B6" s="234" t="s">
        <v>809</v>
      </c>
      <c r="C6" s="234" t="s">
        <v>813</v>
      </c>
      <c r="D6" s="234" t="s">
        <v>815</v>
      </c>
      <c r="E6" s="238">
        <v>7.109004739336493</v>
      </c>
      <c r="F6" s="238">
        <v>5.5</v>
      </c>
      <c r="G6" s="297">
        <v>7.5</v>
      </c>
      <c r="H6" s="297" t="s">
        <v>812</v>
      </c>
      <c r="I6" s="235"/>
      <c r="J6" s="240"/>
    </row>
    <row r="7">
      <c r="A7" s="293">
        <v>46112.08333333333</v>
      </c>
      <c r="B7" s="226" t="s">
        <v>809</v>
      </c>
      <c r="C7" s="226" t="s">
        <v>813</v>
      </c>
      <c r="D7" s="226" t="s">
        <v>815</v>
      </c>
      <c r="E7" s="231">
        <v>4.644549763033176</v>
      </c>
      <c r="F7" s="231">
        <v>5.5</v>
      </c>
      <c r="G7" s="294">
        <v>4.9</v>
      </c>
      <c r="H7" s="294" t="s">
        <v>812</v>
      </c>
      <c r="I7" s="227"/>
      <c r="J7" s="233"/>
    </row>
    <row r="8">
      <c r="A8" s="296">
        <v>46112.08333333333</v>
      </c>
      <c r="B8" s="234" t="s">
        <v>809</v>
      </c>
      <c r="C8" s="234" t="s">
        <v>813</v>
      </c>
      <c r="D8" s="234" t="s">
        <v>816</v>
      </c>
      <c r="E8" s="238">
        <v>12.227488151658768</v>
      </c>
      <c r="F8" s="238">
        <v>5.5</v>
      </c>
      <c r="G8" s="297">
        <v>12.9</v>
      </c>
      <c r="H8" s="297" t="s">
        <v>812</v>
      </c>
      <c r="I8" s="235"/>
      <c r="J8" s="240"/>
    </row>
    <row r="9">
      <c r="A9" s="293">
        <v>46113.08333333333</v>
      </c>
      <c r="B9" s="226" t="s">
        <v>809</v>
      </c>
      <c r="C9" s="226" t="s">
        <v>810</v>
      </c>
      <c r="D9" s="226" t="s">
        <v>817</v>
      </c>
      <c r="E9" s="231">
        <v>30.0</v>
      </c>
      <c r="F9" s="231">
        <v>5.5</v>
      </c>
      <c r="G9" s="294">
        <v>1.65</v>
      </c>
      <c r="H9" s="294">
        <v>31.65</v>
      </c>
      <c r="I9" s="226" t="s">
        <v>812</v>
      </c>
      <c r="J9" s="299" t="s">
        <v>739</v>
      </c>
    </row>
    <row r="10">
      <c r="A10" s="296">
        <v>46113.08333333333</v>
      </c>
      <c r="B10" s="234" t="s">
        <v>809</v>
      </c>
      <c r="C10" s="234" t="s">
        <v>813</v>
      </c>
      <c r="D10" s="234" t="s">
        <v>818</v>
      </c>
      <c r="E10" s="238">
        <v>16.587677725118485</v>
      </c>
      <c r="F10" s="238">
        <v>5.5</v>
      </c>
      <c r="G10" s="297">
        <v>0.9123222748815166</v>
      </c>
      <c r="H10" s="297">
        <v>17.500000000000004</v>
      </c>
      <c r="I10" s="234" t="s">
        <v>812</v>
      </c>
      <c r="J10" s="300" t="s">
        <v>740</v>
      </c>
    </row>
    <row r="11">
      <c r="A11" s="293">
        <v>46113.08333333333</v>
      </c>
      <c r="B11" s="226" t="s">
        <v>809</v>
      </c>
      <c r="C11" s="226" t="s">
        <v>813</v>
      </c>
      <c r="D11" s="226" t="s">
        <v>819</v>
      </c>
      <c r="E11" s="231">
        <v>5.592417061611375</v>
      </c>
      <c r="F11" s="231">
        <v>5.5</v>
      </c>
      <c r="G11" s="294">
        <v>0.30758293838862566</v>
      </c>
      <c r="H11" s="294">
        <v>5.9</v>
      </c>
      <c r="I11" s="226" t="s">
        <v>812</v>
      </c>
      <c r="J11" s="299" t="s">
        <v>743</v>
      </c>
    </row>
    <row r="12">
      <c r="A12" s="296">
        <v>46113.08333333333</v>
      </c>
      <c r="B12" s="234" t="s">
        <v>809</v>
      </c>
      <c r="C12" s="234" t="s">
        <v>813</v>
      </c>
      <c r="D12" s="234" t="s">
        <v>818</v>
      </c>
      <c r="E12" s="238">
        <v>3.3175355450236967</v>
      </c>
      <c r="F12" s="238">
        <v>5.5</v>
      </c>
      <c r="G12" s="297">
        <v>0.18246445497630334</v>
      </c>
      <c r="H12" s="297">
        <v>3.5</v>
      </c>
      <c r="I12" s="234" t="s">
        <v>812</v>
      </c>
      <c r="J12" s="300" t="s">
        <v>744</v>
      </c>
    </row>
    <row r="13">
      <c r="A13" s="293">
        <v>46113.08333333333</v>
      </c>
      <c r="B13" s="226" t="s">
        <v>809</v>
      </c>
      <c r="C13" s="226" t="s">
        <v>813</v>
      </c>
      <c r="D13" s="226" t="s">
        <v>819</v>
      </c>
      <c r="E13" s="231">
        <v>13.175355450236967</v>
      </c>
      <c r="F13" s="231">
        <v>5.5</v>
      </c>
      <c r="G13" s="294">
        <v>0.7246445497630332</v>
      </c>
      <c r="H13" s="294">
        <v>13.9</v>
      </c>
      <c r="I13" s="226" t="s">
        <v>812</v>
      </c>
      <c r="J13" s="299" t="s">
        <v>745</v>
      </c>
    </row>
    <row r="14">
      <c r="A14" s="296">
        <v>46113.08333333333</v>
      </c>
      <c r="B14" s="234" t="s">
        <v>809</v>
      </c>
      <c r="C14" s="234" t="s">
        <v>813</v>
      </c>
      <c r="D14" s="234" t="s">
        <v>819</v>
      </c>
      <c r="E14" s="238">
        <v>3.3175355450236967</v>
      </c>
      <c r="F14" s="238">
        <v>5.5</v>
      </c>
      <c r="G14" s="297">
        <v>0.18246445497630334</v>
      </c>
      <c r="H14" s="297">
        <v>3.5</v>
      </c>
      <c r="I14" s="234" t="s">
        <v>812</v>
      </c>
      <c r="J14" s="300" t="s">
        <v>746</v>
      </c>
    </row>
    <row r="15">
      <c r="A15" s="293">
        <v>46113.08333333333</v>
      </c>
      <c r="B15" s="226" t="s">
        <v>809</v>
      </c>
      <c r="C15" s="226" t="s">
        <v>813</v>
      </c>
      <c r="D15" s="226" t="s">
        <v>819</v>
      </c>
      <c r="E15" s="231">
        <v>16.966824644549764</v>
      </c>
      <c r="F15" s="231">
        <v>5.5</v>
      </c>
      <c r="G15" s="294">
        <v>0.933175355450237</v>
      </c>
      <c r="H15" s="294">
        <v>17.900000000000002</v>
      </c>
      <c r="I15" s="226" t="s">
        <v>812</v>
      </c>
      <c r="J15" s="299" t="s">
        <v>747</v>
      </c>
    </row>
    <row r="16">
      <c r="A16" s="296">
        <v>46113.08333333333</v>
      </c>
      <c r="B16" s="234" t="s">
        <v>809</v>
      </c>
      <c r="C16" s="234" t="s">
        <v>813</v>
      </c>
      <c r="D16" s="234" t="s">
        <v>820</v>
      </c>
      <c r="E16" s="238">
        <v>9.383886255924171</v>
      </c>
      <c r="F16" s="238">
        <v>5.5</v>
      </c>
      <c r="G16" s="297">
        <v>0.5161137440758294</v>
      </c>
      <c r="H16" s="297">
        <v>9.9</v>
      </c>
      <c r="I16" s="234" t="s">
        <v>812</v>
      </c>
      <c r="J16" s="300" t="s">
        <v>748</v>
      </c>
    </row>
    <row r="17">
      <c r="A17" s="293">
        <v>46113.08333333333</v>
      </c>
      <c r="B17" s="226" t="s">
        <v>809</v>
      </c>
      <c r="C17" s="226" t="s">
        <v>813</v>
      </c>
      <c r="D17" s="226" t="s">
        <v>821</v>
      </c>
      <c r="E17" s="231">
        <v>13.175355450236967</v>
      </c>
      <c r="F17" s="231">
        <v>5.5</v>
      </c>
      <c r="G17" s="294">
        <v>0.7246445497630332</v>
      </c>
      <c r="H17" s="294">
        <v>13.9</v>
      </c>
      <c r="I17" s="226" t="s">
        <v>812</v>
      </c>
      <c r="J17" s="299" t="s">
        <v>749</v>
      </c>
    </row>
    <row r="18">
      <c r="A18" s="296">
        <v>46113.08333333333</v>
      </c>
      <c r="B18" s="234" t="s">
        <v>809</v>
      </c>
      <c r="C18" s="234" t="s">
        <v>813</v>
      </c>
      <c r="D18" s="234" t="s">
        <v>821</v>
      </c>
      <c r="E18" s="238">
        <v>2.3696682464454977</v>
      </c>
      <c r="F18" s="238">
        <v>5.5</v>
      </c>
      <c r="G18" s="297">
        <v>0.13033175355450236</v>
      </c>
      <c r="H18" s="297">
        <v>2.5</v>
      </c>
      <c r="I18" s="234" t="s">
        <v>812</v>
      </c>
      <c r="J18" s="300" t="s">
        <v>750</v>
      </c>
    </row>
    <row r="19">
      <c r="A19" s="293">
        <v>46113.08333333333</v>
      </c>
      <c r="B19" s="226" t="s">
        <v>809</v>
      </c>
      <c r="C19" s="226" t="s">
        <v>813</v>
      </c>
      <c r="D19" s="226" t="s">
        <v>822</v>
      </c>
      <c r="E19" s="231">
        <v>16.587677725118485</v>
      </c>
      <c r="F19" s="231">
        <v>5.5</v>
      </c>
      <c r="G19" s="294">
        <v>0.9123222748815166</v>
      </c>
      <c r="H19" s="294">
        <v>17.500000000000004</v>
      </c>
      <c r="I19" s="226" t="s">
        <v>812</v>
      </c>
      <c r="J19" s="299" t="s">
        <v>751</v>
      </c>
    </row>
    <row r="20">
      <c r="A20" s="296">
        <v>46113.08333333333</v>
      </c>
      <c r="B20" s="234" t="s">
        <v>809</v>
      </c>
      <c r="C20" s="234" t="s">
        <v>813</v>
      </c>
      <c r="D20" s="234" t="s">
        <v>823</v>
      </c>
      <c r="E20" s="238">
        <v>735.0</v>
      </c>
      <c r="F20" s="238">
        <v>5.5</v>
      </c>
      <c r="G20" s="297">
        <v>40.425</v>
      </c>
      <c r="H20" s="297">
        <v>775.425</v>
      </c>
      <c r="I20" s="234" t="s">
        <v>812</v>
      </c>
      <c r="J20" s="300" t="s">
        <v>752</v>
      </c>
    </row>
    <row r="21">
      <c r="A21" s="301"/>
      <c r="B21" s="227"/>
      <c r="C21" s="227"/>
      <c r="D21" s="227"/>
      <c r="E21" s="227"/>
      <c r="F21" s="227"/>
      <c r="G21" s="281" t="str">
        <f>IFERROR(E21*F21,"")</f>
        <v>#ERROR!</v>
      </c>
      <c r="H21" s="281" t="str">
        <f>IFERROR(E21-G21,"")</f>
        <v>#ERROR!</v>
      </c>
      <c r="I21" s="227"/>
      <c r="J21" s="233"/>
    </row>
    <row r="22">
      <c r="A22" s="303"/>
      <c r="B22" s="235"/>
      <c r="C22" s="235"/>
      <c r="D22" s="235"/>
      <c r="E22" s="235"/>
      <c r="F22" s="235"/>
      <c r="G22" s="283" t="str">
        <f>IFERROR(E22*F22,"")</f>
        <v>#ERROR!</v>
      </c>
      <c r="H22" s="283" t="str">
        <f>IFERROR(E22-G22,"")</f>
        <v>#ERROR!</v>
      </c>
      <c r="I22" s="235"/>
      <c r="J22" s="240"/>
    </row>
    <row r="23">
      <c r="A23" s="301"/>
      <c r="B23" s="227"/>
      <c r="C23" s="227"/>
      <c r="D23" s="227"/>
      <c r="E23" s="227"/>
      <c r="F23" s="227"/>
      <c r="G23" s="281" t="str">
        <f>IFERROR(E23*F23,"")</f>
        <v>#ERROR!</v>
      </c>
      <c r="H23" s="281" t="str">
        <f>IFERROR(E23-G23,"")</f>
        <v>#ERROR!</v>
      </c>
      <c r="I23" s="227"/>
      <c r="J23" s="233"/>
    </row>
    <row r="24">
      <c r="A24" s="303"/>
      <c r="B24" s="235"/>
      <c r="C24" s="235"/>
      <c r="D24" s="235"/>
      <c r="E24" s="235"/>
      <c r="F24" s="235"/>
      <c r="G24" s="283" t="str">
        <f>IFERROR(E24*F24,"")</f>
        <v>#ERROR!</v>
      </c>
      <c r="H24" s="283" t="str">
        <f>IFERROR(E24-G24,"")</f>
        <v>#ERROR!</v>
      </c>
      <c r="I24" s="235"/>
      <c r="J24" s="240"/>
    </row>
    <row r="25">
      <c r="A25" s="301"/>
      <c r="B25" s="227"/>
      <c r="C25" s="227"/>
      <c r="D25" s="227"/>
      <c r="E25" s="227"/>
      <c r="F25" s="227"/>
      <c r="G25" s="281" t="str">
        <f>IFERROR(E25*F25,"")</f>
        <v>#ERROR!</v>
      </c>
      <c r="H25" s="281" t="str">
        <f>IFERROR(E25-G25,"")</f>
        <v>#ERROR!</v>
      </c>
      <c r="I25" s="227"/>
      <c r="J25" s="233"/>
    </row>
    <row r="26">
      <c r="A26" s="303"/>
      <c r="B26" s="235"/>
      <c r="C26" s="235"/>
      <c r="D26" s="235"/>
      <c r="E26" s="235"/>
      <c r="F26" s="235"/>
      <c r="G26" s="283" t="str">
        <f>IFERROR(E26*F26,"")</f>
        <v>#ERROR!</v>
      </c>
      <c r="H26" s="283" t="str">
        <f>IFERROR(E26-G26,"")</f>
        <v>#ERROR!</v>
      </c>
      <c r="I26" s="235"/>
      <c r="J26" s="240"/>
    </row>
    <row r="27">
      <c r="A27" s="301"/>
      <c r="B27" s="227"/>
      <c r="C27" s="227"/>
      <c r="D27" s="227"/>
      <c r="E27" s="227"/>
      <c r="F27" s="227"/>
      <c r="G27" s="281" t="str">
        <f>IFERROR(E27*F27,"")</f>
        <v>#ERROR!</v>
      </c>
      <c r="H27" s="281" t="str">
        <f>IFERROR(E27-G27,"")</f>
        <v>#ERROR!</v>
      </c>
      <c r="I27" s="227"/>
      <c r="J27" s="233"/>
    </row>
    <row r="28">
      <c r="A28" s="303"/>
      <c r="B28" s="235"/>
      <c r="C28" s="235"/>
      <c r="D28" s="235"/>
      <c r="E28" s="235"/>
      <c r="F28" s="235"/>
      <c r="G28" s="283" t="str">
        <f>IFERROR(E28*F28,"")</f>
        <v>#ERROR!</v>
      </c>
      <c r="H28" s="283" t="str">
        <f>IFERROR(E28-G28,"")</f>
        <v>#ERROR!</v>
      </c>
      <c r="I28" s="235"/>
      <c r="J28" s="240"/>
    </row>
    <row r="29">
      <c r="A29" s="301"/>
      <c r="B29" s="227"/>
      <c r="C29" s="227"/>
      <c r="D29" s="227"/>
      <c r="E29" s="227"/>
      <c r="F29" s="227"/>
      <c r="G29" s="281" t="str">
        <f>IFERROR(E29*F29,"")</f>
        <v>#ERROR!</v>
      </c>
      <c r="H29" s="281" t="str">
        <f>IFERROR(E29-G29,"")</f>
        <v>#ERROR!</v>
      </c>
      <c r="I29" s="227"/>
      <c r="J29" s="233"/>
    </row>
    <row r="30">
      <c r="A30" s="303"/>
      <c r="B30" s="235"/>
      <c r="C30" s="235"/>
      <c r="D30" s="235"/>
      <c r="E30" s="235"/>
      <c r="F30" s="235"/>
      <c r="G30" s="283" t="str">
        <f>IFERROR(E30*F30,"")</f>
        <v>#ERROR!</v>
      </c>
      <c r="H30" s="283" t="str">
        <f>IFERROR(E30-G30,"")</f>
        <v>#ERROR!</v>
      </c>
      <c r="I30" s="235"/>
      <c r="J30" s="240"/>
    </row>
    <row r="31">
      <c r="A31" s="301"/>
      <c r="B31" s="227"/>
      <c r="C31" s="227"/>
      <c r="D31" s="227"/>
      <c r="E31" s="227"/>
      <c r="F31" s="227"/>
      <c r="G31" s="281" t="str">
        <f>IFERROR(E31*F31,"")</f>
        <v>#ERROR!</v>
      </c>
      <c r="H31" s="281" t="str">
        <f>IFERROR(E31-G31,"")</f>
        <v>#ERROR!</v>
      </c>
      <c r="I31" s="227"/>
      <c r="J31" s="233"/>
    </row>
    <row r="32">
      <c r="A32" s="303"/>
      <c r="B32" s="235"/>
      <c r="C32" s="235"/>
      <c r="D32" s="235"/>
      <c r="E32" s="235"/>
      <c r="F32" s="235"/>
      <c r="G32" s="283" t="str">
        <f>IFERROR(E32*F32,"")</f>
        <v>#ERROR!</v>
      </c>
      <c r="H32" s="283" t="str">
        <f>IFERROR(E32-G32,"")</f>
        <v>#ERROR!</v>
      </c>
      <c r="I32" s="235"/>
      <c r="J32" s="240"/>
    </row>
    <row r="33">
      <c r="A33" s="301"/>
      <c r="B33" s="227"/>
      <c r="C33" s="227"/>
      <c r="D33" s="227"/>
      <c r="E33" s="227"/>
      <c r="F33" s="227"/>
      <c r="G33" s="281" t="str">
        <f>IFERROR(E33*F33,"")</f>
        <v>#ERROR!</v>
      </c>
      <c r="H33" s="281" t="str">
        <f>IFERROR(E33-G33,"")</f>
        <v>#ERROR!</v>
      </c>
      <c r="I33" s="227"/>
      <c r="J33" s="233"/>
    </row>
    <row r="34">
      <c r="A34" s="303"/>
      <c r="B34" s="235"/>
      <c r="C34" s="235"/>
      <c r="D34" s="235"/>
      <c r="E34" s="235"/>
      <c r="F34" s="235"/>
      <c r="G34" s="283" t="str">
        <f>IFERROR(E34*F34,"")</f>
        <v>#ERROR!</v>
      </c>
      <c r="H34" s="283" t="str">
        <f>IFERROR(E34-G34,"")</f>
        <v>#ERROR!</v>
      </c>
      <c r="I34" s="235"/>
      <c r="J34" s="240"/>
    </row>
    <row r="35">
      <c r="A35" s="301"/>
      <c r="B35" s="227"/>
      <c r="C35" s="227"/>
      <c r="D35" s="227"/>
      <c r="E35" s="227"/>
      <c r="F35" s="227"/>
      <c r="G35" s="281" t="str">
        <f>IFERROR(E35*F35,"")</f>
        <v>#ERROR!</v>
      </c>
      <c r="H35" s="281" t="str">
        <f>IFERROR(E35-G35,"")</f>
        <v>#ERROR!</v>
      </c>
      <c r="I35" s="227"/>
      <c r="J35" s="233"/>
    </row>
    <row r="36">
      <c r="A36" s="303"/>
      <c r="B36" s="235"/>
      <c r="C36" s="235"/>
      <c r="D36" s="235"/>
      <c r="E36" s="235"/>
      <c r="F36" s="235"/>
      <c r="G36" s="283" t="str">
        <f>IFERROR(E36*F36,"")</f>
        <v>#ERROR!</v>
      </c>
      <c r="H36" s="283" t="str">
        <f>IFERROR(E36-G36,"")</f>
        <v>#ERROR!</v>
      </c>
      <c r="I36" s="235"/>
      <c r="J36" s="240"/>
    </row>
    <row r="37">
      <c r="A37" s="301"/>
      <c r="B37" s="227"/>
      <c r="C37" s="227"/>
      <c r="D37" s="227"/>
      <c r="E37" s="227"/>
      <c r="F37" s="227"/>
      <c r="G37" s="281" t="str">
        <f>IFERROR(E37*F37,"")</f>
        <v>#ERROR!</v>
      </c>
      <c r="H37" s="281" t="str">
        <f>IFERROR(E37-G37,"")</f>
        <v>#ERROR!</v>
      </c>
      <c r="I37" s="227"/>
      <c r="J37" s="233"/>
    </row>
    <row r="38">
      <c r="A38" s="303"/>
      <c r="B38" s="235"/>
      <c r="C38" s="235"/>
      <c r="D38" s="235"/>
      <c r="E38" s="235"/>
      <c r="F38" s="235"/>
      <c r="G38" s="283" t="str">
        <f>IFERROR(E38*F38,"")</f>
        <v>#ERROR!</v>
      </c>
      <c r="H38" s="283" t="str">
        <f>IFERROR(E38-G38,"")</f>
        <v>#ERROR!</v>
      </c>
      <c r="I38" s="235"/>
      <c r="J38" s="240"/>
    </row>
    <row r="39">
      <c r="A39" s="301"/>
      <c r="B39" s="227"/>
      <c r="C39" s="227"/>
      <c r="D39" s="227"/>
      <c r="E39" s="227"/>
      <c r="F39" s="227"/>
      <c r="G39" s="281" t="str">
        <f>IFERROR(E39*F39,"")</f>
        <v>#ERROR!</v>
      </c>
      <c r="H39" s="281" t="str">
        <f>IFERROR(E39-G39,"")</f>
        <v>#ERROR!</v>
      </c>
      <c r="I39" s="227"/>
      <c r="J39" s="233"/>
    </row>
    <row r="40">
      <c r="A40" s="303"/>
      <c r="B40" s="235"/>
      <c r="C40" s="235"/>
      <c r="D40" s="235"/>
      <c r="E40" s="235"/>
      <c r="F40" s="235"/>
      <c r="G40" s="283" t="str">
        <f>IFERROR(E40*F40,"")</f>
        <v>#ERROR!</v>
      </c>
      <c r="H40" s="283" t="str">
        <f>IFERROR(E40-G40,"")</f>
        <v>#ERROR!</v>
      </c>
      <c r="I40" s="235"/>
      <c r="J40" s="240"/>
    </row>
    <row r="41">
      <c r="A41" s="301"/>
      <c r="B41" s="227"/>
      <c r="C41" s="227"/>
      <c r="D41" s="227"/>
      <c r="E41" s="227"/>
      <c r="F41" s="227"/>
      <c r="G41" s="281" t="str">
        <f>IFERROR(E41*F41,"")</f>
        <v>#ERROR!</v>
      </c>
      <c r="H41" s="281" t="str">
        <f>IFERROR(E41-G41,"")</f>
        <v>#ERROR!</v>
      </c>
      <c r="I41" s="227"/>
      <c r="J41" s="233"/>
    </row>
    <row r="42">
      <c r="A42" s="303"/>
      <c r="B42" s="235"/>
      <c r="C42" s="235"/>
      <c r="D42" s="235"/>
      <c r="E42" s="235"/>
      <c r="F42" s="235"/>
      <c r="G42" s="283" t="str">
        <f>IFERROR(E42*F42,"")</f>
        <v>#ERROR!</v>
      </c>
      <c r="H42" s="283" t="str">
        <f>IFERROR(E42-G42,"")</f>
        <v>#ERROR!</v>
      </c>
      <c r="I42" s="235"/>
      <c r="J42" s="240"/>
    </row>
    <row r="43">
      <c r="A43" s="301"/>
      <c r="B43" s="227"/>
      <c r="C43" s="227"/>
      <c r="D43" s="227"/>
      <c r="E43" s="227"/>
      <c r="F43" s="227"/>
      <c r="G43" s="281" t="str">
        <f>IFERROR(E43*F43,"")</f>
        <v>#ERROR!</v>
      </c>
      <c r="H43" s="281" t="str">
        <f>IFERROR(E43-G43,"")</f>
        <v>#ERROR!</v>
      </c>
      <c r="I43" s="227"/>
      <c r="J43" s="233"/>
    </row>
    <row r="44">
      <c r="A44" s="303"/>
      <c r="B44" s="235"/>
      <c r="C44" s="235"/>
      <c r="D44" s="235"/>
      <c r="E44" s="235"/>
      <c r="F44" s="235"/>
      <c r="G44" s="283" t="str">
        <f>IFERROR(E44*F44,"")</f>
        <v>#ERROR!</v>
      </c>
      <c r="H44" s="283" t="str">
        <f>IFERROR(E44-G44,"")</f>
        <v>#ERROR!</v>
      </c>
      <c r="I44" s="235"/>
      <c r="J44" s="240"/>
    </row>
    <row r="45">
      <c r="A45" s="301"/>
      <c r="B45" s="227"/>
      <c r="C45" s="227"/>
      <c r="D45" s="227"/>
      <c r="E45" s="227"/>
      <c r="F45" s="227"/>
      <c r="G45" s="281" t="str">
        <f>IFERROR(E45*F45,"")</f>
        <v>#ERROR!</v>
      </c>
      <c r="H45" s="281" t="str">
        <f>IFERROR(E45-G45,"")</f>
        <v>#ERROR!</v>
      </c>
      <c r="I45" s="227"/>
      <c r="J45" s="233"/>
    </row>
    <row r="46">
      <c r="A46" s="303"/>
      <c r="B46" s="235"/>
      <c r="C46" s="235"/>
      <c r="D46" s="235"/>
      <c r="E46" s="235"/>
      <c r="F46" s="235"/>
      <c r="G46" s="283" t="str">
        <f>IFERROR(E46*F46,"")</f>
        <v>#ERROR!</v>
      </c>
      <c r="H46" s="283" t="str">
        <f>IFERROR(E46-G46,"")</f>
        <v>#ERROR!</v>
      </c>
      <c r="I46" s="235"/>
      <c r="J46" s="240"/>
    </row>
    <row r="47">
      <c r="A47" s="301"/>
      <c r="B47" s="227"/>
      <c r="C47" s="227"/>
      <c r="D47" s="227"/>
      <c r="E47" s="227"/>
      <c r="F47" s="227"/>
      <c r="G47" s="281" t="str">
        <f>IFERROR(E47*F47,"")</f>
        <v>#ERROR!</v>
      </c>
      <c r="H47" s="281" t="str">
        <f>IFERROR(E47-G47,"")</f>
        <v>#ERROR!</v>
      </c>
      <c r="I47" s="227"/>
      <c r="J47" s="233"/>
    </row>
    <row r="48">
      <c r="A48" s="303"/>
      <c r="B48" s="235"/>
      <c r="C48" s="235"/>
      <c r="D48" s="235"/>
      <c r="E48" s="235"/>
      <c r="F48" s="235"/>
      <c r="G48" s="283" t="str">
        <f>IFERROR(E48*F48,"")</f>
        <v>#ERROR!</v>
      </c>
      <c r="H48" s="283" t="str">
        <f>IFERROR(E48-G48,"")</f>
        <v>#ERROR!</v>
      </c>
      <c r="I48" s="235"/>
      <c r="J48" s="240"/>
    </row>
    <row r="49">
      <c r="A49" s="301"/>
      <c r="B49" s="227"/>
      <c r="C49" s="227"/>
      <c r="D49" s="227"/>
      <c r="E49" s="227"/>
      <c r="F49" s="227"/>
      <c r="G49" s="281" t="str">
        <f>IFERROR(E49*F49,"")</f>
        <v>#ERROR!</v>
      </c>
      <c r="H49" s="281" t="str">
        <f>IFERROR(E49-G49,"")</f>
        <v>#ERROR!</v>
      </c>
      <c r="I49" s="227"/>
      <c r="J49" s="233"/>
    </row>
    <row r="50">
      <c r="A50" s="303"/>
      <c r="B50" s="235"/>
      <c r="C50" s="235"/>
      <c r="D50" s="235"/>
      <c r="E50" s="235"/>
      <c r="F50" s="235"/>
      <c r="G50" s="283" t="str">
        <f>IFERROR(E50*F50,"")</f>
        <v>#ERROR!</v>
      </c>
      <c r="H50" s="283" t="str">
        <f>IFERROR(E50-G50,"")</f>
        <v>#ERROR!</v>
      </c>
      <c r="I50" s="235"/>
      <c r="J50" s="240"/>
    </row>
    <row r="51">
      <c r="A51" s="301"/>
      <c r="B51" s="227"/>
      <c r="C51" s="227"/>
      <c r="D51" s="227"/>
      <c r="E51" s="227"/>
      <c r="F51" s="227"/>
      <c r="G51" s="281" t="str">
        <f>IFERROR(E51*F51,"")</f>
        <v>#ERROR!</v>
      </c>
      <c r="H51" s="281" t="str">
        <f>IFERROR(E51-G51,"")</f>
        <v>#ERROR!</v>
      </c>
      <c r="I51" s="227"/>
      <c r="J51" s="233"/>
    </row>
    <row r="52">
      <c r="A52" s="303"/>
      <c r="B52" s="235"/>
      <c r="C52" s="235"/>
      <c r="D52" s="235"/>
      <c r="E52" s="235"/>
      <c r="F52" s="235"/>
      <c r="G52" s="283" t="str">
        <f>IFERROR(E52*F52,"")</f>
        <v>#ERROR!</v>
      </c>
      <c r="H52" s="283" t="str">
        <f>IFERROR(E52-G52,"")</f>
        <v>#ERROR!</v>
      </c>
      <c r="I52" s="235"/>
      <c r="J52" s="240"/>
    </row>
    <row r="53">
      <c r="A53" s="301"/>
      <c r="B53" s="227"/>
      <c r="C53" s="227"/>
      <c r="D53" s="227"/>
      <c r="E53" s="227"/>
      <c r="F53" s="227"/>
      <c r="G53" s="281" t="str">
        <f>IFERROR(E53*F53,"")</f>
        <v>#ERROR!</v>
      </c>
      <c r="H53" s="281" t="str">
        <f>IFERROR(E53-G53,"")</f>
        <v>#ERROR!</v>
      </c>
      <c r="I53" s="227"/>
      <c r="J53" s="233"/>
    </row>
    <row r="54">
      <c r="A54" s="303"/>
      <c r="B54" s="235"/>
      <c r="C54" s="235"/>
      <c r="D54" s="235"/>
      <c r="E54" s="235"/>
      <c r="F54" s="235"/>
      <c r="G54" s="283" t="str">
        <f>IFERROR(E54*F54,"")</f>
        <v>#ERROR!</v>
      </c>
      <c r="H54" s="283" t="str">
        <f>IFERROR(E54-G54,"")</f>
        <v>#ERROR!</v>
      </c>
      <c r="I54" s="235"/>
      <c r="J54" s="240"/>
    </row>
    <row r="55">
      <c r="A55" s="301"/>
      <c r="B55" s="227"/>
      <c r="C55" s="227"/>
      <c r="D55" s="227"/>
      <c r="E55" s="227"/>
      <c r="F55" s="227"/>
      <c r="G55" s="281" t="str">
        <f>IFERROR(E55*F55,"")</f>
        <v>#ERROR!</v>
      </c>
      <c r="H55" s="281" t="str">
        <f>IFERROR(E55-G55,"")</f>
        <v>#ERROR!</v>
      </c>
      <c r="I55" s="227"/>
      <c r="J55" s="233"/>
    </row>
    <row r="56">
      <c r="A56" s="303"/>
      <c r="B56" s="235"/>
      <c r="C56" s="235"/>
      <c r="D56" s="235"/>
      <c r="E56" s="235"/>
      <c r="F56" s="235"/>
      <c r="G56" s="283" t="str">
        <f>IFERROR(E56*F56,"")</f>
        <v>#ERROR!</v>
      </c>
      <c r="H56" s="283" t="str">
        <f>IFERROR(E56-G56,"")</f>
        <v>#ERROR!</v>
      </c>
      <c r="I56" s="235"/>
      <c r="J56" s="240"/>
    </row>
    <row r="57">
      <c r="A57" s="301"/>
      <c r="B57" s="227"/>
      <c r="C57" s="227"/>
      <c r="D57" s="227"/>
      <c r="E57" s="227"/>
      <c r="F57" s="227"/>
      <c r="G57" s="281" t="str">
        <f>IFERROR(E57*F57,"")</f>
        <v>#ERROR!</v>
      </c>
      <c r="H57" s="281" t="str">
        <f>IFERROR(E57-G57,"")</f>
        <v>#ERROR!</v>
      </c>
      <c r="I57" s="227"/>
      <c r="J57" s="233"/>
    </row>
    <row r="58">
      <c r="A58" s="303"/>
      <c r="B58" s="235"/>
      <c r="C58" s="235"/>
      <c r="D58" s="235"/>
      <c r="E58" s="235"/>
      <c r="F58" s="235"/>
      <c r="G58" s="283" t="str">
        <f>IFERROR(E58*F58,"")</f>
        <v>#ERROR!</v>
      </c>
      <c r="H58" s="283" t="str">
        <f>IFERROR(E58-G58,"")</f>
        <v>#ERROR!</v>
      </c>
      <c r="I58" s="235"/>
      <c r="J58" s="240"/>
    </row>
    <row r="59">
      <c r="A59" s="301"/>
      <c r="B59" s="227"/>
      <c r="C59" s="227"/>
      <c r="D59" s="227"/>
      <c r="E59" s="227"/>
      <c r="F59" s="227"/>
      <c r="G59" s="281" t="str">
        <f>IFERROR(E59*F59,"")</f>
        <v>#ERROR!</v>
      </c>
      <c r="H59" s="281" t="str">
        <f>IFERROR(E59-G59,"")</f>
        <v>#ERROR!</v>
      </c>
      <c r="I59" s="227"/>
      <c r="J59" s="233"/>
    </row>
    <row r="60">
      <c r="A60" s="303"/>
      <c r="B60" s="235"/>
      <c r="C60" s="235"/>
      <c r="D60" s="235"/>
      <c r="E60" s="235"/>
      <c r="F60" s="235"/>
      <c r="G60" s="283" t="str">
        <f>IFERROR(E60*F60,"")</f>
        <v>#ERROR!</v>
      </c>
      <c r="H60" s="283" t="str">
        <f>IFERROR(E60-G60,"")</f>
        <v>#ERROR!</v>
      </c>
      <c r="I60" s="235"/>
      <c r="J60" s="240"/>
    </row>
    <row r="61">
      <c r="A61" s="301"/>
      <c r="B61" s="227"/>
      <c r="C61" s="227"/>
      <c r="D61" s="227"/>
      <c r="E61" s="227"/>
      <c r="F61" s="227"/>
      <c r="G61" s="281" t="str">
        <f>IFERROR(E61*F61,"")</f>
        <v>#ERROR!</v>
      </c>
      <c r="H61" s="281" t="str">
        <f>IFERROR(E61-G61,"")</f>
        <v>#ERROR!</v>
      </c>
      <c r="I61" s="227"/>
      <c r="J61" s="233"/>
    </row>
    <row r="62">
      <c r="A62" s="303"/>
      <c r="B62" s="235"/>
      <c r="C62" s="235"/>
      <c r="D62" s="235"/>
      <c r="E62" s="235"/>
      <c r="F62" s="235"/>
      <c r="G62" s="283" t="str">
        <f>IFERROR(E62*F62,"")</f>
        <v>#ERROR!</v>
      </c>
      <c r="H62" s="283" t="str">
        <f>IFERROR(E62-G62,"")</f>
        <v>#ERROR!</v>
      </c>
      <c r="I62" s="235"/>
      <c r="J62" s="240"/>
    </row>
    <row r="63">
      <c r="A63" s="301"/>
      <c r="B63" s="227"/>
      <c r="C63" s="227"/>
      <c r="D63" s="227"/>
      <c r="E63" s="227"/>
      <c r="F63" s="227"/>
      <c r="G63" s="281" t="str">
        <f>IFERROR(E63*F63,"")</f>
        <v>#ERROR!</v>
      </c>
      <c r="H63" s="281" t="str">
        <f>IFERROR(E63-G63,"")</f>
        <v>#ERROR!</v>
      </c>
      <c r="I63" s="227"/>
      <c r="J63" s="233"/>
    </row>
    <row r="64">
      <c r="A64" s="303"/>
      <c r="B64" s="235"/>
      <c r="C64" s="235"/>
      <c r="D64" s="235"/>
      <c r="E64" s="235"/>
      <c r="F64" s="235"/>
      <c r="G64" s="283" t="str">
        <f>IFERROR(E64*F64,"")</f>
        <v>#ERROR!</v>
      </c>
      <c r="H64" s="283" t="str">
        <f>IFERROR(E64-G64,"")</f>
        <v>#ERROR!</v>
      </c>
      <c r="I64" s="235"/>
      <c r="J64" s="240"/>
    </row>
    <row r="65">
      <c r="A65" s="301"/>
      <c r="B65" s="227"/>
      <c r="C65" s="227"/>
      <c r="D65" s="227"/>
      <c r="E65" s="227"/>
      <c r="F65" s="227"/>
      <c r="G65" s="281" t="str">
        <f>IFERROR(E65*F65,"")</f>
        <v>#ERROR!</v>
      </c>
      <c r="H65" s="281" t="str">
        <f>IFERROR(E65-G65,"")</f>
        <v>#ERROR!</v>
      </c>
      <c r="I65" s="227"/>
      <c r="J65" s="233"/>
    </row>
    <row r="66">
      <c r="A66" s="303"/>
      <c r="B66" s="235"/>
      <c r="C66" s="235"/>
      <c r="D66" s="235"/>
      <c r="E66" s="235"/>
      <c r="F66" s="235"/>
      <c r="G66" s="283" t="str">
        <f>IFERROR(E66*F66,"")</f>
        <v>#ERROR!</v>
      </c>
      <c r="H66" s="283" t="str">
        <f>IFERROR(E66-G66,"")</f>
        <v>#ERROR!</v>
      </c>
      <c r="I66" s="235"/>
      <c r="J66" s="240"/>
    </row>
    <row r="67">
      <c r="A67" s="301"/>
      <c r="B67" s="227"/>
      <c r="C67" s="227"/>
      <c r="D67" s="227"/>
      <c r="E67" s="227"/>
      <c r="F67" s="227"/>
      <c r="G67" s="281" t="str">
        <f>IFERROR(E67*F67,"")</f>
        <v>#ERROR!</v>
      </c>
      <c r="H67" s="281" t="str">
        <f>IFERROR(E67-G67,"")</f>
        <v>#ERROR!</v>
      </c>
      <c r="I67" s="227"/>
      <c r="J67" s="233"/>
    </row>
    <row r="68">
      <c r="A68" s="303"/>
      <c r="B68" s="235"/>
      <c r="C68" s="235"/>
      <c r="D68" s="235"/>
      <c r="E68" s="235"/>
      <c r="F68" s="235"/>
      <c r="G68" s="283" t="str">
        <f>IFERROR(E68*F68,"")</f>
        <v>#ERROR!</v>
      </c>
      <c r="H68" s="283" t="str">
        <f>IFERROR(E68-G68,"")</f>
        <v>#ERROR!</v>
      </c>
      <c r="I68" s="235"/>
      <c r="J68" s="240"/>
    </row>
    <row r="69">
      <c r="A69" s="301"/>
      <c r="B69" s="227"/>
      <c r="C69" s="227"/>
      <c r="D69" s="227"/>
      <c r="E69" s="227"/>
      <c r="F69" s="227"/>
      <c r="G69" s="281" t="str">
        <f>IFERROR(E69*F69,"")</f>
        <v>#ERROR!</v>
      </c>
      <c r="H69" s="281" t="str">
        <f>IFERROR(E69-G69,"")</f>
        <v>#ERROR!</v>
      </c>
      <c r="I69" s="227"/>
      <c r="J69" s="233"/>
    </row>
    <row r="70">
      <c r="A70" s="303"/>
      <c r="B70" s="235"/>
      <c r="C70" s="235"/>
      <c r="D70" s="235"/>
      <c r="E70" s="235"/>
      <c r="F70" s="235"/>
      <c r="G70" s="283" t="str">
        <f>IFERROR(E70*F70,"")</f>
        <v>#ERROR!</v>
      </c>
      <c r="H70" s="283" t="str">
        <f>IFERROR(E70-G70,"")</f>
        <v>#ERROR!</v>
      </c>
      <c r="I70" s="235"/>
      <c r="J70" s="240"/>
    </row>
    <row r="71">
      <c r="A71" s="301"/>
      <c r="B71" s="227"/>
      <c r="C71" s="227"/>
      <c r="D71" s="227"/>
      <c r="E71" s="227"/>
      <c r="F71" s="227"/>
      <c r="G71" s="281" t="str">
        <f>IFERROR(E71*F71,"")</f>
        <v>#ERROR!</v>
      </c>
      <c r="H71" s="281" t="str">
        <f>IFERROR(E71-G71,"")</f>
        <v>#ERROR!</v>
      </c>
      <c r="I71" s="227"/>
      <c r="J71" s="233"/>
    </row>
    <row r="72">
      <c r="A72" s="303"/>
      <c r="B72" s="235"/>
      <c r="C72" s="235"/>
      <c r="D72" s="235"/>
      <c r="E72" s="235"/>
      <c r="F72" s="235"/>
      <c r="G72" s="283" t="str">
        <f>IFERROR(E72*F72,"")</f>
        <v>#ERROR!</v>
      </c>
      <c r="H72" s="283" t="str">
        <f>IFERROR(E72-G72,"")</f>
        <v>#ERROR!</v>
      </c>
      <c r="I72" s="235"/>
      <c r="J72" s="240"/>
    </row>
    <row r="73">
      <c r="A73" s="301"/>
      <c r="B73" s="227"/>
      <c r="C73" s="227"/>
      <c r="D73" s="227"/>
      <c r="E73" s="227"/>
      <c r="F73" s="227"/>
      <c r="G73" s="281" t="str">
        <f>IFERROR(E73*F73,"")</f>
        <v>#ERROR!</v>
      </c>
      <c r="H73" s="281" t="str">
        <f>IFERROR(E73-G73,"")</f>
        <v>#ERROR!</v>
      </c>
      <c r="I73" s="227"/>
      <c r="J73" s="233"/>
    </row>
    <row r="74">
      <c r="A74" s="303"/>
      <c r="B74" s="235"/>
      <c r="C74" s="235"/>
      <c r="D74" s="235"/>
      <c r="E74" s="235"/>
      <c r="F74" s="235"/>
      <c r="G74" s="283" t="str">
        <f>IFERROR(E74*F74,"")</f>
        <v>#ERROR!</v>
      </c>
      <c r="H74" s="283" t="str">
        <f>IFERROR(E74-G74,"")</f>
        <v>#ERROR!</v>
      </c>
      <c r="I74" s="235"/>
      <c r="J74" s="240"/>
    </row>
    <row r="75">
      <c r="A75" s="301"/>
      <c r="B75" s="227"/>
      <c r="C75" s="227"/>
      <c r="D75" s="227"/>
      <c r="E75" s="227"/>
      <c r="F75" s="227"/>
      <c r="G75" s="281" t="str">
        <f>IFERROR(E75*F75,"")</f>
        <v>#ERROR!</v>
      </c>
      <c r="H75" s="281" t="str">
        <f>IFERROR(E75-G75,"")</f>
        <v>#ERROR!</v>
      </c>
      <c r="I75" s="227"/>
      <c r="J75" s="233"/>
    </row>
    <row r="76">
      <c r="A76" s="303"/>
      <c r="B76" s="235"/>
      <c r="C76" s="235"/>
      <c r="D76" s="235"/>
      <c r="E76" s="235"/>
      <c r="F76" s="235"/>
      <c r="G76" s="283" t="str">
        <f>IFERROR(E76*F76,"")</f>
        <v>#ERROR!</v>
      </c>
      <c r="H76" s="283" t="str">
        <f>IFERROR(E76-G76,"")</f>
        <v>#ERROR!</v>
      </c>
      <c r="I76" s="235"/>
      <c r="J76" s="240"/>
    </row>
    <row r="77">
      <c r="A77" s="301"/>
      <c r="B77" s="227"/>
      <c r="C77" s="227"/>
      <c r="D77" s="227"/>
      <c r="E77" s="227"/>
      <c r="F77" s="227"/>
      <c r="G77" s="281" t="str">
        <f>IFERROR(E77*F77,"")</f>
        <v>#ERROR!</v>
      </c>
      <c r="H77" s="281" t="str">
        <f>IFERROR(E77-G77,"")</f>
        <v>#ERROR!</v>
      </c>
      <c r="I77" s="227"/>
      <c r="J77" s="233"/>
    </row>
    <row r="78">
      <c r="A78" s="303"/>
      <c r="B78" s="235"/>
      <c r="C78" s="235"/>
      <c r="D78" s="235"/>
      <c r="E78" s="235"/>
      <c r="F78" s="235"/>
      <c r="G78" s="283" t="str">
        <f>IFERROR(E78*F78,"")</f>
        <v>#ERROR!</v>
      </c>
      <c r="H78" s="283" t="str">
        <f>IFERROR(E78-G78,"")</f>
        <v>#ERROR!</v>
      </c>
      <c r="I78" s="235"/>
      <c r="J78" s="240"/>
    </row>
    <row r="79">
      <c r="A79" s="301"/>
      <c r="B79" s="227"/>
      <c r="C79" s="227"/>
      <c r="D79" s="227"/>
      <c r="E79" s="227"/>
      <c r="F79" s="227"/>
      <c r="G79" s="281" t="str">
        <f>IFERROR(E79*F79,"")</f>
        <v>#ERROR!</v>
      </c>
      <c r="H79" s="281" t="str">
        <f>IFERROR(E79-G79,"")</f>
        <v>#ERROR!</v>
      </c>
      <c r="I79" s="227"/>
      <c r="J79" s="233"/>
    </row>
    <row r="80">
      <c r="A80" s="303"/>
      <c r="B80" s="235"/>
      <c r="C80" s="235"/>
      <c r="D80" s="235"/>
      <c r="E80" s="235"/>
      <c r="F80" s="235"/>
      <c r="G80" s="283" t="str">
        <f>IFERROR(E80*F80,"")</f>
        <v>#ERROR!</v>
      </c>
      <c r="H80" s="283" t="str">
        <f>IFERROR(E80-G80,"")</f>
        <v>#ERROR!</v>
      </c>
      <c r="I80" s="235"/>
      <c r="J80" s="240"/>
    </row>
    <row r="81">
      <c r="A81" s="301"/>
      <c r="B81" s="227"/>
      <c r="C81" s="227"/>
      <c r="D81" s="227"/>
      <c r="E81" s="227"/>
      <c r="F81" s="227"/>
      <c r="G81" s="281" t="str">
        <f>IFERROR(E81*F81,"")</f>
        <v>#ERROR!</v>
      </c>
      <c r="H81" s="281" t="str">
        <f>IFERROR(E81-G81,"")</f>
        <v>#ERROR!</v>
      </c>
      <c r="I81" s="227"/>
      <c r="J81" s="233"/>
    </row>
    <row r="82">
      <c r="A82" s="303"/>
      <c r="B82" s="235"/>
      <c r="C82" s="235"/>
      <c r="D82" s="235"/>
      <c r="E82" s="235"/>
      <c r="F82" s="235"/>
      <c r="G82" s="283" t="str">
        <f>IFERROR(E82*F82,"")</f>
        <v>#ERROR!</v>
      </c>
      <c r="H82" s="283" t="str">
        <f>IFERROR(E82-G82,"")</f>
        <v>#ERROR!</v>
      </c>
      <c r="I82" s="235"/>
      <c r="J82" s="240"/>
    </row>
    <row r="83">
      <c r="A83" s="301"/>
      <c r="B83" s="227"/>
      <c r="C83" s="227"/>
      <c r="D83" s="227"/>
      <c r="E83" s="227"/>
      <c r="F83" s="227"/>
      <c r="G83" s="281" t="str">
        <f>IFERROR(E83*F83,"")</f>
        <v>#ERROR!</v>
      </c>
      <c r="H83" s="281" t="str">
        <f>IFERROR(E83-G83,"")</f>
        <v>#ERROR!</v>
      </c>
      <c r="I83" s="227"/>
      <c r="J83" s="233"/>
    </row>
    <row r="84">
      <c r="A84" s="303"/>
      <c r="B84" s="235"/>
      <c r="C84" s="235"/>
      <c r="D84" s="235"/>
      <c r="E84" s="235"/>
      <c r="F84" s="235"/>
      <c r="G84" s="283" t="str">
        <f>IFERROR(E84*F84,"")</f>
        <v>#ERROR!</v>
      </c>
      <c r="H84" s="283" t="str">
        <f>IFERROR(E84-G84,"")</f>
        <v>#ERROR!</v>
      </c>
      <c r="I84" s="235"/>
      <c r="J84" s="240"/>
    </row>
    <row r="85">
      <c r="A85" s="301"/>
      <c r="B85" s="227"/>
      <c r="C85" s="227"/>
      <c r="D85" s="227"/>
      <c r="E85" s="227"/>
      <c r="F85" s="227"/>
      <c r="G85" s="281" t="str">
        <f>IFERROR(E85*F85,"")</f>
        <v>#ERROR!</v>
      </c>
      <c r="H85" s="281" t="str">
        <f>IFERROR(E85-G85,"")</f>
        <v>#ERROR!</v>
      </c>
      <c r="I85" s="227"/>
      <c r="J85" s="233"/>
    </row>
    <row r="86">
      <c r="A86" s="303"/>
      <c r="B86" s="235"/>
      <c r="C86" s="235"/>
      <c r="D86" s="235"/>
      <c r="E86" s="235"/>
      <c r="F86" s="235"/>
      <c r="G86" s="283" t="str">
        <f>IFERROR(E86*F86,"")</f>
        <v>#ERROR!</v>
      </c>
      <c r="H86" s="283" t="str">
        <f>IFERROR(E86-G86,"")</f>
        <v>#ERROR!</v>
      </c>
      <c r="I86" s="235"/>
      <c r="J86" s="240"/>
    </row>
    <row r="87">
      <c r="A87" s="301"/>
      <c r="B87" s="227"/>
      <c r="C87" s="227"/>
      <c r="D87" s="227"/>
      <c r="E87" s="227"/>
      <c r="F87" s="227"/>
      <c r="G87" s="281" t="str">
        <f>IFERROR(E87*F87,"")</f>
        <v>#ERROR!</v>
      </c>
      <c r="H87" s="281" t="str">
        <f>IFERROR(E87-G87,"")</f>
        <v>#ERROR!</v>
      </c>
      <c r="I87" s="227"/>
      <c r="J87" s="233"/>
    </row>
    <row r="88">
      <c r="A88" s="303"/>
      <c r="B88" s="235"/>
      <c r="C88" s="235"/>
      <c r="D88" s="235"/>
      <c r="E88" s="235"/>
      <c r="F88" s="235"/>
      <c r="G88" s="283" t="str">
        <f>IFERROR(E88*F88,"")</f>
        <v>#ERROR!</v>
      </c>
      <c r="H88" s="283" t="str">
        <f>IFERROR(E88-G88,"")</f>
        <v>#ERROR!</v>
      </c>
      <c r="I88" s="235"/>
      <c r="J88" s="240"/>
    </row>
    <row r="89">
      <c r="A89" s="301"/>
      <c r="B89" s="227"/>
      <c r="C89" s="227"/>
      <c r="D89" s="227"/>
      <c r="E89" s="227"/>
      <c r="F89" s="227"/>
      <c r="G89" s="281" t="str">
        <f>IFERROR(E89*F89,"")</f>
        <v>#ERROR!</v>
      </c>
      <c r="H89" s="281" t="str">
        <f>IFERROR(E89-G89,"")</f>
        <v>#ERROR!</v>
      </c>
      <c r="I89" s="227"/>
      <c r="J89" s="233"/>
    </row>
    <row r="90">
      <c r="A90" s="303"/>
      <c r="B90" s="235"/>
      <c r="C90" s="235"/>
      <c r="D90" s="235"/>
      <c r="E90" s="235"/>
      <c r="F90" s="235"/>
      <c r="G90" s="283" t="str">
        <f>IFERROR(E90*F90,"")</f>
        <v>#ERROR!</v>
      </c>
      <c r="H90" s="283" t="str">
        <f>IFERROR(E90-G90,"")</f>
        <v>#ERROR!</v>
      </c>
      <c r="I90" s="235"/>
      <c r="J90" s="240"/>
    </row>
    <row r="91">
      <c r="A91" s="301"/>
      <c r="B91" s="227"/>
      <c r="C91" s="227"/>
      <c r="D91" s="227"/>
      <c r="E91" s="227"/>
      <c r="F91" s="227"/>
      <c r="G91" s="281" t="str">
        <f>IFERROR(E91*F91,"")</f>
        <v>#ERROR!</v>
      </c>
      <c r="H91" s="281" t="str">
        <f>IFERROR(E91-G91,"")</f>
        <v>#ERROR!</v>
      </c>
      <c r="I91" s="227"/>
      <c r="J91" s="233"/>
    </row>
    <row r="92">
      <c r="A92" s="303"/>
      <c r="B92" s="235"/>
      <c r="C92" s="235"/>
      <c r="D92" s="235"/>
      <c r="E92" s="235"/>
      <c r="F92" s="235"/>
      <c r="G92" s="283" t="str">
        <f>IFERROR(E92*F92,"")</f>
        <v>#ERROR!</v>
      </c>
      <c r="H92" s="283" t="str">
        <f>IFERROR(E92-G92,"")</f>
        <v>#ERROR!</v>
      </c>
      <c r="I92" s="235"/>
      <c r="J92" s="240"/>
    </row>
    <row r="93">
      <c r="A93" s="301"/>
      <c r="B93" s="227"/>
      <c r="C93" s="227"/>
      <c r="D93" s="227"/>
      <c r="E93" s="227"/>
      <c r="F93" s="227"/>
      <c r="G93" s="281" t="str">
        <f>IFERROR(E93*F93,"")</f>
        <v>#ERROR!</v>
      </c>
      <c r="H93" s="281" t="str">
        <f>IFERROR(E93-G93,"")</f>
        <v>#ERROR!</v>
      </c>
      <c r="I93" s="227"/>
      <c r="J93" s="233"/>
    </row>
    <row r="94">
      <c r="A94" s="303"/>
      <c r="B94" s="235"/>
      <c r="C94" s="235"/>
      <c r="D94" s="235"/>
      <c r="E94" s="235"/>
      <c r="F94" s="235"/>
      <c r="G94" s="283" t="str">
        <f>IFERROR(E94*F94,"")</f>
        <v>#ERROR!</v>
      </c>
      <c r="H94" s="283" t="str">
        <f>IFERROR(E94-G94,"")</f>
        <v>#ERROR!</v>
      </c>
      <c r="I94" s="235"/>
      <c r="J94" s="240"/>
    </row>
    <row r="95">
      <c r="A95" s="301"/>
      <c r="B95" s="227"/>
      <c r="C95" s="227"/>
      <c r="D95" s="227"/>
      <c r="E95" s="227"/>
      <c r="F95" s="227"/>
      <c r="G95" s="281" t="str">
        <f>IFERROR(E95*F95,"")</f>
        <v>#ERROR!</v>
      </c>
      <c r="H95" s="281" t="str">
        <f>IFERROR(E95-G95,"")</f>
        <v>#ERROR!</v>
      </c>
      <c r="I95" s="227"/>
      <c r="J95" s="233"/>
    </row>
    <row r="96">
      <c r="A96" s="303"/>
      <c r="B96" s="235"/>
      <c r="C96" s="235"/>
      <c r="D96" s="235"/>
      <c r="E96" s="235"/>
      <c r="F96" s="235"/>
      <c r="G96" s="283" t="str">
        <f>IFERROR(E96*F96,"")</f>
        <v>#ERROR!</v>
      </c>
      <c r="H96" s="283" t="str">
        <f>IFERROR(E96-G96,"")</f>
        <v>#ERROR!</v>
      </c>
      <c r="I96" s="235"/>
      <c r="J96" s="240"/>
    </row>
    <row r="97">
      <c r="A97" s="301"/>
      <c r="B97" s="227"/>
      <c r="C97" s="227"/>
      <c r="D97" s="227"/>
      <c r="E97" s="227"/>
      <c r="F97" s="227"/>
      <c r="G97" s="281" t="str">
        <f>IFERROR(E97*F97,"")</f>
        <v>#ERROR!</v>
      </c>
      <c r="H97" s="281" t="str">
        <f>IFERROR(E97-G97,"")</f>
        <v>#ERROR!</v>
      </c>
      <c r="I97" s="227"/>
      <c r="J97" s="233"/>
    </row>
    <row r="98">
      <c r="A98" s="303"/>
      <c r="B98" s="235"/>
      <c r="C98" s="235"/>
      <c r="D98" s="235"/>
      <c r="E98" s="235"/>
      <c r="F98" s="235"/>
      <c r="G98" s="283" t="str">
        <f>IFERROR(E98*F98,"")</f>
        <v>#ERROR!</v>
      </c>
      <c r="H98" s="283" t="str">
        <f>IFERROR(E98-G98,"")</f>
        <v>#ERROR!</v>
      </c>
      <c r="I98" s="235"/>
      <c r="J98" s="240"/>
    </row>
    <row r="99">
      <c r="A99" s="301"/>
      <c r="B99" s="227"/>
      <c r="C99" s="227"/>
      <c r="D99" s="227"/>
      <c r="E99" s="227"/>
      <c r="F99" s="227"/>
      <c r="G99" s="281" t="str">
        <f>IFERROR(E99*F99,"")</f>
        <v>#ERROR!</v>
      </c>
      <c r="H99" s="281" t="str">
        <f>IFERROR(E99-G99,"")</f>
        <v>#ERROR!</v>
      </c>
      <c r="I99" s="227"/>
      <c r="J99" s="233"/>
    </row>
    <row r="100">
      <c r="A100" s="303"/>
      <c r="B100" s="235"/>
      <c r="C100" s="235"/>
      <c r="D100" s="235"/>
      <c r="E100" s="235"/>
      <c r="F100" s="235"/>
      <c r="G100" s="283" t="str">
        <f>IFERROR(E100*F100,"")</f>
        <v>#ERROR!</v>
      </c>
      <c r="H100" s="283" t="str">
        <f>IFERROR(E100-G100,"")</f>
        <v>#ERROR!</v>
      </c>
      <c r="I100" s="235"/>
      <c r="J100" s="240"/>
    </row>
    <row r="101">
      <c r="A101" s="301"/>
      <c r="B101" s="227"/>
      <c r="C101" s="227"/>
      <c r="D101" s="227"/>
      <c r="E101" s="227"/>
      <c r="F101" s="227"/>
      <c r="G101" s="281" t="str">
        <f>IFERROR(E101*F101,"")</f>
        <v>#ERROR!</v>
      </c>
      <c r="H101" s="281" t="str">
        <f>IFERROR(E101-G101,"")</f>
        <v>#ERROR!</v>
      </c>
      <c r="I101" s="227"/>
      <c r="J101" s="233"/>
    </row>
    <row r="102">
      <c r="A102" s="303"/>
      <c r="B102" s="235"/>
      <c r="C102" s="235"/>
      <c r="D102" s="235"/>
      <c r="E102" s="235"/>
      <c r="F102" s="235"/>
      <c r="G102" s="283" t="str">
        <f>IFERROR(E102*F102,"")</f>
        <v>#ERROR!</v>
      </c>
      <c r="H102" s="283" t="str">
        <f>IFERROR(E102-G102,"")</f>
        <v>#ERROR!</v>
      </c>
      <c r="I102" s="235"/>
      <c r="J102" s="240"/>
    </row>
    <row r="103">
      <c r="A103" s="301"/>
      <c r="B103" s="227"/>
      <c r="C103" s="227"/>
      <c r="D103" s="227"/>
      <c r="E103" s="227"/>
      <c r="F103" s="227"/>
      <c r="G103" s="281" t="str">
        <f>IFERROR(E103*F103,"")</f>
        <v>#ERROR!</v>
      </c>
      <c r="H103" s="281" t="str">
        <f>IFERROR(E103-G103,"")</f>
        <v>#ERROR!</v>
      </c>
      <c r="I103" s="227"/>
      <c r="J103" s="233"/>
    </row>
    <row r="104">
      <c r="A104" s="303"/>
      <c r="B104" s="235"/>
      <c r="C104" s="235"/>
      <c r="D104" s="235"/>
      <c r="E104" s="235"/>
      <c r="F104" s="235"/>
      <c r="G104" s="283" t="str">
        <f>IFERROR(E104*F104,"")</f>
        <v>#ERROR!</v>
      </c>
      <c r="H104" s="283" t="str">
        <f>IFERROR(E104-G104,"")</f>
        <v>#ERROR!</v>
      </c>
      <c r="I104" s="235"/>
      <c r="J104" s="240"/>
    </row>
    <row r="105">
      <c r="A105" s="301"/>
      <c r="B105" s="227"/>
      <c r="C105" s="227"/>
      <c r="D105" s="227"/>
      <c r="E105" s="227"/>
      <c r="F105" s="227"/>
      <c r="G105" s="281" t="str">
        <f>IFERROR(E105*F105,"")</f>
        <v>#ERROR!</v>
      </c>
      <c r="H105" s="281" t="str">
        <f>IFERROR(E105-G105,"")</f>
        <v>#ERROR!</v>
      </c>
      <c r="I105" s="227"/>
      <c r="J105" s="233"/>
    </row>
    <row r="106">
      <c r="A106" s="303"/>
      <c r="B106" s="235"/>
      <c r="C106" s="235"/>
      <c r="D106" s="235"/>
      <c r="E106" s="235"/>
      <c r="F106" s="235"/>
      <c r="G106" s="283" t="str">
        <f>IFERROR(E106*F106,"")</f>
        <v>#ERROR!</v>
      </c>
      <c r="H106" s="283" t="str">
        <f>IFERROR(E106-G106,"")</f>
        <v>#ERROR!</v>
      </c>
      <c r="I106" s="235"/>
      <c r="J106" s="240"/>
    </row>
    <row r="107">
      <c r="A107" s="301"/>
      <c r="B107" s="227"/>
      <c r="C107" s="227"/>
      <c r="D107" s="227"/>
      <c r="E107" s="227"/>
      <c r="F107" s="227"/>
      <c r="G107" s="281" t="str">
        <f>IFERROR(E107*F107,"")</f>
        <v>#ERROR!</v>
      </c>
      <c r="H107" s="281" t="str">
        <f>IFERROR(E107-G107,"")</f>
        <v>#ERROR!</v>
      </c>
      <c r="I107" s="227"/>
      <c r="J107" s="233"/>
    </row>
    <row r="108">
      <c r="A108" s="303"/>
      <c r="B108" s="235"/>
      <c r="C108" s="235"/>
      <c r="D108" s="235"/>
      <c r="E108" s="235"/>
      <c r="F108" s="235"/>
      <c r="G108" s="283" t="str">
        <f>IFERROR(E108*F108,"")</f>
        <v>#ERROR!</v>
      </c>
      <c r="H108" s="283" t="str">
        <f>IFERROR(E108-G108,"")</f>
        <v>#ERROR!</v>
      </c>
      <c r="I108" s="235"/>
      <c r="J108" s="240"/>
    </row>
    <row r="109">
      <c r="A109" s="301"/>
      <c r="B109" s="227"/>
      <c r="C109" s="227"/>
      <c r="D109" s="227"/>
      <c r="E109" s="227"/>
      <c r="F109" s="227"/>
      <c r="G109" s="281" t="str">
        <f>IFERROR(E109*F109,"")</f>
        <v>#ERROR!</v>
      </c>
      <c r="H109" s="281" t="str">
        <f>IFERROR(E109-G109,"")</f>
        <v>#ERROR!</v>
      </c>
      <c r="I109" s="227"/>
      <c r="J109" s="233"/>
    </row>
    <row r="110">
      <c r="A110" s="303"/>
      <c r="B110" s="235"/>
      <c r="C110" s="235"/>
      <c r="D110" s="235"/>
      <c r="E110" s="235"/>
      <c r="F110" s="235"/>
      <c r="G110" s="283" t="str">
        <f>IFERROR(E110*F110,"")</f>
        <v>#ERROR!</v>
      </c>
      <c r="H110" s="283" t="str">
        <f>IFERROR(E110-G110,"")</f>
        <v>#ERROR!</v>
      </c>
      <c r="I110" s="235"/>
      <c r="J110" s="240"/>
    </row>
    <row r="111">
      <c r="A111" s="301"/>
      <c r="B111" s="227"/>
      <c r="C111" s="227"/>
      <c r="D111" s="227"/>
      <c r="E111" s="227"/>
      <c r="F111" s="227"/>
      <c r="G111" s="281" t="str">
        <f>IFERROR(E111*F111,"")</f>
        <v>#ERROR!</v>
      </c>
      <c r="H111" s="281" t="str">
        <f>IFERROR(E111-G111,"")</f>
        <v>#ERROR!</v>
      </c>
      <c r="I111" s="227"/>
      <c r="J111" s="233"/>
    </row>
    <row r="112">
      <c r="A112" s="303"/>
      <c r="B112" s="235"/>
      <c r="C112" s="235"/>
      <c r="D112" s="235"/>
      <c r="E112" s="235"/>
      <c r="F112" s="235"/>
      <c r="G112" s="283" t="str">
        <f>IFERROR(E112*F112,"")</f>
        <v>#ERROR!</v>
      </c>
      <c r="H112" s="283" t="str">
        <f>IFERROR(E112-G112,"")</f>
        <v>#ERROR!</v>
      </c>
      <c r="I112" s="235"/>
      <c r="J112" s="240"/>
    </row>
    <row r="113">
      <c r="A113" s="301"/>
      <c r="B113" s="227"/>
      <c r="C113" s="227"/>
      <c r="D113" s="227"/>
      <c r="E113" s="227"/>
      <c r="F113" s="227"/>
      <c r="G113" s="281" t="str">
        <f>IFERROR(E113*F113,"")</f>
        <v>#ERROR!</v>
      </c>
      <c r="H113" s="281" t="str">
        <f>IFERROR(E113-G113,"")</f>
        <v>#ERROR!</v>
      </c>
      <c r="I113" s="227"/>
      <c r="J113" s="233"/>
    </row>
    <row r="114">
      <c r="A114" s="303"/>
      <c r="B114" s="235"/>
      <c r="C114" s="235"/>
      <c r="D114" s="235"/>
      <c r="E114" s="235"/>
      <c r="F114" s="235"/>
      <c r="G114" s="283" t="str">
        <f>IFERROR(E114*F114,"")</f>
        <v>#ERROR!</v>
      </c>
      <c r="H114" s="283" t="str">
        <f>IFERROR(E114-G114,"")</f>
        <v>#ERROR!</v>
      </c>
      <c r="I114" s="235"/>
      <c r="J114" s="240"/>
    </row>
    <row r="115">
      <c r="A115" s="301"/>
      <c r="B115" s="227"/>
      <c r="C115" s="227"/>
      <c r="D115" s="227"/>
      <c r="E115" s="227"/>
      <c r="F115" s="227"/>
      <c r="G115" s="281" t="str">
        <f>IFERROR(E115*F115,"")</f>
        <v>#ERROR!</v>
      </c>
      <c r="H115" s="281" t="str">
        <f>IFERROR(E115-G115,"")</f>
        <v>#ERROR!</v>
      </c>
      <c r="I115" s="227"/>
      <c r="J115" s="233"/>
    </row>
    <row r="116">
      <c r="A116" s="303"/>
      <c r="B116" s="235"/>
      <c r="C116" s="235"/>
      <c r="D116" s="235"/>
      <c r="E116" s="235"/>
      <c r="F116" s="235"/>
      <c r="G116" s="283" t="str">
        <f>IFERROR(E116*F116,"")</f>
        <v>#ERROR!</v>
      </c>
      <c r="H116" s="283" t="str">
        <f>IFERROR(E116-G116,"")</f>
        <v>#ERROR!</v>
      </c>
      <c r="I116" s="235"/>
      <c r="J116" s="240"/>
    </row>
    <row r="117">
      <c r="A117" s="301"/>
      <c r="B117" s="227"/>
      <c r="C117" s="227"/>
      <c r="D117" s="227"/>
      <c r="E117" s="227"/>
      <c r="F117" s="227"/>
      <c r="G117" s="281" t="str">
        <f>IFERROR(E117*F117,"")</f>
        <v>#ERROR!</v>
      </c>
      <c r="H117" s="281" t="str">
        <f>IFERROR(E117-G117,"")</f>
        <v>#ERROR!</v>
      </c>
      <c r="I117" s="227"/>
      <c r="J117" s="233"/>
    </row>
    <row r="118">
      <c r="A118" s="303"/>
      <c r="B118" s="235"/>
      <c r="C118" s="235"/>
      <c r="D118" s="235"/>
      <c r="E118" s="235"/>
      <c r="F118" s="235"/>
      <c r="G118" s="283" t="str">
        <f>IFERROR(E118*F118,"")</f>
        <v>#ERROR!</v>
      </c>
      <c r="H118" s="283" t="str">
        <f>IFERROR(E118-G118,"")</f>
        <v>#ERROR!</v>
      </c>
      <c r="I118" s="235"/>
      <c r="J118" s="240"/>
    </row>
    <row r="119">
      <c r="A119" s="301"/>
      <c r="B119" s="227"/>
      <c r="C119" s="227"/>
      <c r="D119" s="227"/>
      <c r="E119" s="227"/>
      <c r="F119" s="227"/>
      <c r="G119" s="281" t="str">
        <f>IFERROR(E119*F119,"")</f>
        <v>#ERROR!</v>
      </c>
      <c r="H119" s="281" t="str">
        <f>IFERROR(E119-G119,"")</f>
        <v>#ERROR!</v>
      </c>
      <c r="I119" s="227"/>
      <c r="J119" s="233"/>
    </row>
    <row r="120">
      <c r="A120" s="303"/>
      <c r="B120" s="235"/>
      <c r="C120" s="235"/>
      <c r="D120" s="235"/>
      <c r="E120" s="235"/>
      <c r="F120" s="235"/>
      <c r="G120" s="283" t="str">
        <f>IFERROR(E120*F120,"")</f>
        <v>#ERROR!</v>
      </c>
      <c r="H120" s="283" t="str">
        <f>IFERROR(E120-G120,"")</f>
        <v>#ERROR!</v>
      </c>
      <c r="I120" s="235"/>
      <c r="J120" s="240"/>
    </row>
    <row r="121">
      <c r="A121" s="301"/>
      <c r="B121" s="227"/>
      <c r="C121" s="227"/>
      <c r="D121" s="227"/>
      <c r="E121" s="227"/>
      <c r="F121" s="227"/>
      <c r="G121" s="281" t="str">
        <f>IFERROR(E121*F121,"")</f>
        <v>#ERROR!</v>
      </c>
      <c r="H121" s="281" t="str">
        <f>IFERROR(E121-G121,"")</f>
        <v>#ERROR!</v>
      </c>
      <c r="I121" s="227"/>
      <c r="J121" s="233"/>
    </row>
    <row r="122">
      <c r="A122" s="303"/>
      <c r="B122" s="235"/>
      <c r="C122" s="235"/>
      <c r="D122" s="235"/>
      <c r="E122" s="235"/>
      <c r="F122" s="235"/>
      <c r="G122" s="283" t="str">
        <f>IFERROR(E122*F122,"")</f>
        <v>#ERROR!</v>
      </c>
      <c r="H122" s="283" t="str">
        <f>IFERROR(E122-G122,"")</f>
        <v>#ERROR!</v>
      </c>
      <c r="I122" s="235"/>
      <c r="J122" s="240"/>
    </row>
    <row r="123">
      <c r="A123" s="301"/>
      <c r="B123" s="227"/>
      <c r="C123" s="227"/>
      <c r="D123" s="227"/>
      <c r="E123" s="227"/>
      <c r="F123" s="227"/>
      <c r="G123" s="281" t="str">
        <f>IFERROR(E123*F123,"")</f>
        <v>#ERROR!</v>
      </c>
      <c r="H123" s="281" t="str">
        <f>IFERROR(E123-G123,"")</f>
        <v>#ERROR!</v>
      </c>
      <c r="I123" s="227"/>
      <c r="J123" s="233"/>
    </row>
    <row r="124">
      <c r="A124" s="303"/>
      <c r="B124" s="235"/>
      <c r="C124" s="235"/>
      <c r="D124" s="235"/>
      <c r="E124" s="235"/>
      <c r="F124" s="235"/>
      <c r="G124" s="283" t="str">
        <f>IFERROR(E124*F124,"")</f>
        <v>#ERROR!</v>
      </c>
      <c r="H124" s="283" t="str">
        <f>IFERROR(E124-G124,"")</f>
        <v>#ERROR!</v>
      </c>
      <c r="I124" s="235"/>
      <c r="J124" s="240"/>
    </row>
    <row r="125">
      <c r="A125" s="301"/>
      <c r="B125" s="227"/>
      <c r="C125" s="227"/>
      <c r="D125" s="227"/>
      <c r="E125" s="227"/>
      <c r="F125" s="227"/>
      <c r="G125" s="281" t="str">
        <f>IFERROR(E125*F125,"")</f>
        <v>#ERROR!</v>
      </c>
      <c r="H125" s="281" t="str">
        <f>IFERROR(E125-G125,"")</f>
        <v>#ERROR!</v>
      </c>
      <c r="I125" s="227"/>
      <c r="J125" s="233"/>
    </row>
    <row r="126">
      <c r="A126" s="303"/>
      <c r="B126" s="235"/>
      <c r="C126" s="235"/>
      <c r="D126" s="235"/>
      <c r="E126" s="235"/>
      <c r="F126" s="235"/>
      <c r="G126" s="283" t="str">
        <f>IFERROR(E126*F126,"")</f>
        <v>#ERROR!</v>
      </c>
      <c r="H126" s="283" t="str">
        <f>IFERROR(E126-G126,"")</f>
        <v>#ERROR!</v>
      </c>
      <c r="I126" s="235"/>
      <c r="J126" s="240"/>
    </row>
    <row r="127">
      <c r="A127" s="301"/>
      <c r="B127" s="227"/>
      <c r="C127" s="227"/>
      <c r="D127" s="227"/>
      <c r="E127" s="227"/>
      <c r="F127" s="227"/>
      <c r="G127" s="281" t="str">
        <f>IFERROR(E127*F127,"")</f>
        <v>#ERROR!</v>
      </c>
      <c r="H127" s="281" t="str">
        <f>IFERROR(E127-G127,"")</f>
        <v>#ERROR!</v>
      </c>
      <c r="I127" s="227"/>
      <c r="J127" s="233"/>
    </row>
    <row r="128">
      <c r="A128" s="303"/>
      <c r="B128" s="235"/>
      <c r="C128" s="235"/>
      <c r="D128" s="235"/>
      <c r="E128" s="235"/>
      <c r="F128" s="235"/>
      <c r="G128" s="283" t="str">
        <f>IFERROR(E128*F128,"")</f>
        <v>#ERROR!</v>
      </c>
      <c r="H128" s="283" t="str">
        <f>IFERROR(E128-G128,"")</f>
        <v>#ERROR!</v>
      </c>
      <c r="I128" s="235"/>
      <c r="J128" s="240"/>
    </row>
    <row r="129">
      <c r="A129" s="301"/>
      <c r="B129" s="227"/>
      <c r="C129" s="227"/>
      <c r="D129" s="227"/>
      <c r="E129" s="227"/>
      <c r="F129" s="227"/>
      <c r="G129" s="281" t="str">
        <f>IFERROR(E129*F129,"")</f>
        <v>#ERROR!</v>
      </c>
      <c r="H129" s="281" t="str">
        <f>IFERROR(E129-G129,"")</f>
        <v>#ERROR!</v>
      </c>
      <c r="I129" s="227"/>
      <c r="J129" s="233"/>
    </row>
    <row r="130">
      <c r="A130" s="303"/>
      <c r="B130" s="235"/>
      <c r="C130" s="235"/>
      <c r="D130" s="235"/>
      <c r="E130" s="235"/>
      <c r="F130" s="235"/>
      <c r="G130" s="283" t="str">
        <f>IFERROR(E130*F130,"")</f>
        <v>#ERROR!</v>
      </c>
      <c r="H130" s="283" t="str">
        <f>IFERROR(E130-G130,"")</f>
        <v>#ERROR!</v>
      </c>
      <c r="I130" s="235"/>
      <c r="J130" s="240"/>
    </row>
    <row r="131">
      <c r="A131" s="301"/>
      <c r="B131" s="227"/>
      <c r="C131" s="227"/>
      <c r="D131" s="227"/>
      <c r="E131" s="227"/>
      <c r="F131" s="227"/>
      <c r="G131" s="281" t="str">
        <f>IFERROR(E131*F131,"")</f>
        <v>#ERROR!</v>
      </c>
      <c r="H131" s="281" t="str">
        <f>IFERROR(E131-G131,"")</f>
        <v>#ERROR!</v>
      </c>
      <c r="I131" s="227"/>
      <c r="J131" s="233"/>
    </row>
    <row r="132">
      <c r="A132" s="303"/>
      <c r="B132" s="235"/>
      <c r="C132" s="235"/>
      <c r="D132" s="235"/>
      <c r="E132" s="235"/>
      <c r="F132" s="235"/>
      <c r="G132" s="283" t="str">
        <f>IFERROR(E132*F132,"")</f>
        <v>#ERROR!</v>
      </c>
      <c r="H132" s="283" t="str">
        <f>IFERROR(E132-G132,"")</f>
        <v>#ERROR!</v>
      </c>
      <c r="I132" s="235"/>
      <c r="J132" s="240"/>
    </row>
    <row r="133">
      <c r="A133" s="301"/>
      <c r="B133" s="227"/>
      <c r="C133" s="227"/>
      <c r="D133" s="227"/>
      <c r="E133" s="227"/>
      <c r="F133" s="227"/>
      <c r="G133" s="281" t="str">
        <f>IFERROR(E133*F133,"")</f>
        <v>#ERROR!</v>
      </c>
      <c r="H133" s="281" t="str">
        <f>IFERROR(E133-G133,"")</f>
        <v>#ERROR!</v>
      </c>
      <c r="I133" s="227"/>
      <c r="J133" s="233"/>
    </row>
    <row r="134">
      <c r="A134" s="303"/>
      <c r="B134" s="235"/>
      <c r="C134" s="235"/>
      <c r="D134" s="235"/>
      <c r="E134" s="235"/>
      <c r="F134" s="235"/>
      <c r="G134" s="283" t="str">
        <f>IFERROR(E134*F134,"")</f>
        <v>#ERROR!</v>
      </c>
      <c r="H134" s="283" t="str">
        <f>IFERROR(E134-G134,"")</f>
        <v>#ERROR!</v>
      </c>
      <c r="I134" s="235"/>
      <c r="J134" s="240"/>
    </row>
    <row r="135">
      <c r="A135" s="301"/>
      <c r="B135" s="227"/>
      <c r="C135" s="227"/>
      <c r="D135" s="227"/>
      <c r="E135" s="227"/>
      <c r="F135" s="227"/>
      <c r="G135" s="281" t="str">
        <f>IFERROR(E135*F135,"")</f>
        <v>#ERROR!</v>
      </c>
      <c r="H135" s="281" t="str">
        <f>IFERROR(E135-G135,"")</f>
        <v>#ERROR!</v>
      </c>
      <c r="I135" s="227"/>
      <c r="J135" s="233"/>
    </row>
    <row r="136">
      <c r="A136" s="303"/>
      <c r="B136" s="235"/>
      <c r="C136" s="235"/>
      <c r="D136" s="235"/>
      <c r="E136" s="235"/>
      <c r="F136" s="235"/>
      <c r="G136" s="283" t="str">
        <f>IFERROR(E136*F136,"")</f>
        <v>#ERROR!</v>
      </c>
      <c r="H136" s="283" t="str">
        <f>IFERROR(E136-G136,"")</f>
        <v>#ERROR!</v>
      </c>
      <c r="I136" s="235"/>
      <c r="J136" s="240"/>
    </row>
    <row r="137">
      <c r="A137" s="301"/>
      <c r="B137" s="227"/>
      <c r="C137" s="227"/>
      <c r="D137" s="227"/>
      <c r="E137" s="227"/>
      <c r="F137" s="227"/>
      <c r="G137" s="281" t="str">
        <f>IFERROR(E137*F137,"")</f>
        <v>#ERROR!</v>
      </c>
      <c r="H137" s="281" t="str">
        <f>IFERROR(E137-G137,"")</f>
        <v>#ERROR!</v>
      </c>
      <c r="I137" s="227"/>
      <c r="J137" s="233"/>
    </row>
    <row r="138">
      <c r="A138" s="303"/>
      <c r="B138" s="235"/>
      <c r="C138" s="235"/>
      <c r="D138" s="235"/>
      <c r="E138" s="235"/>
      <c r="F138" s="235"/>
      <c r="G138" s="283" t="str">
        <f>IFERROR(E138*F138,"")</f>
        <v>#ERROR!</v>
      </c>
      <c r="H138" s="283" t="str">
        <f>IFERROR(E138-G138,"")</f>
        <v>#ERROR!</v>
      </c>
      <c r="I138" s="235"/>
      <c r="J138" s="240"/>
    </row>
    <row r="139">
      <c r="A139" s="301"/>
      <c r="B139" s="227"/>
      <c r="C139" s="227"/>
      <c r="D139" s="227"/>
      <c r="E139" s="227"/>
      <c r="F139" s="227"/>
      <c r="G139" s="281" t="str">
        <f>IFERROR(E139*F139,"")</f>
        <v>#ERROR!</v>
      </c>
      <c r="H139" s="281" t="str">
        <f>IFERROR(E139-G139,"")</f>
        <v>#ERROR!</v>
      </c>
      <c r="I139" s="227"/>
      <c r="J139" s="233"/>
    </row>
    <row r="140">
      <c r="A140" s="303"/>
      <c r="B140" s="235"/>
      <c r="C140" s="235"/>
      <c r="D140" s="235"/>
      <c r="E140" s="235"/>
      <c r="F140" s="235"/>
      <c r="G140" s="283" t="str">
        <f>IFERROR(E140*F140,"")</f>
        <v>#ERROR!</v>
      </c>
      <c r="H140" s="283" t="str">
        <f>IFERROR(E140-G140,"")</f>
        <v>#ERROR!</v>
      </c>
      <c r="I140" s="235"/>
      <c r="J140" s="240"/>
    </row>
    <row r="141">
      <c r="A141" s="301"/>
      <c r="B141" s="227"/>
      <c r="C141" s="227"/>
      <c r="D141" s="227"/>
      <c r="E141" s="227"/>
      <c r="F141" s="227"/>
      <c r="G141" s="281" t="str">
        <f>IFERROR(E141*F141,"")</f>
        <v>#ERROR!</v>
      </c>
      <c r="H141" s="281" t="str">
        <f>IFERROR(E141-G141,"")</f>
        <v>#ERROR!</v>
      </c>
      <c r="I141" s="227"/>
      <c r="J141" s="233"/>
    </row>
    <row r="142">
      <c r="A142" s="303"/>
      <c r="B142" s="235"/>
      <c r="C142" s="235"/>
      <c r="D142" s="235"/>
      <c r="E142" s="235"/>
      <c r="F142" s="235"/>
      <c r="G142" s="283" t="str">
        <f>IFERROR(E142*F142,"")</f>
        <v>#ERROR!</v>
      </c>
      <c r="H142" s="283" t="str">
        <f>IFERROR(E142-G142,"")</f>
        <v>#ERROR!</v>
      </c>
      <c r="I142" s="235"/>
      <c r="J142" s="240"/>
    </row>
    <row r="143">
      <c r="A143" s="301"/>
      <c r="B143" s="227"/>
      <c r="C143" s="227"/>
      <c r="D143" s="227"/>
      <c r="E143" s="227"/>
      <c r="F143" s="227"/>
      <c r="G143" s="281" t="str">
        <f>IFERROR(E143*F143,"")</f>
        <v>#ERROR!</v>
      </c>
      <c r="H143" s="281" t="str">
        <f>IFERROR(E143-G143,"")</f>
        <v>#ERROR!</v>
      </c>
      <c r="I143" s="227"/>
      <c r="J143" s="233"/>
    </row>
    <row r="144">
      <c r="A144" s="303"/>
      <c r="B144" s="235"/>
      <c r="C144" s="235"/>
      <c r="D144" s="235"/>
      <c r="E144" s="235"/>
      <c r="F144" s="235"/>
      <c r="G144" s="283" t="str">
        <f>IFERROR(E144*F144,"")</f>
        <v>#ERROR!</v>
      </c>
      <c r="H144" s="283" t="str">
        <f>IFERROR(E144-G144,"")</f>
        <v>#ERROR!</v>
      </c>
      <c r="I144" s="235"/>
      <c r="J144" s="240"/>
    </row>
    <row r="145">
      <c r="A145" s="301"/>
      <c r="B145" s="227"/>
      <c r="C145" s="227"/>
      <c r="D145" s="227"/>
      <c r="E145" s="227"/>
      <c r="F145" s="227"/>
      <c r="G145" s="281" t="str">
        <f>IFERROR(E145*F145,"")</f>
        <v>#ERROR!</v>
      </c>
      <c r="H145" s="281" t="str">
        <f>IFERROR(E145-G145,"")</f>
        <v>#ERROR!</v>
      </c>
      <c r="I145" s="227"/>
      <c r="J145" s="233"/>
    </row>
    <row r="146">
      <c r="A146" s="303"/>
      <c r="B146" s="235"/>
      <c r="C146" s="235"/>
      <c r="D146" s="235"/>
      <c r="E146" s="235"/>
      <c r="F146" s="235"/>
      <c r="G146" s="283" t="str">
        <f>IFERROR(E146*F146,"")</f>
        <v>#ERROR!</v>
      </c>
      <c r="H146" s="283" t="str">
        <f>IFERROR(E146-G146,"")</f>
        <v>#ERROR!</v>
      </c>
      <c r="I146" s="235"/>
      <c r="J146" s="240"/>
    </row>
    <row r="147">
      <c r="A147" s="301"/>
      <c r="B147" s="227"/>
      <c r="C147" s="227"/>
      <c r="D147" s="227"/>
      <c r="E147" s="227"/>
      <c r="F147" s="227"/>
      <c r="G147" s="281" t="str">
        <f>IFERROR(E147*F147,"")</f>
        <v>#ERROR!</v>
      </c>
      <c r="H147" s="281" t="str">
        <f>IFERROR(E147-G147,"")</f>
        <v>#ERROR!</v>
      </c>
      <c r="I147" s="227"/>
      <c r="J147" s="233"/>
    </row>
    <row r="148">
      <c r="A148" s="303"/>
      <c r="B148" s="235"/>
      <c r="C148" s="235"/>
      <c r="D148" s="235"/>
      <c r="E148" s="235"/>
      <c r="F148" s="235"/>
      <c r="G148" s="283" t="str">
        <f>IFERROR(E148*F148,"")</f>
        <v>#ERROR!</v>
      </c>
      <c r="H148" s="283" t="str">
        <f>IFERROR(E148-G148,"")</f>
        <v>#ERROR!</v>
      </c>
      <c r="I148" s="235"/>
      <c r="J148" s="240"/>
    </row>
    <row r="149">
      <c r="A149" s="301"/>
      <c r="B149" s="227"/>
      <c r="C149" s="227"/>
      <c r="D149" s="227"/>
      <c r="E149" s="227"/>
      <c r="F149" s="227"/>
      <c r="G149" s="281" t="str">
        <f>IFERROR(E149*F149,"")</f>
        <v>#ERROR!</v>
      </c>
      <c r="H149" s="281" t="str">
        <f>IFERROR(E149-G149,"")</f>
        <v>#ERROR!</v>
      </c>
      <c r="I149" s="227"/>
      <c r="J149" s="233"/>
    </row>
    <row r="150">
      <c r="A150" s="303"/>
      <c r="B150" s="235"/>
      <c r="C150" s="235"/>
      <c r="D150" s="235"/>
      <c r="E150" s="235"/>
      <c r="F150" s="235"/>
      <c r="G150" s="283" t="str">
        <f>IFERROR(E150*F150,"")</f>
        <v>#ERROR!</v>
      </c>
      <c r="H150" s="283" t="str">
        <f>IFERROR(E150-G150,"")</f>
        <v>#ERROR!</v>
      </c>
      <c r="I150" s="235"/>
      <c r="J150" s="240"/>
    </row>
    <row r="151">
      <c r="A151" s="301"/>
      <c r="B151" s="227"/>
      <c r="C151" s="227"/>
      <c r="D151" s="227"/>
      <c r="E151" s="227"/>
      <c r="F151" s="227"/>
      <c r="G151" s="281" t="str">
        <f>IFERROR(E151*F151,"")</f>
        <v>#ERROR!</v>
      </c>
      <c r="H151" s="281" t="str">
        <f>IFERROR(E151-G151,"")</f>
        <v>#ERROR!</v>
      </c>
      <c r="I151" s="227"/>
      <c r="J151" s="233"/>
    </row>
    <row r="152">
      <c r="A152" s="303"/>
      <c r="B152" s="235"/>
      <c r="C152" s="235"/>
      <c r="D152" s="235"/>
      <c r="E152" s="235"/>
      <c r="F152" s="235"/>
      <c r="G152" s="283" t="str">
        <f>IFERROR(E152*F152,"")</f>
        <v>#ERROR!</v>
      </c>
      <c r="H152" s="283" t="str">
        <f>IFERROR(E152-G152,"")</f>
        <v>#ERROR!</v>
      </c>
      <c r="I152" s="235"/>
      <c r="J152" s="240"/>
    </row>
    <row r="153">
      <c r="A153" s="301"/>
      <c r="B153" s="227"/>
      <c r="C153" s="227"/>
      <c r="D153" s="227"/>
      <c r="E153" s="227"/>
      <c r="F153" s="227"/>
      <c r="G153" s="281" t="str">
        <f>IFERROR(E153*F153,"")</f>
        <v>#ERROR!</v>
      </c>
      <c r="H153" s="281" t="str">
        <f>IFERROR(E153-G153,"")</f>
        <v>#ERROR!</v>
      </c>
      <c r="I153" s="227"/>
      <c r="J153" s="233"/>
    </row>
    <row r="154">
      <c r="A154" s="303"/>
      <c r="B154" s="235"/>
      <c r="C154" s="235"/>
      <c r="D154" s="235"/>
      <c r="E154" s="235"/>
      <c r="F154" s="235"/>
      <c r="G154" s="283" t="str">
        <f>IFERROR(E154*F154,"")</f>
        <v>#ERROR!</v>
      </c>
      <c r="H154" s="283" t="str">
        <f>IFERROR(E154-G154,"")</f>
        <v>#ERROR!</v>
      </c>
      <c r="I154" s="235"/>
      <c r="J154" s="240"/>
    </row>
    <row r="155">
      <c r="A155" s="301"/>
      <c r="B155" s="227"/>
      <c r="C155" s="227"/>
      <c r="D155" s="227"/>
      <c r="E155" s="227"/>
      <c r="F155" s="227"/>
      <c r="G155" s="281" t="str">
        <f>IFERROR(E155*F155,"")</f>
        <v>#ERROR!</v>
      </c>
      <c r="H155" s="281" t="str">
        <f>IFERROR(E155-G155,"")</f>
        <v>#ERROR!</v>
      </c>
      <c r="I155" s="227"/>
      <c r="J155" s="233"/>
    </row>
    <row r="156">
      <c r="A156" s="303"/>
      <c r="B156" s="235"/>
      <c r="C156" s="235"/>
      <c r="D156" s="235"/>
      <c r="E156" s="235"/>
      <c r="F156" s="235"/>
      <c r="G156" s="283" t="str">
        <f>IFERROR(E156*F156,"")</f>
        <v>#ERROR!</v>
      </c>
      <c r="H156" s="283" t="str">
        <f>IFERROR(E156-G156,"")</f>
        <v>#ERROR!</v>
      </c>
      <c r="I156" s="235"/>
      <c r="J156" s="240"/>
    </row>
    <row r="157">
      <c r="A157" s="301"/>
      <c r="B157" s="227"/>
      <c r="C157" s="227"/>
      <c r="D157" s="227"/>
      <c r="E157" s="227"/>
      <c r="F157" s="227"/>
      <c r="G157" s="281" t="str">
        <f>IFERROR(E157*F157,"")</f>
        <v>#ERROR!</v>
      </c>
      <c r="H157" s="281" t="str">
        <f>IFERROR(E157-G157,"")</f>
        <v>#ERROR!</v>
      </c>
      <c r="I157" s="227"/>
      <c r="J157" s="233"/>
    </row>
    <row r="158">
      <c r="A158" s="303"/>
      <c r="B158" s="235"/>
      <c r="C158" s="235"/>
      <c r="D158" s="235"/>
      <c r="E158" s="235"/>
      <c r="F158" s="235"/>
      <c r="G158" s="283" t="str">
        <f>IFERROR(E158*F158,"")</f>
        <v>#ERROR!</v>
      </c>
      <c r="H158" s="283" t="str">
        <f>IFERROR(E158-G158,"")</f>
        <v>#ERROR!</v>
      </c>
      <c r="I158" s="235"/>
      <c r="J158" s="240"/>
    </row>
    <row r="159">
      <c r="A159" s="301"/>
      <c r="B159" s="227"/>
      <c r="C159" s="227"/>
      <c r="D159" s="227"/>
      <c r="E159" s="227"/>
      <c r="F159" s="227"/>
      <c r="G159" s="281" t="str">
        <f>IFERROR(E159*F159,"")</f>
        <v>#ERROR!</v>
      </c>
      <c r="H159" s="281" t="str">
        <f>IFERROR(E159-G159,"")</f>
        <v>#ERROR!</v>
      </c>
      <c r="I159" s="227"/>
      <c r="J159" s="233"/>
    </row>
    <row r="160">
      <c r="A160" s="303"/>
      <c r="B160" s="235"/>
      <c r="C160" s="235"/>
      <c r="D160" s="235"/>
      <c r="E160" s="235"/>
      <c r="F160" s="235"/>
      <c r="G160" s="283" t="str">
        <f>IFERROR(E160*F160,"")</f>
        <v>#ERROR!</v>
      </c>
      <c r="H160" s="283" t="str">
        <f>IFERROR(E160-G160,"")</f>
        <v>#ERROR!</v>
      </c>
      <c r="I160" s="235"/>
      <c r="J160" s="240"/>
    </row>
    <row r="161">
      <c r="A161" s="301"/>
      <c r="B161" s="227"/>
      <c r="C161" s="227"/>
      <c r="D161" s="227"/>
      <c r="E161" s="227"/>
      <c r="F161" s="227"/>
      <c r="G161" s="281" t="str">
        <f>IFERROR(E161*F161,"")</f>
        <v>#ERROR!</v>
      </c>
      <c r="H161" s="281" t="str">
        <f>IFERROR(E161-G161,"")</f>
        <v>#ERROR!</v>
      </c>
      <c r="I161" s="227"/>
      <c r="J161" s="233"/>
    </row>
    <row r="162">
      <c r="A162" s="303"/>
      <c r="B162" s="235"/>
      <c r="C162" s="235"/>
      <c r="D162" s="235"/>
      <c r="E162" s="235"/>
      <c r="F162" s="235"/>
      <c r="G162" s="283" t="str">
        <f>IFERROR(E162*F162,"")</f>
        <v>#ERROR!</v>
      </c>
      <c r="H162" s="283" t="str">
        <f>IFERROR(E162-G162,"")</f>
        <v>#ERROR!</v>
      </c>
      <c r="I162" s="235"/>
      <c r="J162" s="240"/>
    </row>
    <row r="163">
      <c r="A163" s="301"/>
      <c r="B163" s="227"/>
      <c r="C163" s="227"/>
      <c r="D163" s="227"/>
      <c r="E163" s="227"/>
      <c r="F163" s="227"/>
      <c r="G163" s="281" t="str">
        <f>IFERROR(E163*F163,"")</f>
        <v>#ERROR!</v>
      </c>
      <c r="H163" s="281" t="str">
        <f>IFERROR(E163-G163,"")</f>
        <v>#ERROR!</v>
      </c>
      <c r="I163" s="227"/>
      <c r="J163" s="233"/>
    </row>
    <row r="164">
      <c r="A164" s="303"/>
      <c r="B164" s="235"/>
      <c r="C164" s="235"/>
      <c r="D164" s="235"/>
      <c r="E164" s="235"/>
      <c r="F164" s="235"/>
      <c r="G164" s="283" t="str">
        <f>IFERROR(E164*F164,"")</f>
        <v>#ERROR!</v>
      </c>
      <c r="H164" s="283" t="str">
        <f>IFERROR(E164-G164,"")</f>
        <v>#ERROR!</v>
      </c>
      <c r="I164" s="235"/>
      <c r="J164" s="240"/>
    </row>
    <row r="165">
      <c r="A165" s="301"/>
      <c r="B165" s="227"/>
      <c r="C165" s="227"/>
      <c r="D165" s="227"/>
      <c r="E165" s="227"/>
      <c r="F165" s="227"/>
      <c r="G165" s="281" t="str">
        <f>IFERROR(E165*F165,"")</f>
        <v>#ERROR!</v>
      </c>
      <c r="H165" s="281" t="str">
        <f>IFERROR(E165-G165,"")</f>
        <v>#ERROR!</v>
      </c>
      <c r="I165" s="227"/>
      <c r="J165" s="233"/>
    </row>
    <row r="166">
      <c r="A166" s="303"/>
      <c r="B166" s="235"/>
      <c r="C166" s="235"/>
      <c r="D166" s="235"/>
      <c r="E166" s="235"/>
      <c r="F166" s="235"/>
      <c r="G166" s="283" t="str">
        <f>IFERROR(E166*F166,"")</f>
        <v>#ERROR!</v>
      </c>
      <c r="H166" s="283" t="str">
        <f>IFERROR(E166-G166,"")</f>
        <v>#ERROR!</v>
      </c>
      <c r="I166" s="235"/>
      <c r="J166" s="240"/>
    </row>
    <row r="167">
      <c r="A167" s="301"/>
      <c r="B167" s="227"/>
      <c r="C167" s="227"/>
      <c r="D167" s="227"/>
      <c r="E167" s="227"/>
      <c r="F167" s="227"/>
      <c r="G167" s="281" t="str">
        <f>IFERROR(E167*F167,"")</f>
        <v>#ERROR!</v>
      </c>
      <c r="H167" s="281" t="str">
        <f>IFERROR(E167-G167,"")</f>
        <v>#ERROR!</v>
      </c>
      <c r="I167" s="227"/>
      <c r="J167" s="233"/>
    </row>
    <row r="168">
      <c r="A168" s="303"/>
      <c r="B168" s="235"/>
      <c r="C168" s="235"/>
      <c r="D168" s="235"/>
      <c r="E168" s="235"/>
      <c r="F168" s="235"/>
      <c r="G168" s="283" t="str">
        <f>IFERROR(E168*F168,"")</f>
        <v>#ERROR!</v>
      </c>
      <c r="H168" s="283" t="str">
        <f>IFERROR(E168-G168,"")</f>
        <v>#ERROR!</v>
      </c>
      <c r="I168" s="235"/>
      <c r="J168" s="240"/>
    </row>
    <row r="169">
      <c r="A169" s="301"/>
      <c r="B169" s="227"/>
      <c r="C169" s="227"/>
      <c r="D169" s="227"/>
      <c r="E169" s="227"/>
      <c r="F169" s="227"/>
      <c r="G169" s="281" t="str">
        <f>IFERROR(E169*F169,"")</f>
        <v>#ERROR!</v>
      </c>
      <c r="H169" s="281" t="str">
        <f>IFERROR(E169-G169,"")</f>
        <v>#ERROR!</v>
      </c>
      <c r="I169" s="227"/>
      <c r="J169" s="233"/>
    </row>
    <row r="170">
      <c r="A170" s="303"/>
      <c r="B170" s="235"/>
      <c r="C170" s="235"/>
      <c r="D170" s="235"/>
      <c r="E170" s="235"/>
      <c r="F170" s="235"/>
      <c r="G170" s="283" t="str">
        <f>IFERROR(E170*F170,"")</f>
        <v>#ERROR!</v>
      </c>
      <c r="H170" s="283" t="str">
        <f>IFERROR(E170-G170,"")</f>
        <v>#ERROR!</v>
      </c>
      <c r="I170" s="235"/>
      <c r="J170" s="240"/>
    </row>
    <row r="171">
      <c r="A171" s="301"/>
      <c r="B171" s="227"/>
      <c r="C171" s="227"/>
      <c r="D171" s="227"/>
      <c r="E171" s="227"/>
      <c r="F171" s="227"/>
      <c r="G171" s="281" t="str">
        <f>IFERROR(E171*F171,"")</f>
        <v>#ERROR!</v>
      </c>
      <c r="H171" s="281" t="str">
        <f>IFERROR(E171-G171,"")</f>
        <v>#ERROR!</v>
      </c>
      <c r="I171" s="227"/>
      <c r="J171" s="233"/>
    </row>
    <row r="172">
      <c r="A172" s="303"/>
      <c r="B172" s="235"/>
      <c r="C172" s="235"/>
      <c r="D172" s="235"/>
      <c r="E172" s="235"/>
      <c r="F172" s="235"/>
      <c r="G172" s="283" t="str">
        <f>IFERROR(E172*F172,"")</f>
        <v>#ERROR!</v>
      </c>
      <c r="H172" s="283" t="str">
        <f>IFERROR(E172-G172,"")</f>
        <v>#ERROR!</v>
      </c>
      <c r="I172" s="235"/>
      <c r="J172" s="240"/>
    </row>
    <row r="173">
      <c r="A173" s="301"/>
      <c r="B173" s="227"/>
      <c r="C173" s="227"/>
      <c r="D173" s="227"/>
      <c r="E173" s="227"/>
      <c r="F173" s="227"/>
      <c r="G173" s="281" t="str">
        <f>IFERROR(E173*F173,"")</f>
        <v>#ERROR!</v>
      </c>
      <c r="H173" s="281" t="str">
        <f>IFERROR(E173-G173,"")</f>
        <v>#ERROR!</v>
      </c>
      <c r="I173" s="227"/>
      <c r="J173" s="233"/>
    </row>
    <row r="174">
      <c r="A174" s="303"/>
      <c r="B174" s="235"/>
      <c r="C174" s="235"/>
      <c r="D174" s="235"/>
      <c r="E174" s="235"/>
      <c r="F174" s="235"/>
      <c r="G174" s="283" t="str">
        <f>IFERROR(E174*F174,"")</f>
        <v>#ERROR!</v>
      </c>
      <c r="H174" s="283" t="str">
        <f>IFERROR(E174-G174,"")</f>
        <v>#ERROR!</v>
      </c>
      <c r="I174" s="235"/>
      <c r="J174" s="240"/>
    </row>
    <row r="175">
      <c r="A175" s="301"/>
      <c r="B175" s="227"/>
      <c r="C175" s="227"/>
      <c r="D175" s="227"/>
      <c r="E175" s="227"/>
      <c r="F175" s="227"/>
      <c r="G175" s="281" t="str">
        <f>IFERROR(E175*F175,"")</f>
        <v>#ERROR!</v>
      </c>
      <c r="H175" s="281" t="str">
        <f>IFERROR(E175-G175,"")</f>
        <v>#ERROR!</v>
      </c>
      <c r="I175" s="227"/>
      <c r="J175" s="233"/>
    </row>
    <row r="176">
      <c r="A176" s="303"/>
      <c r="B176" s="235"/>
      <c r="C176" s="235"/>
      <c r="D176" s="235"/>
      <c r="E176" s="235"/>
      <c r="F176" s="235"/>
      <c r="G176" s="283" t="str">
        <f>IFERROR(E176*F176,"")</f>
        <v>#ERROR!</v>
      </c>
      <c r="H176" s="283" t="str">
        <f>IFERROR(E176-G176,"")</f>
        <v>#ERROR!</v>
      </c>
      <c r="I176" s="235"/>
      <c r="J176" s="240"/>
    </row>
    <row r="177">
      <c r="A177" s="301"/>
      <c r="B177" s="227"/>
      <c r="C177" s="227"/>
      <c r="D177" s="227"/>
      <c r="E177" s="227"/>
      <c r="F177" s="227"/>
      <c r="G177" s="281" t="str">
        <f>IFERROR(E177*F177,"")</f>
        <v>#ERROR!</v>
      </c>
      <c r="H177" s="281" t="str">
        <f>IFERROR(E177-G177,"")</f>
        <v>#ERROR!</v>
      </c>
      <c r="I177" s="227"/>
      <c r="J177" s="233"/>
    </row>
    <row r="178">
      <c r="A178" s="303"/>
      <c r="B178" s="235"/>
      <c r="C178" s="235"/>
      <c r="D178" s="235"/>
      <c r="E178" s="235"/>
      <c r="F178" s="235"/>
      <c r="G178" s="283" t="str">
        <f>IFERROR(E178*F178,"")</f>
        <v>#ERROR!</v>
      </c>
      <c r="H178" s="283" t="str">
        <f>IFERROR(E178-G178,"")</f>
        <v>#ERROR!</v>
      </c>
      <c r="I178" s="235"/>
      <c r="J178" s="240"/>
    </row>
    <row r="179">
      <c r="A179" s="301"/>
      <c r="B179" s="227"/>
      <c r="C179" s="227"/>
      <c r="D179" s="227"/>
      <c r="E179" s="227"/>
      <c r="F179" s="227"/>
      <c r="G179" s="281" t="str">
        <f>IFERROR(E179*F179,"")</f>
        <v>#ERROR!</v>
      </c>
      <c r="H179" s="281" t="str">
        <f>IFERROR(E179-G179,"")</f>
        <v>#ERROR!</v>
      </c>
      <c r="I179" s="227"/>
      <c r="J179" s="233"/>
    </row>
    <row r="180">
      <c r="A180" s="303"/>
      <c r="B180" s="235"/>
      <c r="C180" s="235"/>
      <c r="D180" s="235"/>
      <c r="E180" s="235"/>
      <c r="F180" s="235"/>
      <c r="G180" s="283" t="str">
        <f>IFERROR(E180*F180,"")</f>
        <v>#ERROR!</v>
      </c>
      <c r="H180" s="283" t="str">
        <f>IFERROR(E180-G180,"")</f>
        <v>#ERROR!</v>
      </c>
      <c r="I180" s="235"/>
      <c r="J180" s="240"/>
    </row>
    <row r="181">
      <c r="A181" s="301"/>
      <c r="B181" s="227"/>
      <c r="C181" s="227"/>
      <c r="D181" s="227"/>
      <c r="E181" s="227"/>
      <c r="F181" s="227"/>
      <c r="G181" s="281" t="str">
        <f>IFERROR(E181*F181,"")</f>
        <v>#ERROR!</v>
      </c>
      <c r="H181" s="281" t="str">
        <f>IFERROR(E181-G181,"")</f>
        <v>#ERROR!</v>
      </c>
      <c r="I181" s="227"/>
      <c r="J181" s="233"/>
    </row>
    <row r="182">
      <c r="A182" s="303"/>
      <c r="B182" s="235"/>
      <c r="C182" s="235"/>
      <c r="D182" s="235"/>
      <c r="E182" s="235"/>
      <c r="F182" s="235"/>
      <c r="G182" s="283" t="str">
        <f>IFERROR(E182*F182,"")</f>
        <v>#ERROR!</v>
      </c>
      <c r="H182" s="283" t="str">
        <f>IFERROR(E182-G182,"")</f>
        <v>#ERROR!</v>
      </c>
      <c r="I182" s="235"/>
      <c r="J182" s="240"/>
    </row>
    <row r="183">
      <c r="A183" s="301"/>
      <c r="B183" s="227"/>
      <c r="C183" s="227"/>
      <c r="D183" s="227"/>
      <c r="E183" s="227"/>
      <c r="F183" s="227"/>
      <c r="G183" s="281" t="str">
        <f>IFERROR(E183*F183,"")</f>
        <v>#ERROR!</v>
      </c>
      <c r="H183" s="281" t="str">
        <f>IFERROR(E183-G183,"")</f>
        <v>#ERROR!</v>
      </c>
      <c r="I183" s="227"/>
      <c r="J183" s="233"/>
    </row>
    <row r="184">
      <c r="A184" s="303"/>
      <c r="B184" s="235"/>
      <c r="C184" s="235"/>
      <c r="D184" s="235"/>
      <c r="E184" s="235"/>
      <c r="F184" s="235"/>
      <c r="G184" s="283" t="str">
        <f>IFERROR(E184*F184,"")</f>
        <v>#ERROR!</v>
      </c>
      <c r="H184" s="283" t="str">
        <f>IFERROR(E184-G184,"")</f>
        <v>#ERROR!</v>
      </c>
      <c r="I184" s="235"/>
      <c r="J184" s="240"/>
    </row>
    <row r="185">
      <c r="A185" s="301"/>
      <c r="B185" s="227"/>
      <c r="C185" s="227"/>
      <c r="D185" s="227"/>
      <c r="E185" s="227"/>
      <c r="F185" s="227"/>
      <c r="G185" s="281" t="str">
        <f>IFERROR(E185*F185,"")</f>
        <v>#ERROR!</v>
      </c>
      <c r="H185" s="281" t="str">
        <f>IFERROR(E185-G185,"")</f>
        <v>#ERROR!</v>
      </c>
      <c r="I185" s="227"/>
      <c r="J185" s="233"/>
    </row>
    <row r="186">
      <c r="A186" s="303"/>
      <c r="B186" s="235"/>
      <c r="C186" s="235"/>
      <c r="D186" s="235"/>
      <c r="E186" s="235"/>
      <c r="F186" s="235"/>
      <c r="G186" s="283" t="str">
        <f>IFERROR(E186*F186,"")</f>
        <v>#ERROR!</v>
      </c>
      <c r="H186" s="283" t="str">
        <f>IFERROR(E186-G186,"")</f>
        <v>#ERROR!</v>
      </c>
      <c r="I186" s="235"/>
      <c r="J186" s="240"/>
    </row>
    <row r="187">
      <c r="A187" s="301"/>
      <c r="B187" s="227"/>
      <c r="C187" s="227"/>
      <c r="D187" s="227"/>
      <c r="E187" s="227"/>
      <c r="F187" s="227"/>
      <c r="G187" s="281" t="str">
        <f>IFERROR(E187*F187,"")</f>
        <v>#ERROR!</v>
      </c>
      <c r="H187" s="281" t="str">
        <f>IFERROR(E187-G187,"")</f>
        <v>#ERROR!</v>
      </c>
      <c r="I187" s="227"/>
      <c r="J187" s="233"/>
    </row>
    <row r="188">
      <c r="A188" s="303"/>
      <c r="B188" s="235"/>
      <c r="C188" s="235"/>
      <c r="D188" s="235"/>
      <c r="E188" s="235"/>
      <c r="F188" s="235"/>
      <c r="G188" s="283" t="str">
        <f>IFERROR(E188*F188,"")</f>
        <v>#ERROR!</v>
      </c>
      <c r="H188" s="283" t="str">
        <f>IFERROR(E188-G188,"")</f>
        <v>#ERROR!</v>
      </c>
      <c r="I188" s="235"/>
      <c r="J188" s="240"/>
    </row>
    <row r="189">
      <c r="A189" s="301"/>
      <c r="B189" s="227"/>
      <c r="C189" s="227"/>
      <c r="D189" s="227"/>
      <c r="E189" s="227"/>
      <c r="F189" s="227"/>
      <c r="G189" s="281" t="str">
        <f>IFERROR(E189*F189,"")</f>
        <v>#ERROR!</v>
      </c>
      <c r="H189" s="281" t="str">
        <f>IFERROR(E189-G189,"")</f>
        <v>#ERROR!</v>
      </c>
      <c r="I189" s="227"/>
      <c r="J189" s="233"/>
    </row>
    <row r="190">
      <c r="A190" s="303"/>
      <c r="B190" s="235"/>
      <c r="C190" s="235"/>
      <c r="D190" s="235"/>
      <c r="E190" s="235"/>
      <c r="F190" s="235"/>
      <c r="G190" s="283" t="str">
        <f>IFERROR(E190*F190,"")</f>
        <v>#ERROR!</v>
      </c>
      <c r="H190" s="283" t="str">
        <f>IFERROR(E190-G190,"")</f>
        <v>#ERROR!</v>
      </c>
      <c r="I190" s="235"/>
      <c r="J190" s="240"/>
    </row>
    <row r="191">
      <c r="A191" s="301"/>
      <c r="B191" s="227"/>
      <c r="C191" s="227"/>
      <c r="D191" s="227"/>
      <c r="E191" s="227"/>
      <c r="F191" s="227"/>
      <c r="G191" s="281" t="str">
        <f>IFERROR(E191*F191,"")</f>
        <v>#ERROR!</v>
      </c>
      <c r="H191" s="281" t="str">
        <f>IFERROR(E191-G191,"")</f>
        <v>#ERROR!</v>
      </c>
      <c r="I191" s="227"/>
      <c r="J191" s="233"/>
    </row>
    <row r="192">
      <c r="A192" s="303"/>
      <c r="B192" s="235"/>
      <c r="C192" s="235"/>
      <c r="D192" s="235"/>
      <c r="E192" s="235"/>
      <c r="F192" s="235"/>
      <c r="G192" s="283" t="str">
        <f>IFERROR(E192*F192,"")</f>
        <v>#ERROR!</v>
      </c>
      <c r="H192" s="283" t="str">
        <f>IFERROR(E192-G192,"")</f>
        <v>#ERROR!</v>
      </c>
      <c r="I192" s="235"/>
      <c r="J192" s="240"/>
    </row>
    <row r="193">
      <c r="A193" s="301"/>
      <c r="B193" s="227"/>
      <c r="C193" s="227"/>
      <c r="D193" s="227"/>
      <c r="E193" s="227"/>
      <c r="F193" s="227"/>
      <c r="G193" s="281" t="str">
        <f>IFERROR(E193*F193,"")</f>
        <v>#ERROR!</v>
      </c>
      <c r="H193" s="281" t="str">
        <f>IFERROR(E193-G193,"")</f>
        <v>#ERROR!</v>
      </c>
      <c r="I193" s="227"/>
      <c r="J193" s="233"/>
    </row>
    <row r="194">
      <c r="A194" s="303"/>
      <c r="B194" s="235"/>
      <c r="C194" s="235"/>
      <c r="D194" s="235"/>
      <c r="E194" s="235"/>
      <c r="F194" s="235"/>
      <c r="G194" s="283" t="str">
        <f>IFERROR(E194*F194,"")</f>
        <v>#ERROR!</v>
      </c>
      <c r="H194" s="283" t="str">
        <f>IFERROR(E194-G194,"")</f>
        <v>#ERROR!</v>
      </c>
      <c r="I194" s="235"/>
      <c r="J194" s="240"/>
    </row>
    <row r="195">
      <c r="A195" s="301"/>
      <c r="B195" s="227"/>
      <c r="C195" s="227"/>
      <c r="D195" s="227"/>
      <c r="E195" s="227"/>
      <c r="F195" s="227"/>
      <c r="G195" s="281" t="str">
        <f>IFERROR(E195*F195,"")</f>
        <v>#ERROR!</v>
      </c>
      <c r="H195" s="281" t="str">
        <f>IFERROR(E195-G195,"")</f>
        <v>#ERROR!</v>
      </c>
      <c r="I195" s="227"/>
      <c r="J195" s="233"/>
    </row>
    <row r="196">
      <c r="A196" s="303"/>
      <c r="B196" s="235"/>
      <c r="C196" s="235"/>
      <c r="D196" s="235"/>
      <c r="E196" s="235"/>
      <c r="F196" s="235"/>
      <c r="G196" s="283" t="str">
        <f>IFERROR(E196*F196,"")</f>
        <v>#ERROR!</v>
      </c>
      <c r="H196" s="283" t="str">
        <f>IFERROR(E196-G196,"")</f>
        <v>#ERROR!</v>
      </c>
      <c r="I196" s="235"/>
      <c r="J196" s="240"/>
    </row>
    <row r="197">
      <c r="A197" s="301"/>
      <c r="B197" s="227"/>
      <c r="C197" s="227"/>
      <c r="D197" s="227"/>
      <c r="E197" s="227"/>
      <c r="F197" s="227"/>
      <c r="G197" s="281" t="str">
        <f>IFERROR(E197*F197,"")</f>
        <v>#ERROR!</v>
      </c>
      <c r="H197" s="281" t="str">
        <f>IFERROR(E197-G197,"")</f>
        <v>#ERROR!</v>
      </c>
      <c r="I197" s="227"/>
      <c r="J197" s="233"/>
    </row>
    <row r="198">
      <c r="A198" s="303"/>
      <c r="B198" s="235"/>
      <c r="C198" s="235"/>
      <c r="D198" s="235"/>
      <c r="E198" s="235"/>
      <c r="F198" s="235"/>
      <c r="G198" s="283" t="str">
        <f>IFERROR(E198*F198,"")</f>
        <v>#ERROR!</v>
      </c>
      <c r="H198" s="283" t="str">
        <f>IFERROR(E198-G198,"")</f>
        <v>#ERROR!</v>
      </c>
      <c r="I198" s="235"/>
      <c r="J198" s="240"/>
    </row>
    <row r="199">
      <c r="A199" s="301"/>
      <c r="B199" s="227"/>
      <c r="C199" s="227"/>
      <c r="D199" s="227"/>
      <c r="E199" s="227"/>
      <c r="F199" s="227"/>
      <c r="G199" s="281" t="str">
        <f>IFERROR(E199*F199,"")</f>
        <v>#ERROR!</v>
      </c>
      <c r="H199" s="281" t="str">
        <f>IFERROR(E199-G199,"")</f>
        <v>#ERROR!</v>
      </c>
      <c r="I199" s="227"/>
      <c r="J199" s="233"/>
    </row>
    <row r="200">
      <c r="A200" s="303"/>
      <c r="B200" s="235"/>
      <c r="C200" s="235"/>
      <c r="D200" s="235"/>
      <c r="E200" s="235"/>
      <c r="F200" s="235"/>
      <c r="G200" s="283" t="str">
        <f>IFERROR(E200*F200,"")</f>
        <v>#ERROR!</v>
      </c>
      <c r="H200" s="283" t="str">
        <f>IFERROR(E200-G200,"")</f>
        <v>#ERROR!</v>
      </c>
      <c r="I200" s="235"/>
      <c r="J200" s="240"/>
    </row>
    <row r="201">
      <c r="A201" s="301"/>
      <c r="B201" s="227"/>
      <c r="C201" s="227"/>
      <c r="D201" s="227"/>
      <c r="E201" s="227"/>
      <c r="F201" s="227"/>
      <c r="G201" s="281" t="str">
        <f>IFERROR(E201*F201,"")</f>
        <v>#ERROR!</v>
      </c>
      <c r="H201" s="281" t="str">
        <f>IFERROR(E201-G201,"")</f>
        <v>#ERROR!</v>
      </c>
      <c r="I201" s="227"/>
      <c r="J201" s="233"/>
    </row>
    <row r="202">
      <c r="A202" s="303"/>
      <c r="B202" s="235"/>
      <c r="C202" s="235"/>
      <c r="D202" s="235"/>
      <c r="E202" s="235"/>
      <c r="F202" s="235"/>
      <c r="G202" s="283" t="str">
        <f>IFERROR(E202*F202,"")</f>
        <v>#ERROR!</v>
      </c>
      <c r="H202" s="283" t="str">
        <f>IFERROR(E202-G202,"")</f>
        <v>#ERROR!</v>
      </c>
      <c r="I202" s="235"/>
      <c r="J202" s="240"/>
    </row>
    <row r="203">
      <c r="A203" s="301"/>
      <c r="B203" s="227"/>
      <c r="C203" s="227"/>
      <c r="D203" s="227"/>
      <c r="E203" s="227"/>
      <c r="F203" s="227"/>
      <c r="G203" s="281" t="str">
        <f>IFERROR(E203*F203,"")</f>
        <v>#ERROR!</v>
      </c>
      <c r="H203" s="281" t="str">
        <f>IFERROR(E203-G203,"")</f>
        <v>#ERROR!</v>
      </c>
      <c r="I203" s="227"/>
      <c r="J203" s="233"/>
    </row>
    <row r="204">
      <c r="A204" s="303"/>
      <c r="B204" s="235"/>
      <c r="C204" s="235"/>
      <c r="D204" s="235"/>
      <c r="E204" s="235"/>
      <c r="F204" s="235"/>
      <c r="G204" s="283" t="str">
        <f>IFERROR(E204*F204,"")</f>
        <v>#ERROR!</v>
      </c>
      <c r="H204" s="283" t="str">
        <f>IFERROR(E204-G204,"")</f>
        <v>#ERROR!</v>
      </c>
      <c r="I204" s="235"/>
      <c r="J204" s="240"/>
    </row>
    <row r="205">
      <c r="A205" s="301"/>
      <c r="B205" s="227"/>
      <c r="C205" s="227"/>
      <c r="D205" s="227"/>
      <c r="E205" s="227"/>
      <c r="F205" s="227"/>
      <c r="G205" s="281" t="str">
        <f>IFERROR(E205*F205,"")</f>
        <v>#ERROR!</v>
      </c>
      <c r="H205" s="281" t="str">
        <f>IFERROR(E205-G205,"")</f>
        <v>#ERROR!</v>
      </c>
      <c r="I205" s="227"/>
      <c r="J205" s="233"/>
    </row>
    <row r="206">
      <c r="A206" s="303"/>
      <c r="B206" s="235"/>
      <c r="C206" s="235"/>
      <c r="D206" s="235"/>
      <c r="E206" s="235"/>
      <c r="F206" s="235"/>
      <c r="G206" s="283" t="str">
        <f>IFERROR(E206*F206,"")</f>
        <v>#ERROR!</v>
      </c>
      <c r="H206" s="283" t="str">
        <f>IFERROR(E206-G206,"")</f>
        <v>#ERROR!</v>
      </c>
      <c r="I206" s="235"/>
      <c r="J206" s="240"/>
    </row>
    <row r="207">
      <c r="A207" s="301"/>
      <c r="B207" s="227"/>
      <c r="C207" s="227"/>
      <c r="D207" s="227"/>
      <c r="E207" s="227"/>
      <c r="F207" s="227"/>
      <c r="G207" s="281" t="str">
        <f>IFERROR(E207*F207,"")</f>
        <v>#ERROR!</v>
      </c>
      <c r="H207" s="281" t="str">
        <f>IFERROR(E207-G207,"")</f>
        <v>#ERROR!</v>
      </c>
      <c r="I207" s="227"/>
      <c r="J207" s="233"/>
    </row>
    <row r="208">
      <c r="A208" s="303"/>
      <c r="B208" s="235"/>
      <c r="C208" s="235"/>
      <c r="D208" s="235"/>
      <c r="E208" s="235"/>
      <c r="F208" s="235"/>
      <c r="G208" s="283" t="str">
        <f>IFERROR(E208*F208,"")</f>
        <v>#ERROR!</v>
      </c>
      <c r="H208" s="283" t="str">
        <f>IFERROR(E208-G208,"")</f>
        <v>#ERROR!</v>
      </c>
      <c r="I208" s="235"/>
      <c r="J208" s="240"/>
    </row>
    <row r="209">
      <c r="A209" s="301"/>
      <c r="B209" s="227"/>
      <c r="C209" s="227"/>
      <c r="D209" s="227"/>
      <c r="E209" s="227"/>
      <c r="F209" s="227"/>
      <c r="G209" s="281" t="str">
        <f>IFERROR(E209*F209,"")</f>
        <v>#ERROR!</v>
      </c>
      <c r="H209" s="281" t="str">
        <f>IFERROR(E209-G209,"")</f>
        <v>#ERROR!</v>
      </c>
      <c r="I209" s="227"/>
      <c r="J209" s="233"/>
    </row>
    <row r="210">
      <c r="A210" s="303"/>
      <c r="B210" s="235"/>
      <c r="C210" s="235"/>
      <c r="D210" s="235"/>
      <c r="E210" s="235"/>
      <c r="F210" s="235"/>
      <c r="G210" s="283" t="str">
        <f>IFERROR(E210*F210,"")</f>
        <v>#ERROR!</v>
      </c>
      <c r="H210" s="283" t="str">
        <f>IFERROR(E210-G210,"")</f>
        <v>#ERROR!</v>
      </c>
      <c r="I210" s="235"/>
      <c r="J210" s="240"/>
    </row>
    <row r="211">
      <c r="A211" s="301"/>
      <c r="B211" s="227"/>
      <c r="C211" s="227"/>
      <c r="D211" s="227"/>
      <c r="E211" s="227"/>
      <c r="F211" s="227"/>
      <c r="G211" s="281" t="str">
        <f>IFERROR(E211*F211,"")</f>
        <v>#ERROR!</v>
      </c>
      <c r="H211" s="281" t="str">
        <f>IFERROR(E211-G211,"")</f>
        <v>#ERROR!</v>
      </c>
      <c r="I211" s="227"/>
      <c r="J211" s="233"/>
    </row>
    <row r="212">
      <c r="A212" s="303"/>
      <c r="B212" s="235"/>
      <c r="C212" s="235"/>
      <c r="D212" s="235"/>
      <c r="E212" s="235"/>
      <c r="F212" s="235"/>
      <c r="G212" s="283" t="str">
        <f>IFERROR(E212*F212,"")</f>
        <v>#ERROR!</v>
      </c>
      <c r="H212" s="283" t="str">
        <f>IFERROR(E212-G212,"")</f>
        <v>#ERROR!</v>
      </c>
      <c r="I212" s="235"/>
      <c r="J212" s="240"/>
    </row>
    <row r="213">
      <c r="A213" s="301"/>
      <c r="B213" s="227"/>
      <c r="C213" s="227"/>
      <c r="D213" s="227"/>
      <c r="E213" s="227"/>
      <c r="F213" s="227"/>
      <c r="G213" s="281" t="str">
        <f>IFERROR(E213*F213,"")</f>
        <v>#ERROR!</v>
      </c>
      <c r="H213" s="281" t="str">
        <f>IFERROR(E213-G213,"")</f>
        <v>#ERROR!</v>
      </c>
      <c r="I213" s="227"/>
      <c r="J213" s="233"/>
    </row>
    <row r="214">
      <c r="A214" s="303"/>
      <c r="B214" s="235"/>
      <c r="C214" s="235"/>
      <c r="D214" s="235"/>
      <c r="E214" s="235"/>
      <c r="F214" s="235"/>
      <c r="G214" s="283" t="str">
        <f>IFERROR(E214*F214,"")</f>
        <v>#ERROR!</v>
      </c>
      <c r="H214" s="283" t="str">
        <f>IFERROR(E214-G214,"")</f>
        <v>#ERROR!</v>
      </c>
      <c r="I214" s="235"/>
      <c r="J214" s="240"/>
    </row>
    <row r="215">
      <c r="A215" s="301"/>
      <c r="B215" s="227"/>
      <c r="C215" s="227"/>
      <c r="D215" s="227"/>
      <c r="E215" s="227"/>
      <c r="F215" s="227"/>
      <c r="G215" s="281" t="str">
        <f>IFERROR(E215*F215,"")</f>
        <v>#ERROR!</v>
      </c>
      <c r="H215" s="281" t="str">
        <f>IFERROR(E215-G215,"")</f>
        <v>#ERROR!</v>
      </c>
      <c r="I215" s="227"/>
      <c r="J215" s="233"/>
    </row>
    <row r="216">
      <c r="A216" s="303"/>
      <c r="B216" s="235"/>
      <c r="C216" s="235"/>
      <c r="D216" s="235"/>
      <c r="E216" s="235"/>
      <c r="F216" s="235"/>
      <c r="G216" s="283" t="str">
        <f>IFERROR(E216*F216,"")</f>
        <v>#ERROR!</v>
      </c>
      <c r="H216" s="283" t="str">
        <f>IFERROR(E216-G216,"")</f>
        <v>#ERROR!</v>
      </c>
      <c r="I216" s="235"/>
      <c r="J216" s="240"/>
    </row>
    <row r="217">
      <c r="A217" s="301"/>
      <c r="B217" s="227"/>
      <c r="C217" s="227"/>
      <c r="D217" s="227"/>
      <c r="E217" s="227"/>
      <c r="F217" s="227"/>
      <c r="G217" s="281" t="str">
        <f>IFERROR(E217*F217,"")</f>
        <v>#ERROR!</v>
      </c>
      <c r="H217" s="281" t="str">
        <f>IFERROR(E217-G217,"")</f>
        <v>#ERROR!</v>
      </c>
      <c r="I217" s="227"/>
      <c r="J217" s="233"/>
    </row>
    <row r="218">
      <c r="A218" s="303"/>
      <c r="B218" s="235"/>
      <c r="C218" s="235"/>
      <c r="D218" s="235"/>
      <c r="E218" s="235"/>
      <c r="F218" s="235"/>
      <c r="G218" s="283" t="str">
        <f>IFERROR(E218*F218,"")</f>
        <v>#ERROR!</v>
      </c>
      <c r="H218" s="283" t="str">
        <f>IFERROR(E218-G218,"")</f>
        <v>#ERROR!</v>
      </c>
      <c r="I218" s="235"/>
      <c r="J218" s="240"/>
    </row>
    <row r="219">
      <c r="A219" s="301"/>
      <c r="B219" s="227"/>
      <c r="C219" s="227"/>
      <c r="D219" s="227"/>
      <c r="E219" s="227"/>
      <c r="F219" s="227"/>
      <c r="G219" s="281" t="str">
        <f>IFERROR(E219*F219,"")</f>
        <v>#ERROR!</v>
      </c>
      <c r="H219" s="281" t="str">
        <f>IFERROR(E219-G219,"")</f>
        <v>#ERROR!</v>
      </c>
      <c r="I219" s="227"/>
      <c r="J219" s="233"/>
    </row>
    <row r="220">
      <c r="A220" s="303"/>
      <c r="B220" s="235"/>
      <c r="C220" s="235"/>
      <c r="D220" s="235"/>
      <c r="E220" s="235"/>
      <c r="F220" s="235"/>
      <c r="G220" s="283" t="str">
        <f>IFERROR(E220*F220,"")</f>
        <v>#ERROR!</v>
      </c>
      <c r="H220" s="283" t="str">
        <f>IFERROR(E220-G220,"")</f>
        <v>#ERROR!</v>
      </c>
      <c r="I220" s="235"/>
      <c r="J220" s="240"/>
    </row>
    <row r="221">
      <c r="A221" s="301"/>
      <c r="B221" s="227"/>
      <c r="C221" s="227"/>
      <c r="D221" s="227"/>
      <c r="E221" s="227"/>
      <c r="F221" s="227"/>
      <c r="G221" s="281" t="str">
        <f>IFERROR(E221*F221,"")</f>
        <v>#ERROR!</v>
      </c>
      <c r="H221" s="281" t="str">
        <f>IFERROR(E221-G221,"")</f>
        <v>#ERROR!</v>
      </c>
      <c r="I221" s="227"/>
      <c r="J221" s="233"/>
    </row>
    <row r="222">
      <c r="A222" s="303"/>
      <c r="B222" s="235"/>
      <c r="C222" s="235"/>
      <c r="D222" s="235"/>
      <c r="E222" s="235"/>
      <c r="F222" s="235"/>
      <c r="G222" s="283" t="str">
        <f>IFERROR(E222*F222,"")</f>
        <v>#ERROR!</v>
      </c>
      <c r="H222" s="283" t="str">
        <f>IFERROR(E222-G222,"")</f>
        <v>#ERROR!</v>
      </c>
      <c r="I222" s="235"/>
      <c r="J222" s="240"/>
    </row>
    <row r="223">
      <c r="A223" s="301"/>
      <c r="B223" s="227"/>
      <c r="C223" s="227"/>
      <c r="D223" s="227"/>
      <c r="E223" s="227"/>
      <c r="F223" s="227"/>
      <c r="G223" s="281" t="str">
        <f>IFERROR(E223*F223,"")</f>
        <v>#ERROR!</v>
      </c>
      <c r="H223" s="281" t="str">
        <f>IFERROR(E223-G223,"")</f>
        <v>#ERROR!</v>
      </c>
      <c r="I223" s="227"/>
      <c r="J223" s="233"/>
    </row>
    <row r="224">
      <c r="A224" s="303"/>
      <c r="B224" s="235"/>
      <c r="C224" s="235"/>
      <c r="D224" s="235"/>
      <c r="E224" s="235"/>
      <c r="F224" s="235"/>
      <c r="G224" s="283" t="str">
        <f>IFERROR(E224*F224,"")</f>
        <v>#ERROR!</v>
      </c>
      <c r="H224" s="283" t="str">
        <f>IFERROR(E224-G224,"")</f>
        <v>#ERROR!</v>
      </c>
      <c r="I224" s="235"/>
      <c r="J224" s="240"/>
    </row>
    <row r="225">
      <c r="A225" s="301"/>
      <c r="B225" s="227"/>
      <c r="C225" s="227"/>
      <c r="D225" s="227"/>
      <c r="E225" s="227"/>
      <c r="F225" s="227"/>
      <c r="G225" s="281" t="str">
        <f>IFERROR(E225*F225,"")</f>
        <v>#ERROR!</v>
      </c>
      <c r="H225" s="281" t="str">
        <f>IFERROR(E225-G225,"")</f>
        <v>#ERROR!</v>
      </c>
      <c r="I225" s="227"/>
      <c r="J225" s="233"/>
    </row>
    <row r="226">
      <c r="A226" s="303"/>
      <c r="B226" s="235"/>
      <c r="C226" s="235"/>
      <c r="D226" s="235"/>
      <c r="E226" s="235"/>
      <c r="F226" s="235"/>
      <c r="G226" s="283" t="str">
        <f>IFERROR(E226*F226,"")</f>
        <v>#ERROR!</v>
      </c>
      <c r="H226" s="283" t="str">
        <f>IFERROR(E226-G226,"")</f>
        <v>#ERROR!</v>
      </c>
      <c r="I226" s="235"/>
      <c r="J226" s="240"/>
    </row>
    <row r="227">
      <c r="A227" s="301"/>
      <c r="B227" s="227"/>
      <c r="C227" s="227"/>
      <c r="D227" s="227"/>
      <c r="E227" s="227"/>
      <c r="F227" s="227"/>
      <c r="G227" s="281" t="str">
        <f>IFERROR(E227*F227,"")</f>
        <v>#ERROR!</v>
      </c>
      <c r="H227" s="281" t="str">
        <f>IFERROR(E227-G227,"")</f>
        <v>#ERROR!</v>
      </c>
      <c r="I227" s="227"/>
      <c r="J227" s="233"/>
    </row>
    <row r="228">
      <c r="A228" s="303"/>
      <c r="B228" s="235"/>
      <c r="C228" s="235"/>
      <c r="D228" s="235"/>
      <c r="E228" s="235"/>
      <c r="F228" s="235"/>
      <c r="G228" s="283" t="str">
        <f>IFERROR(E228*F228,"")</f>
        <v>#ERROR!</v>
      </c>
      <c r="H228" s="283" t="str">
        <f>IFERROR(E228-G228,"")</f>
        <v>#ERROR!</v>
      </c>
      <c r="I228" s="235"/>
      <c r="J228" s="240"/>
    </row>
    <row r="229">
      <c r="A229" s="301"/>
      <c r="B229" s="227"/>
      <c r="C229" s="227"/>
      <c r="D229" s="227"/>
      <c r="E229" s="227"/>
      <c r="F229" s="227"/>
      <c r="G229" s="281" t="str">
        <f>IFERROR(E229*F229,"")</f>
        <v>#ERROR!</v>
      </c>
      <c r="H229" s="281" t="str">
        <f>IFERROR(E229-G229,"")</f>
        <v>#ERROR!</v>
      </c>
      <c r="I229" s="227"/>
      <c r="J229" s="233"/>
    </row>
    <row r="230">
      <c r="A230" s="303"/>
      <c r="B230" s="235"/>
      <c r="C230" s="235"/>
      <c r="D230" s="235"/>
      <c r="E230" s="235"/>
      <c r="F230" s="235"/>
      <c r="G230" s="283" t="str">
        <f>IFERROR(E230*F230,"")</f>
        <v>#ERROR!</v>
      </c>
      <c r="H230" s="283" t="str">
        <f>IFERROR(E230-G230,"")</f>
        <v>#ERROR!</v>
      </c>
      <c r="I230" s="235"/>
      <c r="J230" s="240"/>
    </row>
    <row r="231">
      <c r="A231" s="301"/>
      <c r="B231" s="227"/>
      <c r="C231" s="227"/>
      <c r="D231" s="227"/>
      <c r="E231" s="227"/>
      <c r="F231" s="227"/>
      <c r="G231" s="281" t="str">
        <f>IFERROR(E231*F231,"")</f>
        <v>#ERROR!</v>
      </c>
      <c r="H231" s="281" t="str">
        <f>IFERROR(E231-G231,"")</f>
        <v>#ERROR!</v>
      </c>
      <c r="I231" s="227"/>
      <c r="J231" s="233"/>
    </row>
    <row r="232">
      <c r="A232" s="303"/>
      <c r="B232" s="235"/>
      <c r="C232" s="235"/>
      <c r="D232" s="235"/>
      <c r="E232" s="235"/>
      <c r="F232" s="235"/>
      <c r="G232" s="283" t="str">
        <f>IFERROR(E232*F232,"")</f>
        <v>#ERROR!</v>
      </c>
      <c r="H232" s="283" t="str">
        <f>IFERROR(E232-G232,"")</f>
        <v>#ERROR!</v>
      </c>
      <c r="I232" s="235"/>
      <c r="J232" s="240"/>
    </row>
    <row r="233">
      <c r="A233" s="301"/>
      <c r="B233" s="227"/>
      <c r="C233" s="227"/>
      <c r="D233" s="227"/>
      <c r="E233" s="227"/>
      <c r="F233" s="227"/>
      <c r="G233" s="281" t="str">
        <f>IFERROR(E233*F233,"")</f>
        <v>#ERROR!</v>
      </c>
      <c r="H233" s="281" t="str">
        <f>IFERROR(E233-G233,"")</f>
        <v>#ERROR!</v>
      </c>
      <c r="I233" s="227"/>
      <c r="J233" s="233"/>
    </row>
    <row r="234">
      <c r="A234" s="303"/>
      <c r="B234" s="235"/>
      <c r="C234" s="235"/>
      <c r="D234" s="235"/>
      <c r="E234" s="235"/>
      <c r="F234" s="235"/>
      <c r="G234" s="283" t="str">
        <f>IFERROR(E234*F234,"")</f>
        <v>#ERROR!</v>
      </c>
      <c r="H234" s="283" t="str">
        <f>IFERROR(E234-G234,"")</f>
        <v>#ERROR!</v>
      </c>
      <c r="I234" s="235"/>
      <c r="J234" s="240"/>
    </row>
    <row r="235">
      <c r="A235" s="301"/>
      <c r="B235" s="227"/>
      <c r="C235" s="227"/>
      <c r="D235" s="227"/>
      <c r="E235" s="227"/>
      <c r="F235" s="227"/>
      <c r="G235" s="281" t="str">
        <f>IFERROR(E235*F235,"")</f>
        <v>#ERROR!</v>
      </c>
      <c r="H235" s="281" t="str">
        <f>IFERROR(E235-G235,"")</f>
        <v>#ERROR!</v>
      </c>
      <c r="I235" s="227"/>
      <c r="J235" s="233"/>
    </row>
    <row r="236">
      <c r="A236" s="303"/>
      <c r="B236" s="235"/>
      <c r="C236" s="235"/>
      <c r="D236" s="235"/>
      <c r="E236" s="235"/>
      <c r="F236" s="235"/>
      <c r="G236" s="283" t="str">
        <f>IFERROR(E236*F236,"")</f>
        <v>#ERROR!</v>
      </c>
      <c r="H236" s="283" t="str">
        <f>IFERROR(E236-G236,"")</f>
        <v>#ERROR!</v>
      </c>
      <c r="I236" s="235"/>
      <c r="J236" s="240"/>
    </row>
    <row r="237">
      <c r="A237" s="301"/>
      <c r="B237" s="227"/>
      <c r="C237" s="227"/>
      <c r="D237" s="227"/>
      <c r="E237" s="227"/>
      <c r="F237" s="227"/>
      <c r="G237" s="281" t="str">
        <f>IFERROR(E237*F237,"")</f>
        <v>#ERROR!</v>
      </c>
      <c r="H237" s="281" t="str">
        <f>IFERROR(E237-G237,"")</f>
        <v>#ERROR!</v>
      </c>
      <c r="I237" s="227"/>
      <c r="J237" s="233"/>
    </row>
    <row r="238">
      <c r="A238" s="303"/>
      <c r="B238" s="235"/>
      <c r="C238" s="235"/>
      <c r="D238" s="235"/>
      <c r="E238" s="235"/>
      <c r="F238" s="235"/>
      <c r="G238" s="283" t="str">
        <f>IFERROR(E238*F238,"")</f>
        <v>#ERROR!</v>
      </c>
      <c r="H238" s="283" t="str">
        <f>IFERROR(E238-G238,"")</f>
        <v>#ERROR!</v>
      </c>
      <c r="I238" s="235"/>
      <c r="J238" s="240"/>
    </row>
    <row r="239">
      <c r="A239" s="301"/>
      <c r="B239" s="227"/>
      <c r="C239" s="227"/>
      <c r="D239" s="227"/>
      <c r="E239" s="227"/>
      <c r="F239" s="227"/>
      <c r="G239" s="281" t="str">
        <f>IFERROR(E239*F239,"")</f>
        <v>#ERROR!</v>
      </c>
      <c r="H239" s="281" t="str">
        <f>IFERROR(E239-G239,"")</f>
        <v>#ERROR!</v>
      </c>
      <c r="I239" s="227"/>
      <c r="J239" s="233"/>
    </row>
    <row r="240">
      <c r="A240" s="303"/>
      <c r="B240" s="235"/>
      <c r="C240" s="235"/>
      <c r="D240" s="235"/>
      <c r="E240" s="235"/>
      <c r="F240" s="235"/>
      <c r="G240" s="283" t="str">
        <f>IFERROR(E240*F240,"")</f>
        <v>#ERROR!</v>
      </c>
      <c r="H240" s="283" t="str">
        <f>IFERROR(E240-G240,"")</f>
        <v>#ERROR!</v>
      </c>
      <c r="I240" s="235"/>
      <c r="J240" s="240"/>
    </row>
    <row r="241">
      <c r="A241" s="301"/>
      <c r="B241" s="227"/>
      <c r="C241" s="227"/>
      <c r="D241" s="227"/>
      <c r="E241" s="227"/>
      <c r="F241" s="227"/>
      <c r="G241" s="281" t="str">
        <f>IFERROR(E241*F241,"")</f>
        <v>#ERROR!</v>
      </c>
      <c r="H241" s="281" t="str">
        <f>IFERROR(E241-G241,"")</f>
        <v>#ERROR!</v>
      </c>
      <c r="I241" s="227"/>
      <c r="J241" s="233"/>
    </row>
    <row r="242">
      <c r="A242" s="303"/>
      <c r="B242" s="235"/>
      <c r="C242" s="235"/>
      <c r="D242" s="235"/>
      <c r="E242" s="235"/>
      <c r="F242" s="235"/>
      <c r="G242" s="283" t="str">
        <f>IFERROR(E242*F242,"")</f>
        <v>#ERROR!</v>
      </c>
      <c r="H242" s="283" t="str">
        <f>IFERROR(E242-G242,"")</f>
        <v>#ERROR!</v>
      </c>
      <c r="I242" s="235"/>
      <c r="J242" s="240"/>
    </row>
    <row r="243">
      <c r="A243" s="301"/>
      <c r="B243" s="227"/>
      <c r="C243" s="227"/>
      <c r="D243" s="227"/>
      <c r="E243" s="227"/>
      <c r="F243" s="227"/>
      <c r="G243" s="281" t="str">
        <f>IFERROR(E243*F243,"")</f>
        <v>#ERROR!</v>
      </c>
      <c r="H243" s="281" t="str">
        <f>IFERROR(E243-G243,"")</f>
        <v>#ERROR!</v>
      </c>
      <c r="I243" s="227"/>
      <c r="J243" s="233"/>
    </row>
    <row r="244">
      <c r="A244" s="303"/>
      <c r="B244" s="235"/>
      <c r="C244" s="235"/>
      <c r="D244" s="235"/>
      <c r="E244" s="235"/>
      <c r="F244" s="235"/>
      <c r="G244" s="283" t="str">
        <f>IFERROR(E244*F244,"")</f>
        <v>#ERROR!</v>
      </c>
      <c r="H244" s="283" t="str">
        <f>IFERROR(E244-G244,"")</f>
        <v>#ERROR!</v>
      </c>
      <c r="I244" s="235"/>
      <c r="J244" s="240"/>
    </row>
    <row r="245">
      <c r="A245" s="301"/>
      <c r="B245" s="227"/>
      <c r="C245" s="227"/>
      <c r="D245" s="227"/>
      <c r="E245" s="227"/>
      <c r="F245" s="227"/>
      <c r="G245" s="281" t="str">
        <f>IFERROR(E245*F245,"")</f>
        <v>#ERROR!</v>
      </c>
      <c r="H245" s="281" t="str">
        <f>IFERROR(E245-G245,"")</f>
        <v>#ERROR!</v>
      </c>
      <c r="I245" s="227"/>
      <c r="J245" s="233"/>
    </row>
    <row r="246">
      <c r="A246" s="303"/>
      <c r="B246" s="235"/>
      <c r="C246" s="235"/>
      <c r="D246" s="235"/>
      <c r="E246" s="235"/>
      <c r="F246" s="235"/>
      <c r="G246" s="283" t="str">
        <f>IFERROR(E246*F246,"")</f>
        <v>#ERROR!</v>
      </c>
      <c r="H246" s="283" t="str">
        <f>IFERROR(E246-G246,"")</f>
        <v>#ERROR!</v>
      </c>
      <c r="I246" s="235"/>
      <c r="J246" s="240"/>
    </row>
    <row r="247">
      <c r="A247" s="301"/>
      <c r="B247" s="227"/>
      <c r="C247" s="227"/>
      <c r="D247" s="227"/>
      <c r="E247" s="227"/>
      <c r="F247" s="227"/>
      <c r="G247" s="281" t="str">
        <f>IFERROR(E247*F247,"")</f>
        <v>#ERROR!</v>
      </c>
      <c r="H247" s="281" t="str">
        <f>IFERROR(E247-G247,"")</f>
        <v>#ERROR!</v>
      </c>
      <c r="I247" s="227"/>
      <c r="J247" s="233"/>
    </row>
    <row r="248">
      <c r="A248" s="303"/>
      <c r="B248" s="235"/>
      <c r="C248" s="235"/>
      <c r="D248" s="235"/>
      <c r="E248" s="235"/>
      <c r="F248" s="235"/>
      <c r="G248" s="283" t="str">
        <f>IFERROR(E248*F248,"")</f>
        <v>#ERROR!</v>
      </c>
      <c r="H248" s="283" t="str">
        <f>IFERROR(E248-G248,"")</f>
        <v>#ERROR!</v>
      </c>
      <c r="I248" s="235"/>
      <c r="J248" s="240"/>
    </row>
    <row r="249">
      <c r="A249" s="301"/>
      <c r="B249" s="227"/>
      <c r="C249" s="227"/>
      <c r="D249" s="227"/>
      <c r="E249" s="227"/>
      <c r="F249" s="227"/>
      <c r="G249" s="281" t="str">
        <f>IFERROR(E249*F249,"")</f>
        <v>#ERROR!</v>
      </c>
      <c r="H249" s="281" t="str">
        <f>IFERROR(E249-G249,"")</f>
        <v>#ERROR!</v>
      </c>
      <c r="I249" s="227"/>
      <c r="J249" s="233"/>
    </row>
    <row r="250">
      <c r="A250" s="303"/>
      <c r="B250" s="235"/>
      <c r="C250" s="235"/>
      <c r="D250" s="235"/>
      <c r="E250" s="235"/>
      <c r="F250" s="235"/>
      <c r="G250" s="283" t="str">
        <f>IFERROR(E250*F250,"")</f>
        <v>#ERROR!</v>
      </c>
      <c r="H250" s="283" t="str">
        <f>IFERROR(E250-G250,"")</f>
        <v>#ERROR!</v>
      </c>
      <c r="I250" s="235"/>
      <c r="J250" s="240"/>
    </row>
    <row r="251">
      <c r="A251" s="301"/>
      <c r="B251" s="227"/>
      <c r="C251" s="227"/>
      <c r="D251" s="227"/>
      <c r="E251" s="227"/>
      <c r="F251" s="227"/>
      <c r="G251" s="281" t="str">
        <f>IFERROR(E251*F251,"")</f>
        <v>#ERROR!</v>
      </c>
      <c r="H251" s="281" t="str">
        <f>IFERROR(E251-G251,"")</f>
        <v>#ERROR!</v>
      </c>
      <c r="I251" s="227"/>
      <c r="J251" s="233"/>
    </row>
    <row r="252">
      <c r="A252" s="303"/>
      <c r="B252" s="235"/>
      <c r="C252" s="235"/>
      <c r="D252" s="235"/>
      <c r="E252" s="235"/>
      <c r="F252" s="235"/>
      <c r="G252" s="283" t="str">
        <f>IFERROR(E252*F252,"")</f>
        <v>#ERROR!</v>
      </c>
      <c r="H252" s="283" t="str">
        <f>IFERROR(E252-G252,"")</f>
        <v>#ERROR!</v>
      </c>
      <c r="I252" s="235"/>
      <c r="J252" s="240"/>
    </row>
    <row r="253">
      <c r="A253" s="301"/>
      <c r="B253" s="227"/>
      <c r="C253" s="227"/>
      <c r="D253" s="227"/>
      <c r="E253" s="227"/>
      <c r="F253" s="227"/>
      <c r="G253" s="281" t="str">
        <f>IFERROR(E253*F253,"")</f>
        <v>#ERROR!</v>
      </c>
      <c r="H253" s="281" t="str">
        <f>IFERROR(E253-G253,"")</f>
        <v>#ERROR!</v>
      </c>
      <c r="I253" s="227"/>
      <c r="J253" s="233"/>
    </row>
    <row r="254">
      <c r="A254" s="303"/>
      <c r="B254" s="235"/>
      <c r="C254" s="235"/>
      <c r="D254" s="235"/>
      <c r="E254" s="235"/>
      <c r="F254" s="235"/>
      <c r="G254" s="283" t="str">
        <f>IFERROR(E254*F254,"")</f>
        <v>#ERROR!</v>
      </c>
      <c r="H254" s="283" t="str">
        <f>IFERROR(E254-G254,"")</f>
        <v>#ERROR!</v>
      </c>
      <c r="I254" s="235"/>
      <c r="J254" s="240"/>
    </row>
    <row r="255">
      <c r="A255" s="301"/>
      <c r="B255" s="227"/>
      <c r="C255" s="227"/>
      <c r="D255" s="227"/>
      <c r="E255" s="227"/>
      <c r="F255" s="227"/>
      <c r="G255" s="281" t="str">
        <f>IFERROR(E255*F255,"")</f>
        <v>#ERROR!</v>
      </c>
      <c r="H255" s="281" t="str">
        <f>IFERROR(E255-G255,"")</f>
        <v>#ERROR!</v>
      </c>
      <c r="I255" s="227"/>
      <c r="J255" s="233"/>
    </row>
    <row r="256">
      <c r="A256" s="303"/>
      <c r="B256" s="235"/>
      <c r="C256" s="235"/>
      <c r="D256" s="235"/>
      <c r="E256" s="235"/>
      <c r="F256" s="235"/>
      <c r="G256" s="283" t="str">
        <f>IFERROR(E256*F256,"")</f>
        <v>#ERROR!</v>
      </c>
      <c r="H256" s="283" t="str">
        <f>IFERROR(E256-G256,"")</f>
        <v>#ERROR!</v>
      </c>
      <c r="I256" s="235"/>
      <c r="J256" s="240"/>
    </row>
    <row r="257">
      <c r="A257" s="301"/>
      <c r="B257" s="227"/>
      <c r="C257" s="227"/>
      <c r="D257" s="227"/>
      <c r="E257" s="227"/>
      <c r="F257" s="227"/>
      <c r="G257" s="281" t="str">
        <f>IFERROR(E257*F257,"")</f>
        <v>#ERROR!</v>
      </c>
      <c r="H257" s="281" t="str">
        <f>IFERROR(E257-G257,"")</f>
        <v>#ERROR!</v>
      </c>
      <c r="I257" s="227"/>
      <c r="J257" s="233"/>
    </row>
    <row r="258">
      <c r="A258" s="303"/>
      <c r="B258" s="235"/>
      <c r="C258" s="235"/>
      <c r="D258" s="235"/>
      <c r="E258" s="235"/>
      <c r="F258" s="235"/>
      <c r="G258" s="283" t="str">
        <f>IFERROR(E258*F258,"")</f>
        <v>#ERROR!</v>
      </c>
      <c r="H258" s="283" t="str">
        <f>IFERROR(E258-G258,"")</f>
        <v>#ERROR!</v>
      </c>
      <c r="I258" s="235"/>
      <c r="J258" s="240"/>
    </row>
    <row r="259">
      <c r="A259" s="301"/>
      <c r="B259" s="227"/>
      <c r="C259" s="227"/>
      <c r="D259" s="227"/>
      <c r="E259" s="227"/>
      <c r="F259" s="227"/>
      <c r="G259" s="281" t="str">
        <f>IFERROR(E259*F259,"")</f>
        <v>#ERROR!</v>
      </c>
      <c r="H259" s="281" t="str">
        <f>IFERROR(E259-G259,"")</f>
        <v>#ERROR!</v>
      </c>
      <c r="I259" s="227"/>
      <c r="J259" s="233"/>
    </row>
    <row r="260">
      <c r="A260" s="303"/>
      <c r="B260" s="235"/>
      <c r="C260" s="235"/>
      <c r="D260" s="235"/>
      <c r="E260" s="235"/>
      <c r="F260" s="235"/>
      <c r="G260" s="283" t="str">
        <f>IFERROR(E260*F260,"")</f>
        <v>#ERROR!</v>
      </c>
      <c r="H260" s="283" t="str">
        <f>IFERROR(E260-G260,"")</f>
        <v>#ERROR!</v>
      </c>
      <c r="I260" s="235"/>
      <c r="J260" s="240"/>
    </row>
    <row r="261">
      <c r="A261" s="301"/>
      <c r="B261" s="227"/>
      <c r="C261" s="227"/>
      <c r="D261" s="227"/>
      <c r="E261" s="227"/>
      <c r="F261" s="227"/>
      <c r="G261" s="281" t="str">
        <f>IFERROR(E261*F261,"")</f>
        <v>#ERROR!</v>
      </c>
      <c r="H261" s="281" t="str">
        <f>IFERROR(E261-G261,"")</f>
        <v>#ERROR!</v>
      </c>
      <c r="I261" s="227"/>
      <c r="J261" s="233"/>
    </row>
    <row r="262">
      <c r="A262" s="303"/>
      <c r="B262" s="235"/>
      <c r="C262" s="235"/>
      <c r="D262" s="235"/>
      <c r="E262" s="235"/>
      <c r="F262" s="235"/>
      <c r="G262" s="283" t="str">
        <f>IFERROR(E262*F262,"")</f>
        <v>#ERROR!</v>
      </c>
      <c r="H262" s="283" t="str">
        <f>IFERROR(E262-G262,"")</f>
        <v>#ERROR!</v>
      </c>
      <c r="I262" s="235"/>
      <c r="J262" s="240"/>
    </row>
    <row r="263">
      <c r="A263" s="301"/>
      <c r="B263" s="227"/>
      <c r="C263" s="227"/>
      <c r="D263" s="227"/>
      <c r="E263" s="227"/>
      <c r="F263" s="227"/>
      <c r="G263" s="281" t="str">
        <f>IFERROR(E263*F263,"")</f>
        <v>#ERROR!</v>
      </c>
      <c r="H263" s="281" t="str">
        <f>IFERROR(E263-G263,"")</f>
        <v>#ERROR!</v>
      </c>
      <c r="I263" s="227"/>
      <c r="J263" s="233"/>
    </row>
    <row r="264">
      <c r="A264" s="303"/>
      <c r="B264" s="235"/>
      <c r="C264" s="235"/>
      <c r="D264" s="235"/>
      <c r="E264" s="235"/>
      <c r="F264" s="235"/>
      <c r="G264" s="283" t="str">
        <f>IFERROR(E264*F264,"")</f>
        <v>#ERROR!</v>
      </c>
      <c r="H264" s="283" t="str">
        <f>IFERROR(E264-G264,"")</f>
        <v>#ERROR!</v>
      </c>
      <c r="I264" s="235"/>
      <c r="J264" s="240"/>
    </row>
    <row r="265">
      <c r="A265" s="301"/>
      <c r="B265" s="227"/>
      <c r="C265" s="227"/>
      <c r="D265" s="227"/>
      <c r="E265" s="227"/>
      <c r="F265" s="227"/>
      <c r="G265" s="281" t="str">
        <f>IFERROR(E265*F265,"")</f>
        <v>#ERROR!</v>
      </c>
      <c r="H265" s="281" t="str">
        <f>IFERROR(E265-G265,"")</f>
        <v>#ERROR!</v>
      </c>
      <c r="I265" s="227"/>
      <c r="J265" s="233"/>
    </row>
    <row r="266">
      <c r="A266" s="303"/>
      <c r="B266" s="235"/>
      <c r="C266" s="235"/>
      <c r="D266" s="235"/>
      <c r="E266" s="235"/>
      <c r="F266" s="235"/>
      <c r="G266" s="283" t="str">
        <f>IFERROR(E266*F266,"")</f>
        <v>#ERROR!</v>
      </c>
      <c r="H266" s="283" t="str">
        <f>IFERROR(E266-G266,"")</f>
        <v>#ERROR!</v>
      </c>
      <c r="I266" s="235"/>
      <c r="J266" s="240"/>
    </row>
    <row r="267">
      <c r="A267" s="301"/>
      <c r="B267" s="227"/>
      <c r="C267" s="227"/>
      <c r="D267" s="227"/>
      <c r="E267" s="227"/>
      <c r="F267" s="227"/>
      <c r="G267" s="281" t="str">
        <f>IFERROR(E267*F267,"")</f>
        <v>#ERROR!</v>
      </c>
      <c r="H267" s="281" t="str">
        <f>IFERROR(E267-G267,"")</f>
        <v>#ERROR!</v>
      </c>
      <c r="I267" s="227"/>
      <c r="J267" s="233"/>
    </row>
    <row r="268">
      <c r="A268" s="303"/>
      <c r="B268" s="235"/>
      <c r="C268" s="235"/>
      <c r="D268" s="235"/>
      <c r="E268" s="235"/>
      <c r="F268" s="235"/>
      <c r="G268" s="283" t="str">
        <f>IFERROR(E268*F268,"")</f>
        <v>#ERROR!</v>
      </c>
      <c r="H268" s="283" t="str">
        <f>IFERROR(E268-G268,"")</f>
        <v>#ERROR!</v>
      </c>
      <c r="I268" s="235"/>
      <c r="J268" s="240"/>
    </row>
    <row r="269">
      <c r="A269" s="301"/>
      <c r="B269" s="227"/>
      <c r="C269" s="227"/>
      <c r="D269" s="227"/>
      <c r="E269" s="227"/>
      <c r="F269" s="227"/>
      <c r="G269" s="281" t="str">
        <f>IFERROR(E269*F269,"")</f>
        <v>#ERROR!</v>
      </c>
      <c r="H269" s="281" t="str">
        <f>IFERROR(E269-G269,"")</f>
        <v>#ERROR!</v>
      </c>
      <c r="I269" s="227"/>
      <c r="J269" s="233"/>
    </row>
    <row r="270">
      <c r="A270" s="303"/>
      <c r="B270" s="235"/>
      <c r="C270" s="235"/>
      <c r="D270" s="235"/>
      <c r="E270" s="235"/>
      <c r="F270" s="235"/>
      <c r="G270" s="283" t="str">
        <f>IFERROR(E270*F270,"")</f>
        <v>#ERROR!</v>
      </c>
      <c r="H270" s="283" t="str">
        <f>IFERROR(E270-G270,"")</f>
        <v>#ERROR!</v>
      </c>
      <c r="I270" s="235"/>
      <c r="J270" s="240"/>
    </row>
    <row r="271">
      <c r="A271" s="301"/>
      <c r="B271" s="227"/>
      <c r="C271" s="227"/>
      <c r="D271" s="227"/>
      <c r="E271" s="227"/>
      <c r="F271" s="227"/>
      <c r="G271" s="281" t="str">
        <f>IFERROR(E271*F271,"")</f>
        <v>#ERROR!</v>
      </c>
      <c r="H271" s="281" t="str">
        <f>IFERROR(E271-G271,"")</f>
        <v>#ERROR!</v>
      </c>
      <c r="I271" s="227"/>
      <c r="J271" s="233"/>
    </row>
    <row r="272">
      <c r="A272" s="303"/>
      <c r="B272" s="235"/>
      <c r="C272" s="235"/>
      <c r="D272" s="235"/>
      <c r="E272" s="235"/>
      <c r="F272" s="235"/>
      <c r="G272" s="283" t="str">
        <f>IFERROR(E272*F272,"")</f>
        <v>#ERROR!</v>
      </c>
      <c r="H272" s="283" t="str">
        <f>IFERROR(E272-G272,"")</f>
        <v>#ERROR!</v>
      </c>
      <c r="I272" s="235"/>
      <c r="J272" s="240"/>
    </row>
    <row r="273">
      <c r="A273" s="301"/>
      <c r="B273" s="227"/>
      <c r="C273" s="227"/>
      <c r="D273" s="227"/>
      <c r="E273" s="227"/>
      <c r="F273" s="227"/>
      <c r="G273" s="281" t="str">
        <f>IFERROR(E273*F273,"")</f>
        <v>#ERROR!</v>
      </c>
      <c r="H273" s="281" t="str">
        <f>IFERROR(E273-G273,"")</f>
        <v>#ERROR!</v>
      </c>
      <c r="I273" s="227"/>
      <c r="J273" s="233"/>
    </row>
    <row r="274">
      <c r="A274" s="303"/>
      <c r="B274" s="235"/>
      <c r="C274" s="235"/>
      <c r="D274" s="235"/>
      <c r="E274" s="235"/>
      <c r="F274" s="235"/>
      <c r="G274" s="283" t="str">
        <f>IFERROR(E274*F274,"")</f>
        <v>#ERROR!</v>
      </c>
      <c r="H274" s="283" t="str">
        <f>IFERROR(E274-G274,"")</f>
        <v>#ERROR!</v>
      </c>
      <c r="I274" s="235"/>
      <c r="J274" s="240"/>
    </row>
    <row r="275">
      <c r="A275" s="301"/>
      <c r="B275" s="227"/>
      <c r="C275" s="227"/>
      <c r="D275" s="227"/>
      <c r="E275" s="227"/>
      <c r="F275" s="227"/>
      <c r="G275" s="281" t="str">
        <f>IFERROR(E275*F275,"")</f>
        <v>#ERROR!</v>
      </c>
      <c r="H275" s="281" t="str">
        <f>IFERROR(E275-G275,"")</f>
        <v>#ERROR!</v>
      </c>
      <c r="I275" s="227"/>
      <c r="J275" s="233"/>
    </row>
    <row r="276">
      <c r="A276" s="303"/>
      <c r="B276" s="235"/>
      <c r="C276" s="235"/>
      <c r="D276" s="235"/>
      <c r="E276" s="235"/>
      <c r="F276" s="235"/>
      <c r="G276" s="283" t="str">
        <f>IFERROR(E276*F276,"")</f>
        <v>#ERROR!</v>
      </c>
      <c r="H276" s="283" t="str">
        <f>IFERROR(E276-G276,"")</f>
        <v>#ERROR!</v>
      </c>
      <c r="I276" s="235"/>
      <c r="J276" s="240"/>
    </row>
    <row r="277">
      <c r="A277" s="301"/>
      <c r="B277" s="227"/>
      <c r="C277" s="227"/>
      <c r="D277" s="227"/>
      <c r="E277" s="227"/>
      <c r="F277" s="227"/>
      <c r="G277" s="281" t="str">
        <f>IFERROR(E277*F277,"")</f>
        <v>#ERROR!</v>
      </c>
      <c r="H277" s="281" t="str">
        <f>IFERROR(E277-G277,"")</f>
        <v>#ERROR!</v>
      </c>
      <c r="I277" s="227"/>
      <c r="J277" s="233"/>
    </row>
    <row r="278">
      <c r="A278" s="303"/>
      <c r="B278" s="235"/>
      <c r="C278" s="235"/>
      <c r="D278" s="235"/>
      <c r="E278" s="235"/>
      <c r="F278" s="235"/>
      <c r="G278" s="283" t="str">
        <f>IFERROR(E278*F278,"")</f>
        <v>#ERROR!</v>
      </c>
      <c r="H278" s="283" t="str">
        <f>IFERROR(E278-G278,"")</f>
        <v>#ERROR!</v>
      </c>
      <c r="I278" s="235"/>
      <c r="J278" s="240"/>
    </row>
    <row r="279">
      <c r="A279" s="301"/>
      <c r="B279" s="227"/>
      <c r="C279" s="227"/>
      <c r="D279" s="227"/>
      <c r="E279" s="227"/>
      <c r="F279" s="227"/>
      <c r="G279" s="281" t="str">
        <f>IFERROR(E279*F279,"")</f>
        <v>#ERROR!</v>
      </c>
      <c r="H279" s="281" t="str">
        <f>IFERROR(E279-G279,"")</f>
        <v>#ERROR!</v>
      </c>
      <c r="I279" s="227"/>
      <c r="J279" s="233"/>
    </row>
    <row r="280">
      <c r="A280" s="303"/>
      <c r="B280" s="235"/>
      <c r="C280" s="235"/>
      <c r="D280" s="235"/>
      <c r="E280" s="235"/>
      <c r="F280" s="235"/>
      <c r="G280" s="283" t="str">
        <f>IFERROR(E280*F280,"")</f>
        <v>#ERROR!</v>
      </c>
      <c r="H280" s="283" t="str">
        <f>IFERROR(E280-G280,"")</f>
        <v>#ERROR!</v>
      </c>
      <c r="I280" s="235"/>
      <c r="J280" s="240"/>
    </row>
    <row r="281">
      <c r="A281" s="301"/>
      <c r="B281" s="227"/>
      <c r="C281" s="227"/>
      <c r="D281" s="227"/>
      <c r="E281" s="227"/>
      <c r="F281" s="227"/>
      <c r="G281" s="281" t="str">
        <f>IFERROR(E281*F281,"")</f>
        <v>#ERROR!</v>
      </c>
      <c r="H281" s="281" t="str">
        <f>IFERROR(E281-G281,"")</f>
        <v>#ERROR!</v>
      </c>
      <c r="I281" s="227"/>
      <c r="J281" s="233"/>
    </row>
    <row r="282">
      <c r="A282" s="303"/>
      <c r="B282" s="235"/>
      <c r="C282" s="235"/>
      <c r="D282" s="235"/>
      <c r="E282" s="235"/>
      <c r="F282" s="235"/>
      <c r="G282" s="283" t="str">
        <f>IFERROR(E282*F282,"")</f>
        <v>#ERROR!</v>
      </c>
      <c r="H282" s="283" t="str">
        <f>IFERROR(E282-G282,"")</f>
        <v>#ERROR!</v>
      </c>
      <c r="I282" s="235"/>
      <c r="J282" s="240"/>
    </row>
    <row r="283">
      <c r="A283" s="301"/>
      <c r="B283" s="227"/>
      <c r="C283" s="227"/>
      <c r="D283" s="227"/>
      <c r="E283" s="227"/>
      <c r="F283" s="227"/>
      <c r="G283" s="281" t="str">
        <f>IFERROR(E283*F283,"")</f>
        <v>#ERROR!</v>
      </c>
      <c r="H283" s="281" t="str">
        <f>IFERROR(E283-G283,"")</f>
        <v>#ERROR!</v>
      </c>
      <c r="I283" s="227"/>
      <c r="J283" s="233"/>
    </row>
    <row r="284">
      <c r="A284" s="303"/>
      <c r="B284" s="235"/>
      <c r="C284" s="235"/>
      <c r="D284" s="235"/>
      <c r="E284" s="235"/>
      <c r="F284" s="235"/>
      <c r="G284" s="283" t="str">
        <f>IFERROR(E284*F284,"")</f>
        <v>#ERROR!</v>
      </c>
      <c r="H284" s="283" t="str">
        <f>IFERROR(E284-G284,"")</f>
        <v>#ERROR!</v>
      </c>
      <c r="I284" s="235"/>
      <c r="J284" s="240"/>
    </row>
    <row r="285">
      <c r="A285" s="301"/>
      <c r="B285" s="227"/>
      <c r="C285" s="227"/>
      <c r="D285" s="227"/>
      <c r="E285" s="227"/>
      <c r="F285" s="227"/>
      <c r="G285" s="281" t="str">
        <f>IFERROR(E285*F285,"")</f>
        <v>#ERROR!</v>
      </c>
      <c r="H285" s="281" t="str">
        <f>IFERROR(E285-G285,"")</f>
        <v>#ERROR!</v>
      </c>
      <c r="I285" s="227"/>
      <c r="J285" s="233"/>
    </row>
    <row r="286">
      <c r="A286" s="303"/>
      <c r="B286" s="235"/>
      <c r="C286" s="235"/>
      <c r="D286" s="235"/>
      <c r="E286" s="235"/>
      <c r="F286" s="235"/>
      <c r="G286" s="283" t="str">
        <f>IFERROR(E286*F286,"")</f>
        <v>#ERROR!</v>
      </c>
      <c r="H286" s="283" t="str">
        <f>IFERROR(E286-G286,"")</f>
        <v>#ERROR!</v>
      </c>
      <c r="I286" s="235"/>
      <c r="J286" s="240"/>
    </row>
    <row r="287">
      <c r="A287" s="301"/>
      <c r="B287" s="227"/>
      <c r="C287" s="227"/>
      <c r="D287" s="227"/>
      <c r="E287" s="227"/>
      <c r="F287" s="227"/>
      <c r="G287" s="281" t="str">
        <f>IFERROR(E287*F287,"")</f>
        <v>#ERROR!</v>
      </c>
      <c r="H287" s="281" t="str">
        <f>IFERROR(E287-G287,"")</f>
        <v>#ERROR!</v>
      </c>
      <c r="I287" s="227"/>
      <c r="J287" s="233"/>
    </row>
    <row r="288">
      <c r="A288" s="303"/>
      <c r="B288" s="235"/>
      <c r="C288" s="235"/>
      <c r="D288" s="235"/>
      <c r="E288" s="235"/>
      <c r="F288" s="235"/>
      <c r="G288" s="283" t="str">
        <f>IFERROR(E288*F288,"")</f>
        <v>#ERROR!</v>
      </c>
      <c r="H288" s="283" t="str">
        <f>IFERROR(E288-G288,"")</f>
        <v>#ERROR!</v>
      </c>
      <c r="I288" s="235"/>
      <c r="J288" s="240"/>
    </row>
    <row r="289">
      <c r="A289" s="301"/>
      <c r="B289" s="227"/>
      <c r="C289" s="227"/>
      <c r="D289" s="227"/>
      <c r="E289" s="227"/>
      <c r="F289" s="227"/>
      <c r="G289" s="281" t="str">
        <f>IFERROR(E289*F289,"")</f>
        <v>#ERROR!</v>
      </c>
      <c r="H289" s="281" t="str">
        <f>IFERROR(E289-G289,"")</f>
        <v>#ERROR!</v>
      </c>
      <c r="I289" s="227"/>
      <c r="J289" s="233"/>
    </row>
    <row r="290">
      <c r="A290" s="303"/>
      <c r="B290" s="235"/>
      <c r="C290" s="235"/>
      <c r="D290" s="235"/>
      <c r="E290" s="235"/>
      <c r="F290" s="235"/>
      <c r="G290" s="283" t="str">
        <f>IFERROR(E290*F290,"")</f>
        <v>#ERROR!</v>
      </c>
      <c r="H290" s="283" t="str">
        <f>IFERROR(E290-G290,"")</f>
        <v>#ERROR!</v>
      </c>
      <c r="I290" s="235"/>
      <c r="J290" s="240"/>
    </row>
    <row r="291">
      <c r="A291" s="301"/>
      <c r="B291" s="227"/>
      <c r="C291" s="227"/>
      <c r="D291" s="227"/>
      <c r="E291" s="227"/>
      <c r="F291" s="227"/>
      <c r="G291" s="281" t="str">
        <f>IFERROR(E291*F291,"")</f>
        <v>#ERROR!</v>
      </c>
      <c r="H291" s="281" t="str">
        <f>IFERROR(E291-G291,"")</f>
        <v>#ERROR!</v>
      </c>
      <c r="I291" s="227"/>
      <c r="J291" s="233"/>
    </row>
    <row r="292">
      <c r="A292" s="303"/>
      <c r="B292" s="235"/>
      <c r="C292" s="235"/>
      <c r="D292" s="235"/>
      <c r="E292" s="235"/>
      <c r="F292" s="235"/>
      <c r="G292" s="283" t="str">
        <f>IFERROR(E292*F292,"")</f>
        <v>#ERROR!</v>
      </c>
      <c r="H292" s="283" t="str">
        <f>IFERROR(E292-G292,"")</f>
        <v>#ERROR!</v>
      </c>
      <c r="I292" s="235"/>
      <c r="J292" s="240"/>
    </row>
    <row r="293">
      <c r="A293" s="301"/>
      <c r="B293" s="227"/>
      <c r="C293" s="227"/>
      <c r="D293" s="227"/>
      <c r="E293" s="227"/>
      <c r="F293" s="227"/>
      <c r="G293" s="281" t="str">
        <f>IFERROR(E293*F293,"")</f>
        <v>#ERROR!</v>
      </c>
      <c r="H293" s="281" t="str">
        <f>IFERROR(E293-G293,"")</f>
        <v>#ERROR!</v>
      </c>
      <c r="I293" s="227"/>
      <c r="J293" s="233"/>
    </row>
    <row r="294">
      <c r="A294" s="303"/>
      <c r="B294" s="235"/>
      <c r="C294" s="235"/>
      <c r="D294" s="235"/>
      <c r="E294" s="235"/>
      <c r="F294" s="235"/>
      <c r="G294" s="283" t="str">
        <f>IFERROR(E294*F294,"")</f>
        <v>#ERROR!</v>
      </c>
      <c r="H294" s="283" t="str">
        <f>IFERROR(E294-G294,"")</f>
        <v>#ERROR!</v>
      </c>
      <c r="I294" s="235"/>
      <c r="J294" s="240"/>
    </row>
    <row r="295">
      <c r="A295" s="301"/>
      <c r="B295" s="227"/>
      <c r="C295" s="227"/>
      <c r="D295" s="227"/>
      <c r="E295" s="227"/>
      <c r="F295" s="227"/>
      <c r="G295" s="281" t="str">
        <f>IFERROR(E295*F295,"")</f>
        <v>#ERROR!</v>
      </c>
      <c r="H295" s="281" t="str">
        <f>IFERROR(E295-G295,"")</f>
        <v>#ERROR!</v>
      </c>
      <c r="I295" s="227"/>
      <c r="J295" s="233"/>
    </row>
    <row r="296">
      <c r="A296" s="303"/>
      <c r="B296" s="235"/>
      <c r="C296" s="235"/>
      <c r="D296" s="235"/>
      <c r="E296" s="235"/>
      <c r="F296" s="235"/>
      <c r="G296" s="283" t="str">
        <f>IFERROR(E296*F296,"")</f>
        <v>#ERROR!</v>
      </c>
      <c r="H296" s="283" t="str">
        <f>IFERROR(E296-G296,"")</f>
        <v>#ERROR!</v>
      </c>
      <c r="I296" s="235"/>
      <c r="J296" s="240"/>
    </row>
    <row r="297">
      <c r="A297" s="301"/>
      <c r="B297" s="227"/>
      <c r="C297" s="227"/>
      <c r="D297" s="227"/>
      <c r="E297" s="227"/>
      <c r="F297" s="227"/>
      <c r="G297" s="281" t="str">
        <f>IFERROR(E297*F297,"")</f>
        <v>#ERROR!</v>
      </c>
      <c r="H297" s="281" t="str">
        <f>IFERROR(E297-G297,"")</f>
        <v>#ERROR!</v>
      </c>
      <c r="I297" s="227"/>
      <c r="J297" s="233"/>
    </row>
    <row r="298">
      <c r="A298" s="303"/>
      <c r="B298" s="235"/>
      <c r="C298" s="235"/>
      <c r="D298" s="235"/>
      <c r="E298" s="235"/>
      <c r="F298" s="235"/>
      <c r="G298" s="283" t="str">
        <f>IFERROR(E298*F298,"")</f>
        <v>#ERROR!</v>
      </c>
      <c r="H298" s="283" t="str">
        <f>IFERROR(E298-G298,"")</f>
        <v>#ERROR!</v>
      </c>
      <c r="I298" s="235"/>
      <c r="J298" s="240"/>
    </row>
    <row r="299">
      <c r="A299" s="301"/>
      <c r="B299" s="227"/>
      <c r="C299" s="227"/>
      <c r="D299" s="227"/>
      <c r="E299" s="227"/>
      <c r="F299" s="227"/>
      <c r="G299" s="281" t="str">
        <f>IFERROR(E299*F299,"")</f>
        <v>#ERROR!</v>
      </c>
      <c r="H299" s="281" t="str">
        <f>IFERROR(E299-G299,"")</f>
        <v>#ERROR!</v>
      </c>
      <c r="I299" s="227"/>
      <c r="J299" s="233"/>
    </row>
    <row r="300">
      <c r="A300" s="303"/>
      <c r="B300" s="235"/>
      <c r="C300" s="235"/>
      <c r="D300" s="235"/>
      <c r="E300" s="235"/>
      <c r="F300" s="235"/>
      <c r="G300" s="283" t="str">
        <f>IFERROR(E300*F300,"")</f>
        <v>#ERROR!</v>
      </c>
      <c r="H300" s="283" t="str">
        <f>IFERROR(E300-G300,"")</f>
        <v>#ERROR!</v>
      </c>
      <c r="I300" s="235"/>
      <c r="J300" s="240"/>
    </row>
    <row r="301">
      <c r="A301" s="301"/>
      <c r="B301" s="227"/>
      <c r="C301" s="227"/>
      <c r="D301" s="227"/>
      <c r="E301" s="227"/>
      <c r="F301" s="227"/>
      <c r="G301" s="281" t="str">
        <f>IFERROR(E301*F301,"")</f>
        <v>#ERROR!</v>
      </c>
      <c r="H301" s="281" t="str">
        <f>IFERROR(E301-G301,"")</f>
        <v>#ERROR!</v>
      </c>
      <c r="I301" s="227"/>
      <c r="J301" s="233"/>
    </row>
    <row r="302">
      <c r="A302" s="303"/>
      <c r="B302" s="235"/>
      <c r="C302" s="235"/>
      <c r="D302" s="235"/>
      <c r="E302" s="235"/>
      <c r="F302" s="235"/>
      <c r="G302" s="283" t="str">
        <f>IFERROR(E302*F302,"")</f>
        <v>#ERROR!</v>
      </c>
      <c r="H302" s="283" t="str">
        <f>IFERROR(E302-G302,"")</f>
        <v>#ERROR!</v>
      </c>
      <c r="I302" s="235"/>
      <c r="J302" s="240"/>
    </row>
    <row r="303">
      <c r="A303" s="301"/>
      <c r="B303" s="227"/>
      <c r="C303" s="227"/>
      <c r="D303" s="227"/>
      <c r="E303" s="227"/>
      <c r="F303" s="227"/>
      <c r="G303" s="281" t="str">
        <f>IFERROR(E303*F303,"")</f>
        <v>#ERROR!</v>
      </c>
      <c r="H303" s="281" t="str">
        <f>IFERROR(E303-G303,"")</f>
        <v>#ERROR!</v>
      </c>
      <c r="I303" s="227"/>
      <c r="J303" s="233"/>
    </row>
    <row r="304">
      <c r="A304" s="303"/>
      <c r="B304" s="235"/>
      <c r="C304" s="235"/>
      <c r="D304" s="235"/>
      <c r="E304" s="235"/>
      <c r="F304" s="235"/>
      <c r="G304" s="283" t="str">
        <f>IFERROR(E304*F304,"")</f>
        <v>#ERROR!</v>
      </c>
      <c r="H304" s="283" t="str">
        <f>IFERROR(E304-G304,"")</f>
        <v>#ERROR!</v>
      </c>
      <c r="I304" s="235"/>
      <c r="J304" s="240"/>
    </row>
    <row r="305">
      <c r="A305" s="301"/>
      <c r="B305" s="227"/>
      <c r="C305" s="227"/>
      <c r="D305" s="227"/>
      <c r="E305" s="227"/>
      <c r="F305" s="227"/>
      <c r="G305" s="281" t="str">
        <f>IFERROR(E305*F305,"")</f>
        <v>#ERROR!</v>
      </c>
      <c r="H305" s="281" t="str">
        <f>IFERROR(E305-G305,"")</f>
        <v>#ERROR!</v>
      </c>
      <c r="I305" s="227"/>
      <c r="J305" s="233"/>
    </row>
    <row r="306">
      <c r="A306" s="303"/>
      <c r="B306" s="235"/>
      <c r="C306" s="235"/>
      <c r="D306" s="235"/>
      <c r="E306" s="235"/>
      <c r="F306" s="235"/>
      <c r="G306" s="283" t="str">
        <f>IFERROR(E306*F306,"")</f>
        <v>#ERROR!</v>
      </c>
      <c r="H306" s="283" t="str">
        <f>IFERROR(E306-G306,"")</f>
        <v>#ERROR!</v>
      </c>
      <c r="I306" s="235"/>
      <c r="J306" s="240"/>
    </row>
    <row r="307">
      <c r="A307" s="301"/>
      <c r="B307" s="227"/>
      <c r="C307" s="227"/>
      <c r="D307" s="227"/>
      <c r="E307" s="227"/>
      <c r="F307" s="227"/>
      <c r="G307" s="281" t="str">
        <f>IFERROR(E307*F307,"")</f>
        <v>#ERROR!</v>
      </c>
      <c r="H307" s="281" t="str">
        <f>IFERROR(E307-G307,"")</f>
        <v>#ERROR!</v>
      </c>
      <c r="I307" s="227"/>
      <c r="J307" s="233"/>
    </row>
    <row r="308">
      <c r="A308" s="303"/>
      <c r="B308" s="235"/>
      <c r="C308" s="235"/>
      <c r="D308" s="235"/>
      <c r="E308" s="235"/>
      <c r="F308" s="235"/>
      <c r="G308" s="283" t="str">
        <f>IFERROR(E308*F308,"")</f>
        <v>#ERROR!</v>
      </c>
      <c r="H308" s="283" t="str">
        <f>IFERROR(E308-G308,"")</f>
        <v>#ERROR!</v>
      </c>
      <c r="I308" s="235"/>
      <c r="J308" s="240"/>
    </row>
    <row r="309">
      <c r="A309" s="301"/>
      <c r="B309" s="227"/>
      <c r="C309" s="227"/>
      <c r="D309" s="227"/>
      <c r="E309" s="227"/>
      <c r="F309" s="227"/>
      <c r="G309" s="281" t="str">
        <f>IFERROR(E309*F309,"")</f>
        <v>#ERROR!</v>
      </c>
      <c r="H309" s="281" t="str">
        <f>IFERROR(E309-G309,"")</f>
        <v>#ERROR!</v>
      </c>
      <c r="I309" s="227"/>
      <c r="J309" s="233"/>
    </row>
    <row r="310">
      <c r="A310" s="303"/>
      <c r="B310" s="235"/>
      <c r="C310" s="235"/>
      <c r="D310" s="235"/>
      <c r="E310" s="235"/>
      <c r="F310" s="235"/>
      <c r="G310" s="283" t="str">
        <f>IFERROR(E310*F310,"")</f>
        <v>#ERROR!</v>
      </c>
      <c r="H310" s="283" t="str">
        <f>IFERROR(E310-G310,"")</f>
        <v>#ERROR!</v>
      </c>
      <c r="I310" s="235"/>
      <c r="J310" s="240"/>
    </row>
    <row r="311">
      <c r="A311" s="301"/>
      <c r="B311" s="227"/>
      <c r="C311" s="227"/>
      <c r="D311" s="227"/>
      <c r="E311" s="227"/>
      <c r="F311" s="227"/>
      <c r="G311" s="281" t="str">
        <f>IFERROR(E311*F311,"")</f>
        <v>#ERROR!</v>
      </c>
      <c r="H311" s="281" t="str">
        <f>IFERROR(E311-G311,"")</f>
        <v>#ERROR!</v>
      </c>
      <c r="I311" s="227"/>
      <c r="J311" s="233"/>
    </row>
    <row r="312">
      <c r="A312" s="303"/>
      <c r="B312" s="235"/>
      <c r="C312" s="235"/>
      <c r="D312" s="235"/>
      <c r="E312" s="235"/>
      <c r="F312" s="235"/>
      <c r="G312" s="283" t="str">
        <f>IFERROR(E312*F312,"")</f>
        <v>#ERROR!</v>
      </c>
      <c r="H312" s="283" t="str">
        <f>IFERROR(E312-G312,"")</f>
        <v>#ERROR!</v>
      </c>
      <c r="I312" s="235"/>
      <c r="J312" s="240"/>
    </row>
    <row r="313">
      <c r="A313" s="301"/>
      <c r="B313" s="227"/>
      <c r="C313" s="227"/>
      <c r="D313" s="227"/>
      <c r="E313" s="227"/>
      <c r="F313" s="227"/>
      <c r="G313" s="281" t="str">
        <f>IFERROR(E313*F313,"")</f>
        <v>#ERROR!</v>
      </c>
      <c r="H313" s="281" t="str">
        <f>IFERROR(E313-G313,"")</f>
        <v>#ERROR!</v>
      </c>
      <c r="I313" s="227"/>
      <c r="J313" s="233"/>
    </row>
    <row r="314">
      <c r="A314" s="303"/>
      <c r="B314" s="235"/>
      <c r="C314" s="235"/>
      <c r="D314" s="235"/>
      <c r="E314" s="235"/>
      <c r="F314" s="235"/>
      <c r="G314" s="283" t="str">
        <f>IFERROR(E314*F314,"")</f>
        <v>#ERROR!</v>
      </c>
      <c r="H314" s="283" t="str">
        <f>IFERROR(E314-G314,"")</f>
        <v>#ERROR!</v>
      </c>
      <c r="I314" s="235"/>
      <c r="J314" s="240"/>
    </row>
    <row r="315">
      <c r="A315" s="301"/>
      <c r="B315" s="227"/>
      <c r="C315" s="227"/>
      <c r="D315" s="227"/>
      <c r="E315" s="227"/>
      <c r="F315" s="227"/>
      <c r="G315" s="281" t="str">
        <f>IFERROR(E315*F315,"")</f>
        <v>#ERROR!</v>
      </c>
      <c r="H315" s="281" t="str">
        <f>IFERROR(E315-G315,"")</f>
        <v>#ERROR!</v>
      </c>
      <c r="I315" s="227"/>
      <c r="J315" s="233"/>
    </row>
    <row r="316">
      <c r="A316" s="303"/>
      <c r="B316" s="235"/>
      <c r="C316" s="235"/>
      <c r="D316" s="235"/>
      <c r="E316" s="235"/>
      <c r="F316" s="235"/>
      <c r="G316" s="283" t="str">
        <f>IFERROR(E316*F316,"")</f>
        <v>#ERROR!</v>
      </c>
      <c r="H316" s="283" t="str">
        <f>IFERROR(E316-G316,"")</f>
        <v>#ERROR!</v>
      </c>
      <c r="I316" s="235"/>
      <c r="J316" s="240"/>
    </row>
    <row r="317">
      <c r="A317" s="301"/>
      <c r="B317" s="227"/>
      <c r="C317" s="227"/>
      <c r="D317" s="227"/>
      <c r="E317" s="227"/>
      <c r="F317" s="227"/>
      <c r="G317" s="281" t="str">
        <f>IFERROR(E317*F317,"")</f>
        <v>#ERROR!</v>
      </c>
      <c r="H317" s="281" t="str">
        <f>IFERROR(E317-G317,"")</f>
        <v>#ERROR!</v>
      </c>
      <c r="I317" s="227"/>
      <c r="J317" s="233"/>
    </row>
    <row r="318">
      <c r="A318" s="303"/>
      <c r="B318" s="235"/>
      <c r="C318" s="235"/>
      <c r="D318" s="235"/>
      <c r="E318" s="235"/>
      <c r="F318" s="235"/>
      <c r="G318" s="283" t="str">
        <f>IFERROR(E318*F318,"")</f>
        <v>#ERROR!</v>
      </c>
      <c r="H318" s="283" t="str">
        <f>IFERROR(E318-G318,"")</f>
        <v>#ERROR!</v>
      </c>
      <c r="I318" s="235"/>
      <c r="J318" s="240"/>
    </row>
    <row r="319">
      <c r="A319" s="301"/>
      <c r="B319" s="227"/>
      <c r="C319" s="227"/>
      <c r="D319" s="227"/>
      <c r="E319" s="227"/>
      <c r="F319" s="227"/>
      <c r="G319" s="281" t="str">
        <f>IFERROR(E319*F319,"")</f>
        <v>#ERROR!</v>
      </c>
      <c r="H319" s="281" t="str">
        <f>IFERROR(E319-G319,"")</f>
        <v>#ERROR!</v>
      </c>
      <c r="I319" s="227"/>
      <c r="J319" s="233"/>
    </row>
    <row r="320">
      <c r="A320" s="303"/>
      <c r="B320" s="235"/>
      <c r="C320" s="235"/>
      <c r="D320" s="235"/>
      <c r="E320" s="235"/>
      <c r="F320" s="235"/>
      <c r="G320" s="283" t="str">
        <f>IFERROR(E320*F320,"")</f>
        <v>#ERROR!</v>
      </c>
      <c r="H320" s="283" t="str">
        <f>IFERROR(E320-G320,"")</f>
        <v>#ERROR!</v>
      </c>
      <c r="I320" s="235"/>
      <c r="J320" s="240"/>
    </row>
    <row r="321">
      <c r="A321" s="301"/>
      <c r="B321" s="227"/>
      <c r="C321" s="227"/>
      <c r="D321" s="227"/>
      <c r="E321" s="227"/>
      <c r="F321" s="227"/>
      <c r="G321" s="281" t="str">
        <f>IFERROR(E321*F321,"")</f>
        <v>#ERROR!</v>
      </c>
      <c r="H321" s="281" t="str">
        <f>IFERROR(E321-G321,"")</f>
        <v>#ERROR!</v>
      </c>
      <c r="I321" s="227"/>
      <c r="J321" s="233"/>
    </row>
    <row r="322">
      <c r="A322" s="303"/>
      <c r="B322" s="235"/>
      <c r="C322" s="235"/>
      <c r="D322" s="235"/>
      <c r="E322" s="235"/>
      <c r="F322" s="235"/>
      <c r="G322" s="283" t="str">
        <f>IFERROR(E322*F322,"")</f>
        <v>#ERROR!</v>
      </c>
      <c r="H322" s="283" t="str">
        <f>IFERROR(E322-G322,"")</f>
        <v>#ERROR!</v>
      </c>
      <c r="I322" s="235"/>
      <c r="J322" s="240"/>
    </row>
    <row r="323">
      <c r="A323" s="301"/>
      <c r="B323" s="227"/>
      <c r="C323" s="227"/>
      <c r="D323" s="227"/>
      <c r="E323" s="227"/>
      <c r="F323" s="227"/>
      <c r="G323" s="281" t="str">
        <f>IFERROR(E323*F323,"")</f>
        <v>#ERROR!</v>
      </c>
      <c r="H323" s="281" t="str">
        <f>IFERROR(E323-G323,"")</f>
        <v>#ERROR!</v>
      </c>
      <c r="I323" s="227"/>
      <c r="J323" s="233"/>
    </row>
    <row r="324">
      <c r="A324" s="303"/>
      <c r="B324" s="235"/>
      <c r="C324" s="235"/>
      <c r="D324" s="235"/>
      <c r="E324" s="235"/>
      <c r="F324" s="235"/>
      <c r="G324" s="283" t="str">
        <f>IFERROR(E324*F324,"")</f>
        <v>#ERROR!</v>
      </c>
      <c r="H324" s="283" t="str">
        <f>IFERROR(E324-G324,"")</f>
        <v>#ERROR!</v>
      </c>
      <c r="I324" s="235"/>
      <c r="J324" s="240"/>
    </row>
    <row r="325">
      <c r="A325" s="301"/>
      <c r="B325" s="227"/>
      <c r="C325" s="227"/>
      <c r="D325" s="227"/>
      <c r="E325" s="227"/>
      <c r="F325" s="227"/>
      <c r="G325" s="281" t="str">
        <f>IFERROR(E325*F325,"")</f>
        <v>#ERROR!</v>
      </c>
      <c r="H325" s="281" t="str">
        <f>IFERROR(E325-G325,"")</f>
        <v>#ERROR!</v>
      </c>
      <c r="I325" s="227"/>
      <c r="J325" s="233"/>
    </row>
    <row r="326">
      <c r="A326" s="303"/>
      <c r="B326" s="235"/>
      <c r="C326" s="235"/>
      <c r="D326" s="235"/>
      <c r="E326" s="235"/>
      <c r="F326" s="235"/>
      <c r="G326" s="283" t="str">
        <f>IFERROR(E326*F326,"")</f>
        <v>#ERROR!</v>
      </c>
      <c r="H326" s="283" t="str">
        <f>IFERROR(E326-G326,"")</f>
        <v>#ERROR!</v>
      </c>
      <c r="I326" s="235"/>
      <c r="J326" s="240"/>
    </row>
    <row r="327">
      <c r="A327" s="301"/>
      <c r="B327" s="227"/>
      <c r="C327" s="227"/>
      <c r="D327" s="227"/>
      <c r="E327" s="227"/>
      <c r="F327" s="227"/>
      <c r="G327" s="281" t="str">
        <f>IFERROR(E327*F327,"")</f>
        <v>#ERROR!</v>
      </c>
      <c r="H327" s="281" t="str">
        <f>IFERROR(E327-G327,"")</f>
        <v>#ERROR!</v>
      </c>
      <c r="I327" s="227"/>
      <c r="J327" s="233"/>
    </row>
    <row r="328">
      <c r="A328" s="303"/>
      <c r="B328" s="235"/>
      <c r="C328" s="235"/>
      <c r="D328" s="235"/>
      <c r="E328" s="235"/>
      <c r="F328" s="235"/>
      <c r="G328" s="283" t="str">
        <f>IFERROR(E328*F328,"")</f>
        <v>#ERROR!</v>
      </c>
      <c r="H328" s="283" t="str">
        <f>IFERROR(E328-G328,"")</f>
        <v>#ERROR!</v>
      </c>
      <c r="I328" s="235"/>
      <c r="J328" s="240"/>
    </row>
    <row r="329">
      <c r="A329" s="301"/>
      <c r="B329" s="227"/>
      <c r="C329" s="227"/>
      <c r="D329" s="227"/>
      <c r="E329" s="227"/>
      <c r="F329" s="227"/>
      <c r="G329" s="281" t="str">
        <f>IFERROR(E329*F329,"")</f>
        <v>#ERROR!</v>
      </c>
      <c r="H329" s="281" t="str">
        <f>IFERROR(E329-G329,"")</f>
        <v>#ERROR!</v>
      </c>
      <c r="I329" s="227"/>
      <c r="J329" s="233"/>
    </row>
    <row r="330">
      <c r="A330" s="303"/>
      <c r="B330" s="235"/>
      <c r="C330" s="235"/>
      <c r="D330" s="235"/>
      <c r="E330" s="235"/>
      <c r="F330" s="235"/>
      <c r="G330" s="283" t="str">
        <f>IFERROR(E330*F330,"")</f>
        <v>#ERROR!</v>
      </c>
      <c r="H330" s="283" t="str">
        <f>IFERROR(E330-G330,"")</f>
        <v>#ERROR!</v>
      </c>
      <c r="I330" s="235"/>
      <c r="J330" s="240"/>
    </row>
    <row r="331">
      <c r="A331" s="301"/>
      <c r="B331" s="227"/>
      <c r="C331" s="227"/>
      <c r="D331" s="227"/>
      <c r="E331" s="227"/>
      <c r="F331" s="227"/>
      <c r="G331" s="281" t="str">
        <f>IFERROR(E331*F331,"")</f>
        <v>#ERROR!</v>
      </c>
      <c r="H331" s="281" t="str">
        <f>IFERROR(E331-G331,"")</f>
        <v>#ERROR!</v>
      </c>
      <c r="I331" s="227"/>
      <c r="J331" s="233"/>
    </row>
    <row r="332">
      <c r="A332" s="303"/>
      <c r="B332" s="235"/>
      <c r="C332" s="235"/>
      <c r="D332" s="235"/>
      <c r="E332" s="235"/>
      <c r="F332" s="235"/>
      <c r="G332" s="283" t="str">
        <f>IFERROR(E332*F332,"")</f>
        <v>#ERROR!</v>
      </c>
      <c r="H332" s="283" t="str">
        <f>IFERROR(E332-G332,"")</f>
        <v>#ERROR!</v>
      </c>
      <c r="I332" s="235"/>
      <c r="J332" s="240"/>
    </row>
    <row r="333">
      <c r="A333" s="301"/>
      <c r="B333" s="227"/>
      <c r="C333" s="227"/>
      <c r="D333" s="227"/>
      <c r="E333" s="227"/>
      <c r="F333" s="227"/>
      <c r="G333" s="281" t="str">
        <f>IFERROR(E333*F333,"")</f>
        <v>#ERROR!</v>
      </c>
      <c r="H333" s="281" t="str">
        <f>IFERROR(E333-G333,"")</f>
        <v>#ERROR!</v>
      </c>
      <c r="I333" s="227"/>
      <c r="J333" s="233"/>
    </row>
    <row r="334">
      <c r="A334" s="303"/>
      <c r="B334" s="235"/>
      <c r="C334" s="235"/>
      <c r="D334" s="235"/>
      <c r="E334" s="235"/>
      <c r="F334" s="235"/>
      <c r="G334" s="283" t="str">
        <f>IFERROR(E334*F334,"")</f>
        <v>#ERROR!</v>
      </c>
      <c r="H334" s="283" t="str">
        <f>IFERROR(E334-G334,"")</f>
        <v>#ERROR!</v>
      </c>
      <c r="I334" s="235"/>
      <c r="J334" s="240"/>
    </row>
    <row r="335">
      <c r="A335" s="301"/>
      <c r="B335" s="227"/>
      <c r="C335" s="227"/>
      <c r="D335" s="227"/>
      <c r="E335" s="227"/>
      <c r="F335" s="227"/>
      <c r="G335" s="281" t="str">
        <f>IFERROR(E335*F335,"")</f>
        <v>#ERROR!</v>
      </c>
      <c r="H335" s="281" t="str">
        <f>IFERROR(E335-G335,"")</f>
        <v>#ERROR!</v>
      </c>
      <c r="I335" s="227"/>
      <c r="J335" s="233"/>
    </row>
    <row r="336">
      <c r="A336" s="303"/>
      <c r="B336" s="235"/>
      <c r="C336" s="235"/>
      <c r="D336" s="235"/>
      <c r="E336" s="235"/>
      <c r="F336" s="235"/>
      <c r="G336" s="283" t="str">
        <f>IFERROR(E336*F336,"")</f>
        <v>#ERROR!</v>
      </c>
      <c r="H336" s="283" t="str">
        <f>IFERROR(E336-G336,"")</f>
        <v>#ERROR!</v>
      </c>
      <c r="I336" s="235"/>
      <c r="J336" s="240"/>
    </row>
    <row r="337">
      <c r="A337" s="301"/>
      <c r="B337" s="227"/>
      <c r="C337" s="227"/>
      <c r="D337" s="227"/>
      <c r="E337" s="227"/>
      <c r="F337" s="227"/>
      <c r="G337" s="281" t="str">
        <f>IFERROR(E337*F337,"")</f>
        <v>#ERROR!</v>
      </c>
      <c r="H337" s="281" t="str">
        <f>IFERROR(E337-G337,"")</f>
        <v>#ERROR!</v>
      </c>
      <c r="I337" s="227"/>
      <c r="J337" s="233"/>
    </row>
    <row r="338">
      <c r="A338" s="303"/>
      <c r="B338" s="235"/>
      <c r="C338" s="235"/>
      <c r="D338" s="235"/>
      <c r="E338" s="235"/>
      <c r="F338" s="235"/>
      <c r="G338" s="283" t="str">
        <f>IFERROR(E338*F338,"")</f>
        <v>#ERROR!</v>
      </c>
      <c r="H338" s="283" t="str">
        <f>IFERROR(E338-G338,"")</f>
        <v>#ERROR!</v>
      </c>
      <c r="I338" s="235"/>
      <c r="J338" s="240"/>
    </row>
    <row r="339">
      <c r="A339" s="301"/>
      <c r="B339" s="227"/>
      <c r="C339" s="227"/>
      <c r="D339" s="227"/>
      <c r="E339" s="227"/>
      <c r="F339" s="227"/>
      <c r="G339" s="281" t="str">
        <f>IFERROR(E339*F339,"")</f>
        <v>#ERROR!</v>
      </c>
      <c r="H339" s="281" t="str">
        <f>IFERROR(E339-G339,"")</f>
        <v>#ERROR!</v>
      </c>
      <c r="I339" s="227"/>
      <c r="J339" s="233"/>
    </row>
    <row r="340">
      <c r="A340" s="303"/>
      <c r="B340" s="235"/>
      <c r="C340" s="235"/>
      <c r="D340" s="235"/>
      <c r="E340" s="235"/>
      <c r="F340" s="235"/>
      <c r="G340" s="283" t="str">
        <f>IFERROR(E340*F340,"")</f>
        <v>#ERROR!</v>
      </c>
      <c r="H340" s="283" t="str">
        <f>IFERROR(E340-G340,"")</f>
        <v>#ERROR!</v>
      </c>
      <c r="I340" s="235"/>
      <c r="J340" s="240"/>
    </row>
    <row r="341">
      <c r="A341" s="301"/>
      <c r="B341" s="227"/>
      <c r="C341" s="227"/>
      <c r="D341" s="227"/>
      <c r="E341" s="227"/>
      <c r="F341" s="227"/>
      <c r="G341" s="281" t="str">
        <f>IFERROR(E341*F341,"")</f>
        <v>#ERROR!</v>
      </c>
      <c r="H341" s="281" t="str">
        <f>IFERROR(E341-G341,"")</f>
        <v>#ERROR!</v>
      </c>
      <c r="I341" s="227"/>
      <c r="J341" s="233"/>
    </row>
    <row r="342">
      <c r="A342" s="303"/>
      <c r="B342" s="235"/>
      <c r="C342" s="235"/>
      <c r="D342" s="235"/>
      <c r="E342" s="235"/>
      <c r="F342" s="235"/>
      <c r="G342" s="283" t="str">
        <f>IFERROR(E342*F342,"")</f>
        <v>#ERROR!</v>
      </c>
      <c r="H342" s="283" t="str">
        <f>IFERROR(E342-G342,"")</f>
        <v>#ERROR!</v>
      </c>
      <c r="I342" s="235"/>
      <c r="J342" s="240"/>
    </row>
    <row r="343">
      <c r="A343" s="301"/>
      <c r="B343" s="227"/>
      <c r="C343" s="227"/>
      <c r="D343" s="227"/>
      <c r="E343" s="227"/>
      <c r="F343" s="227"/>
      <c r="G343" s="281" t="str">
        <f>IFERROR(E343*F343,"")</f>
        <v>#ERROR!</v>
      </c>
      <c r="H343" s="281" t="str">
        <f>IFERROR(E343-G343,"")</f>
        <v>#ERROR!</v>
      </c>
      <c r="I343" s="227"/>
      <c r="J343" s="233"/>
    </row>
    <row r="344">
      <c r="A344" s="303"/>
      <c r="B344" s="235"/>
      <c r="C344" s="235"/>
      <c r="D344" s="235"/>
      <c r="E344" s="235"/>
      <c r="F344" s="235"/>
      <c r="G344" s="283" t="str">
        <f>IFERROR(E344*F344,"")</f>
        <v>#ERROR!</v>
      </c>
      <c r="H344" s="283" t="str">
        <f>IFERROR(E344-G344,"")</f>
        <v>#ERROR!</v>
      </c>
      <c r="I344" s="235"/>
      <c r="J344" s="240"/>
    </row>
    <row r="345">
      <c r="A345" s="301"/>
      <c r="B345" s="227"/>
      <c r="C345" s="227"/>
      <c r="D345" s="227"/>
      <c r="E345" s="227"/>
      <c r="F345" s="227"/>
      <c r="G345" s="281" t="str">
        <f>IFERROR(E345*F345,"")</f>
        <v>#ERROR!</v>
      </c>
      <c r="H345" s="281" t="str">
        <f>IFERROR(E345-G345,"")</f>
        <v>#ERROR!</v>
      </c>
      <c r="I345" s="227"/>
      <c r="J345" s="233"/>
    </row>
    <row r="346">
      <c r="A346" s="303"/>
      <c r="B346" s="235"/>
      <c r="C346" s="235"/>
      <c r="D346" s="235"/>
      <c r="E346" s="235"/>
      <c r="F346" s="235"/>
      <c r="G346" s="283" t="str">
        <f>IFERROR(E346*F346,"")</f>
        <v>#ERROR!</v>
      </c>
      <c r="H346" s="283" t="str">
        <f>IFERROR(E346-G346,"")</f>
        <v>#ERROR!</v>
      </c>
      <c r="I346" s="235"/>
      <c r="J346" s="240"/>
    </row>
    <row r="347">
      <c r="A347" s="301"/>
      <c r="B347" s="227"/>
      <c r="C347" s="227"/>
      <c r="D347" s="227"/>
      <c r="E347" s="227"/>
      <c r="F347" s="227"/>
      <c r="G347" s="281" t="str">
        <f>IFERROR(E347*F347,"")</f>
        <v>#ERROR!</v>
      </c>
      <c r="H347" s="281" t="str">
        <f>IFERROR(E347-G347,"")</f>
        <v>#ERROR!</v>
      </c>
      <c r="I347" s="227"/>
      <c r="J347" s="233"/>
    </row>
    <row r="348">
      <c r="A348" s="303"/>
      <c r="B348" s="235"/>
      <c r="C348" s="235"/>
      <c r="D348" s="235"/>
      <c r="E348" s="235"/>
      <c r="F348" s="235"/>
      <c r="G348" s="283" t="str">
        <f>IFERROR(E348*F348,"")</f>
        <v>#ERROR!</v>
      </c>
      <c r="H348" s="283" t="str">
        <f>IFERROR(E348-G348,"")</f>
        <v>#ERROR!</v>
      </c>
      <c r="I348" s="235"/>
      <c r="J348" s="240"/>
    </row>
    <row r="349">
      <c r="A349" s="301"/>
      <c r="B349" s="227"/>
      <c r="C349" s="227"/>
      <c r="D349" s="227"/>
      <c r="E349" s="227"/>
      <c r="F349" s="227"/>
      <c r="G349" s="281" t="str">
        <f>IFERROR(E349*F349,"")</f>
        <v>#ERROR!</v>
      </c>
      <c r="H349" s="281" t="str">
        <f>IFERROR(E349-G349,"")</f>
        <v>#ERROR!</v>
      </c>
      <c r="I349" s="227"/>
      <c r="J349" s="233"/>
    </row>
    <row r="350">
      <c r="A350" s="303"/>
      <c r="B350" s="235"/>
      <c r="C350" s="235"/>
      <c r="D350" s="235"/>
      <c r="E350" s="235"/>
      <c r="F350" s="235"/>
      <c r="G350" s="283" t="str">
        <f>IFERROR(E350*F350,"")</f>
        <v>#ERROR!</v>
      </c>
      <c r="H350" s="283" t="str">
        <f>IFERROR(E350-G350,"")</f>
        <v>#ERROR!</v>
      </c>
      <c r="I350" s="235"/>
      <c r="J350" s="240"/>
    </row>
    <row r="351">
      <c r="A351" s="301"/>
      <c r="B351" s="227"/>
      <c r="C351" s="227"/>
      <c r="D351" s="227"/>
      <c r="E351" s="227"/>
      <c r="F351" s="227"/>
      <c r="G351" s="281" t="str">
        <f>IFERROR(E351*F351,"")</f>
        <v>#ERROR!</v>
      </c>
      <c r="H351" s="281" t="str">
        <f>IFERROR(E351-G351,"")</f>
        <v>#ERROR!</v>
      </c>
      <c r="I351" s="227"/>
      <c r="J351" s="233"/>
    </row>
    <row r="352">
      <c r="A352" s="303"/>
      <c r="B352" s="235"/>
      <c r="C352" s="235"/>
      <c r="D352" s="235"/>
      <c r="E352" s="235"/>
      <c r="F352" s="235"/>
      <c r="G352" s="283" t="str">
        <f>IFERROR(E352*F352,"")</f>
        <v>#ERROR!</v>
      </c>
      <c r="H352" s="283" t="str">
        <f>IFERROR(E352-G352,"")</f>
        <v>#ERROR!</v>
      </c>
      <c r="I352" s="235"/>
      <c r="J352" s="240"/>
    </row>
    <row r="353">
      <c r="A353" s="301"/>
      <c r="B353" s="227"/>
      <c r="C353" s="227"/>
      <c r="D353" s="227"/>
      <c r="E353" s="227"/>
      <c r="F353" s="227"/>
      <c r="G353" s="281" t="str">
        <f>IFERROR(E353*F353,"")</f>
        <v>#ERROR!</v>
      </c>
      <c r="H353" s="281" t="str">
        <f>IFERROR(E353-G353,"")</f>
        <v>#ERROR!</v>
      </c>
      <c r="I353" s="227"/>
      <c r="J353" s="233"/>
    </row>
    <row r="354">
      <c r="A354" s="303"/>
      <c r="B354" s="235"/>
      <c r="C354" s="235"/>
      <c r="D354" s="235"/>
      <c r="E354" s="235"/>
      <c r="F354" s="235"/>
      <c r="G354" s="283" t="str">
        <f>IFERROR(E354*F354,"")</f>
        <v>#ERROR!</v>
      </c>
      <c r="H354" s="283" t="str">
        <f>IFERROR(E354-G354,"")</f>
        <v>#ERROR!</v>
      </c>
      <c r="I354" s="235"/>
      <c r="J354" s="240"/>
    </row>
    <row r="355">
      <c r="A355" s="301"/>
      <c r="B355" s="227"/>
      <c r="C355" s="227"/>
      <c r="D355" s="227"/>
      <c r="E355" s="227"/>
      <c r="F355" s="227"/>
      <c r="G355" s="281" t="str">
        <f>IFERROR(E355*F355,"")</f>
        <v>#ERROR!</v>
      </c>
      <c r="H355" s="281" t="str">
        <f>IFERROR(E355-G355,"")</f>
        <v>#ERROR!</v>
      </c>
      <c r="I355" s="227"/>
      <c r="J355" s="233"/>
    </row>
    <row r="356">
      <c r="A356" s="303"/>
      <c r="B356" s="235"/>
      <c r="C356" s="235"/>
      <c r="D356" s="235"/>
      <c r="E356" s="235"/>
      <c r="F356" s="235"/>
      <c r="G356" s="283" t="str">
        <f>IFERROR(E356*F356,"")</f>
        <v>#ERROR!</v>
      </c>
      <c r="H356" s="283" t="str">
        <f>IFERROR(E356-G356,"")</f>
        <v>#ERROR!</v>
      </c>
      <c r="I356" s="235"/>
      <c r="J356" s="240"/>
    </row>
    <row r="357">
      <c r="A357" s="301"/>
      <c r="B357" s="227"/>
      <c r="C357" s="227"/>
      <c r="D357" s="227"/>
      <c r="E357" s="227"/>
      <c r="F357" s="227"/>
      <c r="G357" s="281" t="str">
        <f>IFERROR(E357*F357,"")</f>
        <v>#ERROR!</v>
      </c>
      <c r="H357" s="281" t="str">
        <f>IFERROR(E357-G357,"")</f>
        <v>#ERROR!</v>
      </c>
      <c r="I357" s="227"/>
      <c r="J357" s="233"/>
    </row>
    <row r="358">
      <c r="A358" s="303"/>
      <c r="B358" s="235"/>
      <c r="C358" s="235"/>
      <c r="D358" s="235"/>
      <c r="E358" s="235"/>
      <c r="F358" s="235"/>
      <c r="G358" s="283" t="str">
        <f>IFERROR(E358*F358,"")</f>
        <v>#ERROR!</v>
      </c>
      <c r="H358" s="283" t="str">
        <f>IFERROR(E358-G358,"")</f>
        <v>#ERROR!</v>
      </c>
      <c r="I358" s="235"/>
      <c r="J358" s="240"/>
    </row>
    <row r="359">
      <c r="A359" s="301"/>
      <c r="B359" s="227"/>
      <c r="C359" s="227"/>
      <c r="D359" s="227"/>
      <c r="E359" s="227"/>
      <c r="F359" s="227"/>
      <c r="G359" s="281" t="str">
        <f>IFERROR(E359*F359,"")</f>
        <v>#ERROR!</v>
      </c>
      <c r="H359" s="281" t="str">
        <f>IFERROR(E359-G359,"")</f>
        <v>#ERROR!</v>
      </c>
      <c r="I359" s="227"/>
      <c r="J359" s="233"/>
    </row>
    <row r="360">
      <c r="A360" s="303"/>
      <c r="B360" s="235"/>
      <c r="C360" s="235"/>
      <c r="D360" s="235"/>
      <c r="E360" s="235"/>
      <c r="F360" s="235"/>
      <c r="G360" s="283" t="str">
        <f>IFERROR(E360*F360,"")</f>
        <v>#ERROR!</v>
      </c>
      <c r="H360" s="283" t="str">
        <f>IFERROR(E360-G360,"")</f>
        <v>#ERROR!</v>
      </c>
      <c r="I360" s="235"/>
      <c r="J360" s="240"/>
    </row>
    <row r="361">
      <c r="A361" s="301"/>
      <c r="B361" s="227"/>
      <c r="C361" s="227"/>
      <c r="D361" s="227"/>
      <c r="E361" s="227"/>
      <c r="F361" s="227"/>
      <c r="G361" s="281" t="str">
        <f>IFERROR(E361*F361,"")</f>
        <v>#ERROR!</v>
      </c>
      <c r="H361" s="281" t="str">
        <f>IFERROR(E361-G361,"")</f>
        <v>#ERROR!</v>
      </c>
      <c r="I361" s="227"/>
      <c r="J361" s="233"/>
    </row>
    <row r="362">
      <c r="A362" s="303"/>
      <c r="B362" s="235"/>
      <c r="C362" s="235"/>
      <c r="D362" s="235"/>
      <c r="E362" s="235"/>
      <c r="F362" s="235"/>
      <c r="G362" s="283" t="str">
        <f>IFERROR(E362*F362,"")</f>
        <v>#ERROR!</v>
      </c>
      <c r="H362" s="283" t="str">
        <f>IFERROR(E362-G362,"")</f>
        <v>#ERROR!</v>
      </c>
      <c r="I362" s="235"/>
      <c r="J362" s="240"/>
    </row>
    <row r="363">
      <c r="A363" s="301"/>
      <c r="B363" s="227"/>
      <c r="C363" s="227"/>
      <c r="D363" s="227"/>
      <c r="E363" s="227"/>
      <c r="F363" s="227"/>
      <c r="G363" s="281" t="str">
        <f>IFERROR(E363*F363,"")</f>
        <v>#ERROR!</v>
      </c>
      <c r="H363" s="281" t="str">
        <f>IFERROR(E363-G363,"")</f>
        <v>#ERROR!</v>
      </c>
      <c r="I363" s="227"/>
      <c r="J363" s="233"/>
    </row>
    <row r="364">
      <c r="A364" s="303"/>
      <c r="B364" s="235"/>
      <c r="C364" s="235"/>
      <c r="D364" s="235"/>
      <c r="E364" s="235"/>
      <c r="F364" s="235"/>
      <c r="G364" s="283" t="str">
        <f>IFERROR(E364*F364,"")</f>
        <v>#ERROR!</v>
      </c>
      <c r="H364" s="283" t="str">
        <f>IFERROR(E364-G364,"")</f>
        <v>#ERROR!</v>
      </c>
      <c r="I364" s="235"/>
      <c r="J364" s="240"/>
    </row>
    <row r="365">
      <c r="A365" s="301"/>
      <c r="B365" s="227"/>
      <c r="C365" s="227"/>
      <c r="D365" s="227"/>
      <c r="E365" s="227"/>
      <c r="F365" s="227"/>
      <c r="G365" s="281" t="str">
        <f>IFERROR(E365*F365,"")</f>
        <v>#ERROR!</v>
      </c>
      <c r="H365" s="281" t="str">
        <f>IFERROR(E365-G365,"")</f>
        <v>#ERROR!</v>
      </c>
      <c r="I365" s="227"/>
      <c r="J365" s="233"/>
    </row>
    <row r="366">
      <c r="A366" s="303"/>
      <c r="B366" s="235"/>
      <c r="C366" s="235"/>
      <c r="D366" s="235"/>
      <c r="E366" s="235"/>
      <c r="F366" s="235"/>
      <c r="G366" s="283" t="str">
        <f>IFERROR(E366*F366,"")</f>
        <v>#ERROR!</v>
      </c>
      <c r="H366" s="283" t="str">
        <f>IFERROR(E366-G366,"")</f>
        <v>#ERROR!</v>
      </c>
      <c r="I366" s="235"/>
      <c r="J366" s="240"/>
    </row>
    <row r="367">
      <c r="A367" s="301"/>
      <c r="B367" s="227"/>
      <c r="C367" s="227"/>
      <c r="D367" s="227"/>
      <c r="E367" s="227"/>
      <c r="F367" s="227"/>
      <c r="G367" s="281" t="str">
        <f>IFERROR(E367*F367,"")</f>
        <v>#ERROR!</v>
      </c>
      <c r="H367" s="281" t="str">
        <f>IFERROR(E367-G367,"")</f>
        <v>#ERROR!</v>
      </c>
      <c r="I367" s="227"/>
      <c r="J367" s="233"/>
    </row>
    <row r="368">
      <c r="A368" s="303"/>
      <c r="B368" s="235"/>
      <c r="C368" s="235"/>
      <c r="D368" s="235"/>
      <c r="E368" s="235"/>
      <c r="F368" s="235"/>
      <c r="G368" s="283" t="str">
        <f>IFERROR(E368*F368,"")</f>
        <v>#ERROR!</v>
      </c>
      <c r="H368" s="283" t="str">
        <f>IFERROR(E368-G368,"")</f>
        <v>#ERROR!</v>
      </c>
      <c r="I368" s="235"/>
      <c r="J368" s="240"/>
    </row>
    <row r="369">
      <c r="A369" s="301"/>
      <c r="B369" s="227"/>
      <c r="C369" s="227"/>
      <c r="D369" s="227"/>
      <c r="E369" s="227"/>
      <c r="F369" s="227"/>
      <c r="G369" s="281" t="str">
        <f>IFERROR(E369*F369,"")</f>
        <v>#ERROR!</v>
      </c>
      <c r="H369" s="281" t="str">
        <f>IFERROR(E369-G369,"")</f>
        <v>#ERROR!</v>
      </c>
      <c r="I369" s="227"/>
      <c r="J369" s="233"/>
    </row>
    <row r="370">
      <c r="A370" s="303"/>
      <c r="B370" s="235"/>
      <c r="C370" s="235"/>
      <c r="D370" s="235"/>
      <c r="E370" s="235"/>
      <c r="F370" s="235"/>
      <c r="G370" s="283" t="str">
        <f>IFERROR(E370*F370,"")</f>
        <v>#ERROR!</v>
      </c>
      <c r="H370" s="283" t="str">
        <f>IFERROR(E370-G370,"")</f>
        <v>#ERROR!</v>
      </c>
      <c r="I370" s="235"/>
      <c r="J370" s="240"/>
    </row>
    <row r="371">
      <c r="A371" s="301"/>
      <c r="B371" s="227"/>
      <c r="C371" s="227"/>
      <c r="D371" s="227"/>
      <c r="E371" s="227"/>
      <c r="F371" s="227"/>
      <c r="G371" s="281" t="str">
        <f>IFERROR(E371*F371,"")</f>
        <v>#ERROR!</v>
      </c>
      <c r="H371" s="281" t="str">
        <f>IFERROR(E371-G371,"")</f>
        <v>#ERROR!</v>
      </c>
      <c r="I371" s="227"/>
      <c r="J371" s="233"/>
    </row>
    <row r="372">
      <c r="A372" s="303"/>
      <c r="B372" s="235"/>
      <c r="C372" s="235"/>
      <c r="D372" s="235"/>
      <c r="E372" s="235"/>
      <c r="F372" s="235"/>
      <c r="G372" s="283" t="str">
        <f>IFERROR(E372*F372,"")</f>
        <v>#ERROR!</v>
      </c>
      <c r="H372" s="283" t="str">
        <f>IFERROR(E372-G372,"")</f>
        <v>#ERROR!</v>
      </c>
      <c r="I372" s="235"/>
      <c r="J372" s="240"/>
    </row>
    <row r="373">
      <c r="A373" s="301"/>
      <c r="B373" s="227"/>
      <c r="C373" s="227"/>
      <c r="D373" s="227"/>
      <c r="E373" s="227"/>
      <c r="F373" s="227"/>
      <c r="G373" s="281" t="str">
        <f>IFERROR(E373*F373,"")</f>
        <v>#ERROR!</v>
      </c>
      <c r="H373" s="281" t="str">
        <f>IFERROR(E373-G373,"")</f>
        <v>#ERROR!</v>
      </c>
      <c r="I373" s="227"/>
      <c r="J373" s="233"/>
    </row>
    <row r="374">
      <c r="A374" s="303"/>
      <c r="B374" s="235"/>
      <c r="C374" s="235"/>
      <c r="D374" s="235"/>
      <c r="E374" s="235"/>
      <c r="F374" s="235"/>
      <c r="G374" s="283" t="str">
        <f>IFERROR(E374*F374,"")</f>
        <v>#ERROR!</v>
      </c>
      <c r="H374" s="283" t="str">
        <f>IFERROR(E374-G374,"")</f>
        <v>#ERROR!</v>
      </c>
      <c r="I374" s="235"/>
      <c r="J374" s="240"/>
    </row>
    <row r="375">
      <c r="A375" s="301"/>
      <c r="B375" s="227"/>
      <c r="C375" s="227"/>
      <c r="D375" s="227"/>
      <c r="E375" s="227"/>
      <c r="F375" s="227"/>
      <c r="G375" s="281" t="str">
        <f>IFERROR(E375*F375,"")</f>
        <v>#ERROR!</v>
      </c>
      <c r="H375" s="281" t="str">
        <f>IFERROR(E375-G375,"")</f>
        <v>#ERROR!</v>
      </c>
      <c r="I375" s="227"/>
      <c r="J375" s="233"/>
    </row>
    <row r="376">
      <c r="A376" s="303"/>
      <c r="B376" s="235"/>
      <c r="C376" s="235"/>
      <c r="D376" s="235"/>
      <c r="E376" s="235"/>
      <c r="F376" s="235"/>
      <c r="G376" s="283" t="str">
        <f>IFERROR(E376*F376,"")</f>
        <v>#ERROR!</v>
      </c>
      <c r="H376" s="283" t="str">
        <f>IFERROR(E376-G376,"")</f>
        <v>#ERROR!</v>
      </c>
      <c r="I376" s="235"/>
      <c r="J376" s="240"/>
    </row>
    <row r="377">
      <c r="A377" s="301"/>
      <c r="B377" s="227"/>
      <c r="C377" s="227"/>
      <c r="D377" s="227"/>
      <c r="E377" s="227"/>
      <c r="F377" s="227"/>
      <c r="G377" s="281" t="str">
        <f>IFERROR(E377*F377,"")</f>
        <v>#ERROR!</v>
      </c>
      <c r="H377" s="281" t="str">
        <f>IFERROR(E377-G377,"")</f>
        <v>#ERROR!</v>
      </c>
      <c r="I377" s="227"/>
      <c r="J377" s="233"/>
    </row>
    <row r="378">
      <c r="A378" s="303"/>
      <c r="B378" s="235"/>
      <c r="C378" s="235"/>
      <c r="D378" s="235"/>
      <c r="E378" s="235"/>
      <c r="F378" s="235"/>
      <c r="G378" s="283" t="str">
        <f>IFERROR(E378*F378,"")</f>
        <v>#ERROR!</v>
      </c>
      <c r="H378" s="283" t="str">
        <f>IFERROR(E378-G378,"")</f>
        <v>#ERROR!</v>
      </c>
      <c r="I378" s="235"/>
      <c r="J378" s="240"/>
    </row>
    <row r="379">
      <c r="A379" s="301"/>
      <c r="B379" s="227"/>
      <c r="C379" s="227"/>
      <c r="D379" s="227"/>
      <c r="E379" s="227"/>
      <c r="F379" s="227"/>
      <c r="G379" s="281" t="str">
        <f>IFERROR(E379*F379,"")</f>
        <v>#ERROR!</v>
      </c>
      <c r="H379" s="281" t="str">
        <f>IFERROR(E379-G379,"")</f>
        <v>#ERROR!</v>
      </c>
      <c r="I379" s="227"/>
      <c r="J379" s="233"/>
    </row>
    <row r="380">
      <c r="A380" s="303"/>
      <c r="B380" s="235"/>
      <c r="C380" s="235"/>
      <c r="D380" s="235"/>
      <c r="E380" s="235"/>
      <c r="F380" s="235"/>
      <c r="G380" s="283" t="str">
        <f>IFERROR(E380*F380,"")</f>
        <v>#ERROR!</v>
      </c>
      <c r="H380" s="283" t="str">
        <f>IFERROR(E380-G380,"")</f>
        <v>#ERROR!</v>
      </c>
      <c r="I380" s="235"/>
      <c r="J380" s="240"/>
    </row>
    <row r="381">
      <c r="A381" s="301"/>
      <c r="B381" s="227"/>
      <c r="C381" s="227"/>
      <c r="D381" s="227"/>
      <c r="E381" s="227"/>
      <c r="F381" s="227"/>
      <c r="G381" s="281" t="str">
        <f>IFERROR(E381*F381,"")</f>
        <v>#ERROR!</v>
      </c>
      <c r="H381" s="281" t="str">
        <f>IFERROR(E381-G381,"")</f>
        <v>#ERROR!</v>
      </c>
      <c r="I381" s="227"/>
      <c r="J381" s="233"/>
    </row>
    <row r="382">
      <c r="A382" s="303"/>
      <c r="B382" s="235"/>
      <c r="C382" s="235"/>
      <c r="D382" s="235"/>
      <c r="E382" s="235"/>
      <c r="F382" s="235"/>
      <c r="G382" s="283" t="str">
        <f>IFERROR(E382*F382,"")</f>
        <v>#ERROR!</v>
      </c>
      <c r="H382" s="283" t="str">
        <f>IFERROR(E382-G382,"")</f>
        <v>#ERROR!</v>
      </c>
      <c r="I382" s="235"/>
      <c r="J382" s="240"/>
    </row>
    <row r="383">
      <c r="A383" s="301"/>
      <c r="B383" s="227"/>
      <c r="C383" s="227"/>
      <c r="D383" s="227"/>
      <c r="E383" s="227"/>
      <c r="F383" s="227"/>
      <c r="G383" s="281" t="str">
        <f>IFERROR(E383*F383,"")</f>
        <v>#ERROR!</v>
      </c>
      <c r="H383" s="281" t="str">
        <f>IFERROR(E383-G383,"")</f>
        <v>#ERROR!</v>
      </c>
      <c r="I383" s="227"/>
      <c r="J383" s="233"/>
    </row>
    <row r="384">
      <c r="A384" s="303"/>
      <c r="B384" s="235"/>
      <c r="C384" s="235"/>
      <c r="D384" s="235"/>
      <c r="E384" s="235"/>
      <c r="F384" s="235"/>
      <c r="G384" s="283" t="str">
        <f>IFERROR(E384*F384,"")</f>
        <v>#ERROR!</v>
      </c>
      <c r="H384" s="283" t="str">
        <f>IFERROR(E384-G384,"")</f>
        <v>#ERROR!</v>
      </c>
      <c r="I384" s="235"/>
      <c r="J384" s="240"/>
    </row>
    <row r="385">
      <c r="A385" s="301"/>
      <c r="B385" s="227"/>
      <c r="C385" s="227"/>
      <c r="D385" s="227"/>
      <c r="E385" s="227"/>
      <c r="F385" s="227"/>
      <c r="G385" s="281" t="str">
        <f>IFERROR(E385*F385,"")</f>
        <v>#ERROR!</v>
      </c>
      <c r="H385" s="281" t="str">
        <f>IFERROR(E385-G385,"")</f>
        <v>#ERROR!</v>
      </c>
      <c r="I385" s="227"/>
      <c r="J385" s="233"/>
    </row>
    <row r="386">
      <c r="A386" s="303"/>
      <c r="B386" s="235"/>
      <c r="C386" s="235"/>
      <c r="D386" s="235"/>
      <c r="E386" s="235"/>
      <c r="F386" s="235"/>
      <c r="G386" s="283" t="str">
        <f>IFERROR(E386*F386,"")</f>
        <v>#ERROR!</v>
      </c>
      <c r="H386" s="283" t="str">
        <f>IFERROR(E386-G386,"")</f>
        <v>#ERROR!</v>
      </c>
      <c r="I386" s="235"/>
      <c r="J386" s="240"/>
    </row>
    <row r="387">
      <c r="A387" s="301"/>
      <c r="B387" s="227"/>
      <c r="C387" s="227"/>
      <c r="D387" s="227"/>
      <c r="E387" s="227"/>
      <c r="F387" s="227"/>
      <c r="G387" s="281" t="str">
        <f>IFERROR(E387*F387,"")</f>
        <v>#ERROR!</v>
      </c>
      <c r="H387" s="281" t="str">
        <f>IFERROR(E387-G387,"")</f>
        <v>#ERROR!</v>
      </c>
      <c r="I387" s="227"/>
      <c r="J387" s="233"/>
    </row>
    <row r="388">
      <c r="A388" s="303"/>
      <c r="B388" s="235"/>
      <c r="C388" s="235"/>
      <c r="D388" s="235"/>
      <c r="E388" s="235"/>
      <c r="F388" s="235"/>
      <c r="G388" s="283" t="str">
        <f>IFERROR(E388*F388,"")</f>
        <v>#ERROR!</v>
      </c>
      <c r="H388" s="283" t="str">
        <f>IFERROR(E388-G388,"")</f>
        <v>#ERROR!</v>
      </c>
      <c r="I388" s="235"/>
      <c r="J388" s="240"/>
    </row>
    <row r="389">
      <c r="A389" s="301"/>
      <c r="B389" s="227"/>
      <c r="C389" s="227"/>
      <c r="D389" s="227"/>
      <c r="E389" s="227"/>
      <c r="F389" s="227"/>
      <c r="G389" s="281" t="str">
        <f>IFERROR(E389*F389,"")</f>
        <v>#ERROR!</v>
      </c>
      <c r="H389" s="281" t="str">
        <f>IFERROR(E389-G389,"")</f>
        <v>#ERROR!</v>
      </c>
      <c r="I389" s="227"/>
      <c r="J389" s="233"/>
    </row>
    <row r="390">
      <c r="A390" s="303"/>
      <c r="B390" s="235"/>
      <c r="C390" s="235"/>
      <c r="D390" s="235"/>
      <c r="E390" s="235"/>
      <c r="F390" s="235"/>
      <c r="G390" s="283" t="str">
        <f>IFERROR(E390*F390,"")</f>
        <v>#ERROR!</v>
      </c>
      <c r="H390" s="283" t="str">
        <f>IFERROR(E390-G390,"")</f>
        <v>#ERROR!</v>
      </c>
      <c r="I390" s="235"/>
      <c r="J390" s="240"/>
    </row>
    <row r="391">
      <c r="A391" s="301"/>
      <c r="B391" s="227"/>
      <c r="C391" s="227"/>
      <c r="D391" s="227"/>
      <c r="E391" s="227"/>
      <c r="F391" s="227"/>
      <c r="G391" s="281" t="str">
        <f>IFERROR(E391*F391,"")</f>
        <v>#ERROR!</v>
      </c>
      <c r="H391" s="281" t="str">
        <f>IFERROR(E391-G391,"")</f>
        <v>#ERROR!</v>
      </c>
      <c r="I391" s="227"/>
      <c r="J391" s="233"/>
    </row>
    <row r="392">
      <c r="A392" s="303"/>
      <c r="B392" s="235"/>
      <c r="C392" s="235"/>
      <c r="D392" s="235"/>
      <c r="E392" s="235"/>
      <c r="F392" s="235"/>
      <c r="G392" s="283" t="str">
        <f>IFERROR(E392*F392,"")</f>
        <v>#ERROR!</v>
      </c>
      <c r="H392" s="283" t="str">
        <f>IFERROR(E392-G392,"")</f>
        <v>#ERROR!</v>
      </c>
      <c r="I392" s="235"/>
      <c r="J392" s="240"/>
    </row>
    <row r="393">
      <c r="A393" s="301"/>
      <c r="B393" s="227"/>
      <c r="C393" s="227"/>
      <c r="D393" s="227"/>
      <c r="E393" s="227"/>
      <c r="F393" s="227"/>
      <c r="G393" s="281" t="str">
        <f>IFERROR(E393*F393,"")</f>
        <v>#ERROR!</v>
      </c>
      <c r="H393" s="281" t="str">
        <f>IFERROR(E393-G393,"")</f>
        <v>#ERROR!</v>
      </c>
      <c r="I393" s="227"/>
      <c r="J393" s="233"/>
    </row>
    <row r="394">
      <c r="A394" s="303"/>
      <c r="B394" s="235"/>
      <c r="C394" s="235"/>
      <c r="D394" s="235"/>
      <c r="E394" s="235"/>
      <c r="F394" s="235"/>
      <c r="G394" s="283" t="str">
        <f>IFERROR(E394*F394,"")</f>
        <v>#ERROR!</v>
      </c>
      <c r="H394" s="283" t="str">
        <f>IFERROR(E394-G394,"")</f>
        <v>#ERROR!</v>
      </c>
      <c r="I394" s="235"/>
      <c r="J394" s="240"/>
    </row>
    <row r="395">
      <c r="A395" s="301"/>
      <c r="B395" s="227"/>
      <c r="C395" s="227"/>
      <c r="D395" s="227"/>
      <c r="E395" s="227"/>
      <c r="F395" s="227"/>
      <c r="G395" s="281" t="str">
        <f>IFERROR(E395*F395,"")</f>
        <v>#ERROR!</v>
      </c>
      <c r="H395" s="281" t="str">
        <f>IFERROR(E395-G395,"")</f>
        <v>#ERROR!</v>
      </c>
      <c r="I395" s="227"/>
      <c r="J395" s="233"/>
    </row>
    <row r="396">
      <c r="A396" s="303"/>
      <c r="B396" s="235"/>
      <c r="C396" s="235"/>
      <c r="D396" s="235"/>
      <c r="E396" s="235"/>
      <c r="F396" s="235"/>
      <c r="G396" s="283" t="str">
        <f>IFERROR(E396*F396,"")</f>
        <v>#ERROR!</v>
      </c>
      <c r="H396" s="283" t="str">
        <f>IFERROR(E396-G396,"")</f>
        <v>#ERROR!</v>
      </c>
      <c r="I396" s="235"/>
      <c r="J396" s="240"/>
    </row>
    <row r="397">
      <c r="A397" s="301"/>
      <c r="B397" s="227"/>
      <c r="C397" s="227"/>
      <c r="D397" s="227"/>
      <c r="E397" s="227"/>
      <c r="F397" s="227"/>
      <c r="G397" s="281" t="str">
        <f>IFERROR(E397*F397,"")</f>
        <v>#ERROR!</v>
      </c>
      <c r="H397" s="281" t="str">
        <f>IFERROR(E397-G397,"")</f>
        <v>#ERROR!</v>
      </c>
      <c r="I397" s="227"/>
      <c r="J397" s="233"/>
    </row>
    <row r="398">
      <c r="A398" s="303"/>
      <c r="B398" s="235"/>
      <c r="C398" s="235"/>
      <c r="D398" s="235"/>
      <c r="E398" s="235"/>
      <c r="F398" s="235"/>
      <c r="G398" s="283" t="str">
        <f>IFERROR(E398*F398,"")</f>
        <v>#ERROR!</v>
      </c>
      <c r="H398" s="283" t="str">
        <f>IFERROR(E398-G398,"")</f>
        <v>#ERROR!</v>
      </c>
      <c r="I398" s="235"/>
      <c r="J398" s="240"/>
    </row>
    <row r="399">
      <c r="A399" s="301"/>
      <c r="B399" s="227"/>
      <c r="C399" s="227"/>
      <c r="D399" s="227"/>
      <c r="E399" s="227"/>
      <c r="F399" s="227"/>
      <c r="G399" s="281" t="str">
        <f>IFERROR(E399*F399,"")</f>
        <v>#ERROR!</v>
      </c>
      <c r="H399" s="281" t="str">
        <f>IFERROR(E399-G399,"")</f>
        <v>#ERROR!</v>
      </c>
      <c r="I399" s="227"/>
      <c r="J399" s="233"/>
    </row>
    <row r="400">
      <c r="A400" s="303"/>
      <c r="B400" s="235"/>
      <c r="C400" s="235"/>
      <c r="D400" s="235"/>
      <c r="E400" s="235"/>
      <c r="F400" s="235"/>
      <c r="G400" s="283" t="str">
        <f>IFERROR(E400*F400,"")</f>
        <v>#ERROR!</v>
      </c>
      <c r="H400" s="283" t="str">
        <f>IFERROR(E400-G400,"")</f>
        <v>#ERROR!</v>
      </c>
      <c r="I400" s="235"/>
      <c r="J400" s="240"/>
    </row>
    <row r="401">
      <c r="A401" s="301"/>
      <c r="B401" s="227"/>
      <c r="C401" s="227"/>
      <c r="D401" s="227"/>
      <c r="E401" s="227"/>
      <c r="F401" s="227"/>
      <c r="G401" s="281" t="str">
        <f>IFERROR(E401*F401,"")</f>
        <v>#ERROR!</v>
      </c>
      <c r="H401" s="281" t="str">
        <f>IFERROR(E401-G401,"")</f>
        <v>#ERROR!</v>
      </c>
      <c r="I401" s="227"/>
      <c r="J401" s="233"/>
    </row>
    <row r="402">
      <c r="A402" s="303"/>
      <c r="B402" s="235"/>
      <c r="C402" s="235"/>
      <c r="D402" s="235"/>
      <c r="E402" s="235"/>
      <c r="F402" s="235"/>
      <c r="G402" s="283" t="str">
        <f>IFERROR(E402*F402,"")</f>
        <v>#ERROR!</v>
      </c>
      <c r="H402" s="283" t="str">
        <f>IFERROR(E402-G402,"")</f>
        <v>#ERROR!</v>
      </c>
      <c r="I402" s="235"/>
      <c r="J402" s="240"/>
    </row>
    <row r="403">
      <c r="A403" s="301"/>
      <c r="B403" s="227"/>
      <c r="C403" s="227"/>
      <c r="D403" s="227"/>
      <c r="E403" s="227"/>
      <c r="F403" s="227"/>
      <c r="G403" s="281" t="str">
        <f>IFERROR(E403*F403,"")</f>
        <v>#ERROR!</v>
      </c>
      <c r="H403" s="281" t="str">
        <f>IFERROR(E403-G403,"")</f>
        <v>#ERROR!</v>
      </c>
      <c r="I403" s="227"/>
      <c r="J403" s="233"/>
    </row>
    <row r="404">
      <c r="A404" s="303"/>
      <c r="B404" s="235"/>
      <c r="C404" s="235"/>
      <c r="D404" s="235"/>
      <c r="E404" s="235"/>
      <c r="F404" s="235"/>
      <c r="G404" s="283" t="str">
        <f>IFERROR(E404*F404,"")</f>
        <v>#ERROR!</v>
      </c>
      <c r="H404" s="283" t="str">
        <f>IFERROR(E404-G404,"")</f>
        <v>#ERROR!</v>
      </c>
      <c r="I404" s="235"/>
      <c r="J404" s="240"/>
    </row>
    <row r="405">
      <c r="A405" s="301"/>
      <c r="B405" s="227"/>
      <c r="C405" s="227"/>
      <c r="D405" s="227"/>
      <c r="E405" s="227"/>
      <c r="F405" s="227"/>
      <c r="G405" s="281" t="str">
        <f>IFERROR(E405*F405,"")</f>
        <v>#ERROR!</v>
      </c>
      <c r="H405" s="281" t="str">
        <f>IFERROR(E405-G405,"")</f>
        <v>#ERROR!</v>
      </c>
      <c r="I405" s="227"/>
      <c r="J405" s="233"/>
    </row>
    <row r="406">
      <c r="A406" s="303"/>
      <c r="B406" s="235"/>
      <c r="C406" s="235"/>
      <c r="D406" s="235"/>
      <c r="E406" s="235"/>
      <c r="F406" s="235"/>
      <c r="G406" s="283" t="str">
        <f>IFERROR(E406*F406,"")</f>
        <v>#ERROR!</v>
      </c>
      <c r="H406" s="283" t="str">
        <f>IFERROR(E406-G406,"")</f>
        <v>#ERROR!</v>
      </c>
      <c r="I406" s="235"/>
      <c r="J406" s="240"/>
    </row>
    <row r="407">
      <c r="A407" s="301"/>
      <c r="B407" s="227"/>
      <c r="C407" s="227"/>
      <c r="D407" s="227"/>
      <c r="E407" s="227"/>
      <c r="F407" s="227"/>
      <c r="G407" s="281" t="str">
        <f>IFERROR(E407*F407,"")</f>
        <v>#ERROR!</v>
      </c>
      <c r="H407" s="281" t="str">
        <f>IFERROR(E407-G407,"")</f>
        <v>#ERROR!</v>
      </c>
      <c r="I407" s="227"/>
      <c r="J407" s="233"/>
    </row>
    <row r="408">
      <c r="A408" s="303"/>
      <c r="B408" s="235"/>
      <c r="C408" s="235"/>
      <c r="D408" s="235"/>
      <c r="E408" s="235"/>
      <c r="F408" s="235"/>
      <c r="G408" s="283" t="str">
        <f>IFERROR(E408*F408,"")</f>
        <v>#ERROR!</v>
      </c>
      <c r="H408" s="283" t="str">
        <f>IFERROR(E408-G408,"")</f>
        <v>#ERROR!</v>
      </c>
      <c r="I408" s="235"/>
      <c r="J408" s="240"/>
    </row>
    <row r="409">
      <c r="A409" s="301"/>
      <c r="B409" s="227"/>
      <c r="C409" s="227"/>
      <c r="D409" s="227"/>
      <c r="E409" s="227"/>
      <c r="F409" s="227"/>
      <c r="G409" s="281" t="str">
        <f>IFERROR(E409*F409,"")</f>
        <v>#ERROR!</v>
      </c>
      <c r="H409" s="281" t="str">
        <f>IFERROR(E409-G409,"")</f>
        <v>#ERROR!</v>
      </c>
      <c r="I409" s="227"/>
      <c r="J409" s="233"/>
    </row>
    <row r="410">
      <c r="A410" s="303"/>
      <c r="B410" s="235"/>
      <c r="C410" s="235"/>
      <c r="D410" s="235"/>
      <c r="E410" s="235"/>
      <c r="F410" s="235"/>
      <c r="G410" s="283" t="str">
        <f>IFERROR(E410*F410,"")</f>
        <v>#ERROR!</v>
      </c>
      <c r="H410" s="283" t="str">
        <f>IFERROR(E410-G410,"")</f>
        <v>#ERROR!</v>
      </c>
      <c r="I410" s="235"/>
      <c r="J410" s="240"/>
    </row>
    <row r="411">
      <c r="A411" s="301"/>
      <c r="B411" s="227"/>
      <c r="C411" s="227"/>
      <c r="D411" s="227"/>
      <c r="E411" s="227"/>
      <c r="F411" s="227"/>
      <c r="G411" s="281" t="str">
        <f>IFERROR(E411*F411,"")</f>
        <v>#ERROR!</v>
      </c>
      <c r="H411" s="281" t="str">
        <f>IFERROR(E411-G411,"")</f>
        <v>#ERROR!</v>
      </c>
      <c r="I411" s="227"/>
      <c r="J411" s="233"/>
    </row>
    <row r="412">
      <c r="A412" s="303"/>
      <c r="B412" s="235"/>
      <c r="C412" s="235"/>
      <c r="D412" s="235"/>
      <c r="E412" s="235"/>
      <c r="F412" s="235"/>
      <c r="G412" s="283" t="str">
        <f>IFERROR(E412*F412,"")</f>
        <v>#ERROR!</v>
      </c>
      <c r="H412" s="283" t="str">
        <f>IFERROR(E412-G412,"")</f>
        <v>#ERROR!</v>
      </c>
      <c r="I412" s="235"/>
      <c r="J412" s="240"/>
    </row>
    <row r="413">
      <c r="A413" s="301"/>
      <c r="B413" s="227"/>
      <c r="C413" s="227"/>
      <c r="D413" s="227"/>
      <c r="E413" s="227"/>
      <c r="F413" s="227"/>
      <c r="G413" s="281" t="str">
        <f>IFERROR(E413*F413,"")</f>
        <v>#ERROR!</v>
      </c>
      <c r="H413" s="281" t="str">
        <f>IFERROR(E413-G413,"")</f>
        <v>#ERROR!</v>
      </c>
      <c r="I413" s="227"/>
      <c r="J413" s="233"/>
    </row>
    <row r="414">
      <c r="A414" s="303"/>
      <c r="B414" s="235"/>
      <c r="C414" s="235"/>
      <c r="D414" s="235"/>
      <c r="E414" s="235"/>
      <c r="F414" s="235"/>
      <c r="G414" s="283" t="str">
        <f>IFERROR(E414*F414,"")</f>
        <v>#ERROR!</v>
      </c>
      <c r="H414" s="283" t="str">
        <f>IFERROR(E414-G414,"")</f>
        <v>#ERROR!</v>
      </c>
      <c r="I414" s="235"/>
      <c r="J414" s="240"/>
    </row>
    <row r="415">
      <c r="A415" s="301"/>
      <c r="B415" s="227"/>
      <c r="C415" s="227"/>
      <c r="D415" s="227"/>
      <c r="E415" s="227"/>
      <c r="F415" s="227"/>
      <c r="G415" s="281" t="str">
        <f>IFERROR(E415*F415,"")</f>
        <v>#ERROR!</v>
      </c>
      <c r="H415" s="281" t="str">
        <f>IFERROR(E415-G415,"")</f>
        <v>#ERROR!</v>
      </c>
      <c r="I415" s="227"/>
      <c r="J415" s="233"/>
    </row>
    <row r="416">
      <c r="A416" s="303"/>
      <c r="B416" s="235"/>
      <c r="C416" s="235"/>
      <c r="D416" s="235"/>
      <c r="E416" s="235"/>
      <c r="F416" s="235"/>
      <c r="G416" s="283" t="str">
        <f>IFERROR(E416*F416,"")</f>
        <v>#ERROR!</v>
      </c>
      <c r="H416" s="283" t="str">
        <f>IFERROR(E416-G416,"")</f>
        <v>#ERROR!</v>
      </c>
      <c r="I416" s="235"/>
      <c r="J416" s="240"/>
    </row>
    <row r="417">
      <c r="A417" s="301"/>
      <c r="B417" s="227"/>
      <c r="C417" s="227"/>
      <c r="D417" s="227"/>
      <c r="E417" s="227"/>
      <c r="F417" s="227"/>
      <c r="G417" s="281" t="str">
        <f>IFERROR(E417*F417,"")</f>
        <v>#ERROR!</v>
      </c>
      <c r="H417" s="281" t="str">
        <f>IFERROR(E417-G417,"")</f>
        <v>#ERROR!</v>
      </c>
      <c r="I417" s="227"/>
      <c r="J417" s="233"/>
    </row>
    <row r="418">
      <c r="A418" s="303"/>
      <c r="B418" s="235"/>
      <c r="C418" s="235"/>
      <c r="D418" s="235"/>
      <c r="E418" s="235"/>
      <c r="F418" s="235"/>
      <c r="G418" s="283" t="str">
        <f>IFERROR(E418*F418,"")</f>
        <v>#ERROR!</v>
      </c>
      <c r="H418" s="283" t="str">
        <f>IFERROR(E418-G418,"")</f>
        <v>#ERROR!</v>
      </c>
      <c r="I418" s="235"/>
      <c r="J418" s="240"/>
    </row>
    <row r="419">
      <c r="A419" s="301"/>
      <c r="B419" s="227"/>
      <c r="C419" s="227"/>
      <c r="D419" s="227"/>
      <c r="E419" s="227"/>
      <c r="F419" s="227"/>
      <c r="G419" s="281" t="str">
        <f>IFERROR(E419*F419,"")</f>
        <v>#ERROR!</v>
      </c>
      <c r="H419" s="281" t="str">
        <f>IFERROR(E419-G419,"")</f>
        <v>#ERROR!</v>
      </c>
      <c r="I419" s="227"/>
      <c r="J419" s="233"/>
    </row>
    <row r="420">
      <c r="A420" s="303"/>
      <c r="B420" s="235"/>
      <c r="C420" s="235"/>
      <c r="D420" s="235"/>
      <c r="E420" s="235"/>
      <c r="F420" s="235"/>
      <c r="G420" s="283" t="str">
        <f>IFERROR(E420*F420,"")</f>
        <v>#ERROR!</v>
      </c>
      <c r="H420" s="283" t="str">
        <f>IFERROR(E420-G420,"")</f>
        <v>#ERROR!</v>
      </c>
      <c r="I420" s="235"/>
      <c r="J420" s="240"/>
    </row>
    <row r="421">
      <c r="A421" s="301"/>
      <c r="B421" s="227"/>
      <c r="C421" s="227"/>
      <c r="D421" s="227"/>
      <c r="E421" s="227"/>
      <c r="F421" s="227"/>
      <c r="G421" s="281" t="str">
        <f>IFERROR(E421*F421,"")</f>
        <v>#ERROR!</v>
      </c>
      <c r="H421" s="281" t="str">
        <f>IFERROR(E421-G421,"")</f>
        <v>#ERROR!</v>
      </c>
      <c r="I421" s="227"/>
      <c r="J421" s="233"/>
    </row>
    <row r="422">
      <c r="A422" s="303"/>
      <c r="B422" s="235"/>
      <c r="C422" s="235"/>
      <c r="D422" s="235"/>
      <c r="E422" s="235"/>
      <c r="F422" s="235"/>
      <c r="G422" s="283" t="str">
        <f>IFERROR(E422*F422,"")</f>
        <v>#ERROR!</v>
      </c>
      <c r="H422" s="283" t="str">
        <f>IFERROR(E422-G422,"")</f>
        <v>#ERROR!</v>
      </c>
      <c r="I422" s="235"/>
      <c r="J422" s="240"/>
    </row>
    <row r="423">
      <c r="A423" s="301"/>
      <c r="B423" s="227"/>
      <c r="C423" s="227"/>
      <c r="D423" s="227"/>
      <c r="E423" s="227"/>
      <c r="F423" s="227"/>
      <c r="G423" s="281" t="str">
        <f>IFERROR(E423*F423,"")</f>
        <v>#ERROR!</v>
      </c>
      <c r="H423" s="281" t="str">
        <f>IFERROR(E423-G423,"")</f>
        <v>#ERROR!</v>
      </c>
      <c r="I423" s="227"/>
      <c r="J423" s="233"/>
    </row>
    <row r="424">
      <c r="A424" s="303"/>
      <c r="B424" s="235"/>
      <c r="C424" s="235"/>
      <c r="D424" s="235"/>
      <c r="E424" s="235"/>
      <c r="F424" s="235"/>
      <c r="G424" s="283" t="str">
        <f>IFERROR(E424*F424,"")</f>
        <v>#ERROR!</v>
      </c>
      <c r="H424" s="283" t="str">
        <f>IFERROR(E424-G424,"")</f>
        <v>#ERROR!</v>
      </c>
      <c r="I424" s="235"/>
      <c r="J424" s="240"/>
    </row>
    <row r="425">
      <c r="A425" s="301"/>
      <c r="B425" s="227"/>
      <c r="C425" s="227"/>
      <c r="D425" s="227"/>
      <c r="E425" s="227"/>
      <c r="F425" s="227"/>
      <c r="G425" s="281" t="str">
        <f>IFERROR(E425*F425,"")</f>
        <v>#ERROR!</v>
      </c>
      <c r="H425" s="281" t="str">
        <f>IFERROR(E425-G425,"")</f>
        <v>#ERROR!</v>
      </c>
      <c r="I425" s="227"/>
      <c r="J425" s="233"/>
    </row>
    <row r="426">
      <c r="A426" s="303"/>
      <c r="B426" s="235"/>
      <c r="C426" s="235"/>
      <c r="D426" s="235"/>
      <c r="E426" s="235"/>
      <c r="F426" s="235"/>
      <c r="G426" s="283" t="str">
        <f>IFERROR(E426*F426,"")</f>
        <v>#ERROR!</v>
      </c>
      <c r="H426" s="283" t="str">
        <f>IFERROR(E426-G426,"")</f>
        <v>#ERROR!</v>
      </c>
      <c r="I426" s="235"/>
      <c r="J426" s="240"/>
    </row>
    <row r="427">
      <c r="A427" s="301"/>
      <c r="B427" s="227"/>
      <c r="C427" s="227"/>
      <c r="D427" s="227"/>
      <c r="E427" s="227"/>
      <c r="F427" s="227"/>
      <c r="G427" s="281" t="str">
        <f>IFERROR(E427*F427,"")</f>
        <v>#ERROR!</v>
      </c>
      <c r="H427" s="281" t="str">
        <f>IFERROR(E427-G427,"")</f>
        <v>#ERROR!</v>
      </c>
      <c r="I427" s="227"/>
      <c r="J427" s="233"/>
    </row>
    <row r="428">
      <c r="A428" s="303"/>
      <c r="B428" s="235"/>
      <c r="C428" s="235"/>
      <c r="D428" s="235"/>
      <c r="E428" s="235"/>
      <c r="F428" s="235"/>
      <c r="G428" s="283" t="str">
        <f>IFERROR(E428*F428,"")</f>
        <v>#ERROR!</v>
      </c>
      <c r="H428" s="283" t="str">
        <f>IFERROR(E428-G428,"")</f>
        <v>#ERROR!</v>
      </c>
      <c r="I428" s="235"/>
      <c r="J428" s="240"/>
    </row>
    <row r="429">
      <c r="A429" s="301"/>
      <c r="B429" s="227"/>
      <c r="C429" s="227"/>
      <c r="D429" s="227"/>
      <c r="E429" s="227"/>
      <c r="F429" s="227"/>
      <c r="G429" s="281" t="str">
        <f>IFERROR(E429*F429,"")</f>
        <v>#ERROR!</v>
      </c>
      <c r="H429" s="281" t="str">
        <f>IFERROR(E429-G429,"")</f>
        <v>#ERROR!</v>
      </c>
      <c r="I429" s="227"/>
      <c r="J429" s="233"/>
    </row>
    <row r="430">
      <c r="A430" s="303"/>
      <c r="B430" s="235"/>
      <c r="C430" s="235"/>
      <c r="D430" s="235"/>
      <c r="E430" s="235"/>
      <c r="F430" s="235"/>
      <c r="G430" s="283" t="str">
        <f>IFERROR(E430*F430,"")</f>
        <v>#ERROR!</v>
      </c>
      <c r="H430" s="283" t="str">
        <f>IFERROR(E430-G430,"")</f>
        <v>#ERROR!</v>
      </c>
      <c r="I430" s="235"/>
      <c r="J430" s="240"/>
    </row>
    <row r="431">
      <c r="A431" s="301"/>
      <c r="B431" s="227"/>
      <c r="C431" s="227"/>
      <c r="D431" s="227"/>
      <c r="E431" s="227"/>
      <c r="F431" s="227"/>
      <c r="G431" s="281" t="str">
        <f>IFERROR(E431*F431,"")</f>
        <v>#ERROR!</v>
      </c>
      <c r="H431" s="281" t="str">
        <f>IFERROR(E431-G431,"")</f>
        <v>#ERROR!</v>
      </c>
      <c r="I431" s="227"/>
      <c r="J431" s="233"/>
    </row>
    <row r="432">
      <c r="A432" s="303"/>
      <c r="B432" s="235"/>
      <c r="C432" s="235"/>
      <c r="D432" s="235"/>
      <c r="E432" s="235"/>
      <c r="F432" s="235"/>
      <c r="G432" s="283" t="str">
        <f>IFERROR(E432*F432,"")</f>
        <v>#ERROR!</v>
      </c>
      <c r="H432" s="283" t="str">
        <f>IFERROR(E432-G432,"")</f>
        <v>#ERROR!</v>
      </c>
      <c r="I432" s="235"/>
      <c r="J432" s="240"/>
    </row>
    <row r="433">
      <c r="A433" s="301"/>
      <c r="B433" s="227"/>
      <c r="C433" s="227"/>
      <c r="D433" s="227"/>
      <c r="E433" s="227"/>
      <c r="F433" s="227"/>
      <c r="G433" s="281" t="str">
        <f>IFERROR(E433*F433,"")</f>
        <v>#ERROR!</v>
      </c>
      <c r="H433" s="281" t="str">
        <f>IFERROR(E433-G433,"")</f>
        <v>#ERROR!</v>
      </c>
      <c r="I433" s="227"/>
      <c r="J433" s="233"/>
    </row>
    <row r="434">
      <c r="A434" s="303"/>
      <c r="B434" s="235"/>
      <c r="C434" s="235"/>
      <c r="D434" s="235"/>
      <c r="E434" s="235"/>
      <c r="F434" s="235"/>
      <c r="G434" s="283" t="str">
        <f>IFERROR(E434*F434,"")</f>
        <v>#ERROR!</v>
      </c>
      <c r="H434" s="283" t="str">
        <f>IFERROR(E434-G434,"")</f>
        <v>#ERROR!</v>
      </c>
      <c r="I434" s="235"/>
      <c r="J434" s="240"/>
    </row>
    <row r="435">
      <c r="A435" s="301"/>
      <c r="B435" s="227"/>
      <c r="C435" s="227"/>
      <c r="D435" s="227"/>
      <c r="E435" s="227"/>
      <c r="F435" s="227"/>
      <c r="G435" s="281" t="str">
        <f>IFERROR(E435*F435,"")</f>
        <v>#ERROR!</v>
      </c>
      <c r="H435" s="281" t="str">
        <f>IFERROR(E435-G435,"")</f>
        <v>#ERROR!</v>
      </c>
      <c r="I435" s="227"/>
      <c r="J435" s="233"/>
    </row>
    <row r="436">
      <c r="A436" s="303"/>
      <c r="B436" s="235"/>
      <c r="C436" s="235"/>
      <c r="D436" s="235"/>
      <c r="E436" s="235"/>
      <c r="F436" s="235"/>
      <c r="G436" s="283" t="str">
        <f>IFERROR(E436*F436,"")</f>
        <v>#ERROR!</v>
      </c>
      <c r="H436" s="283" t="str">
        <f>IFERROR(E436-G436,"")</f>
        <v>#ERROR!</v>
      </c>
      <c r="I436" s="235"/>
      <c r="J436" s="240"/>
    </row>
    <row r="437">
      <c r="A437" s="301"/>
      <c r="B437" s="227"/>
      <c r="C437" s="227"/>
      <c r="D437" s="227"/>
      <c r="E437" s="227"/>
      <c r="F437" s="227"/>
      <c r="G437" s="281" t="str">
        <f>IFERROR(E437*F437,"")</f>
        <v>#ERROR!</v>
      </c>
      <c r="H437" s="281" t="str">
        <f>IFERROR(E437-G437,"")</f>
        <v>#ERROR!</v>
      </c>
      <c r="I437" s="227"/>
      <c r="J437" s="233"/>
    </row>
    <row r="438">
      <c r="A438" s="303"/>
      <c r="B438" s="235"/>
      <c r="C438" s="235"/>
      <c r="D438" s="235"/>
      <c r="E438" s="235"/>
      <c r="F438" s="235"/>
      <c r="G438" s="283" t="str">
        <f>IFERROR(E438*F438,"")</f>
        <v>#ERROR!</v>
      </c>
      <c r="H438" s="283" t="str">
        <f>IFERROR(E438-G438,"")</f>
        <v>#ERROR!</v>
      </c>
      <c r="I438" s="235"/>
      <c r="J438" s="240"/>
    </row>
    <row r="439">
      <c r="A439" s="301"/>
      <c r="B439" s="227"/>
      <c r="C439" s="227"/>
      <c r="D439" s="227"/>
      <c r="E439" s="227"/>
      <c r="F439" s="227"/>
      <c r="G439" s="281" t="str">
        <f>IFERROR(E439*F439,"")</f>
        <v>#ERROR!</v>
      </c>
      <c r="H439" s="281" t="str">
        <f>IFERROR(E439-G439,"")</f>
        <v>#ERROR!</v>
      </c>
      <c r="I439" s="227"/>
      <c r="J439" s="233"/>
    </row>
    <row r="440">
      <c r="A440" s="303"/>
      <c r="B440" s="235"/>
      <c r="C440" s="235"/>
      <c r="D440" s="235"/>
      <c r="E440" s="235"/>
      <c r="F440" s="235"/>
      <c r="G440" s="283" t="str">
        <f>IFERROR(E440*F440,"")</f>
        <v>#ERROR!</v>
      </c>
      <c r="H440" s="283" t="str">
        <f>IFERROR(E440-G440,"")</f>
        <v>#ERROR!</v>
      </c>
      <c r="I440" s="235"/>
      <c r="J440" s="240"/>
    </row>
    <row r="441">
      <c r="A441" s="301"/>
      <c r="B441" s="227"/>
      <c r="C441" s="227"/>
      <c r="D441" s="227"/>
      <c r="E441" s="227"/>
      <c r="F441" s="227"/>
      <c r="G441" s="281" t="str">
        <f>IFERROR(E441*F441,"")</f>
        <v>#ERROR!</v>
      </c>
      <c r="H441" s="281" t="str">
        <f>IFERROR(E441-G441,"")</f>
        <v>#ERROR!</v>
      </c>
      <c r="I441" s="227"/>
      <c r="J441" s="233"/>
    </row>
    <row r="442">
      <c r="A442" s="303"/>
      <c r="B442" s="235"/>
      <c r="C442" s="235"/>
      <c r="D442" s="235"/>
      <c r="E442" s="235"/>
      <c r="F442" s="235"/>
      <c r="G442" s="283" t="str">
        <f>IFERROR(E442*F442,"")</f>
        <v>#ERROR!</v>
      </c>
      <c r="H442" s="283" t="str">
        <f>IFERROR(E442-G442,"")</f>
        <v>#ERROR!</v>
      </c>
      <c r="I442" s="235"/>
      <c r="J442" s="240"/>
    </row>
    <row r="443">
      <c r="A443" s="301"/>
      <c r="B443" s="227"/>
      <c r="C443" s="227"/>
      <c r="D443" s="227"/>
      <c r="E443" s="227"/>
      <c r="F443" s="227"/>
      <c r="G443" s="281" t="str">
        <f>IFERROR(E443*F443,"")</f>
        <v>#ERROR!</v>
      </c>
      <c r="H443" s="281" t="str">
        <f>IFERROR(E443-G443,"")</f>
        <v>#ERROR!</v>
      </c>
      <c r="I443" s="227"/>
      <c r="J443" s="233"/>
    </row>
    <row r="444">
      <c r="A444" s="303"/>
      <c r="B444" s="235"/>
      <c r="C444" s="235"/>
      <c r="D444" s="235"/>
      <c r="E444" s="235"/>
      <c r="F444" s="235"/>
      <c r="G444" s="283" t="str">
        <f>IFERROR(E444*F444,"")</f>
        <v>#ERROR!</v>
      </c>
      <c r="H444" s="283" t="str">
        <f>IFERROR(E444-G444,"")</f>
        <v>#ERROR!</v>
      </c>
      <c r="I444" s="235"/>
      <c r="J444" s="240"/>
    </row>
    <row r="445">
      <c r="A445" s="301"/>
      <c r="B445" s="227"/>
      <c r="C445" s="227"/>
      <c r="D445" s="227"/>
      <c r="E445" s="227"/>
      <c r="F445" s="227"/>
      <c r="G445" s="281" t="str">
        <f>IFERROR(E445*F445,"")</f>
        <v>#ERROR!</v>
      </c>
      <c r="H445" s="281" t="str">
        <f>IFERROR(E445-G445,"")</f>
        <v>#ERROR!</v>
      </c>
      <c r="I445" s="227"/>
      <c r="J445" s="233"/>
    </row>
    <row r="446">
      <c r="A446" s="303"/>
      <c r="B446" s="235"/>
      <c r="C446" s="235"/>
      <c r="D446" s="235"/>
      <c r="E446" s="235"/>
      <c r="F446" s="235"/>
      <c r="G446" s="283" t="str">
        <f>IFERROR(E446*F446,"")</f>
        <v>#ERROR!</v>
      </c>
      <c r="H446" s="283" t="str">
        <f>IFERROR(E446-G446,"")</f>
        <v>#ERROR!</v>
      </c>
      <c r="I446" s="235"/>
      <c r="J446" s="240"/>
    </row>
    <row r="447">
      <c r="A447" s="301"/>
      <c r="B447" s="227"/>
      <c r="C447" s="227"/>
      <c r="D447" s="227"/>
      <c r="E447" s="227"/>
      <c r="F447" s="227"/>
      <c r="G447" s="281" t="str">
        <f>IFERROR(E447*F447,"")</f>
        <v>#ERROR!</v>
      </c>
      <c r="H447" s="281" t="str">
        <f>IFERROR(E447-G447,"")</f>
        <v>#ERROR!</v>
      </c>
      <c r="I447" s="227"/>
      <c r="J447" s="233"/>
    </row>
    <row r="448">
      <c r="A448" s="303"/>
      <c r="B448" s="235"/>
      <c r="C448" s="235"/>
      <c r="D448" s="235"/>
      <c r="E448" s="235"/>
      <c r="F448" s="235"/>
      <c r="G448" s="283" t="str">
        <f>IFERROR(E448*F448,"")</f>
        <v>#ERROR!</v>
      </c>
      <c r="H448" s="283" t="str">
        <f>IFERROR(E448-G448,"")</f>
        <v>#ERROR!</v>
      </c>
      <c r="I448" s="235"/>
      <c r="J448" s="240"/>
    </row>
    <row r="449">
      <c r="A449" s="301"/>
      <c r="B449" s="227"/>
      <c r="C449" s="227"/>
      <c r="D449" s="227"/>
      <c r="E449" s="227"/>
      <c r="F449" s="227"/>
      <c r="G449" s="281" t="str">
        <f>IFERROR(E449*F449,"")</f>
        <v>#ERROR!</v>
      </c>
      <c r="H449" s="281" t="str">
        <f>IFERROR(E449-G449,"")</f>
        <v>#ERROR!</v>
      </c>
      <c r="I449" s="227"/>
      <c r="J449" s="233"/>
    </row>
    <row r="450">
      <c r="A450" s="303"/>
      <c r="B450" s="235"/>
      <c r="C450" s="235"/>
      <c r="D450" s="235"/>
      <c r="E450" s="235"/>
      <c r="F450" s="235"/>
      <c r="G450" s="283" t="str">
        <f>IFERROR(E450*F450,"")</f>
        <v>#ERROR!</v>
      </c>
      <c r="H450" s="283" t="str">
        <f>IFERROR(E450-G450,"")</f>
        <v>#ERROR!</v>
      </c>
      <c r="I450" s="235"/>
      <c r="J450" s="240"/>
    </row>
    <row r="451">
      <c r="A451" s="301"/>
      <c r="B451" s="227"/>
      <c r="C451" s="227"/>
      <c r="D451" s="227"/>
      <c r="E451" s="227"/>
      <c r="F451" s="227"/>
      <c r="G451" s="281" t="str">
        <f>IFERROR(E451*F451,"")</f>
        <v>#ERROR!</v>
      </c>
      <c r="H451" s="281" t="str">
        <f>IFERROR(E451-G451,"")</f>
        <v>#ERROR!</v>
      </c>
      <c r="I451" s="227"/>
      <c r="J451" s="233"/>
    </row>
    <row r="452">
      <c r="A452" s="303"/>
      <c r="B452" s="235"/>
      <c r="C452" s="235"/>
      <c r="D452" s="235"/>
      <c r="E452" s="235"/>
      <c r="F452" s="235"/>
      <c r="G452" s="283" t="str">
        <f>IFERROR(E452*F452,"")</f>
        <v>#ERROR!</v>
      </c>
      <c r="H452" s="283" t="str">
        <f>IFERROR(E452-G452,"")</f>
        <v>#ERROR!</v>
      </c>
      <c r="I452" s="235"/>
      <c r="J452" s="240"/>
    </row>
    <row r="453">
      <c r="A453" s="301"/>
      <c r="B453" s="227"/>
      <c r="C453" s="227"/>
      <c r="D453" s="227"/>
      <c r="E453" s="227"/>
      <c r="F453" s="227"/>
      <c r="G453" s="281" t="str">
        <f>IFERROR(E453*F453,"")</f>
        <v>#ERROR!</v>
      </c>
      <c r="H453" s="281" t="str">
        <f>IFERROR(E453-G453,"")</f>
        <v>#ERROR!</v>
      </c>
      <c r="I453" s="227"/>
      <c r="J453" s="233"/>
    </row>
    <row r="454">
      <c r="A454" s="303"/>
      <c r="B454" s="235"/>
      <c r="C454" s="235"/>
      <c r="D454" s="235"/>
      <c r="E454" s="235"/>
      <c r="F454" s="235"/>
      <c r="G454" s="283" t="str">
        <f>IFERROR(E454*F454,"")</f>
        <v>#ERROR!</v>
      </c>
      <c r="H454" s="283" t="str">
        <f>IFERROR(E454-G454,"")</f>
        <v>#ERROR!</v>
      </c>
      <c r="I454" s="235"/>
      <c r="J454" s="240"/>
    </row>
    <row r="455">
      <c r="A455" s="301"/>
      <c r="B455" s="227"/>
      <c r="C455" s="227"/>
      <c r="D455" s="227"/>
      <c r="E455" s="227"/>
      <c r="F455" s="227"/>
      <c r="G455" s="281" t="str">
        <f>IFERROR(E455*F455,"")</f>
        <v>#ERROR!</v>
      </c>
      <c r="H455" s="281" t="str">
        <f>IFERROR(E455-G455,"")</f>
        <v>#ERROR!</v>
      </c>
      <c r="I455" s="227"/>
      <c r="J455" s="233"/>
    </row>
    <row r="456">
      <c r="A456" s="303"/>
      <c r="B456" s="235"/>
      <c r="C456" s="235"/>
      <c r="D456" s="235"/>
      <c r="E456" s="235"/>
      <c r="F456" s="235"/>
      <c r="G456" s="283" t="str">
        <f>IFERROR(E456*F456,"")</f>
        <v>#ERROR!</v>
      </c>
      <c r="H456" s="283" t="str">
        <f>IFERROR(E456-G456,"")</f>
        <v>#ERROR!</v>
      </c>
      <c r="I456" s="235"/>
      <c r="J456" s="240"/>
    </row>
    <row r="457">
      <c r="A457" s="301"/>
      <c r="B457" s="227"/>
      <c r="C457" s="227"/>
      <c r="D457" s="227"/>
      <c r="E457" s="227"/>
      <c r="F457" s="227"/>
      <c r="G457" s="281" t="str">
        <f>IFERROR(E457*F457,"")</f>
        <v>#ERROR!</v>
      </c>
      <c r="H457" s="281" t="str">
        <f>IFERROR(E457-G457,"")</f>
        <v>#ERROR!</v>
      </c>
      <c r="I457" s="227"/>
      <c r="J457" s="233"/>
    </row>
    <row r="458">
      <c r="A458" s="303"/>
      <c r="B458" s="235"/>
      <c r="C458" s="235"/>
      <c r="D458" s="235"/>
      <c r="E458" s="235"/>
      <c r="F458" s="235"/>
      <c r="G458" s="283" t="str">
        <f>IFERROR(E458*F458,"")</f>
        <v>#ERROR!</v>
      </c>
      <c r="H458" s="283" t="str">
        <f>IFERROR(E458-G458,"")</f>
        <v>#ERROR!</v>
      </c>
      <c r="I458" s="235"/>
      <c r="J458" s="240"/>
    </row>
    <row r="459">
      <c r="A459" s="301"/>
      <c r="B459" s="227"/>
      <c r="C459" s="227"/>
      <c r="D459" s="227"/>
      <c r="E459" s="227"/>
      <c r="F459" s="227"/>
      <c r="G459" s="281" t="str">
        <f>IFERROR(E459*F459,"")</f>
        <v>#ERROR!</v>
      </c>
      <c r="H459" s="281" t="str">
        <f>IFERROR(E459-G459,"")</f>
        <v>#ERROR!</v>
      </c>
      <c r="I459" s="227"/>
      <c r="J459" s="233"/>
    </row>
    <row r="460">
      <c r="A460" s="303"/>
      <c r="B460" s="235"/>
      <c r="C460" s="235"/>
      <c r="D460" s="235"/>
      <c r="E460" s="235"/>
      <c r="F460" s="235"/>
      <c r="G460" s="283" t="str">
        <f>IFERROR(E460*F460,"")</f>
        <v>#ERROR!</v>
      </c>
      <c r="H460" s="283" t="str">
        <f>IFERROR(E460-G460,"")</f>
        <v>#ERROR!</v>
      </c>
      <c r="I460" s="235"/>
      <c r="J460" s="240"/>
    </row>
    <row r="461">
      <c r="A461" s="301"/>
      <c r="B461" s="227"/>
      <c r="C461" s="227"/>
      <c r="D461" s="227"/>
      <c r="E461" s="227"/>
      <c r="F461" s="227"/>
      <c r="G461" s="281" t="str">
        <f>IFERROR(E461*F461,"")</f>
        <v>#ERROR!</v>
      </c>
      <c r="H461" s="281" t="str">
        <f>IFERROR(E461-G461,"")</f>
        <v>#ERROR!</v>
      </c>
      <c r="I461" s="227"/>
      <c r="J461" s="233"/>
    </row>
    <row r="462">
      <c r="A462" s="303"/>
      <c r="B462" s="235"/>
      <c r="C462" s="235"/>
      <c r="D462" s="235"/>
      <c r="E462" s="235"/>
      <c r="F462" s="235"/>
      <c r="G462" s="283" t="str">
        <f>IFERROR(E462*F462,"")</f>
        <v>#ERROR!</v>
      </c>
      <c r="H462" s="283" t="str">
        <f>IFERROR(E462-G462,"")</f>
        <v>#ERROR!</v>
      </c>
      <c r="I462" s="235"/>
      <c r="J462" s="240"/>
    </row>
    <row r="463">
      <c r="A463" s="301"/>
      <c r="B463" s="227"/>
      <c r="C463" s="227"/>
      <c r="D463" s="227"/>
      <c r="E463" s="227"/>
      <c r="F463" s="227"/>
      <c r="G463" s="281" t="str">
        <f>IFERROR(E463*F463,"")</f>
        <v>#ERROR!</v>
      </c>
      <c r="H463" s="281" t="str">
        <f>IFERROR(E463-G463,"")</f>
        <v>#ERROR!</v>
      </c>
      <c r="I463" s="227"/>
      <c r="J463" s="233"/>
    </row>
    <row r="464">
      <c r="A464" s="303"/>
      <c r="B464" s="235"/>
      <c r="C464" s="235"/>
      <c r="D464" s="235"/>
      <c r="E464" s="235"/>
      <c r="F464" s="235"/>
      <c r="G464" s="283" t="str">
        <f>IFERROR(E464*F464,"")</f>
        <v>#ERROR!</v>
      </c>
      <c r="H464" s="283" t="str">
        <f>IFERROR(E464-G464,"")</f>
        <v>#ERROR!</v>
      </c>
      <c r="I464" s="235"/>
      <c r="J464" s="240"/>
    </row>
    <row r="465">
      <c r="A465" s="301"/>
      <c r="B465" s="227"/>
      <c r="C465" s="227"/>
      <c r="D465" s="227"/>
      <c r="E465" s="227"/>
      <c r="F465" s="227"/>
      <c r="G465" s="281" t="str">
        <f>IFERROR(E465*F465,"")</f>
        <v>#ERROR!</v>
      </c>
      <c r="H465" s="281" t="str">
        <f>IFERROR(E465-G465,"")</f>
        <v>#ERROR!</v>
      </c>
      <c r="I465" s="227"/>
      <c r="J465" s="233"/>
    </row>
    <row r="466">
      <c r="A466" s="303"/>
      <c r="B466" s="235"/>
      <c r="C466" s="235"/>
      <c r="D466" s="235"/>
      <c r="E466" s="235"/>
      <c r="F466" s="235"/>
      <c r="G466" s="283" t="str">
        <f>IFERROR(E466*F466,"")</f>
        <v>#ERROR!</v>
      </c>
      <c r="H466" s="283" t="str">
        <f>IFERROR(E466-G466,"")</f>
        <v>#ERROR!</v>
      </c>
      <c r="I466" s="235"/>
      <c r="J466" s="240"/>
    </row>
    <row r="467">
      <c r="A467" s="301"/>
      <c r="B467" s="227"/>
      <c r="C467" s="227"/>
      <c r="D467" s="227"/>
      <c r="E467" s="227"/>
      <c r="F467" s="227"/>
      <c r="G467" s="281" t="str">
        <f>IFERROR(E467*F467,"")</f>
        <v>#ERROR!</v>
      </c>
      <c r="H467" s="281" t="str">
        <f>IFERROR(E467-G467,"")</f>
        <v>#ERROR!</v>
      </c>
      <c r="I467" s="227"/>
      <c r="J467" s="233"/>
    </row>
    <row r="468">
      <c r="A468" s="303"/>
      <c r="B468" s="235"/>
      <c r="C468" s="235"/>
      <c r="D468" s="235"/>
      <c r="E468" s="235"/>
      <c r="F468" s="235"/>
      <c r="G468" s="283" t="str">
        <f>IFERROR(E468*F468,"")</f>
        <v>#ERROR!</v>
      </c>
      <c r="H468" s="283" t="str">
        <f>IFERROR(E468-G468,"")</f>
        <v>#ERROR!</v>
      </c>
      <c r="I468" s="235"/>
      <c r="J468" s="240"/>
    </row>
    <row r="469">
      <c r="A469" s="301"/>
      <c r="B469" s="227"/>
      <c r="C469" s="227"/>
      <c r="D469" s="227"/>
      <c r="E469" s="227"/>
      <c r="F469" s="227"/>
      <c r="G469" s="281" t="str">
        <f>IFERROR(E469*F469,"")</f>
        <v>#ERROR!</v>
      </c>
      <c r="H469" s="281" t="str">
        <f>IFERROR(E469-G469,"")</f>
        <v>#ERROR!</v>
      </c>
      <c r="I469" s="227"/>
      <c r="J469" s="233"/>
    </row>
    <row r="470">
      <c r="A470" s="303"/>
      <c r="B470" s="235"/>
      <c r="C470" s="235"/>
      <c r="D470" s="235"/>
      <c r="E470" s="235"/>
      <c r="F470" s="235"/>
      <c r="G470" s="283" t="str">
        <f>IFERROR(E470*F470,"")</f>
        <v>#ERROR!</v>
      </c>
      <c r="H470" s="283" t="str">
        <f>IFERROR(E470-G470,"")</f>
        <v>#ERROR!</v>
      </c>
      <c r="I470" s="235"/>
      <c r="J470" s="240"/>
    </row>
    <row r="471">
      <c r="A471" s="301"/>
      <c r="B471" s="227"/>
      <c r="C471" s="227"/>
      <c r="D471" s="227"/>
      <c r="E471" s="227"/>
      <c r="F471" s="227"/>
      <c r="G471" s="281" t="str">
        <f>IFERROR(E471*F471,"")</f>
        <v>#ERROR!</v>
      </c>
      <c r="H471" s="281" t="str">
        <f>IFERROR(E471-G471,"")</f>
        <v>#ERROR!</v>
      </c>
      <c r="I471" s="227"/>
      <c r="J471" s="233"/>
    </row>
    <row r="472">
      <c r="A472" s="303"/>
      <c r="B472" s="235"/>
      <c r="C472" s="235"/>
      <c r="D472" s="235"/>
      <c r="E472" s="235"/>
      <c r="F472" s="235"/>
      <c r="G472" s="283" t="str">
        <f>IFERROR(E472*F472,"")</f>
        <v>#ERROR!</v>
      </c>
      <c r="H472" s="283" t="str">
        <f>IFERROR(E472-G472,"")</f>
        <v>#ERROR!</v>
      </c>
      <c r="I472" s="235"/>
      <c r="J472" s="240"/>
    </row>
    <row r="473">
      <c r="A473" s="301"/>
      <c r="B473" s="227"/>
      <c r="C473" s="227"/>
      <c r="D473" s="227"/>
      <c r="E473" s="227"/>
      <c r="F473" s="227"/>
      <c r="G473" s="281" t="str">
        <f>IFERROR(E473*F473,"")</f>
        <v>#ERROR!</v>
      </c>
      <c r="H473" s="281" t="str">
        <f>IFERROR(E473-G473,"")</f>
        <v>#ERROR!</v>
      </c>
      <c r="I473" s="227"/>
      <c r="J473" s="233"/>
    </row>
    <row r="474">
      <c r="A474" s="303"/>
      <c r="B474" s="235"/>
      <c r="C474" s="235"/>
      <c r="D474" s="235"/>
      <c r="E474" s="235"/>
      <c r="F474" s="235"/>
      <c r="G474" s="283" t="str">
        <f>IFERROR(E474*F474,"")</f>
        <v>#ERROR!</v>
      </c>
      <c r="H474" s="283" t="str">
        <f>IFERROR(E474-G474,"")</f>
        <v>#ERROR!</v>
      </c>
      <c r="I474" s="235"/>
      <c r="J474" s="240"/>
    </row>
    <row r="475">
      <c r="A475" s="301"/>
      <c r="B475" s="227"/>
      <c r="C475" s="227"/>
      <c r="D475" s="227"/>
      <c r="E475" s="227"/>
      <c r="F475" s="227"/>
      <c r="G475" s="281" t="str">
        <f>IFERROR(E475*F475,"")</f>
        <v>#ERROR!</v>
      </c>
      <c r="H475" s="281" t="str">
        <f>IFERROR(E475-G475,"")</f>
        <v>#ERROR!</v>
      </c>
      <c r="I475" s="227"/>
      <c r="J475" s="233"/>
    </row>
    <row r="476">
      <c r="A476" s="303"/>
      <c r="B476" s="235"/>
      <c r="C476" s="235"/>
      <c r="D476" s="235"/>
      <c r="E476" s="235"/>
      <c r="F476" s="235"/>
      <c r="G476" s="283" t="str">
        <f>IFERROR(E476*F476,"")</f>
        <v>#ERROR!</v>
      </c>
      <c r="H476" s="283" t="str">
        <f>IFERROR(E476-G476,"")</f>
        <v>#ERROR!</v>
      </c>
      <c r="I476" s="235"/>
      <c r="J476" s="240"/>
    </row>
    <row r="477">
      <c r="A477" s="301"/>
      <c r="B477" s="227"/>
      <c r="C477" s="227"/>
      <c r="D477" s="227"/>
      <c r="E477" s="227"/>
      <c r="F477" s="227"/>
      <c r="G477" s="281" t="str">
        <f>IFERROR(E477*F477,"")</f>
        <v>#ERROR!</v>
      </c>
      <c r="H477" s="281" t="str">
        <f>IFERROR(E477-G477,"")</f>
        <v>#ERROR!</v>
      </c>
      <c r="I477" s="227"/>
      <c r="J477" s="233"/>
    </row>
    <row r="478">
      <c r="A478" s="303"/>
      <c r="B478" s="235"/>
      <c r="C478" s="235"/>
      <c r="D478" s="235"/>
      <c r="E478" s="235"/>
      <c r="F478" s="235"/>
      <c r="G478" s="283" t="str">
        <f>IFERROR(E478*F478,"")</f>
        <v>#ERROR!</v>
      </c>
      <c r="H478" s="283" t="str">
        <f>IFERROR(E478-G478,"")</f>
        <v>#ERROR!</v>
      </c>
      <c r="I478" s="235"/>
      <c r="J478" s="240"/>
    </row>
    <row r="479">
      <c r="A479" s="301"/>
      <c r="B479" s="227"/>
      <c r="C479" s="227"/>
      <c r="D479" s="227"/>
      <c r="E479" s="227"/>
      <c r="F479" s="227"/>
      <c r="G479" s="281" t="str">
        <f>IFERROR(E479*F479,"")</f>
        <v>#ERROR!</v>
      </c>
      <c r="H479" s="281" t="str">
        <f>IFERROR(E479-G479,"")</f>
        <v>#ERROR!</v>
      </c>
      <c r="I479" s="227"/>
      <c r="J479" s="233"/>
    </row>
    <row r="480">
      <c r="A480" s="303"/>
      <c r="B480" s="235"/>
      <c r="C480" s="235"/>
      <c r="D480" s="235"/>
      <c r="E480" s="235"/>
      <c r="F480" s="235"/>
      <c r="G480" s="283" t="str">
        <f>IFERROR(E480*F480,"")</f>
        <v>#ERROR!</v>
      </c>
      <c r="H480" s="283" t="str">
        <f>IFERROR(E480-G480,"")</f>
        <v>#ERROR!</v>
      </c>
      <c r="I480" s="235"/>
      <c r="J480" s="240"/>
    </row>
    <row r="481">
      <c r="A481" s="301"/>
      <c r="B481" s="227"/>
      <c r="C481" s="227"/>
      <c r="D481" s="227"/>
      <c r="E481" s="227"/>
      <c r="F481" s="227"/>
      <c r="G481" s="281" t="str">
        <f>IFERROR(E481*F481,"")</f>
        <v>#ERROR!</v>
      </c>
      <c r="H481" s="281" t="str">
        <f>IFERROR(E481-G481,"")</f>
        <v>#ERROR!</v>
      </c>
      <c r="I481" s="227"/>
      <c r="J481" s="233"/>
    </row>
    <row r="482">
      <c r="A482" s="303"/>
      <c r="B482" s="235"/>
      <c r="C482" s="235"/>
      <c r="D482" s="235"/>
      <c r="E482" s="235"/>
      <c r="F482" s="235"/>
      <c r="G482" s="283" t="str">
        <f>IFERROR(E482*F482,"")</f>
        <v>#ERROR!</v>
      </c>
      <c r="H482" s="283" t="str">
        <f>IFERROR(E482-G482,"")</f>
        <v>#ERROR!</v>
      </c>
      <c r="I482" s="235"/>
      <c r="J482" s="240"/>
    </row>
    <row r="483">
      <c r="A483" s="301"/>
      <c r="B483" s="227"/>
      <c r="C483" s="227"/>
      <c r="D483" s="227"/>
      <c r="E483" s="227"/>
      <c r="F483" s="227"/>
      <c r="G483" s="281" t="str">
        <f>IFERROR(E483*F483,"")</f>
        <v>#ERROR!</v>
      </c>
      <c r="H483" s="281" t="str">
        <f>IFERROR(E483-G483,"")</f>
        <v>#ERROR!</v>
      </c>
      <c r="I483" s="227"/>
      <c r="J483" s="233"/>
    </row>
    <row r="484">
      <c r="A484" s="303"/>
      <c r="B484" s="235"/>
      <c r="C484" s="235"/>
      <c r="D484" s="235"/>
      <c r="E484" s="235"/>
      <c r="F484" s="235"/>
      <c r="G484" s="283" t="str">
        <f>IFERROR(E484*F484,"")</f>
        <v>#ERROR!</v>
      </c>
      <c r="H484" s="283" t="str">
        <f>IFERROR(E484-G484,"")</f>
        <v>#ERROR!</v>
      </c>
      <c r="I484" s="235"/>
      <c r="J484" s="240"/>
    </row>
    <row r="485">
      <c r="A485" s="301"/>
      <c r="B485" s="227"/>
      <c r="C485" s="227"/>
      <c r="D485" s="227"/>
      <c r="E485" s="227"/>
      <c r="F485" s="227"/>
      <c r="G485" s="281" t="str">
        <f>IFERROR(E485*F485,"")</f>
        <v>#ERROR!</v>
      </c>
      <c r="H485" s="281" t="str">
        <f>IFERROR(E485-G485,"")</f>
        <v>#ERROR!</v>
      </c>
      <c r="I485" s="227"/>
      <c r="J485" s="233"/>
    </row>
    <row r="486">
      <c r="A486" s="303"/>
      <c r="B486" s="235"/>
      <c r="C486" s="235"/>
      <c r="D486" s="235"/>
      <c r="E486" s="235"/>
      <c r="F486" s="235"/>
      <c r="G486" s="283" t="str">
        <f>IFERROR(E486*F486,"")</f>
        <v>#ERROR!</v>
      </c>
      <c r="H486" s="283" t="str">
        <f>IFERROR(E486-G486,"")</f>
        <v>#ERROR!</v>
      </c>
      <c r="I486" s="235"/>
      <c r="J486" s="240"/>
    </row>
    <row r="487">
      <c r="A487" s="301"/>
      <c r="B487" s="227"/>
      <c r="C487" s="227"/>
      <c r="D487" s="227"/>
      <c r="E487" s="227"/>
      <c r="F487" s="227"/>
      <c r="G487" s="281" t="str">
        <f>IFERROR(E487*F487,"")</f>
        <v>#ERROR!</v>
      </c>
      <c r="H487" s="281" t="str">
        <f>IFERROR(E487-G487,"")</f>
        <v>#ERROR!</v>
      </c>
      <c r="I487" s="227"/>
      <c r="J487" s="233"/>
    </row>
    <row r="488">
      <c r="A488" s="303"/>
      <c r="B488" s="235"/>
      <c r="C488" s="235"/>
      <c r="D488" s="235"/>
      <c r="E488" s="235"/>
      <c r="F488" s="235"/>
      <c r="G488" s="283" t="str">
        <f>IFERROR(E488*F488,"")</f>
        <v>#ERROR!</v>
      </c>
      <c r="H488" s="283" t="str">
        <f>IFERROR(E488-G488,"")</f>
        <v>#ERROR!</v>
      </c>
      <c r="I488" s="235"/>
      <c r="J488" s="240"/>
    </row>
    <row r="489">
      <c r="A489" s="301"/>
      <c r="B489" s="227"/>
      <c r="C489" s="227"/>
      <c r="D489" s="227"/>
      <c r="E489" s="227"/>
      <c r="F489" s="227"/>
      <c r="G489" s="281" t="str">
        <f>IFERROR(E489*F489,"")</f>
        <v>#ERROR!</v>
      </c>
      <c r="H489" s="281" t="str">
        <f>IFERROR(E489-G489,"")</f>
        <v>#ERROR!</v>
      </c>
      <c r="I489" s="227"/>
      <c r="J489" s="233"/>
    </row>
    <row r="490">
      <c r="A490" s="303"/>
      <c r="B490" s="235"/>
      <c r="C490" s="235"/>
      <c r="D490" s="235"/>
      <c r="E490" s="235"/>
      <c r="F490" s="235"/>
      <c r="G490" s="283" t="str">
        <f>IFERROR(E490*F490,"")</f>
        <v>#ERROR!</v>
      </c>
      <c r="H490" s="283" t="str">
        <f>IFERROR(E490-G490,"")</f>
        <v>#ERROR!</v>
      </c>
      <c r="I490" s="235"/>
      <c r="J490" s="240"/>
    </row>
    <row r="491">
      <c r="A491" s="301"/>
      <c r="B491" s="227"/>
      <c r="C491" s="227"/>
      <c r="D491" s="227"/>
      <c r="E491" s="227"/>
      <c r="F491" s="227"/>
      <c r="G491" s="281" t="str">
        <f>IFERROR(E491*F491,"")</f>
        <v>#ERROR!</v>
      </c>
      <c r="H491" s="281" t="str">
        <f>IFERROR(E491-G491,"")</f>
        <v>#ERROR!</v>
      </c>
      <c r="I491" s="227"/>
      <c r="J491" s="233"/>
    </row>
    <row r="492">
      <c r="A492" s="303"/>
      <c r="B492" s="235"/>
      <c r="C492" s="235"/>
      <c r="D492" s="235"/>
      <c r="E492" s="235"/>
      <c r="F492" s="235"/>
      <c r="G492" s="283" t="str">
        <f>IFERROR(E492*F492,"")</f>
        <v>#ERROR!</v>
      </c>
      <c r="H492" s="283" t="str">
        <f>IFERROR(E492-G492,"")</f>
        <v>#ERROR!</v>
      </c>
      <c r="I492" s="235"/>
      <c r="J492" s="240"/>
    </row>
    <row r="493">
      <c r="A493" s="301"/>
      <c r="B493" s="227"/>
      <c r="C493" s="227"/>
      <c r="D493" s="227"/>
      <c r="E493" s="227"/>
      <c r="F493" s="227"/>
      <c r="G493" s="281" t="str">
        <f>IFERROR(E493*F493,"")</f>
        <v>#ERROR!</v>
      </c>
      <c r="H493" s="281" t="str">
        <f>IFERROR(E493-G493,"")</f>
        <v>#ERROR!</v>
      </c>
      <c r="I493" s="227"/>
      <c r="J493" s="233"/>
    </row>
    <row r="494">
      <c r="A494" s="303"/>
      <c r="B494" s="235"/>
      <c r="C494" s="235"/>
      <c r="D494" s="235"/>
      <c r="E494" s="235"/>
      <c r="F494" s="235"/>
      <c r="G494" s="283" t="str">
        <f>IFERROR(E494*F494,"")</f>
        <v>#ERROR!</v>
      </c>
      <c r="H494" s="283" t="str">
        <f>IFERROR(E494-G494,"")</f>
        <v>#ERROR!</v>
      </c>
      <c r="I494" s="235"/>
      <c r="J494" s="240"/>
    </row>
    <row r="495">
      <c r="A495" s="301"/>
      <c r="B495" s="227"/>
      <c r="C495" s="227"/>
      <c r="D495" s="227"/>
      <c r="E495" s="227"/>
      <c r="F495" s="227"/>
      <c r="G495" s="281" t="str">
        <f>IFERROR(E495*F495,"")</f>
        <v>#ERROR!</v>
      </c>
      <c r="H495" s="281" t="str">
        <f>IFERROR(E495-G495,"")</f>
        <v>#ERROR!</v>
      </c>
      <c r="I495" s="227"/>
      <c r="J495" s="233"/>
    </row>
    <row r="496">
      <c r="A496" s="303"/>
      <c r="B496" s="235"/>
      <c r="C496" s="235"/>
      <c r="D496" s="235"/>
      <c r="E496" s="235"/>
      <c r="F496" s="235"/>
      <c r="G496" s="283" t="str">
        <f>IFERROR(E496*F496,"")</f>
        <v>#ERROR!</v>
      </c>
      <c r="H496" s="283" t="str">
        <f>IFERROR(E496-G496,"")</f>
        <v>#ERROR!</v>
      </c>
      <c r="I496" s="235"/>
      <c r="J496" s="240"/>
    </row>
    <row r="497">
      <c r="A497" s="301"/>
      <c r="B497" s="227"/>
      <c r="C497" s="227"/>
      <c r="D497" s="227"/>
      <c r="E497" s="227"/>
      <c r="F497" s="227"/>
      <c r="G497" s="281" t="str">
        <f>IFERROR(E497*F497,"")</f>
        <v>#ERROR!</v>
      </c>
      <c r="H497" s="281" t="str">
        <f>IFERROR(E497-G497,"")</f>
        <v>#ERROR!</v>
      </c>
      <c r="I497" s="227"/>
      <c r="J497" s="233"/>
    </row>
    <row r="498">
      <c r="A498" s="303"/>
      <c r="B498" s="235"/>
      <c r="C498" s="235"/>
      <c r="D498" s="235"/>
      <c r="E498" s="235"/>
      <c r="F498" s="235"/>
      <c r="G498" s="283" t="str">
        <f>IFERROR(E498*F498,"")</f>
        <v>#ERROR!</v>
      </c>
      <c r="H498" s="283" t="str">
        <f>IFERROR(E498-G498,"")</f>
        <v>#ERROR!</v>
      </c>
      <c r="I498" s="235"/>
      <c r="J498" s="240"/>
    </row>
    <row r="499">
      <c r="A499" s="301"/>
      <c r="B499" s="227"/>
      <c r="C499" s="227"/>
      <c r="D499" s="227"/>
      <c r="E499" s="227"/>
      <c r="F499" s="227"/>
      <c r="G499" s="281" t="str">
        <f>IFERROR(E499*F499,"")</f>
        <v>#ERROR!</v>
      </c>
      <c r="H499" s="281" t="str">
        <f>IFERROR(E499-G499,"")</f>
        <v>#ERROR!</v>
      </c>
      <c r="I499" s="227"/>
      <c r="J499" s="233"/>
    </row>
    <row r="500">
      <c r="A500" s="303"/>
      <c r="B500" s="235"/>
      <c r="C500" s="235"/>
      <c r="D500" s="235"/>
      <c r="E500" s="235"/>
      <c r="F500" s="235"/>
      <c r="G500" s="283" t="str">
        <f>IFERROR(E500*F500,"")</f>
        <v>#ERROR!</v>
      </c>
      <c r="H500" s="283" t="str">
        <f>IFERROR(E500-G500,"")</f>
        <v>#ERROR!</v>
      </c>
      <c r="I500" s="235"/>
      <c r="J500" s="240"/>
    </row>
    <row r="501">
      <c r="A501" s="301"/>
      <c r="B501" s="227"/>
      <c r="C501" s="227"/>
      <c r="D501" s="227"/>
      <c r="E501" s="227"/>
      <c r="F501" s="227"/>
      <c r="G501" s="281" t="str">
        <f>IFERROR(E501*F501,"")</f>
        <v>#ERROR!</v>
      </c>
      <c r="H501" s="281" t="str">
        <f>IFERROR(E501-G501,"")</f>
        <v>#ERROR!</v>
      </c>
      <c r="I501" s="227"/>
      <c r="J501" s="233"/>
    </row>
    <row r="502">
      <c r="A502" s="303"/>
      <c r="B502" s="235"/>
      <c r="C502" s="235"/>
      <c r="D502" s="235"/>
      <c r="E502" s="235"/>
      <c r="F502" s="235"/>
      <c r="G502" s="283" t="str">
        <f>IFERROR(E502*F502,"")</f>
        <v>#ERROR!</v>
      </c>
      <c r="H502" s="283" t="str">
        <f>IFERROR(E502-G502,"")</f>
        <v>#ERROR!</v>
      </c>
      <c r="I502" s="235"/>
      <c r="J502" s="240"/>
    </row>
    <row r="503">
      <c r="A503" s="305"/>
      <c r="B503" s="246"/>
      <c r="C503" s="246"/>
      <c r="D503" s="246"/>
      <c r="E503" s="246"/>
      <c r="F503" s="246"/>
      <c r="G503" s="285" t="str">
        <f>IFERROR(E503*F503,"")</f>
        <v>#ERROR!</v>
      </c>
      <c r="H503" s="285" t="str">
        <f>IFERROR(E503-G503,"")</f>
        <v>#ERROR!</v>
      </c>
      <c r="I503" s="246"/>
      <c r="J503" s="251"/>
    </row>
    <row r="506" ht="16.5" customHeight="1">
      <c r="A506" s="18" t="s">
        <v>824</v>
      </c>
    </row>
    <row r="507">
      <c r="A507" s="86" t="s">
        <v>825</v>
      </c>
      <c r="B507" s="310" t="str">
        <f>IFERROR(SUMIF(B4:B503,"Encaissement",G4:G503),0)</f>
        <v>#ERROR!</v>
      </c>
    </row>
    <row r="508">
      <c r="A508" s="63" t="s">
        <v>826</v>
      </c>
      <c r="B508" s="322" t="str">
        <f>IFERROR(SUMIF(B4:B503,"Decaissement",G4:G503),0)</f>
        <v>#ERROR!</v>
      </c>
    </row>
    <row r="509">
      <c r="A509" s="131" t="s">
        <v>827</v>
      </c>
      <c r="B509" s="132" t="str">
        <f>B507-B508</f>
        <v>#ERROR!</v>
      </c>
    </row>
  </sheetData>
  <mergeCells count="3">
    <mergeCell ref="A1:L1"/>
    <mergeCell ref="A2:L2"/>
    <mergeCell ref="A506:J506"/>
  </mergeCells>
  <dataValidations>
    <dataValidation type="list" allowBlank="1" sqref="B4:B503">
      <formula1>"Encaissement,Decaissement"</formula1>
    </dataValidation>
    <dataValidation type="list" allowBlank="1" sqref="C4:C503">
      <formula1>"Ventes marche,Ventes e-commerce,Ventes resto/hotel,Ventes epicerie,Achats MP,Achats bocaux,Charges fixes,Salaires / cotisations,Loyer,Energie,Autre achat,Autre encaissement"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7.63"/>
    <col customWidth="1" min="2" max="2" width="31.38"/>
  </cols>
  <sheetData>
    <row r="1" ht="25.5" customHeight="1">
      <c r="A1" s="30" t="s">
        <v>828</v>
      </c>
    </row>
    <row r="2" ht="25.5" customHeight="1">
      <c r="A2" s="323" t="s">
        <v>829</v>
      </c>
    </row>
    <row r="4" ht="16.5" customHeight="1">
      <c r="A4" s="18" t="s">
        <v>830</v>
      </c>
    </row>
    <row r="5" ht="16.5" customHeight="1">
      <c r="A5" s="206" t="s">
        <v>831</v>
      </c>
      <c r="B5" s="324"/>
    </row>
    <row r="6" ht="16.5" customHeight="1">
      <c r="A6" s="206" t="s">
        <v>832</v>
      </c>
      <c r="B6" s="325">
        <v>1.055</v>
      </c>
    </row>
    <row r="7" ht="16.5" customHeight="1">
      <c r="A7" s="206" t="s">
        <v>833</v>
      </c>
      <c r="B7" s="325">
        <v>1.055</v>
      </c>
    </row>
    <row r="8" ht="16.5" customHeight="1">
      <c r="A8" s="206" t="s">
        <v>834</v>
      </c>
      <c r="B8" s="325">
        <v>1.1</v>
      </c>
    </row>
    <row r="9" ht="16.5" customHeight="1">
      <c r="A9" s="206" t="s">
        <v>835</v>
      </c>
      <c r="B9" s="325">
        <v>1.055</v>
      </c>
    </row>
    <row r="10" ht="16.5" customHeight="1">
      <c r="A10" s="206" t="s">
        <v>836</v>
      </c>
      <c r="B10" s="325">
        <v>1.055</v>
      </c>
    </row>
    <row r="11" ht="16.5" customHeight="1">
      <c r="A11" s="206" t="s">
        <v>837</v>
      </c>
      <c r="B11" s="325">
        <v>1.055</v>
      </c>
    </row>
    <row r="12" ht="16.5" customHeight="1">
      <c r="A12" s="206" t="s">
        <v>838</v>
      </c>
      <c r="B12" s="325">
        <v>35.0</v>
      </c>
    </row>
    <row r="13" ht="16.5" customHeight="1">
      <c r="A13" s="206" t="s">
        <v>839</v>
      </c>
      <c r="B13" s="325">
        <v>30.0</v>
      </c>
    </row>
    <row r="14" ht="16.5" customHeight="1">
      <c r="A14" s="206" t="s">
        <v>840</v>
      </c>
      <c r="B14" s="326">
        <v>20.0</v>
      </c>
    </row>
    <row r="15" ht="16.5" customHeight="1">
      <c r="A15" s="206" t="s">
        <v>841</v>
      </c>
      <c r="B15" s="325">
        <v>22.0</v>
      </c>
    </row>
    <row r="16" ht="16.5" customHeight="1">
      <c r="A16" s="206" t="s">
        <v>842</v>
      </c>
      <c r="B16" s="325">
        <v>3.5</v>
      </c>
    </row>
    <row r="17" ht="16.5" customHeight="1">
      <c r="A17" s="206" t="s">
        <v>843</v>
      </c>
      <c r="B17" s="325">
        <v>7.0</v>
      </c>
    </row>
    <row r="18" ht="16.5" customHeight="1">
      <c r="A18" s="206" t="s">
        <v>844</v>
      </c>
      <c r="B18" s="325">
        <v>30.0</v>
      </c>
    </row>
    <row r="19" ht="16.5" customHeight="1">
      <c r="A19" s="206" t="s">
        <v>845</v>
      </c>
      <c r="B19" s="325">
        <v>36.0</v>
      </c>
    </row>
    <row r="20" ht="16.5" customHeight="1">
      <c r="A20" s="206" t="s">
        <v>846</v>
      </c>
      <c r="B20" s="326">
        <v>115.0</v>
      </c>
    </row>
    <row r="21" ht="16.5" customHeight="1">
      <c r="A21" s="206" t="s">
        <v>847</v>
      </c>
      <c r="B21" s="326" t="s">
        <v>848</v>
      </c>
    </row>
    <row r="22" ht="16.5" customHeight="1">
      <c r="A22" s="206" t="s">
        <v>849</v>
      </c>
      <c r="B22" s="325">
        <v>0.35</v>
      </c>
    </row>
    <row r="23" ht="16.5" customHeight="1">
      <c r="A23" s="206" t="s">
        <v>850</v>
      </c>
      <c r="B23" s="325">
        <v>0.45</v>
      </c>
    </row>
    <row r="24" ht="16.5" customHeight="1">
      <c r="A24" s="206" t="s">
        <v>851</v>
      </c>
      <c r="B24" s="325">
        <v>0.65</v>
      </c>
    </row>
    <row r="25" ht="16.5" customHeight="1">
      <c r="A25" s="206" t="s">
        <v>852</v>
      </c>
      <c r="B25" s="325">
        <v>0.85</v>
      </c>
    </row>
    <row r="26" ht="16.5" customHeight="1">
      <c r="A26" s="206" t="s">
        <v>853</v>
      </c>
      <c r="B26" s="325">
        <v>0.95</v>
      </c>
    </row>
    <row r="27" ht="16.5" customHeight="1">
      <c r="A27" s="206" t="s">
        <v>854</v>
      </c>
      <c r="B27" s="325">
        <v>1.1</v>
      </c>
    </row>
    <row r="28" ht="16.5" customHeight="1">
      <c r="A28" s="206" t="s">
        <v>855</v>
      </c>
      <c r="B28" s="325">
        <v>1.35</v>
      </c>
    </row>
    <row r="29" ht="16.5" customHeight="1">
      <c r="A29" s="206" t="s">
        <v>856</v>
      </c>
      <c r="B29" s="325">
        <v>1.55</v>
      </c>
    </row>
    <row r="30" ht="16.5" customHeight="1">
      <c r="A30" s="206" t="s">
        <v>857</v>
      </c>
      <c r="B30" s="325">
        <v>1.95</v>
      </c>
    </row>
    <row r="31" ht="16.5" customHeight="1">
      <c r="A31" s="206" t="s">
        <v>858</v>
      </c>
      <c r="B31" s="325">
        <v>0.15</v>
      </c>
    </row>
    <row r="32" ht="16.5" customHeight="1">
      <c r="A32" s="206" t="s">
        <v>859</v>
      </c>
      <c r="B32" s="325">
        <v>0.18</v>
      </c>
    </row>
    <row r="33" ht="16.5" customHeight="1">
      <c r="A33" s="206" t="s">
        <v>860</v>
      </c>
      <c r="B33" s="325">
        <v>0.12</v>
      </c>
    </row>
    <row r="34" ht="16.5" customHeight="1">
      <c r="A34" s="206" t="s">
        <v>861</v>
      </c>
      <c r="B34" s="324"/>
    </row>
    <row r="35" ht="16.5" customHeight="1">
      <c r="A35" s="206" t="s">
        <v>862</v>
      </c>
      <c r="B35" s="326" t="s">
        <v>863</v>
      </c>
    </row>
    <row r="36" ht="16.5" customHeight="1">
      <c r="A36" s="206" t="s">
        <v>864</v>
      </c>
      <c r="B36" s="325">
        <v>2.5</v>
      </c>
    </row>
    <row r="37" ht="16.5" customHeight="1">
      <c r="A37" s="206" t="s">
        <v>865</v>
      </c>
      <c r="B37" s="325">
        <v>2.0</v>
      </c>
    </row>
    <row r="38" ht="16.5" customHeight="1">
      <c r="A38" s="206" t="s">
        <v>866</v>
      </c>
      <c r="B38" s="325">
        <v>2.2</v>
      </c>
    </row>
    <row r="39" ht="16.5" customHeight="1">
      <c r="A39" s="206" t="s">
        <v>867</v>
      </c>
      <c r="B39" s="325">
        <v>1.8</v>
      </c>
    </row>
    <row r="40" ht="16.5" customHeight="1">
      <c r="A40" s="206" t="s">
        <v>868</v>
      </c>
      <c r="B40" s="325">
        <v>0.55</v>
      </c>
    </row>
    <row r="41" ht="16.5" customHeight="1">
      <c r="A41" s="206" t="s">
        <v>869</v>
      </c>
      <c r="B41" s="325">
        <v>0.48</v>
      </c>
    </row>
    <row r="42" ht="16.5" customHeight="1">
      <c r="A42" s="206" t="s">
        <v>870</v>
      </c>
      <c r="B42" s="325">
        <v>0.42</v>
      </c>
    </row>
    <row r="43" ht="16.5" customHeight="1">
      <c r="A43" s="206" t="s">
        <v>871</v>
      </c>
      <c r="B43" s="325">
        <v>0.58</v>
      </c>
    </row>
    <row r="44" ht="16.5" customHeight="1">
      <c r="A44" s="206" t="s">
        <v>872</v>
      </c>
      <c r="B44" s="325">
        <v>0.52</v>
      </c>
    </row>
    <row r="45" ht="16.5" customHeight="1">
      <c r="A45" s="206" t="s">
        <v>873</v>
      </c>
      <c r="B45" s="325">
        <v>0.52</v>
      </c>
    </row>
    <row r="46" ht="16.5" customHeight="1">
      <c r="A46" s="206" t="s">
        <v>874</v>
      </c>
      <c r="B46" s="325">
        <v>0.55</v>
      </c>
    </row>
    <row r="47" ht="16.5" customHeight="1">
      <c r="A47" s="206" t="s">
        <v>875</v>
      </c>
      <c r="B47" s="325">
        <v>0.5</v>
      </c>
    </row>
    <row r="48" ht="16.5" customHeight="1">
      <c r="A48" s="206" t="s">
        <v>876</v>
      </c>
      <c r="B48" s="325">
        <v>0.5</v>
      </c>
    </row>
    <row r="49" ht="16.5" customHeight="1">
      <c r="A49" s="206" t="s">
        <v>877</v>
      </c>
      <c r="B49" s="325">
        <v>0.62</v>
      </c>
    </row>
    <row r="50" ht="16.5" customHeight="1">
      <c r="A50" s="206" t="s">
        <v>878</v>
      </c>
      <c r="B50" s="325">
        <v>0.58</v>
      </c>
    </row>
    <row r="51" ht="16.5" customHeight="1">
      <c r="A51" s="206" t="s">
        <v>879</v>
      </c>
      <c r="B51" s="325">
        <v>0.58</v>
      </c>
    </row>
    <row r="52">
      <c r="A52" s="27" t="s">
        <v>880</v>
      </c>
      <c r="B52" s="27">
        <v>4141.0</v>
      </c>
    </row>
    <row r="53">
      <c r="A53" s="27" t="s">
        <v>881</v>
      </c>
      <c r="B53" s="27" t="s">
        <v>882</v>
      </c>
    </row>
    <row r="54">
      <c r="A54" s="27" t="s">
        <v>91</v>
      </c>
      <c r="B54" s="27" t="s">
        <v>883</v>
      </c>
    </row>
    <row r="55">
      <c r="A55" s="27" t="s">
        <v>884</v>
      </c>
      <c r="B55" s="327">
        <v>46147.0</v>
      </c>
    </row>
    <row r="56">
      <c r="A56" s="27" t="s">
        <v>885</v>
      </c>
      <c r="B56" s="327">
        <v>46147.0</v>
      </c>
    </row>
    <row r="57">
      <c r="A57" s="27" t="s">
        <v>886</v>
      </c>
      <c r="B57" s="327">
        <v>46147.0</v>
      </c>
    </row>
    <row r="58">
      <c r="A58" s="27" t="s">
        <v>887</v>
      </c>
      <c r="B58" s="327">
        <v>46147.0</v>
      </c>
    </row>
    <row r="59">
      <c r="A59" s="27" t="s">
        <v>888</v>
      </c>
      <c r="B59" s="327">
        <v>46147.0</v>
      </c>
    </row>
    <row r="60">
      <c r="A60" s="27" t="s">
        <v>889</v>
      </c>
      <c r="B60" s="327">
        <v>46147.0</v>
      </c>
    </row>
    <row r="61">
      <c r="A61" s="27" t="s">
        <v>890</v>
      </c>
      <c r="B61" s="327">
        <v>46147.0</v>
      </c>
    </row>
    <row r="62">
      <c r="A62" s="27" t="s">
        <v>891</v>
      </c>
      <c r="B62" s="27">
        <v>40.0</v>
      </c>
    </row>
    <row r="63">
      <c r="A63" s="27" t="s">
        <v>892</v>
      </c>
      <c r="B63" s="27">
        <v>55.0</v>
      </c>
    </row>
    <row r="64">
      <c r="A64" s="27" t="s">
        <v>893</v>
      </c>
      <c r="B64" s="27">
        <v>35.0</v>
      </c>
    </row>
    <row r="65">
      <c r="A65" s="27" t="s">
        <v>894</v>
      </c>
      <c r="B65" s="27">
        <v>30.0</v>
      </c>
    </row>
    <row r="66">
      <c r="A66" s="27" t="s">
        <v>895</v>
      </c>
      <c r="B66" s="27">
        <v>35.0</v>
      </c>
    </row>
    <row r="67">
      <c r="A67" s="27" t="s">
        <v>896</v>
      </c>
      <c r="B67" s="27">
        <v>36.0</v>
      </c>
    </row>
    <row r="68">
      <c r="A68" s="27" t="s">
        <v>897</v>
      </c>
      <c r="B68" s="27">
        <v>36.0</v>
      </c>
    </row>
    <row r="69">
      <c r="A69" s="27" t="s">
        <v>898</v>
      </c>
      <c r="B69" s="27">
        <v>36.0</v>
      </c>
    </row>
    <row r="70">
      <c r="A70" s="27" t="s">
        <v>899</v>
      </c>
      <c r="B70" s="27">
        <v>36.0</v>
      </c>
    </row>
    <row r="71">
      <c r="A71" s="27" t="s">
        <v>900</v>
      </c>
      <c r="B71" s="27">
        <v>36.0</v>
      </c>
    </row>
    <row r="72">
      <c r="A72" s="27" t="s">
        <v>901</v>
      </c>
      <c r="B72" s="27">
        <v>36.0</v>
      </c>
    </row>
    <row r="73">
      <c r="A73" s="27" t="s">
        <v>902</v>
      </c>
      <c r="B73" s="27">
        <v>20.0</v>
      </c>
    </row>
    <row r="74">
      <c r="A74" s="27" t="s">
        <v>903</v>
      </c>
      <c r="B74" s="27">
        <v>8.0</v>
      </c>
    </row>
    <row r="75">
      <c r="A75" s="27" t="s">
        <v>904</v>
      </c>
      <c r="B75" s="328" t="s">
        <v>905</v>
      </c>
    </row>
    <row r="76">
      <c r="A76" s="27" t="s">
        <v>906</v>
      </c>
      <c r="B76" s="27" t="s">
        <v>907</v>
      </c>
    </row>
    <row r="77">
      <c r="A77" s="27" t="s">
        <v>908</v>
      </c>
      <c r="B77" s="27" t="s">
        <v>909</v>
      </c>
    </row>
    <row r="78">
      <c r="A78" s="27" t="s">
        <v>910</v>
      </c>
      <c r="B78" s="329" t="s">
        <v>911</v>
      </c>
    </row>
  </sheetData>
  <mergeCells count="3">
    <mergeCell ref="A1:L1"/>
    <mergeCell ref="A2:L2"/>
    <mergeCell ref="A4:H4"/>
  </mergeCells>
  <hyperlinks>
    <hyperlink r:id="rId1" ref="B78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449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13"/>
    <col customWidth="1" min="2" max="2" width="27.63"/>
    <col customWidth="1" min="3" max="3" width="8.25"/>
    <col customWidth="1" min="4" max="4" width="15.13"/>
    <col customWidth="1" min="5" max="6" width="13.88"/>
    <col customWidth="1" min="7" max="7" width="12.63"/>
    <col customWidth="1" min="8" max="8" width="25.13"/>
    <col customWidth="1" min="9" max="9" width="16.38"/>
    <col customWidth="1" min="10" max="11" width="18.25"/>
  </cols>
  <sheetData>
    <row r="1" ht="25.5" customHeight="1">
      <c r="A1" s="30" t="s">
        <v>912</v>
      </c>
    </row>
    <row r="2" ht="25.5" customHeight="1">
      <c r="A2" s="182" t="s">
        <v>913</v>
      </c>
    </row>
    <row r="3" ht="21.0" customHeight="1">
      <c r="A3" s="31" t="s">
        <v>64</v>
      </c>
      <c r="B3" s="31" t="s">
        <v>77</v>
      </c>
      <c r="C3" s="31" t="s">
        <v>78</v>
      </c>
      <c r="D3" s="31" t="s">
        <v>684</v>
      </c>
      <c r="E3" s="31" t="s">
        <v>914</v>
      </c>
      <c r="F3" s="31" t="s">
        <v>915</v>
      </c>
      <c r="G3" s="31" t="s">
        <v>916</v>
      </c>
      <c r="H3" s="31" t="s">
        <v>917</v>
      </c>
      <c r="I3" s="31" t="s">
        <v>918</v>
      </c>
      <c r="J3" s="31" t="s">
        <v>919</v>
      </c>
      <c r="K3" s="31" t="s">
        <v>61</v>
      </c>
    </row>
    <row r="4" ht="15.0" customHeight="1">
      <c r="A4" s="330" t="s">
        <v>437</v>
      </c>
      <c r="B4" s="331" t="s">
        <v>438</v>
      </c>
      <c r="C4" s="196" t="s">
        <v>439</v>
      </c>
      <c r="D4" s="128" t="str">
        <f>IFERROR(INDEX(Stock!D:D,MATCH("Rillettes du Chef"&amp;"RR100-580",Stock!A:A&amp;Stock!B:B,0)),0)</f>
        <v>#ERROR!</v>
      </c>
      <c r="E4" s="128" t="str">
        <f>IFERROR(SUMPRODUCT((Ventes!E5:E504="Rillettes du Chef")*(TODAY()-Ventes!A5:A504&lt;=30)*Ventes!H5:H504),0)</f>
        <v>#ERROR!</v>
      </c>
      <c r="F4" s="332" t="str">
        <f>IFERROR(E4/30*7,"")</f>
        <v>#ERROR!</v>
      </c>
      <c r="G4" s="332" t="str">
        <f>IFERROR(IF(F4=0,"",D4/(F4/7)),"")</f>
        <v>#ERROR!</v>
      </c>
      <c r="H4" s="207"/>
      <c r="I4" s="207"/>
      <c r="J4" s="333" t="str">
        <f>IF(G4="","",IF(G4&lt;3,"URGENT",IF(G4&lt;7,"A PRODUIRE","OK")))</f>
        <v>#ERROR!</v>
      </c>
      <c r="K4" s="207"/>
    </row>
    <row r="5" ht="15.0" customHeight="1">
      <c r="A5" s="330" t="s">
        <v>443</v>
      </c>
      <c r="B5" s="334" t="s">
        <v>444</v>
      </c>
      <c r="C5" s="169" t="s">
        <v>439</v>
      </c>
      <c r="D5" s="62" t="str">
        <f>IFERROR(INDEX(Stock!D:D,MATCH("Pate du Chef"&amp;"RR100-580",Stock!A:A&amp;Stock!B:B,0)),0)</f>
        <v>#ERROR!</v>
      </c>
      <c r="E5" s="62" t="str">
        <f>IFERROR(SUMPRODUCT((Ventes!E5:E504="Pate du Chef")*(TODAY()-Ventes!A5:A504&lt;=30)*Ventes!H5:H504),0)</f>
        <v>#ERROR!</v>
      </c>
      <c r="F5" s="335" t="str">
        <f>IFERROR(E5/30*7,"")</f>
        <v>#ERROR!</v>
      </c>
      <c r="G5" s="335" t="str">
        <f>IFERROR(IF(F5=0,"",D5/(F5/7)),"")</f>
        <v>#ERROR!</v>
      </c>
      <c r="H5" s="207"/>
      <c r="I5" s="207"/>
      <c r="J5" s="333" t="str">
        <f>IF(G5="","",IF(G5&lt;3,"URGENT",IF(G5&lt;7,"A PRODUIRE","OK")))</f>
        <v>#ERROR!</v>
      </c>
      <c r="K5" s="207"/>
    </row>
    <row r="6" ht="15.0" customHeight="1">
      <c r="A6" s="336" t="s">
        <v>446</v>
      </c>
      <c r="B6" s="337" t="s">
        <v>447</v>
      </c>
      <c r="C6" s="196" t="s">
        <v>448</v>
      </c>
      <c r="D6" s="128" t="str">
        <f>IFERROR(INDEX(Stock!D:D,MATCH("Mousse du Chef"&amp;"RR100-370",Stock!A:A&amp;Stock!B:B,0)),0)</f>
        <v>#ERROR!</v>
      </c>
      <c r="E6" s="128" t="str">
        <f>IFERROR(SUMPRODUCT((Ventes!E5:E504="Mousse du Chef")*(TODAY()-Ventes!A5:A504&lt;=30)*Ventes!H5:H504),0)</f>
        <v>#ERROR!</v>
      </c>
      <c r="F6" s="332" t="str">
        <f>IFERROR(E6/30*7,"")</f>
        <v>#ERROR!</v>
      </c>
      <c r="G6" s="332" t="str">
        <f>IFERROR(IF(F6=0,"",D6/(F6/7)),"")</f>
        <v>#ERROR!</v>
      </c>
      <c r="H6" s="207"/>
      <c r="I6" s="207"/>
      <c r="J6" s="333" t="str">
        <f>IF(G6="","",IF(G6&lt;3,"URGENT",IF(G6&lt;7,"A PRODUIRE","OK")))</f>
        <v>#ERROR!</v>
      </c>
      <c r="K6" s="207"/>
    </row>
    <row r="7" ht="15.0" customHeight="1">
      <c r="A7" s="338" t="s">
        <v>450</v>
      </c>
      <c r="B7" s="339" t="s">
        <v>451</v>
      </c>
      <c r="C7" s="169" t="s">
        <v>452</v>
      </c>
      <c r="D7" s="62" t="str">
        <f>IFERROR(INDEX(Stock!D:D,MATCH("Plat Traiteur du Chef"&amp;"RR100-850",Stock!A:A&amp;Stock!B:B,0)),0)</f>
        <v>#ERROR!</v>
      </c>
      <c r="E7" s="62" t="str">
        <f>IFERROR(SUMPRODUCT((Ventes!E5:E504="Plat Traiteur du Chef")*(TODAY()-Ventes!A5:A504&lt;=30)*Ventes!H5:H504),0)</f>
        <v>#ERROR!</v>
      </c>
      <c r="F7" s="335" t="str">
        <f>IFERROR(E7/30*7,"")</f>
        <v>#ERROR!</v>
      </c>
      <c r="G7" s="335" t="str">
        <f>IFERROR(IF(F7=0,"",D7/(F7/7)),"")</f>
        <v>#ERROR!</v>
      </c>
      <c r="H7" s="207"/>
      <c r="I7" s="207"/>
      <c r="J7" s="333" t="str">
        <f>IF(G7="","",IF(G7&lt;3,"URGENT",IF(G7&lt;7,"A PRODUIRE","OK")))</f>
        <v>#ERROR!</v>
      </c>
      <c r="K7" s="207"/>
    </row>
    <row r="8" ht="15.0" customHeight="1">
      <c r="A8" s="340" t="s">
        <v>454</v>
      </c>
      <c r="B8" s="341" t="s">
        <v>455</v>
      </c>
      <c r="C8" s="196" t="s">
        <v>456</v>
      </c>
      <c r="D8" s="128" t="str">
        <f>IFERROR(INDEX(Stock!D:D,MATCH("Dessert du Chef - Creme Vanill"&amp;"RR100-290",Stock!A:A&amp;Stock!B:B,0)),0)</f>
        <v>#ERROR!</v>
      </c>
      <c r="E8" s="128" t="str">
        <f>IFERROR(SUMPRODUCT((Ventes!E5:E504="Dessert du Chef - Creme Vanill")*(TODAY()-Ventes!A5:A504&lt;=30)*Ventes!H5:H504),0)</f>
        <v>#ERROR!</v>
      </c>
      <c r="F8" s="332" t="str">
        <f>IFERROR(E8/30*7,"")</f>
        <v>#ERROR!</v>
      </c>
      <c r="G8" s="332" t="str">
        <f>IFERROR(IF(F8=0,"",D8/(F8/7)),"")</f>
        <v>#ERROR!</v>
      </c>
      <c r="H8" s="207"/>
      <c r="I8" s="207"/>
      <c r="J8" s="333" t="str">
        <f>IF(G8="","",IF(G8&lt;3,"URGENT",IF(G8&lt;7,"A PRODUIRE","OK")))</f>
        <v>#ERROR!</v>
      </c>
      <c r="K8" s="207"/>
    </row>
    <row r="9" ht="15.0" customHeight="1">
      <c r="A9" s="330" t="s">
        <v>458</v>
      </c>
      <c r="B9" s="334" t="s">
        <v>444</v>
      </c>
      <c r="C9" s="169" t="s">
        <v>439</v>
      </c>
      <c r="D9" s="62" t="str">
        <f>IFERROR(INDEX(Stock!D:D,MATCH("Pate de Campagne Maison 41"&amp;"RR100-580",Stock!A:A&amp;Stock!B:B,0)),0)</f>
        <v>#ERROR!</v>
      </c>
      <c r="E9" s="62" t="str">
        <f>IFERROR(SUMPRODUCT((Ventes!E5:E504="Pate de Campagne Maison 41")*(TODAY()-Ventes!A5:A504&lt;=30)*Ventes!H5:H504),0)</f>
        <v>#ERROR!</v>
      </c>
      <c r="F9" s="335" t="str">
        <f>IFERROR(E9/30*7,"")</f>
        <v>#ERROR!</v>
      </c>
      <c r="G9" s="335" t="str">
        <f>IFERROR(IF(F9=0,"",D9/(F9/7)),"")</f>
        <v>#ERROR!</v>
      </c>
      <c r="H9" s="207"/>
      <c r="I9" s="207"/>
      <c r="J9" s="333" t="str">
        <f>IF(G9="","",IF(G9&lt;3,"URGENT",IF(G9&lt;7,"A PRODUIRE","OK")))</f>
        <v>#ERROR!</v>
      </c>
      <c r="K9" s="207"/>
    </row>
    <row r="10" ht="15.0" customHeight="1">
      <c r="A10" s="330" t="s">
        <v>460</v>
      </c>
      <c r="B10" s="331" t="s">
        <v>444</v>
      </c>
      <c r="C10" s="196" t="s">
        <v>439</v>
      </c>
      <c r="D10" s="128" t="str">
        <f>IFERROR(INDEX(Stock!D:D,MATCH("Pate Echalote &amp; Thym Citron"&amp;"RR100-580",Stock!A:A&amp;Stock!B:B,0)),0)</f>
        <v>#ERROR!</v>
      </c>
      <c r="E10" s="128" t="str">
        <f>IFERROR(SUMPRODUCT((Ventes!E5:E504="Pate Echalote &amp; Thym Citron")*(TODAY()-Ventes!A5:A504&lt;=30)*Ventes!H5:H504),0)</f>
        <v>#ERROR!</v>
      </c>
      <c r="F10" s="332" t="str">
        <f>IFERROR(E10/30*7,"")</f>
        <v>#ERROR!</v>
      </c>
      <c r="G10" s="332" t="str">
        <f>IFERROR(IF(F10=0,"",D10/(F10/7)),"")</f>
        <v>#ERROR!</v>
      </c>
      <c r="H10" s="207"/>
      <c r="I10" s="207"/>
      <c r="J10" s="333" t="str">
        <f>IF(G10="","",IF(G10&lt;3,"URGENT",IF(G10&lt;7,"A PRODUIRE","OK")))</f>
        <v>#ERROR!</v>
      </c>
      <c r="K10" s="207"/>
    </row>
    <row r="11" ht="15.0" customHeight="1">
      <c r="A11" s="330" t="s">
        <v>462</v>
      </c>
      <c r="B11" s="334" t="s">
        <v>444</v>
      </c>
      <c r="C11" s="169" t="s">
        <v>439</v>
      </c>
      <c r="D11" s="62" t="str">
        <f>IFERROR(INDEX(Stock!D:D,MATCH("Pate Basque Piment d'Espelette"&amp;"RR100-580",Stock!A:A&amp;Stock!B:B,0)),0)</f>
        <v>#ERROR!</v>
      </c>
      <c r="E11" s="62" t="str">
        <f>IFERROR(SUMPRODUCT((Ventes!E5:E504="Pate Basque Piment d'Espelette")*(TODAY()-Ventes!A5:A504&lt;=30)*Ventes!H5:H504),0)</f>
        <v>#ERROR!</v>
      </c>
      <c r="F11" s="335" t="str">
        <f>IFERROR(E11/30*7,"")</f>
        <v>#ERROR!</v>
      </c>
      <c r="G11" s="335" t="str">
        <f>IFERROR(IF(F11=0,"",D11/(F11/7)),"")</f>
        <v>#ERROR!</v>
      </c>
      <c r="H11" s="207"/>
      <c r="I11" s="207"/>
      <c r="J11" s="333" t="str">
        <f>IF(G11="","",IF(G11&lt;3,"URGENT",IF(G11&lt;7,"A PRODUIRE","OK")))</f>
        <v>#ERROR!</v>
      </c>
      <c r="K11" s="207"/>
    </row>
    <row r="12" ht="15.0" customHeight="1">
      <c r="A12" s="330" t="s">
        <v>464</v>
      </c>
      <c r="B12" s="331" t="s">
        <v>444</v>
      </c>
      <c r="C12" s="196" t="s">
        <v>439</v>
      </c>
      <c r="D12" s="128" t="str">
        <f>IFERROR(INDEX(Stock!D:D,MATCH("Pate Pleurotes &amp; Persil Plat"&amp;"RR100-580",Stock!A:A&amp;Stock!B:B,0)),0)</f>
        <v>#ERROR!</v>
      </c>
      <c r="E12" s="128" t="str">
        <f>IFERROR(SUMPRODUCT((Ventes!E5:E504="Pate Pleurotes &amp; Persil Plat")*(TODAY()-Ventes!A5:A504&lt;=30)*Ventes!H5:H504),0)</f>
        <v>#ERROR!</v>
      </c>
      <c r="F12" s="332" t="str">
        <f>IFERROR(E12/30*7,"")</f>
        <v>#ERROR!</v>
      </c>
      <c r="G12" s="332" t="str">
        <f>IFERROR(IF(F12=0,"",D12/(F12/7)),"")</f>
        <v>#ERROR!</v>
      </c>
      <c r="H12" s="207"/>
      <c r="I12" s="207"/>
      <c r="J12" s="333" t="str">
        <f>IF(G12="","",IF(G12&lt;3,"URGENT",IF(G12&lt;7,"A PRODUIRE","OK")))</f>
        <v>#ERROR!</v>
      </c>
      <c r="K12" s="207"/>
    </row>
    <row r="13" ht="15.0" customHeight="1">
      <c r="A13" s="330" t="s">
        <v>466</v>
      </c>
      <c r="B13" s="334" t="s">
        <v>444</v>
      </c>
      <c r="C13" s="169" t="s">
        <v>439</v>
      </c>
      <c r="D13" s="62" t="str">
        <f>IFERROR(INDEX(Stock!D:D,MATCH("Pate Chataigne Ardeche"&amp;"RR100-580",Stock!A:A&amp;Stock!B:B,0)),0)</f>
        <v>#ERROR!</v>
      </c>
      <c r="E13" s="62" t="str">
        <f>IFERROR(SUMPRODUCT((Ventes!E5:E504="Pate Chataigne Ardeche")*(TODAY()-Ventes!A5:A504&lt;=30)*Ventes!H5:H504),0)</f>
        <v>#ERROR!</v>
      </c>
      <c r="F13" s="335" t="str">
        <f>IFERROR(E13/30*7,"")</f>
        <v>#ERROR!</v>
      </c>
      <c r="G13" s="335" t="str">
        <f>IFERROR(IF(F13=0,"",D13/(F13/7)),"")</f>
        <v>#ERROR!</v>
      </c>
      <c r="H13" s="207"/>
      <c r="I13" s="207"/>
      <c r="J13" s="333" t="str">
        <f>IF(G13="","",IF(G13&lt;3,"URGENT",IF(G13&lt;7,"A PRODUIRE","OK")))</f>
        <v>#ERROR!</v>
      </c>
      <c r="K13" s="207"/>
    </row>
    <row r="14" ht="15.0" customHeight="1">
      <c r="A14" s="330" t="s">
        <v>468</v>
      </c>
      <c r="B14" s="331" t="s">
        <v>444</v>
      </c>
      <c r="C14" s="196" t="s">
        <v>439</v>
      </c>
      <c r="D14" s="128" t="str">
        <f>IFERROR(INDEX(Stock!D:D,MATCH("Pate Echalotes Grises d'Anjou"&amp;"RR100-580",Stock!A:A&amp;Stock!B:B,0)),0)</f>
        <v>#ERROR!</v>
      </c>
      <c r="E14" s="128" t="str">
        <f>IFERROR(SUMPRODUCT((Ventes!E5:E504="Pate Echalotes Grises d'Anjou")*(TODAY()-Ventes!A5:A504&lt;=30)*Ventes!H5:H504),0)</f>
        <v>#ERROR!</v>
      </c>
      <c r="F14" s="332" t="str">
        <f>IFERROR(E14/30*7,"")</f>
        <v>#ERROR!</v>
      </c>
      <c r="G14" s="332" t="str">
        <f>IFERROR(IF(F14=0,"",D14/(F14/7)),"")</f>
        <v>#ERROR!</v>
      </c>
      <c r="H14" s="207"/>
      <c r="I14" s="207"/>
      <c r="J14" s="333" t="str">
        <f>IF(G14="","",IF(G14&lt;3,"URGENT",IF(G14&lt;7,"A PRODUIRE","OK")))</f>
        <v>#ERROR!</v>
      </c>
      <c r="K14" s="207"/>
    </row>
    <row r="15" ht="15.0" customHeight="1">
      <c r="A15" s="330" t="s">
        <v>470</v>
      </c>
      <c r="B15" s="334" t="s">
        <v>438</v>
      </c>
      <c r="C15" s="169" t="s">
        <v>439</v>
      </c>
      <c r="D15" s="62" t="str">
        <f>IFERROR(INDEX(Stock!D:D,MATCH("Rillettes Classiques au Thym"&amp;"RR100-580",Stock!A:A&amp;Stock!B:B,0)),0)</f>
        <v>#ERROR!</v>
      </c>
      <c r="E15" s="62" t="str">
        <f>IFERROR(SUMPRODUCT((Ventes!E5:E504="Rillettes Classiques au Thym")*(TODAY()-Ventes!A5:A504&lt;=30)*Ventes!H5:H504),0)</f>
        <v>#ERROR!</v>
      </c>
      <c r="F15" s="335" t="str">
        <f>IFERROR(E15/30*7,"")</f>
        <v>#ERROR!</v>
      </c>
      <c r="G15" s="335" t="str">
        <f>IFERROR(IF(F15=0,"",D15/(F15/7)),"")</f>
        <v>#ERROR!</v>
      </c>
      <c r="H15" s="207"/>
      <c r="I15" s="207"/>
      <c r="J15" s="333" t="str">
        <f>IF(G15="","",IF(G15&lt;3,"URGENT",IF(G15&lt;7,"A PRODUIRE","OK")))</f>
        <v>#ERROR!</v>
      </c>
      <c r="K15" s="207"/>
    </row>
    <row r="16" ht="15.0" customHeight="1">
      <c r="A16" s="330" t="s">
        <v>472</v>
      </c>
      <c r="B16" s="331" t="s">
        <v>438</v>
      </c>
      <c r="C16" s="196" t="s">
        <v>439</v>
      </c>
      <c r="D16" s="128" t="str">
        <f>IFERROR(INDEX(Stock!D:D,MATCH("Rillettes Poireaux Confits"&amp;"RR100-580",Stock!A:A&amp;Stock!B:B,0)),0)</f>
        <v>#ERROR!</v>
      </c>
      <c r="E16" s="128" t="str">
        <f>IFERROR(SUMPRODUCT((Ventes!E5:E504="Rillettes Poireaux Confits")*(TODAY()-Ventes!A5:A504&lt;=30)*Ventes!H5:H504),0)</f>
        <v>#ERROR!</v>
      </c>
      <c r="F16" s="332" t="str">
        <f>IFERROR(E16/30*7,"")</f>
        <v>#ERROR!</v>
      </c>
      <c r="G16" s="332" t="str">
        <f>IFERROR(IF(F16=0,"",D16/(F16/7)),"")</f>
        <v>#ERROR!</v>
      </c>
      <c r="H16" s="207"/>
      <c r="I16" s="207"/>
      <c r="J16" s="333" t="str">
        <f>IF(G16="","",IF(G16&lt;3,"URGENT",IF(G16&lt;7,"A PRODUIRE","OK")))</f>
        <v>#ERROR!</v>
      </c>
      <c r="K16" s="207"/>
    </row>
    <row r="17" ht="15.0" customHeight="1">
      <c r="A17" s="330" t="s">
        <v>474</v>
      </c>
      <c r="B17" s="334" t="s">
        <v>438</v>
      </c>
      <c r="C17" s="169" t="s">
        <v>448</v>
      </c>
      <c r="D17" s="62" t="str">
        <f>IFERROR(INDEX(Stock!D:D,MATCH("Rillettes Gingembre &amp; Citron"&amp;"RR100-370",Stock!A:A&amp;Stock!B:B,0)),0)</f>
        <v>#ERROR!</v>
      </c>
      <c r="E17" s="62" t="str">
        <f>IFERROR(SUMPRODUCT((Ventes!E5:E504="Rillettes Gingembre &amp; Citron")*(TODAY()-Ventes!A5:A504&lt;=30)*Ventes!H5:H504),0)</f>
        <v>#ERROR!</v>
      </c>
      <c r="F17" s="335" t="str">
        <f>IFERROR(E17/30*7,"")</f>
        <v>#ERROR!</v>
      </c>
      <c r="G17" s="335" t="str">
        <f>IFERROR(IF(F17=0,"",D17/(F17/7)),"")</f>
        <v>#ERROR!</v>
      </c>
      <c r="H17" s="207"/>
      <c r="I17" s="207"/>
      <c r="J17" s="333" t="str">
        <f>IF(G17="","",IF(G17&lt;3,"URGENT",IF(G17&lt;7,"A PRODUIRE","OK")))</f>
        <v>#ERROR!</v>
      </c>
      <c r="K17" s="207"/>
    </row>
    <row r="18" ht="15.0" customHeight="1">
      <c r="A18" s="330" t="s">
        <v>476</v>
      </c>
      <c r="B18" s="331" t="s">
        <v>438</v>
      </c>
      <c r="C18" s="196" t="s">
        <v>448</v>
      </c>
      <c r="D18" s="128" t="str">
        <f>IFERROR(INDEX(Stock!D:D,MATCH("Rillettes Poivre de Madagascar"&amp;"RR100-370",Stock!A:A&amp;Stock!B:B,0)),0)</f>
        <v>#ERROR!</v>
      </c>
      <c r="E18" s="128" t="str">
        <f>IFERROR(SUMPRODUCT((Ventes!E5:E504="Rillettes Poivre de Madagascar")*(TODAY()-Ventes!A5:A504&lt;=30)*Ventes!H5:H504),0)</f>
        <v>#ERROR!</v>
      </c>
      <c r="F18" s="332" t="str">
        <f>IFERROR(E18/30*7,"")</f>
        <v>#ERROR!</v>
      </c>
      <c r="G18" s="332" t="str">
        <f>IFERROR(IF(F18=0,"",D18/(F18/7)),"")</f>
        <v>#ERROR!</v>
      </c>
      <c r="H18" s="207"/>
      <c r="I18" s="207"/>
      <c r="J18" s="333" t="str">
        <f>IF(G18="","",IF(G18&lt;3,"URGENT",IF(G18&lt;7,"A PRODUIRE","OK")))</f>
        <v>#ERROR!</v>
      </c>
      <c r="K18" s="207"/>
    </row>
    <row r="19" ht="15.0" customHeight="1">
      <c r="A19" s="330" t="s">
        <v>478</v>
      </c>
      <c r="B19" s="334" t="s">
        <v>438</v>
      </c>
      <c r="C19" s="169" t="s">
        <v>448</v>
      </c>
      <c r="D19" s="62" t="str">
        <f>IFERROR(INDEX(Stock!D:D,MATCH("Rillettes Poireaux Confits Nord"&amp;"RR100-370",Stock!A:A&amp;Stock!B:B,0)),0)</f>
        <v>#ERROR!</v>
      </c>
      <c r="E19" s="62" t="str">
        <f>IFERROR(SUMPRODUCT((Ventes!E5:E504="Rillettes Poireaux Confits Nord")*(TODAY()-Ventes!A5:A504&lt;=30)*Ventes!H5:H504),0)</f>
        <v>#ERROR!</v>
      </c>
      <c r="F19" s="335" t="str">
        <f>IFERROR(E19/30*7,"")</f>
        <v>#ERROR!</v>
      </c>
      <c r="G19" s="335" t="str">
        <f>IFERROR(IF(F19=0,"",D19/(F19/7)),"")</f>
        <v>#ERROR!</v>
      </c>
      <c r="H19" s="207"/>
      <c r="I19" s="207"/>
      <c r="J19" s="333" t="str">
        <f>IF(G19="","",IF(G19&lt;3,"URGENT",IF(G19&lt;7,"A PRODUIRE","OK")))</f>
        <v>#ERROR!</v>
      </c>
      <c r="K19" s="207"/>
    </row>
    <row r="20" ht="15.0" customHeight="1">
      <c r="A20" s="330" t="s">
        <v>480</v>
      </c>
      <c r="B20" s="331" t="s">
        <v>438</v>
      </c>
      <c r="C20" s="196" t="s">
        <v>448</v>
      </c>
      <c r="D20" s="128" t="str">
        <f>IFERROR(INDEX(Stock!D:D,MATCH("Rillettes Curry Vert Reunion"&amp;"RR100-370",Stock!A:A&amp;Stock!B:B,0)),0)</f>
        <v>#ERROR!</v>
      </c>
      <c r="E20" s="128" t="str">
        <f>IFERROR(SUMPRODUCT((Ventes!E5:E504="Rillettes Curry Vert Reunion")*(TODAY()-Ventes!A5:A504&lt;=30)*Ventes!H5:H504),0)</f>
        <v>#ERROR!</v>
      </c>
      <c r="F20" s="332" t="str">
        <f>IFERROR(E20/30*7,"")</f>
        <v>#ERROR!</v>
      </c>
      <c r="G20" s="332" t="str">
        <f>IFERROR(IF(F20=0,"",D20/(F20/7)),"")</f>
        <v>#ERROR!</v>
      </c>
      <c r="H20" s="207"/>
      <c r="I20" s="207"/>
      <c r="J20" s="333" t="str">
        <f>IF(G20="","",IF(G20&lt;3,"URGENT",IF(G20&lt;7,"A PRODUIRE","OK")))</f>
        <v>#ERROR!</v>
      </c>
      <c r="K20" s="207"/>
    </row>
    <row r="21" ht="15.0" customHeight="1">
      <c r="A21" s="336" t="s">
        <v>482</v>
      </c>
      <c r="B21" s="342" t="s">
        <v>447</v>
      </c>
      <c r="C21" s="169" t="s">
        <v>448</v>
      </c>
      <c r="D21" s="62" t="str">
        <f>IFERROR(INDEX(Stock!D:D,MATCH("Mousse Brandade de Morue"&amp;"RR100-370",Stock!A:A&amp;Stock!B:B,0)),0)</f>
        <v>#ERROR!</v>
      </c>
      <c r="E21" s="62" t="str">
        <f>IFERROR(SUMPRODUCT((Ventes!E5:E504="Mousse Brandade de Morue")*(TODAY()-Ventes!A5:A504&lt;=30)*Ventes!H5:H504),0)</f>
        <v>#ERROR!</v>
      </c>
      <c r="F21" s="335" t="str">
        <f>IFERROR(E21/30*7,"")</f>
        <v>#ERROR!</v>
      </c>
      <c r="G21" s="335" t="str">
        <f>IFERROR(IF(F21=0,"",D21/(F21/7)),"")</f>
        <v>#ERROR!</v>
      </c>
      <c r="H21" s="207"/>
      <c r="I21" s="207"/>
      <c r="J21" s="333" t="str">
        <f>IF(G21="","",IF(G21&lt;3,"URGENT",IF(G21&lt;7,"A PRODUIRE","OK")))</f>
        <v>#ERROR!</v>
      </c>
      <c r="K21" s="207"/>
    </row>
    <row r="22" ht="15.0" customHeight="1">
      <c r="A22" s="338" t="s">
        <v>484</v>
      </c>
      <c r="B22" s="343" t="s">
        <v>451</v>
      </c>
      <c r="C22" s="196" t="s">
        <v>452</v>
      </c>
      <c r="D22" s="128" t="str">
        <f>IFERROR(INDEX(Stock!D:D,MATCH("Saucisses Lentilles Puy"&amp;"RR100-850",Stock!A:A&amp;Stock!B:B,0)),0)</f>
        <v>#ERROR!</v>
      </c>
      <c r="E22" s="128" t="str">
        <f>IFERROR(SUMPRODUCT((Ventes!E5:E504="Saucisses Lentilles Puy")*(TODAY()-Ventes!A5:A504&lt;=30)*Ventes!H5:H504),0)</f>
        <v>#ERROR!</v>
      </c>
      <c r="F22" s="332" t="str">
        <f>IFERROR(E22/30*7,"")</f>
        <v>#ERROR!</v>
      </c>
      <c r="G22" s="332" t="str">
        <f>IFERROR(IF(F22=0,"",D22/(F22/7)),"")</f>
        <v>#ERROR!</v>
      </c>
      <c r="H22" s="207"/>
      <c r="I22" s="207"/>
      <c r="J22" s="333" t="str">
        <f>IF(G22="","",IF(G22&lt;3,"URGENT",IF(G22&lt;7,"A PRODUIRE","OK")))</f>
        <v>#ERROR!</v>
      </c>
      <c r="K22" s="207"/>
    </row>
    <row r="23" ht="15.0" customHeight="1">
      <c r="A23" s="338" t="s">
        <v>486</v>
      </c>
      <c r="B23" s="339" t="s">
        <v>451</v>
      </c>
      <c r="C23" s="169" t="s">
        <v>452</v>
      </c>
      <c r="D23" s="62" t="str">
        <f>IFERROR(INDEX(Stock!D:D,MATCH("Bourguignon de Boeuf"&amp;"RR100-850",Stock!A:A&amp;Stock!B:B,0)),0)</f>
        <v>#ERROR!</v>
      </c>
      <c r="E23" s="62" t="str">
        <f>IFERROR(SUMPRODUCT((Ventes!E5:E504="Bourguignon de Boeuf")*(TODAY()-Ventes!A5:A504&lt;=30)*Ventes!H5:H504),0)</f>
        <v>#ERROR!</v>
      </c>
      <c r="F23" s="335" t="str">
        <f>IFERROR(E23/30*7,"")</f>
        <v>#ERROR!</v>
      </c>
      <c r="G23" s="335" t="str">
        <f>IFERROR(IF(F23=0,"",D23/(F23/7)),"")</f>
        <v>#ERROR!</v>
      </c>
      <c r="H23" s="207"/>
      <c r="I23" s="207"/>
      <c r="J23" s="333" t="str">
        <f>IF(G23="","",IF(G23&lt;3,"URGENT",IF(G23&lt;7,"A PRODUIRE","OK")))</f>
        <v>#ERROR!</v>
      </c>
      <c r="K23" s="207"/>
    </row>
    <row r="24" ht="15.0" customHeight="1">
      <c r="A24" s="338" t="s">
        <v>488</v>
      </c>
      <c r="B24" s="343" t="s">
        <v>451</v>
      </c>
      <c r="C24" s="196" t="s">
        <v>489</v>
      </c>
      <c r="D24" s="128" t="str">
        <f>IFERROR(INDEX(Stock!D:D,MATCH("Pot-au-Feu de Boeuf"&amp;"RR100-1050",Stock!A:A&amp;Stock!B:B,0)),0)</f>
        <v>#ERROR!</v>
      </c>
      <c r="E24" s="128" t="str">
        <f>IFERROR(SUMPRODUCT((Ventes!E5:E504="Pot-au-Feu de Boeuf")*(TODAY()-Ventes!A5:A504&lt;=30)*Ventes!H5:H504),0)</f>
        <v>#ERROR!</v>
      </c>
      <c r="F24" s="332" t="str">
        <f>IFERROR(E24/30*7,"")</f>
        <v>#ERROR!</v>
      </c>
      <c r="G24" s="332" t="str">
        <f>IFERROR(IF(F24=0,"",D24/(F24/7)),"")</f>
        <v>#ERROR!</v>
      </c>
      <c r="H24" s="207"/>
      <c r="I24" s="207"/>
      <c r="J24" s="333" t="str">
        <f>IF(G24="","",IF(G24&lt;3,"URGENT",IF(G24&lt;7,"A PRODUIRE","OK")))</f>
        <v>#ERROR!</v>
      </c>
      <c r="K24" s="207"/>
    </row>
    <row r="25" ht="15.0" customHeight="1">
      <c r="A25" s="338" t="s">
        <v>491</v>
      </c>
      <c r="B25" s="339" t="s">
        <v>451</v>
      </c>
      <c r="C25" s="169" t="s">
        <v>452</v>
      </c>
      <c r="D25" s="62" t="str">
        <f>IFERROR(INDEX(Stock!D:D,MATCH("Saute Porc &amp; Puree"&amp;"RR100-850",Stock!A:A&amp;Stock!B:B,0)),0)</f>
        <v>#ERROR!</v>
      </c>
      <c r="E25" s="62" t="str">
        <f>IFERROR(SUMPRODUCT((Ventes!E5:E504="Saute Porc &amp; Puree")*(TODAY()-Ventes!A5:A504&lt;=30)*Ventes!H5:H504),0)</f>
        <v>#ERROR!</v>
      </c>
      <c r="F25" s="335" t="str">
        <f>IFERROR(E25/30*7,"")</f>
        <v>#ERROR!</v>
      </c>
      <c r="G25" s="335" t="str">
        <f>IFERROR(IF(F25=0,"",D25/(F25/7)),"")</f>
        <v>#ERROR!</v>
      </c>
      <c r="H25" s="207"/>
      <c r="I25" s="207"/>
      <c r="J25" s="333" t="str">
        <f>IF(G25="","",IF(G25&lt;3,"URGENT",IF(G25&lt;7,"A PRODUIRE","OK")))</f>
        <v>#ERROR!</v>
      </c>
      <c r="K25" s="207"/>
    </row>
    <row r="26" ht="15.0" customHeight="1">
      <c r="A26" s="338" t="s">
        <v>493</v>
      </c>
      <c r="B26" s="343" t="s">
        <v>451</v>
      </c>
      <c r="C26" s="196" t="s">
        <v>452</v>
      </c>
      <c r="D26" s="128" t="str">
        <f>IFERROR(INDEX(Stock!D:D,MATCH("Cassoulet Maison 41"&amp;"RR100-850",Stock!A:A&amp;Stock!B:B,0)),0)</f>
        <v>#ERROR!</v>
      </c>
      <c r="E26" s="128" t="str">
        <f>IFERROR(SUMPRODUCT((Ventes!E5:E504="Cassoulet Maison 41")*(TODAY()-Ventes!A5:A504&lt;=30)*Ventes!H5:H504),0)</f>
        <v>#ERROR!</v>
      </c>
      <c r="F26" s="332" t="str">
        <f>IFERROR(E26/30*7,"")</f>
        <v>#ERROR!</v>
      </c>
      <c r="G26" s="332" t="str">
        <f>IFERROR(IF(F26=0,"",D26/(F26/7)),"")</f>
        <v>#ERROR!</v>
      </c>
      <c r="H26" s="207"/>
      <c r="I26" s="207"/>
      <c r="J26" s="333" t="str">
        <f>IF(G26="","",IF(G26&lt;3,"URGENT",IF(G26&lt;7,"A PRODUIRE","OK")))</f>
        <v>#ERROR!</v>
      </c>
      <c r="K26" s="207"/>
    </row>
    <row r="27" ht="15.0" customHeight="1">
      <c r="A27" s="344" t="s">
        <v>495</v>
      </c>
      <c r="B27" s="345" t="s">
        <v>496</v>
      </c>
      <c r="C27" s="169" t="s">
        <v>452</v>
      </c>
      <c r="D27" s="62" t="str">
        <f>IFERROR(INDEX(Stock!D:D,MATCH("Garbure Bearnaise"&amp;"RR100-850",Stock!A:A&amp;Stock!B:B,0)),0)</f>
        <v>#ERROR!</v>
      </c>
      <c r="E27" s="62" t="str">
        <f>IFERROR(SUMPRODUCT((Ventes!E5:E504="Garbure Bearnaise")*(TODAY()-Ventes!A5:A504&lt;=30)*Ventes!H5:H504),0)</f>
        <v>#ERROR!</v>
      </c>
      <c r="F27" s="335" t="str">
        <f>IFERROR(E27/30*7,"")</f>
        <v>#ERROR!</v>
      </c>
      <c r="G27" s="335" t="str">
        <f>IFERROR(IF(F27=0,"",D27/(F27/7)),"")</f>
        <v>#ERROR!</v>
      </c>
      <c r="H27" s="207"/>
      <c r="I27" s="207"/>
      <c r="J27" s="333" t="str">
        <f>IF(G27="","",IF(G27&lt;3,"URGENT",IF(G27&lt;7,"A PRODUIRE","OK")))</f>
        <v>#ERROR!</v>
      </c>
      <c r="K27" s="207"/>
    </row>
    <row r="28" ht="15.0" customHeight="1">
      <c r="A28" s="340" t="s">
        <v>498</v>
      </c>
      <c r="B28" s="341" t="s">
        <v>455</v>
      </c>
      <c r="C28" s="196" t="s">
        <v>456</v>
      </c>
      <c r="D28" s="128" t="str">
        <f>IFERROR(INDEX(Stock!D:D,MATCH("Creme Oeufs Vanille Bourbon"&amp;"RR100-290",Stock!A:A&amp;Stock!B:B,0)),0)</f>
        <v>#ERROR!</v>
      </c>
      <c r="E28" s="128" t="str">
        <f>IFERROR(SUMPRODUCT((Ventes!E5:E504="Creme Oeufs Vanille Bourbon")*(TODAY()-Ventes!A5:A504&lt;=30)*Ventes!H5:H504),0)</f>
        <v>#ERROR!</v>
      </c>
      <c r="F28" s="332" t="str">
        <f>IFERROR(E28/30*7,"")</f>
        <v>#ERROR!</v>
      </c>
      <c r="G28" s="332" t="str">
        <f>IFERROR(IF(F28=0,"",D28/(F28/7)),"")</f>
        <v>#ERROR!</v>
      </c>
      <c r="H28" s="207"/>
      <c r="I28" s="207"/>
      <c r="J28" s="333" t="str">
        <f>IF(G28="","",IF(G28&lt;3,"URGENT",IF(G28&lt;7,"A PRODUIRE","OK")))</f>
        <v>#ERROR!</v>
      </c>
      <c r="K28" s="207"/>
    </row>
    <row r="29" ht="15.0" customHeight="1">
      <c r="A29" s="340" t="s">
        <v>500</v>
      </c>
      <c r="B29" s="346" t="s">
        <v>455</v>
      </c>
      <c r="C29" s="169" t="s">
        <v>456</v>
      </c>
      <c r="D29" s="62" t="str">
        <f>IFERROR(INDEX(Stock!D:D,MATCH("Creme Chocolat Noir 70%"&amp;"RR100-290",Stock!A:A&amp;Stock!B:B,0)),0)</f>
        <v>#ERROR!</v>
      </c>
      <c r="E29" s="62" t="str">
        <f>IFERROR(SUMPRODUCT((Ventes!E5:E504="Creme Chocolat Noir 70%")*(TODAY()-Ventes!A5:A504&lt;=30)*Ventes!H5:H504),0)</f>
        <v>#ERROR!</v>
      </c>
      <c r="F29" s="335" t="str">
        <f>IFERROR(E29/30*7,"")</f>
        <v>#ERROR!</v>
      </c>
      <c r="G29" s="335" t="str">
        <f>IFERROR(IF(F29=0,"",D29/(F29/7)),"")</f>
        <v>#ERROR!</v>
      </c>
      <c r="H29" s="207"/>
      <c r="I29" s="207"/>
      <c r="J29" s="333" t="str">
        <f>IF(G29="","",IF(G29&lt;3,"URGENT",IF(G29&lt;7,"A PRODUIRE","OK")))</f>
        <v>#ERROR!</v>
      </c>
      <c r="K29" s="207"/>
    </row>
    <row r="30" ht="15.0" customHeight="1">
      <c r="A30" s="340" t="s">
        <v>502</v>
      </c>
      <c r="B30" s="341" t="s">
        <v>455</v>
      </c>
      <c r="C30" s="196" t="s">
        <v>456</v>
      </c>
      <c r="D30" s="128" t="str">
        <f>IFERROR(INDEX(Stock!D:D,MATCH("Creme Caramel Renversee"&amp;"RR100-290",Stock!A:A&amp;Stock!B:B,0)),0)</f>
        <v>#ERROR!</v>
      </c>
      <c r="E30" s="128" t="str">
        <f>IFERROR(SUMPRODUCT((Ventes!E5:E504="Creme Caramel Renversee")*(TODAY()-Ventes!A5:A504&lt;=30)*Ventes!H5:H504),0)</f>
        <v>#ERROR!</v>
      </c>
      <c r="F30" s="332" t="str">
        <f>IFERROR(E30/30*7,"")</f>
        <v>#ERROR!</v>
      </c>
      <c r="G30" s="332" t="str">
        <f>IFERROR(IF(F30=0,"",D30/(F30/7)),"")</f>
        <v>#ERROR!</v>
      </c>
      <c r="H30" s="207"/>
      <c r="I30" s="207"/>
      <c r="J30" s="333" t="str">
        <f>IF(G30="","",IF(G30&lt;3,"URGENT",IF(G30&lt;7,"A PRODUIRE","OK")))</f>
        <v>#ERROR!</v>
      </c>
      <c r="K30" s="207"/>
    </row>
    <row r="31" ht="15.0" customHeight="1">
      <c r="A31" s="340" t="s">
        <v>504</v>
      </c>
      <c r="B31" s="346" t="s">
        <v>455</v>
      </c>
      <c r="C31" s="169" t="s">
        <v>448</v>
      </c>
      <c r="D31" s="62" t="str">
        <f>IFERROR(INDEX(Stock!D:D,MATCH("Riz au Lait Cannelle &amp; Orange"&amp;"RR100-370",Stock!A:A&amp;Stock!B:B,0)),0)</f>
        <v>#ERROR!</v>
      </c>
      <c r="E31" s="62" t="str">
        <f>IFERROR(SUMPRODUCT((Ventes!E5:E504="Riz au Lait Cannelle &amp; Orange")*(TODAY()-Ventes!A5:A504&lt;=30)*Ventes!H5:H504),0)</f>
        <v>#ERROR!</v>
      </c>
      <c r="F31" s="335" t="str">
        <f>IFERROR(E31/30*7,"")</f>
        <v>#ERROR!</v>
      </c>
      <c r="G31" s="335" t="str">
        <f>IFERROR(IF(F31=0,"",D31/(F31/7)),"")</f>
        <v>#ERROR!</v>
      </c>
      <c r="H31" s="207"/>
      <c r="I31" s="207"/>
      <c r="J31" s="333" t="str">
        <f>IF(G31="","",IF(G31&lt;3,"URGENT",IF(G31&lt;7,"A PRODUIRE","OK")))</f>
        <v>#ERROR!</v>
      </c>
      <c r="K31" s="207"/>
    </row>
    <row r="32" ht="15.0" customHeight="1">
      <c r="A32" s="340" t="s">
        <v>506</v>
      </c>
      <c r="B32" s="341" t="s">
        <v>455</v>
      </c>
      <c r="C32" s="196" t="s">
        <v>448</v>
      </c>
      <c r="D32" s="128" t="str">
        <f>IFERROR(INDEX(Stock!D:D,MATCH("Far Breton aux Pruneaux"&amp;"RR100-370",Stock!A:A&amp;Stock!B:B,0)),0)</f>
        <v>#ERROR!</v>
      </c>
      <c r="E32" s="128" t="str">
        <f>IFERROR(SUMPRODUCT((Ventes!E5:E504="Far Breton aux Pruneaux")*(TODAY()-Ventes!A5:A504&lt;=30)*Ventes!H5:H504),0)</f>
        <v>#ERROR!</v>
      </c>
      <c r="F32" s="332" t="str">
        <f>IFERROR(E32/30*7,"")</f>
        <v>#ERROR!</v>
      </c>
      <c r="G32" s="332" t="str">
        <f>IFERROR(IF(F32=0,"",D32/(F32/7)),"")</f>
        <v>#ERROR!</v>
      </c>
      <c r="H32" s="207"/>
      <c r="I32" s="207"/>
      <c r="J32" s="333" t="str">
        <f>IF(G32="","",IF(G32&lt;3,"URGENT",IF(G32&lt;7,"A PRODUIRE","OK")))</f>
        <v>#ERROR!</v>
      </c>
      <c r="K32" s="207"/>
    </row>
    <row r="33" ht="15.0" customHeight="1">
      <c r="A33" s="62"/>
      <c r="B33" s="62"/>
      <c r="C33" s="62"/>
      <c r="D33" s="62"/>
      <c r="E33" s="62"/>
      <c r="F33" s="62"/>
      <c r="G33" s="335" t="str">
        <f>IFERROR(IF(F33=0,"",D33/(F33/7)),"")</f>
        <v>#ERROR!</v>
      </c>
      <c r="H33" s="62"/>
      <c r="I33" s="62"/>
      <c r="J33" s="347" t="str">
        <f>IF(G33="","",IF(G33&lt;3,"URGENT",IF(G33&lt;7,"A PRODUIRE","OK")))</f>
        <v>#ERROR!</v>
      </c>
      <c r="K33" s="62"/>
    </row>
    <row r="34" ht="15.0" customHeight="1">
      <c r="A34" s="128"/>
      <c r="B34" s="128"/>
      <c r="C34" s="128"/>
      <c r="D34" s="128"/>
      <c r="E34" s="128"/>
      <c r="F34" s="128"/>
      <c r="G34" s="332" t="str">
        <f>IFERROR(IF(F34=0,"",D34/(F34/7)),"")</f>
        <v>#ERROR!</v>
      </c>
      <c r="H34" s="128"/>
      <c r="I34" s="128"/>
      <c r="J34" s="348" t="str">
        <f>IF(G34="","",IF(G34&lt;3,"URGENT",IF(G34&lt;7,"A PRODUIRE","OK")))</f>
        <v>#ERROR!</v>
      </c>
      <c r="K34" s="128"/>
    </row>
    <row r="35" ht="15.0" customHeight="1">
      <c r="A35" s="62"/>
      <c r="B35" s="62"/>
      <c r="C35" s="62"/>
      <c r="D35" s="62"/>
      <c r="E35" s="62"/>
      <c r="F35" s="62"/>
      <c r="G35" s="335" t="str">
        <f>IFERROR(IF(F35=0,"",D35/(F35/7)),"")</f>
        <v>#ERROR!</v>
      </c>
      <c r="H35" s="62"/>
      <c r="I35" s="62"/>
      <c r="J35" s="347" t="str">
        <f>IF(G35="","",IF(G35&lt;3,"URGENT",IF(G35&lt;7,"A PRODUIRE","OK")))</f>
        <v>#ERROR!</v>
      </c>
      <c r="K35" s="62"/>
    </row>
    <row r="36" ht="15.0" customHeight="1">
      <c r="A36" s="128"/>
      <c r="B36" s="128"/>
      <c r="C36" s="128"/>
      <c r="D36" s="128"/>
      <c r="E36" s="128"/>
      <c r="F36" s="128"/>
      <c r="G36" s="332" t="str">
        <f>IFERROR(IF(F36=0,"",D36/(F36/7)),"")</f>
        <v>#ERROR!</v>
      </c>
      <c r="H36" s="128"/>
      <c r="I36" s="128"/>
      <c r="J36" s="348" t="str">
        <f>IF(G36="","",IF(G36&lt;3,"URGENT",IF(G36&lt;7,"A PRODUIRE","OK")))</f>
        <v>#ERROR!</v>
      </c>
      <c r="K36" s="128"/>
    </row>
    <row r="37" ht="15.0" customHeight="1">
      <c r="A37" s="62"/>
      <c r="B37" s="62"/>
      <c r="C37" s="62"/>
      <c r="D37" s="62"/>
      <c r="E37" s="62"/>
      <c r="F37" s="62"/>
      <c r="G37" s="335" t="str">
        <f>IFERROR(IF(F37=0,"",D37/(F37/7)),"")</f>
        <v>#ERROR!</v>
      </c>
      <c r="H37" s="62"/>
      <c r="I37" s="62"/>
      <c r="J37" s="347" t="str">
        <f>IF(G37="","",IF(G37&lt;3,"URGENT",IF(G37&lt;7,"A PRODUIRE","OK")))</f>
        <v>#ERROR!</v>
      </c>
      <c r="K37" s="62"/>
    </row>
    <row r="38" ht="15.0" customHeight="1">
      <c r="A38" s="128"/>
      <c r="B38" s="128"/>
      <c r="C38" s="128"/>
      <c r="D38" s="128"/>
      <c r="E38" s="128"/>
      <c r="F38" s="128"/>
      <c r="G38" s="332" t="str">
        <f>IFERROR(IF(F38=0,"",D38/(F38/7)),"")</f>
        <v>#ERROR!</v>
      </c>
      <c r="H38" s="128"/>
      <c r="I38" s="128"/>
      <c r="J38" s="348" t="str">
        <f>IF(G38="","",IF(G38&lt;3,"URGENT",IF(G38&lt;7,"A PRODUIRE","OK")))</f>
        <v>#ERROR!</v>
      </c>
      <c r="K38" s="128"/>
    </row>
    <row r="39" ht="15.0" customHeight="1">
      <c r="A39" s="62"/>
      <c r="B39" s="62"/>
      <c r="C39" s="62"/>
      <c r="D39" s="62"/>
      <c r="E39" s="62"/>
      <c r="F39" s="62"/>
      <c r="G39" s="335" t="str">
        <f>IFERROR(IF(F39=0,"",D39/(F39/7)),"")</f>
        <v>#ERROR!</v>
      </c>
      <c r="H39" s="62"/>
      <c r="I39" s="62"/>
      <c r="J39" s="347" t="str">
        <f>IF(G39="","",IF(G39&lt;3,"URGENT",IF(G39&lt;7,"A PRODUIRE","OK")))</f>
        <v>#ERROR!</v>
      </c>
      <c r="K39" s="62"/>
    </row>
    <row r="40" ht="15.0" customHeight="1">
      <c r="A40" s="128"/>
      <c r="B40" s="128"/>
      <c r="C40" s="128"/>
      <c r="D40" s="128"/>
      <c r="E40" s="128"/>
      <c r="F40" s="128"/>
      <c r="G40" s="332" t="str">
        <f>IFERROR(IF(F40=0,"",D40/(F40/7)),"")</f>
        <v>#ERROR!</v>
      </c>
      <c r="H40" s="128"/>
      <c r="I40" s="128"/>
      <c r="J40" s="348" t="str">
        <f>IF(G40="","",IF(G40&lt;3,"URGENT",IF(G40&lt;7,"A PRODUIRE","OK")))</f>
        <v>#ERROR!</v>
      </c>
      <c r="K40" s="128"/>
    </row>
    <row r="41" ht="15.0" customHeight="1">
      <c r="A41" s="62"/>
      <c r="B41" s="62"/>
      <c r="C41" s="62"/>
      <c r="D41" s="62"/>
      <c r="E41" s="62"/>
      <c r="F41" s="62"/>
      <c r="G41" s="335" t="str">
        <f>IFERROR(IF(F41=0,"",D41/(F41/7)),"")</f>
        <v>#ERROR!</v>
      </c>
      <c r="H41" s="62"/>
      <c r="I41" s="62"/>
      <c r="J41" s="347" t="str">
        <f>IF(G41="","",IF(G41&lt;3,"URGENT",IF(G41&lt;7,"A PRODUIRE","OK")))</f>
        <v>#ERROR!</v>
      </c>
      <c r="K41" s="62"/>
    </row>
    <row r="42" ht="15.0" customHeight="1">
      <c r="A42" s="128"/>
      <c r="B42" s="128"/>
      <c r="C42" s="128"/>
      <c r="D42" s="128"/>
      <c r="E42" s="128"/>
      <c r="F42" s="128"/>
      <c r="G42" s="332" t="str">
        <f>IFERROR(IF(F42=0,"",D42/(F42/7)),"")</f>
        <v>#ERROR!</v>
      </c>
      <c r="H42" s="128"/>
      <c r="I42" s="128"/>
      <c r="J42" s="348" t="str">
        <f>IF(G42="","",IF(G42&lt;3,"URGENT",IF(G42&lt;7,"A PRODUIRE","OK")))</f>
        <v>#ERROR!</v>
      </c>
      <c r="K42" s="128"/>
    </row>
    <row r="43" ht="15.0" customHeight="1">
      <c r="A43" s="62"/>
      <c r="B43" s="62"/>
      <c r="C43" s="62"/>
      <c r="D43" s="62"/>
      <c r="E43" s="62"/>
      <c r="F43" s="62"/>
      <c r="G43" s="335" t="str">
        <f>IFERROR(IF(F43=0,"",D43/(F43/7)),"")</f>
        <v>#ERROR!</v>
      </c>
      <c r="H43" s="62"/>
      <c r="I43" s="62"/>
      <c r="J43" s="347" t="str">
        <f>IF(G43="","",IF(G43&lt;3,"URGENT",IF(G43&lt;7,"A PRODUIRE","OK")))</f>
        <v>#ERROR!</v>
      </c>
      <c r="K43" s="62"/>
    </row>
    <row r="44" ht="15.0" customHeight="1">
      <c r="A44" s="128"/>
      <c r="B44" s="128"/>
      <c r="C44" s="128"/>
      <c r="D44" s="128"/>
      <c r="E44" s="128"/>
      <c r="F44" s="128"/>
      <c r="G44" s="332" t="str">
        <f>IFERROR(IF(F44=0,"",D44/(F44/7)),"")</f>
        <v>#ERROR!</v>
      </c>
      <c r="H44" s="128"/>
      <c r="I44" s="128"/>
      <c r="J44" s="348" t="str">
        <f>IF(G44="","",IF(G44&lt;3,"URGENT",IF(G44&lt;7,"A PRODUIRE","OK")))</f>
        <v>#ERROR!</v>
      </c>
      <c r="K44" s="128"/>
    </row>
    <row r="45" ht="15.0" customHeight="1">
      <c r="A45" s="62"/>
      <c r="B45" s="62"/>
      <c r="C45" s="62"/>
      <c r="D45" s="62"/>
      <c r="E45" s="62"/>
      <c r="F45" s="62"/>
      <c r="G45" s="335" t="str">
        <f>IFERROR(IF(F45=0,"",D45/(F45/7)),"")</f>
        <v>#ERROR!</v>
      </c>
      <c r="H45" s="62"/>
      <c r="I45" s="62"/>
      <c r="J45" s="347" t="str">
        <f>IF(G45="","",IF(G45&lt;3,"URGENT",IF(G45&lt;7,"A PRODUIRE","OK")))</f>
        <v>#ERROR!</v>
      </c>
      <c r="K45" s="62"/>
    </row>
    <row r="46" ht="15.0" customHeight="1">
      <c r="A46" s="128"/>
      <c r="B46" s="128"/>
      <c r="C46" s="128"/>
      <c r="D46" s="128"/>
      <c r="E46" s="128"/>
      <c r="F46" s="128"/>
      <c r="G46" s="332" t="str">
        <f>IFERROR(IF(F46=0,"",D46/(F46/7)),"")</f>
        <v>#ERROR!</v>
      </c>
      <c r="H46" s="128"/>
      <c r="I46" s="128"/>
      <c r="J46" s="348" t="str">
        <f>IF(G46="","",IF(G46&lt;3,"URGENT",IF(G46&lt;7,"A PRODUIRE","OK")))</f>
        <v>#ERROR!</v>
      </c>
      <c r="K46" s="128"/>
    </row>
    <row r="47" ht="15.0" customHeight="1">
      <c r="A47" s="62"/>
      <c r="B47" s="62"/>
      <c r="C47" s="62"/>
      <c r="D47" s="62"/>
      <c r="E47" s="62"/>
      <c r="F47" s="62"/>
      <c r="G47" s="335" t="str">
        <f>IFERROR(IF(F47=0,"",D47/(F47/7)),"")</f>
        <v>#ERROR!</v>
      </c>
      <c r="H47" s="62"/>
      <c r="I47" s="62"/>
      <c r="J47" s="347" t="str">
        <f>IF(G47="","",IF(G47&lt;3,"URGENT",IF(G47&lt;7,"A PRODUIRE","OK")))</f>
        <v>#ERROR!</v>
      </c>
      <c r="K47" s="62"/>
    </row>
    <row r="48" ht="15.0" customHeight="1">
      <c r="A48" s="128"/>
      <c r="B48" s="128"/>
      <c r="C48" s="128"/>
      <c r="D48" s="128"/>
      <c r="E48" s="128"/>
      <c r="F48" s="128"/>
      <c r="G48" s="332" t="str">
        <f>IFERROR(IF(F48=0,"",D48/(F48/7)),"")</f>
        <v>#ERROR!</v>
      </c>
      <c r="H48" s="128"/>
      <c r="I48" s="128"/>
      <c r="J48" s="348" t="str">
        <f>IF(G48="","",IF(G48&lt;3,"URGENT",IF(G48&lt;7,"A PRODUIRE","OK")))</f>
        <v>#ERROR!</v>
      </c>
      <c r="K48" s="128"/>
    </row>
    <row r="49" ht="15.0" customHeight="1">
      <c r="A49" s="62"/>
      <c r="B49" s="62"/>
      <c r="C49" s="62"/>
      <c r="D49" s="62"/>
      <c r="E49" s="62"/>
      <c r="F49" s="62"/>
      <c r="G49" s="335" t="str">
        <f>IFERROR(IF(F49=0,"",D49/(F49/7)),"")</f>
        <v>#ERROR!</v>
      </c>
      <c r="H49" s="62"/>
      <c r="I49" s="62"/>
      <c r="J49" s="347" t="str">
        <f>IF(G49="","",IF(G49&lt;3,"URGENT",IF(G49&lt;7,"A PRODUIRE","OK")))</f>
        <v>#ERROR!</v>
      </c>
      <c r="K49" s="62"/>
    </row>
    <row r="50" ht="15.0" customHeight="1">
      <c r="A50" s="128"/>
      <c r="B50" s="128"/>
      <c r="C50" s="128"/>
      <c r="D50" s="128"/>
      <c r="E50" s="128"/>
      <c r="F50" s="128"/>
      <c r="G50" s="332" t="str">
        <f>IFERROR(IF(F50=0,"",D50/(F50/7)),"")</f>
        <v>#ERROR!</v>
      </c>
      <c r="H50" s="128"/>
      <c r="I50" s="128"/>
      <c r="J50" s="348" t="str">
        <f>IF(G50="","",IF(G50&lt;3,"URGENT",IF(G50&lt;7,"A PRODUIRE","OK")))</f>
        <v>#ERROR!</v>
      </c>
      <c r="K50" s="128"/>
    </row>
    <row r="51" ht="15.0" customHeight="1">
      <c r="A51" s="62"/>
      <c r="B51" s="62"/>
      <c r="C51" s="62"/>
      <c r="D51" s="62"/>
      <c r="E51" s="62"/>
      <c r="F51" s="62"/>
      <c r="G51" s="335" t="str">
        <f>IFERROR(IF(F51=0,"",D51/(F51/7)),"")</f>
        <v>#ERROR!</v>
      </c>
      <c r="H51" s="62"/>
      <c r="I51" s="62"/>
      <c r="J51" s="347" t="str">
        <f>IF(G51="","",IF(G51&lt;3,"URGENT",IF(G51&lt;7,"A PRODUIRE","OK")))</f>
        <v>#ERROR!</v>
      </c>
      <c r="K51" s="62"/>
    </row>
    <row r="52" ht="15.0" customHeight="1">
      <c r="A52" s="128"/>
      <c r="B52" s="128"/>
      <c r="C52" s="128"/>
      <c r="D52" s="128"/>
      <c r="E52" s="128"/>
      <c r="F52" s="128"/>
      <c r="G52" s="332" t="str">
        <f>IFERROR(IF(F52=0,"",D52/(F52/7)),"")</f>
        <v>#ERROR!</v>
      </c>
      <c r="H52" s="128"/>
      <c r="I52" s="128"/>
      <c r="J52" s="348" t="str">
        <f>IF(G52="","",IF(G52&lt;3,"URGENT",IF(G52&lt;7,"A PRODUIRE","OK")))</f>
        <v>#ERROR!</v>
      </c>
      <c r="K52" s="128"/>
    </row>
    <row r="53" ht="15.0" customHeight="1">
      <c r="A53" s="62"/>
      <c r="B53" s="62"/>
      <c r="C53" s="62"/>
      <c r="D53" s="62"/>
      <c r="E53" s="62"/>
      <c r="F53" s="62"/>
      <c r="G53" s="335" t="str">
        <f>IFERROR(IF(F53=0,"",D53/(F53/7)),"")</f>
        <v>#ERROR!</v>
      </c>
      <c r="H53" s="62"/>
      <c r="I53" s="62"/>
      <c r="J53" s="347" t="str">
        <f>IF(G53="","",IF(G53&lt;3,"URGENT",IF(G53&lt;7,"A PRODUIRE","OK")))</f>
        <v>#ERROR!</v>
      </c>
      <c r="K53" s="62"/>
    </row>
    <row r="54" ht="15.0" customHeight="1">
      <c r="A54" s="128"/>
      <c r="B54" s="128"/>
      <c r="C54" s="128"/>
      <c r="D54" s="128"/>
      <c r="E54" s="128"/>
      <c r="F54" s="128"/>
      <c r="G54" s="332" t="str">
        <f>IFERROR(IF(F54=0,"",D54/(F54/7)),"")</f>
        <v>#ERROR!</v>
      </c>
      <c r="H54" s="128"/>
      <c r="I54" s="128"/>
      <c r="J54" s="348" t="str">
        <f>IF(G54="","",IF(G54&lt;3,"URGENT",IF(G54&lt;7,"A PRODUIRE","OK")))</f>
        <v>#ERROR!</v>
      </c>
      <c r="K54" s="128"/>
    </row>
    <row r="55" ht="15.0" customHeight="1">
      <c r="A55" s="62"/>
      <c r="B55" s="62"/>
      <c r="C55" s="62"/>
      <c r="D55" s="62"/>
      <c r="E55" s="62"/>
      <c r="F55" s="62"/>
      <c r="G55" s="335" t="str">
        <f>IFERROR(IF(F55=0,"",D55/(F55/7)),"")</f>
        <v>#ERROR!</v>
      </c>
      <c r="H55" s="62"/>
      <c r="I55" s="62"/>
      <c r="J55" s="347" t="str">
        <f>IF(G55="","",IF(G55&lt;3,"URGENT",IF(G55&lt;7,"A PRODUIRE","OK")))</f>
        <v>#ERROR!</v>
      </c>
      <c r="K55" s="62"/>
    </row>
    <row r="56" ht="15.0" customHeight="1">
      <c r="A56" s="128"/>
      <c r="B56" s="128"/>
      <c r="C56" s="128"/>
      <c r="D56" s="128"/>
      <c r="E56" s="128"/>
      <c r="F56" s="128"/>
      <c r="G56" s="332" t="str">
        <f>IFERROR(IF(F56=0,"",D56/(F56/7)),"")</f>
        <v>#ERROR!</v>
      </c>
      <c r="H56" s="128"/>
      <c r="I56" s="128"/>
      <c r="J56" s="348" t="str">
        <f>IF(G56="","",IF(G56&lt;3,"URGENT",IF(G56&lt;7,"A PRODUIRE","OK")))</f>
        <v>#ERROR!</v>
      </c>
      <c r="K56" s="128"/>
    </row>
    <row r="57" ht="15.0" customHeight="1">
      <c r="A57" s="62"/>
      <c r="B57" s="62"/>
      <c r="C57" s="62"/>
      <c r="D57" s="62"/>
      <c r="E57" s="62"/>
      <c r="F57" s="62"/>
      <c r="G57" s="335" t="str">
        <f>IFERROR(IF(F57=0,"",D57/(F57/7)),"")</f>
        <v>#ERROR!</v>
      </c>
      <c r="H57" s="62"/>
      <c r="I57" s="62"/>
      <c r="J57" s="347" t="str">
        <f>IF(G57="","",IF(G57&lt;3,"URGENT",IF(G57&lt;7,"A PRODUIRE","OK")))</f>
        <v>#ERROR!</v>
      </c>
      <c r="K57" s="62"/>
    </row>
    <row r="58" ht="15.0" customHeight="1">
      <c r="A58" s="128"/>
      <c r="B58" s="128"/>
      <c r="C58" s="128"/>
      <c r="D58" s="128"/>
      <c r="E58" s="128"/>
      <c r="F58" s="128"/>
      <c r="G58" s="332" t="str">
        <f>IFERROR(IF(F58=0,"",D58/(F58/7)),"")</f>
        <v>#ERROR!</v>
      </c>
      <c r="H58" s="128"/>
      <c r="I58" s="128"/>
      <c r="J58" s="348" t="str">
        <f>IF(G58="","",IF(G58&lt;3,"URGENT",IF(G58&lt;7,"A PRODUIRE","OK")))</f>
        <v>#ERROR!</v>
      </c>
      <c r="K58" s="128"/>
    </row>
    <row r="59" ht="15.0" customHeight="1">
      <c r="A59" s="62"/>
      <c r="B59" s="62"/>
      <c r="C59" s="62"/>
      <c r="D59" s="62"/>
      <c r="E59" s="62"/>
      <c r="F59" s="62"/>
      <c r="G59" s="335" t="str">
        <f>IFERROR(IF(F59=0,"",D59/(F59/7)),"")</f>
        <v>#ERROR!</v>
      </c>
      <c r="H59" s="62"/>
      <c r="I59" s="62"/>
      <c r="J59" s="347" t="str">
        <f>IF(G59="","",IF(G59&lt;3,"URGENT",IF(G59&lt;7,"A PRODUIRE","OK")))</f>
        <v>#ERROR!</v>
      </c>
      <c r="K59" s="62"/>
    </row>
    <row r="60" ht="15.0" customHeight="1">
      <c r="A60" s="128"/>
      <c r="B60" s="128"/>
      <c r="C60" s="128"/>
      <c r="D60" s="128"/>
      <c r="E60" s="128"/>
      <c r="F60" s="128"/>
      <c r="G60" s="332" t="str">
        <f>IFERROR(IF(F60=0,"",D60/(F60/7)),"")</f>
        <v>#ERROR!</v>
      </c>
      <c r="H60" s="128"/>
      <c r="I60" s="128"/>
      <c r="J60" s="348" t="str">
        <f>IF(G60="","",IF(G60&lt;3,"URGENT",IF(G60&lt;7,"A PRODUIRE","OK")))</f>
        <v>#ERROR!</v>
      </c>
      <c r="K60" s="128"/>
    </row>
    <row r="61" ht="15.0" customHeight="1">
      <c r="A61" s="62"/>
      <c r="B61" s="62"/>
      <c r="C61" s="62"/>
      <c r="D61" s="62"/>
      <c r="E61" s="62"/>
      <c r="F61" s="62"/>
      <c r="G61" s="335" t="str">
        <f>IFERROR(IF(F61=0,"",D61/(F61/7)),"")</f>
        <v>#ERROR!</v>
      </c>
      <c r="H61" s="62"/>
      <c r="I61" s="62"/>
      <c r="J61" s="347" t="str">
        <f>IF(G61="","",IF(G61&lt;3,"URGENT",IF(G61&lt;7,"A PRODUIRE","OK")))</f>
        <v>#ERROR!</v>
      </c>
      <c r="K61" s="62"/>
    </row>
    <row r="62" ht="15.0" customHeight="1">
      <c r="A62" s="128"/>
      <c r="B62" s="128"/>
      <c r="C62" s="128"/>
      <c r="D62" s="128"/>
      <c r="E62" s="128"/>
      <c r="F62" s="128"/>
      <c r="G62" s="332" t="str">
        <f>IFERROR(IF(F62=0,"",D62/(F62/7)),"")</f>
        <v>#ERROR!</v>
      </c>
      <c r="H62" s="128"/>
      <c r="I62" s="128"/>
      <c r="J62" s="348" t="str">
        <f>IF(G62="","",IF(G62&lt;3,"URGENT",IF(G62&lt;7,"A PRODUIRE","OK")))</f>
        <v>#ERROR!</v>
      </c>
      <c r="K62" s="128"/>
    </row>
    <row r="63" ht="15.0" customHeight="1">
      <c r="A63" s="62"/>
      <c r="B63" s="62"/>
      <c r="C63" s="62"/>
      <c r="D63" s="62"/>
      <c r="E63" s="62"/>
      <c r="F63" s="62"/>
      <c r="G63" s="335" t="str">
        <f>IFERROR(IF(F63=0,"",D63/(F63/7)),"")</f>
        <v>#ERROR!</v>
      </c>
      <c r="H63" s="62"/>
      <c r="I63" s="62"/>
      <c r="J63" s="347" t="str">
        <f>IF(G63="","",IF(G63&lt;3,"URGENT",IF(G63&lt;7,"A PRODUIRE","OK")))</f>
        <v>#ERROR!</v>
      </c>
      <c r="K63" s="62"/>
    </row>
    <row r="64" ht="15.0" customHeight="1">
      <c r="A64" s="128"/>
      <c r="B64" s="128"/>
      <c r="C64" s="128"/>
      <c r="D64" s="128"/>
      <c r="E64" s="128"/>
      <c r="F64" s="128"/>
      <c r="G64" s="332" t="str">
        <f>IFERROR(IF(F64=0,"",D64/(F64/7)),"")</f>
        <v>#ERROR!</v>
      </c>
      <c r="H64" s="128"/>
      <c r="I64" s="128"/>
      <c r="J64" s="348" t="str">
        <f>IF(G64="","",IF(G64&lt;3,"URGENT",IF(G64&lt;7,"A PRODUIRE","OK")))</f>
        <v>#ERROR!</v>
      </c>
      <c r="K64" s="128"/>
    </row>
    <row r="65" ht="15.0" customHeight="1">
      <c r="A65" s="62"/>
      <c r="B65" s="62"/>
      <c r="C65" s="62"/>
      <c r="D65" s="62"/>
      <c r="E65" s="62"/>
      <c r="F65" s="62"/>
      <c r="G65" s="335" t="str">
        <f>IFERROR(IF(F65=0,"",D65/(F65/7)),"")</f>
        <v>#ERROR!</v>
      </c>
      <c r="H65" s="62"/>
      <c r="I65" s="62"/>
      <c r="J65" s="347" t="str">
        <f>IF(G65="","",IF(G65&lt;3,"URGENT",IF(G65&lt;7,"A PRODUIRE","OK")))</f>
        <v>#ERROR!</v>
      </c>
      <c r="K65" s="62"/>
    </row>
    <row r="66" ht="15.0" customHeight="1">
      <c r="A66" s="128"/>
      <c r="B66" s="128"/>
      <c r="C66" s="128"/>
      <c r="D66" s="128"/>
      <c r="E66" s="128"/>
      <c r="F66" s="128"/>
      <c r="G66" s="332" t="str">
        <f>IFERROR(IF(F66=0,"",D66/(F66/7)),"")</f>
        <v>#ERROR!</v>
      </c>
      <c r="H66" s="128"/>
      <c r="I66" s="128"/>
      <c r="J66" s="348" t="str">
        <f>IF(G66="","",IF(G66&lt;3,"URGENT",IF(G66&lt;7,"A PRODUIRE","OK")))</f>
        <v>#ERROR!</v>
      </c>
      <c r="K66" s="128"/>
    </row>
    <row r="67" ht="15.0" customHeight="1">
      <c r="A67" s="62"/>
      <c r="B67" s="62"/>
      <c r="C67" s="62"/>
      <c r="D67" s="62"/>
      <c r="E67" s="62"/>
      <c r="F67" s="62"/>
      <c r="G67" s="335" t="str">
        <f>IFERROR(IF(F67=0,"",D67/(F67/7)),"")</f>
        <v>#ERROR!</v>
      </c>
      <c r="H67" s="62"/>
      <c r="I67" s="62"/>
      <c r="J67" s="347" t="str">
        <f>IF(G67="","",IF(G67&lt;3,"URGENT",IF(G67&lt;7,"A PRODUIRE","OK")))</f>
        <v>#ERROR!</v>
      </c>
      <c r="K67" s="62"/>
    </row>
    <row r="68" ht="15.0" customHeight="1">
      <c r="A68" s="128"/>
      <c r="B68" s="128"/>
      <c r="C68" s="128"/>
      <c r="D68" s="128"/>
      <c r="E68" s="128"/>
      <c r="F68" s="128"/>
      <c r="G68" s="332" t="str">
        <f>IFERROR(IF(F68=0,"",D68/(F68/7)),"")</f>
        <v>#ERROR!</v>
      </c>
      <c r="H68" s="128"/>
      <c r="I68" s="128"/>
      <c r="J68" s="348" t="str">
        <f>IF(G68="","",IF(G68&lt;3,"URGENT",IF(G68&lt;7,"A PRODUIRE","OK")))</f>
        <v>#ERROR!</v>
      </c>
      <c r="K68" s="128"/>
    </row>
    <row r="69" ht="15.0" customHeight="1">
      <c r="A69" s="62"/>
      <c r="B69" s="62"/>
      <c r="C69" s="62"/>
      <c r="D69" s="62"/>
      <c r="E69" s="62"/>
      <c r="F69" s="62"/>
      <c r="G69" s="335" t="str">
        <f>IFERROR(IF(F69=0,"",D69/(F69/7)),"")</f>
        <v>#ERROR!</v>
      </c>
      <c r="H69" s="62"/>
      <c r="I69" s="62"/>
      <c r="J69" s="347" t="str">
        <f>IF(G69="","",IF(G69&lt;3,"URGENT",IF(G69&lt;7,"A PRODUIRE","OK")))</f>
        <v>#ERROR!</v>
      </c>
      <c r="K69" s="62"/>
    </row>
    <row r="70" ht="15.0" customHeight="1">
      <c r="A70" s="128"/>
      <c r="B70" s="128"/>
      <c r="C70" s="128"/>
      <c r="D70" s="128"/>
      <c r="E70" s="128"/>
      <c r="F70" s="128"/>
      <c r="G70" s="332" t="str">
        <f>IFERROR(IF(F70=0,"",D70/(F70/7)),"")</f>
        <v>#ERROR!</v>
      </c>
      <c r="H70" s="128"/>
      <c r="I70" s="128"/>
      <c r="J70" s="348" t="str">
        <f>IF(G70="","",IF(G70&lt;3,"URGENT",IF(G70&lt;7,"A PRODUIRE","OK")))</f>
        <v>#ERROR!</v>
      </c>
      <c r="K70" s="128"/>
    </row>
    <row r="71" ht="15.0" customHeight="1">
      <c r="A71" s="62"/>
      <c r="B71" s="62"/>
      <c r="C71" s="62"/>
      <c r="D71" s="62"/>
      <c r="E71" s="62"/>
      <c r="F71" s="62"/>
      <c r="G71" s="335" t="str">
        <f>IFERROR(IF(F71=0,"",D71/(F71/7)),"")</f>
        <v>#ERROR!</v>
      </c>
      <c r="H71" s="62"/>
      <c r="I71" s="62"/>
      <c r="J71" s="347" t="str">
        <f>IF(G71="","",IF(G71&lt;3,"URGENT",IF(G71&lt;7,"A PRODUIRE","OK")))</f>
        <v>#ERROR!</v>
      </c>
      <c r="K71" s="62"/>
    </row>
    <row r="72" ht="15.0" customHeight="1">
      <c r="A72" s="128"/>
      <c r="B72" s="128"/>
      <c r="C72" s="128"/>
      <c r="D72" s="128"/>
      <c r="E72" s="128"/>
      <c r="F72" s="128"/>
      <c r="G72" s="332" t="str">
        <f>IFERROR(IF(F72=0,"",D72/(F72/7)),"")</f>
        <v>#ERROR!</v>
      </c>
      <c r="H72" s="128"/>
      <c r="I72" s="128"/>
      <c r="J72" s="348" t="str">
        <f>IF(G72="","",IF(G72&lt;3,"URGENT",IF(G72&lt;7,"A PRODUIRE","OK")))</f>
        <v>#ERROR!</v>
      </c>
      <c r="K72" s="128"/>
    </row>
    <row r="73" ht="15.0" customHeight="1">
      <c r="A73" s="62"/>
      <c r="B73" s="62"/>
      <c r="C73" s="62"/>
      <c r="D73" s="62"/>
      <c r="E73" s="62"/>
      <c r="F73" s="62"/>
      <c r="G73" s="335" t="str">
        <f>IFERROR(IF(F73=0,"",D73/(F73/7)),"")</f>
        <v>#ERROR!</v>
      </c>
      <c r="H73" s="62"/>
      <c r="I73" s="62"/>
      <c r="J73" s="347" t="str">
        <f>IF(G73="","",IF(G73&lt;3,"URGENT",IF(G73&lt;7,"A PRODUIRE","OK")))</f>
        <v>#ERROR!</v>
      </c>
      <c r="K73" s="62"/>
    </row>
    <row r="74" ht="15.0" customHeight="1">
      <c r="A74" s="128"/>
      <c r="B74" s="128"/>
      <c r="C74" s="128"/>
      <c r="D74" s="128"/>
      <c r="E74" s="128"/>
      <c r="F74" s="128"/>
      <c r="G74" s="332" t="str">
        <f>IFERROR(IF(F74=0,"",D74/(F74/7)),"")</f>
        <v>#ERROR!</v>
      </c>
      <c r="H74" s="128"/>
      <c r="I74" s="128"/>
      <c r="J74" s="348" t="str">
        <f>IF(G74="","",IF(G74&lt;3,"URGENT",IF(G74&lt;7,"A PRODUIRE","OK")))</f>
        <v>#ERROR!</v>
      </c>
      <c r="K74" s="128"/>
    </row>
    <row r="75" ht="15.0" customHeight="1">
      <c r="A75" s="62"/>
      <c r="B75" s="62"/>
      <c r="C75" s="62"/>
      <c r="D75" s="62"/>
      <c r="E75" s="62"/>
      <c r="F75" s="62"/>
      <c r="G75" s="335" t="str">
        <f>IFERROR(IF(F75=0,"",D75/(F75/7)),"")</f>
        <v>#ERROR!</v>
      </c>
      <c r="H75" s="62"/>
      <c r="I75" s="62"/>
      <c r="J75" s="347" t="str">
        <f>IF(G75="","",IF(G75&lt;3,"URGENT",IF(G75&lt;7,"A PRODUIRE","OK")))</f>
        <v>#ERROR!</v>
      </c>
      <c r="K75" s="62"/>
    </row>
    <row r="76" ht="15.0" customHeight="1">
      <c r="A76" s="128"/>
      <c r="B76" s="128"/>
      <c r="C76" s="128"/>
      <c r="D76" s="128"/>
      <c r="E76" s="128"/>
      <c r="F76" s="128"/>
      <c r="G76" s="332" t="str">
        <f>IFERROR(IF(F76=0,"",D76/(F76/7)),"")</f>
        <v>#ERROR!</v>
      </c>
      <c r="H76" s="128"/>
      <c r="I76" s="128"/>
      <c r="J76" s="348" t="str">
        <f>IF(G76="","",IF(G76&lt;3,"URGENT",IF(G76&lt;7,"A PRODUIRE","OK")))</f>
        <v>#ERROR!</v>
      </c>
      <c r="K76" s="128"/>
    </row>
    <row r="77" ht="15.0" customHeight="1">
      <c r="A77" s="62"/>
      <c r="B77" s="62"/>
      <c r="C77" s="62"/>
      <c r="D77" s="62"/>
      <c r="E77" s="62"/>
      <c r="F77" s="62"/>
      <c r="G77" s="335" t="str">
        <f>IFERROR(IF(F77=0,"",D77/(F77/7)),"")</f>
        <v>#ERROR!</v>
      </c>
      <c r="H77" s="62"/>
      <c r="I77" s="62"/>
      <c r="J77" s="347" t="str">
        <f>IF(G77="","",IF(G77&lt;3,"URGENT",IF(G77&lt;7,"A PRODUIRE","OK")))</f>
        <v>#ERROR!</v>
      </c>
      <c r="K77" s="62"/>
    </row>
    <row r="78" ht="15.0" customHeight="1">
      <c r="A78" s="128"/>
      <c r="B78" s="128"/>
      <c r="C78" s="128"/>
      <c r="D78" s="128"/>
      <c r="E78" s="128"/>
      <c r="F78" s="128"/>
      <c r="G78" s="332" t="str">
        <f>IFERROR(IF(F78=0,"",D78/(F78/7)),"")</f>
        <v>#ERROR!</v>
      </c>
      <c r="H78" s="128"/>
      <c r="I78" s="128"/>
      <c r="J78" s="348" t="str">
        <f>IF(G78="","",IF(G78&lt;3,"URGENT",IF(G78&lt;7,"A PRODUIRE","OK")))</f>
        <v>#ERROR!</v>
      </c>
      <c r="K78" s="128"/>
    </row>
    <row r="79" ht="15.0" customHeight="1">
      <c r="A79" s="62"/>
      <c r="B79" s="62"/>
      <c r="C79" s="62"/>
      <c r="D79" s="62"/>
      <c r="E79" s="62"/>
      <c r="F79" s="62"/>
      <c r="G79" s="335" t="str">
        <f>IFERROR(IF(F79=0,"",D79/(F79/7)),"")</f>
        <v>#ERROR!</v>
      </c>
      <c r="H79" s="62"/>
      <c r="I79" s="62"/>
      <c r="J79" s="347" t="str">
        <f>IF(G79="","",IF(G79&lt;3,"URGENT",IF(G79&lt;7,"A PRODUIRE","OK")))</f>
        <v>#ERROR!</v>
      </c>
      <c r="K79" s="62"/>
    </row>
    <row r="80" ht="15.0" customHeight="1">
      <c r="A80" s="128"/>
      <c r="B80" s="128"/>
      <c r="C80" s="128"/>
      <c r="D80" s="128"/>
      <c r="E80" s="128"/>
      <c r="F80" s="128"/>
      <c r="G80" s="332" t="str">
        <f>IFERROR(IF(F80=0,"",D80/(F80/7)),"")</f>
        <v>#ERROR!</v>
      </c>
      <c r="H80" s="128"/>
      <c r="I80" s="128"/>
      <c r="J80" s="348" t="str">
        <f>IF(G80="","",IF(G80&lt;3,"URGENT",IF(G80&lt;7,"A PRODUIRE","OK")))</f>
        <v>#ERROR!</v>
      </c>
      <c r="K80" s="128"/>
    </row>
    <row r="81" ht="15.0" customHeight="1">
      <c r="A81" s="62"/>
      <c r="B81" s="62"/>
      <c r="C81" s="62"/>
      <c r="D81" s="62"/>
      <c r="E81" s="62"/>
      <c r="F81" s="62"/>
      <c r="G81" s="335" t="str">
        <f>IFERROR(IF(F81=0,"",D81/(F81/7)),"")</f>
        <v>#ERROR!</v>
      </c>
      <c r="H81" s="62"/>
      <c r="I81" s="62"/>
      <c r="J81" s="347" t="str">
        <f>IF(G81="","",IF(G81&lt;3,"URGENT",IF(G81&lt;7,"A PRODUIRE","OK")))</f>
        <v>#ERROR!</v>
      </c>
      <c r="K81" s="62"/>
    </row>
    <row r="82" ht="15.0" customHeight="1">
      <c r="A82" s="128"/>
      <c r="B82" s="128"/>
      <c r="C82" s="128"/>
      <c r="D82" s="128"/>
      <c r="E82" s="128"/>
      <c r="F82" s="128"/>
      <c r="G82" s="332" t="str">
        <f>IFERROR(IF(F82=0,"",D82/(F82/7)),"")</f>
        <v>#ERROR!</v>
      </c>
      <c r="H82" s="128"/>
      <c r="I82" s="128"/>
      <c r="J82" s="348" t="str">
        <f>IF(G82="","",IF(G82&lt;3,"URGENT",IF(G82&lt;7,"A PRODUIRE","OK")))</f>
        <v>#ERROR!</v>
      </c>
      <c r="K82" s="128"/>
    </row>
    <row r="83" ht="15.0" customHeight="1">
      <c r="A83" s="62"/>
      <c r="B83" s="62"/>
      <c r="C83" s="62"/>
      <c r="D83" s="62"/>
      <c r="E83" s="62"/>
      <c r="F83" s="62"/>
      <c r="G83" s="335" t="str">
        <f>IFERROR(IF(F83=0,"",D83/(F83/7)),"")</f>
        <v>#ERROR!</v>
      </c>
      <c r="H83" s="62"/>
      <c r="I83" s="62"/>
      <c r="J83" s="347" t="str">
        <f>IF(G83="","",IF(G83&lt;3,"URGENT",IF(G83&lt;7,"A PRODUIRE","OK")))</f>
        <v>#ERROR!</v>
      </c>
      <c r="K83" s="62"/>
    </row>
    <row r="84" ht="15.0" customHeight="1">
      <c r="A84" s="128"/>
      <c r="B84" s="128"/>
      <c r="C84" s="128"/>
      <c r="D84" s="128"/>
      <c r="E84" s="128"/>
      <c r="F84" s="128"/>
      <c r="G84" s="332" t="str">
        <f>IFERROR(IF(F84=0,"",D84/(F84/7)),"")</f>
        <v>#ERROR!</v>
      </c>
      <c r="H84" s="128"/>
      <c r="I84" s="128"/>
      <c r="J84" s="348" t="str">
        <f>IF(G84="","",IF(G84&lt;3,"URGENT",IF(G84&lt;7,"A PRODUIRE","OK")))</f>
        <v>#ERROR!</v>
      </c>
      <c r="K84" s="128"/>
    </row>
    <row r="85" ht="15.0" customHeight="1">
      <c r="A85" s="62"/>
      <c r="B85" s="62"/>
      <c r="C85" s="62"/>
      <c r="D85" s="62"/>
      <c r="E85" s="62"/>
      <c r="F85" s="62"/>
      <c r="G85" s="335" t="str">
        <f>IFERROR(IF(F85=0,"",D85/(F85/7)),"")</f>
        <v>#ERROR!</v>
      </c>
      <c r="H85" s="62"/>
      <c r="I85" s="62"/>
      <c r="J85" s="347" t="str">
        <f>IF(G85="","",IF(G85&lt;3,"URGENT",IF(G85&lt;7,"A PRODUIRE","OK")))</f>
        <v>#ERROR!</v>
      </c>
      <c r="K85" s="62"/>
    </row>
    <row r="86" ht="15.0" customHeight="1">
      <c r="A86" s="128"/>
      <c r="B86" s="128"/>
      <c r="C86" s="128"/>
      <c r="D86" s="128"/>
      <c r="E86" s="128"/>
      <c r="F86" s="128"/>
      <c r="G86" s="332" t="str">
        <f>IFERROR(IF(F86=0,"",D86/(F86/7)),"")</f>
        <v>#ERROR!</v>
      </c>
      <c r="H86" s="128"/>
      <c r="I86" s="128"/>
      <c r="J86" s="348" t="str">
        <f>IF(G86="","",IF(G86&lt;3,"URGENT",IF(G86&lt;7,"A PRODUIRE","OK")))</f>
        <v>#ERROR!</v>
      </c>
      <c r="K86" s="128"/>
    </row>
    <row r="87" ht="15.0" customHeight="1">
      <c r="A87" s="62"/>
      <c r="B87" s="62"/>
      <c r="C87" s="62"/>
      <c r="D87" s="62"/>
      <c r="E87" s="62"/>
      <c r="F87" s="62"/>
      <c r="G87" s="335" t="str">
        <f>IFERROR(IF(F87=0,"",D87/(F87/7)),"")</f>
        <v>#ERROR!</v>
      </c>
      <c r="H87" s="62"/>
      <c r="I87" s="62"/>
      <c r="J87" s="347" t="str">
        <f>IF(G87="","",IF(G87&lt;3,"URGENT",IF(G87&lt;7,"A PRODUIRE","OK")))</f>
        <v>#ERROR!</v>
      </c>
      <c r="K87" s="62"/>
    </row>
    <row r="88" ht="15.0" customHeight="1">
      <c r="A88" s="128"/>
      <c r="B88" s="128"/>
      <c r="C88" s="128"/>
      <c r="D88" s="128"/>
      <c r="E88" s="128"/>
      <c r="F88" s="128"/>
      <c r="G88" s="332" t="str">
        <f>IFERROR(IF(F88=0,"",D88/(F88/7)),"")</f>
        <v>#ERROR!</v>
      </c>
      <c r="H88" s="128"/>
      <c r="I88" s="128"/>
      <c r="J88" s="348" t="str">
        <f>IF(G88="","",IF(G88&lt;3,"URGENT",IF(G88&lt;7,"A PRODUIRE","OK")))</f>
        <v>#ERROR!</v>
      </c>
      <c r="K88" s="128"/>
    </row>
    <row r="89" ht="15.0" customHeight="1">
      <c r="A89" s="62"/>
      <c r="B89" s="62"/>
      <c r="C89" s="62"/>
      <c r="D89" s="62"/>
      <c r="E89" s="62"/>
      <c r="F89" s="62"/>
      <c r="G89" s="335" t="str">
        <f>IFERROR(IF(F89=0,"",D89/(F89/7)),"")</f>
        <v>#ERROR!</v>
      </c>
      <c r="H89" s="62"/>
      <c r="I89" s="62"/>
      <c r="J89" s="347" t="str">
        <f>IF(G89="","",IF(G89&lt;3,"URGENT",IF(G89&lt;7,"A PRODUIRE","OK")))</f>
        <v>#ERROR!</v>
      </c>
      <c r="K89" s="62"/>
    </row>
    <row r="90" ht="15.0" customHeight="1">
      <c r="A90" s="128"/>
      <c r="B90" s="128"/>
      <c r="C90" s="128"/>
      <c r="D90" s="128"/>
      <c r="E90" s="128"/>
      <c r="F90" s="128"/>
      <c r="G90" s="332" t="str">
        <f>IFERROR(IF(F90=0,"",D90/(F90/7)),"")</f>
        <v>#ERROR!</v>
      </c>
      <c r="H90" s="128"/>
      <c r="I90" s="128"/>
      <c r="J90" s="348" t="str">
        <f>IF(G90="","",IF(G90&lt;3,"URGENT",IF(G90&lt;7,"A PRODUIRE","OK")))</f>
        <v>#ERROR!</v>
      </c>
      <c r="K90" s="128"/>
    </row>
    <row r="91" ht="15.0" customHeight="1">
      <c r="A91" s="62"/>
      <c r="B91" s="62"/>
      <c r="C91" s="62"/>
      <c r="D91" s="62"/>
      <c r="E91" s="62"/>
      <c r="F91" s="62"/>
      <c r="G91" s="335" t="str">
        <f>IFERROR(IF(F91=0,"",D91/(F91/7)),"")</f>
        <v>#ERROR!</v>
      </c>
      <c r="H91" s="62"/>
      <c r="I91" s="62"/>
      <c r="J91" s="347" t="str">
        <f>IF(G91="","",IF(G91&lt;3,"URGENT",IF(G91&lt;7,"A PRODUIRE","OK")))</f>
        <v>#ERROR!</v>
      </c>
      <c r="K91" s="62"/>
    </row>
    <row r="92" ht="15.0" customHeight="1">
      <c r="A92" s="128"/>
      <c r="B92" s="128"/>
      <c r="C92" s="128"/>
      <c r="D92" s="128"/>
      <c r="E92" s="128"/>
      <c r="F92" s="128"/>
      <c r="G92" s="332" t="str">
        <f>IFERROR(IF(F92=0,"",D92/(F92/7)),"")</f>
        <v>#ERROR!</v>
      </c>
      <c r="H92" s="128"/>
      <c r="I92" s="128"/>
      <c r="J92" s="348" t="str">
        <f>IF(G92="","",IF(G92&lt;3,"URGENT",IF(G92&lt;7,"A PRODUIRE","OK")))</f>
        <v>#ERROR!</v>
      </c>
      <c r="K92" s="128"/>
    </row>
    <row r="93" ht="15.0" customHeight="1">
      <c r="A93" s="62"/>
      <c r="B93" s="62"/>
      <c r="C93" s="62"/>
      <c r="D93" s="62"/>
      <c r="E93" s="62"/>
      <c r="F93" s="62"/>
      <c r="G93" s="335" t="str">
        <f>IFERROR(IF(F93=0,"",D93/(F93/7)),"")</f>
        <v>#ERROR!</v>
      </c>
      <c r="H93" s="62"/>
      <c r="I93" s="62"/>
      <c r="J93" s="347" t="str">
        <f>IF(G93="","",IF(G93&lt;3,"URGENT",IF(G93&lt;7,"A PRODUIRE","OK")))</f>
        <v>#ERROR!</v>
      </c>
      <c r="K93" s="62"/>
    </row>
    <row r="94" ht="15.0" customHeight="1">
      <c r="A94" s="128"/>
      <c r="B94" s="128"/>
      <c r="C94" s="128"/>
      <c r="D94" s="128"/>
      <c r="E94" s="128"/>
      <c r="F94" s="128"/>
      <c r="G94" s="332" t="str">
        <f>IFERROR(IF(F94=0,"",D94/(F94/7)),"")</f>
        <v>#ERROR!</v>
      </c>
      <c r="H94" s="128"/>
      <c r="I94" s="128"/>
      <c r="J94" s="348" t="str">
        <f>IF(G94="","",IF(G94&lt;3,"URGENT",IF(G94&lt;7,"A PRODUIRE","OK")))</f>
        <v>#ERROR!</v>
      </c>
      <c r="K94" s="128"/>
    </row>
    <row r="95" ht="15.0" customHeight="1">
      <c r="A95" s="62"/>
      <c r="B95" s="62"/>
      <c r="C95" s="62"/>
      <c r="D95" s="62"/>
      <c r="E95" s="62"/>
      <c r="F95" s="62"/>
      <c r="G95" s="335" t="str">
        <f>IFERROR(IF(F95=0,"",D95/(F95/7)),"")</f>
        <v>#ERROR!</v>
      </c>
      <c r="H95" s="62"/>
      <c r="I95" s="62"/>
      <c r="J95" s="347" t="str">
        <f>IF(G95="","",IF(G95&lt;3,"URGENT",IF(G95&lt;7,"A PRODUIRE","OK")))</f>
        <v>#ERROR!</v>
      </c>
      <c r="K95" s="62"/>
    </row>
    <row r="96" ht="15.0" customHeight="1">
      <c r="A96" s="128"/>
      <c r="B96" s="128"/>
      <c r="C96" s="128"/>
      <c r="D96" s="128"/>
      <c r="E96" s="128"/>
      <c r="F96" s="128"/>
      <c r="G96" s="332" t="str">
        <f>IFERROR(IF(F96=0,"",D96/(F96/7)),"")</f>
        <v>#ERROR!</v>
      </c>
      <c r="H96" s="128"/>
      <c r="I96" s="128"/>
      <c r="J96" s="348" t="str">
        <f>IF(G96="","",IF(G96&lt;3,"URGENT",IF(G96&lt;7,"A PRODUIRE","OK")))</f>
        <v>#ERROR!</v>
      </c>
      <c r="K96" s="128"/>
    </row>
    <row r="97" ht="15.0" customHeight="1">
      <c r="A97" s="62"/>
      <c r="B97" s="62"/>
      <c r="C97" s="62"/>
      <c r="D97" s="62"/>
      <c r="E97" s="62"/>
      <c r="F97" s="62"/>
      <c r="G97" s="335" t="str">
        <f>IFERROR(IF(F97=0,"",D97/(F97/7)),"")</f>
        <v>#ERROR!</v>
      </c>
      <c r="H97" s="62"/>
      <c r="I97" s="62"/>
      <c r="J97" s="347" t="str">
        <f>IF(G97="","",IF(G97&lt;3,"URGENT",IF(G97&lt;7,"A PRODUIRE","OK")))</f>
        <v>#ERROR!</v>
      </c>
      <c r="K97" s="62"/>
    </row>
    <row r="98" ht="15.0" customHeight="1">
      <c r="A98" s="128"/>
      <c r="B98" s="128"/>
      <c r="C98" s="128"/>
      <c r="D98" s="128"/>
      <c r="E98" s="128"/>
      <c r="F98" s="128"/>
      <c r="G98" s="332" t="str">
        <f>IFERROR(IF(F98=0,"",D98/(F98/7)),"")</f>
        <v>#ERROR!</v>
      </c>
      <c r="H98" s="128"/>
      <c r="I98" s="128"/>
      <c r="J98" s="348" t="str">
        <f>IF(G98="","",IF(G98&lt;3,"URGENT",IF(G98&lt;7,"A PRODUIRE","OK")))</f>
        <v>#ERROR!</v>
      </c>
      <c r="K98" s="128"/>
    </row>
    <row r="99" ht="15.0" customHeight="1">
      <c r="A99" s="62"/>
      <c r="B99" s="62"/>
      <c r="C99" s="62"/>
      <c r="D99" s="62"/>
      <c r="E99" s="62"/>
      <c r="F99" s="62"/>
      <c r="G99" s="335" t="str">
        <f>IFERROR(IF(F99=0,"",D99/(F99/7)),"")</f>
        <v>#ERROR!</v>
      </c>
      <c r="H99" s="62"/>
      <c r="I99" s="62"/>
      <c r="J99" s="347" t="str">
        <f>IF(G99="","",IF(G99&lt;3,"URGENT",IF(G99&lt;7,"A PRODUIRE","OK")))</f>
        <v>#ERROR!</v>
      </c>
      <c r="K99" s="62"/>
    </row>
    <row r="100" ht="15.0" customHeight="1">
      <c r="A100" s="128"/>
      <c r="B100" s="128"/>
      <c r="C100" s="128"/>
      <c r="D100" s="128"/>
      <c r="E100" s="128"/>
      <c r="F100" s="128"/>
      <c r="G100" s="332" t="str">
        <f>IFERROR(IF(F100=0,"",D100/(F100/7)),"")</f>
        <v>#ERROR!</v>
      </c>
      <c r="H100" s="128"/>
      <c r="I100" s="128"/>
      <c r="J100" s="348" t="str">
        <f>IF(G100="","",IF(G100&lt;3,"URGENT",IF(G100&lt;7,"A PRODUIRE","OK")))</f>
        <v>#ERROR!</v>
      </c>
      <c r="K100" s="128"/>
    </row>
    <row r="101" ht="15.0" customHeight="1">
      <c r="A101" s="62"/>
      <c r="B101" s="62"/>
      <c r="C101" s="62"/>
      <c r="D101" s="62"/>
      <c r="E101" s="62"/>
      <c r="F101" s="62"/>
      <c r="G101" s="335" t="str">
        <f>IFERROR(IF(F101=0,"",D101/(F101/7)),"")</f>
        <v>#ERROR!</v>
      </c>
      <c r="H101" s="62"/>
      <c r="I101" s="62"/>
      <c r="J101" s="347" t="str">
        <f>IF(G101="","",IF(G101&lt;3,"URGENT",IF(G101&lt;7,"A PRODUIRE","OK")))</f>
        <v>#ERROR!</v>
      </c>
      <c r="K101" s="62"/>
    </row>
    <row r="102" ht="15.0" customHeight="1">
      <c r="A102" s="128"/>
      <c r="B102" s="128"/>
      <c r="C102" s="128"/>
      <c r="D102" s="128"/>
      <c r="E102" s="128"/>
      <c r="F102" s="128"/>
      <c r="G102" s="332" t="str">
        <f>IFERROR(IF(F102=0,"",D102/(F102/7)),"")</f>
        <v>#ERROR!</v>
      </c>
      <c r="H102" s="128"/>
      <c r="I102" s="128"/>
      <c r="J102" s="348" t="str">
        <f>IF(G102="","",IF(G102&lt;3,"URGENT",IF(G102&lt;7,"A PRODUIRE","OK")))</f>
        <v>#ERROR!</v>
      </c>
      <c r="K102" s="128"/>
    </row>
    <row r="103" ht="15.0" customHeight="1">
      <c r="A103" s="62"/>
      <c r="B103" s="62"/>
      <c r="C103" s="62"/>
      <c r="D103" s="62"/>
      <c r="E103" s="62"/>
      <c r="F103" s="62"/>
      <c r="G103" s="335" t="str">
        <f>IFERROR(IF(F103=0,"",D103/(F103/7)),"")</f>
        <v>#ERROR!</v>
      </c>
      <c r="H103" s="62"/>
      <c r="I103" s="62"/>
      <c r="J103" s="347" t="str">
        <f>IF(G103="","",IF(G103&lt;3,"URGENT",IF(G103&lt;7,"A PRODUIRE","OK")))</f>
        <v>#ERROR!</v>
      </c>
      <c r="K103" s="62"/>
    </row>
    <row r="104" ht="15.0" customHeight="1">
      <c r="A104" s="128"/>
      <c r="B104" s="128"/>
      <c r="C104" s="128"/>
      <c r="D104" s="128"/>
      <c r="E104" s="128"/>
      <c r="F104" s="128"/>
      <c r="G104" s="332" t="str">
        <f>IFERROR(IF(F104=0,"",D104/(F104/7)),"")</f>
        <v>#ERROR!</v>
      </c>
      <c r="H104" s="128"/>
      <c r="I104" s="128"/>
      <c r="J104" s="348" t="str">
        <f>IF(G104="","",IF(G104&lt;3,"URGENT",IF(G104&lt;7,"A PRODUIRE","OK")))</f>
        <v>#ERROR!</v>
      </c>
      <c r="K104" s="128"/>
    </row>
    <row r="105" ht="15.0" customHeight="1">
      <c r="A105" s="62"/>
      <c r="B105" s="62"/>
      <c r="C105" s="62"/>
      <c r="D105" s="62"/>
      <c r="E105" s="62"/>
      <c r="F105" s="62"/>
      <c r="G105" s="335" t="str">
        <f>IFERROR(IF(F105=0,"",D105/(F105/7)),"")</f>
        <v>#ERROR!</v>
      </c>
      <c r="H105" s="62"/>
      <c r="I105" s="62"/>
      <c r="J105" s="347" t="str">
        <f>IF(G105="","",IF(G105&lt;3,"URGENT",IF(G105&lt;7,"A PRODUIRE","OK")))</f>
        <v>#ERROR!</v>
      </c>
      <c r="K105" s="62"/>
    </row>
    <row r="106" ht="15.0" customHeight="1">
      <c r="A106" s="128"/>
      <c r="B106" s="128"/>
      <c r="C106" s="128"/>
      <c r="D106" s="128"/>
      <c r="E106" s="128"/>
      <c r="F106" s="128"/>
      <c r="G106" s="332" t="str">
        <f>IFERROR(IF(F106=0,"",D106/(F106/7)),"")</f>
        <v>#ERROR!</v>
      </c>
      <c r="H106" s="128"/>
      <c r="I106" s="128"/>
      <c r="J106" s="348" t="str">
        <f>IF(G106="","",IF(G106&lt;3,"URGENT",IF(G106&lt;7,"A PRODUIRE","OK")))</f>
        <v>#ERROR!</v>
      </c>
      <c r="K106" s="128"/>
    </row>
    <row r="107" ht="15.0" customHeight="1">
      <c r="A107" s="62"/>
      <c r="B107" s="62"/>
      <c r="C107" s="62"/>
      <c r="D107" s="62"/>
      <c r="E107" s="62"/>
      <c r="F107" s="62"/>
      <c r="G107" s="335" t="str">
        <f>IFERROR(IF(F107=0,"",D107/(F107/7)),"")</f>
        <v>#ERROR!</v>
      </c>
      <c r="H107" s="62"/>
      <c r="I107" s="62"/>
      <c r="J107" s="347" t="str">
        <f>IF(G107="","",IF(G107&lt;3,"URGENT",IF(G107&lt;7,"A PRODUIRE","OK")))</f>
        <v>#ERROR!</v>
      </c>
      <c r="K107" s="62"/>
    </row>
    <row r="108" ht="15.0" customHeight="1">
      <c r="A108" s="128"/>
      <c r="B108" s="128"/>
      <c r="C108" s="128"/>
      <c r="D108" s="128"/>
      <c r="E108" s="128"/>
      <c r="F108" s="128"/>
      <c r="G108" s="332" t="str">
        <f>IFERROR(IF(F108=0,"",D108/(F108/7)),"")</f>
        <v>#ERROR!</v>
      </c>
      <c r="H108" s="128"/>
      <c r="I108" s="128"/>
      <c r="J108" s="348" t="str">
        <f>IF(G108="","",IF(G108&lt;3,"URGENT",IF(G108&lt;7,"A PRODUIRE","OK")))</f>
        <v>#ERROR!</v>
      </c>
      <c r="K108" s="128"/>
    </row>
    <row r="109" ht="15.0" customHeight="1">
      <c r="A109" s="62"/>
      <c r="B109" s="62"/>
      <c r="C109" s="62"/>
      <c r="D109" s="62"/>
      <c r="E109" s="62"/>
      <c r="F109" s="62"/>
      <c r="G109" s="335" t="str">
        <f>IFERROR(IF(F109=0,"",D109/(F109/7)),"")</f>
        <v>#ERROR!</v>
      </c>
      <c r="H109" s="62"/>
      <c r="I109" s="62"/>
      <c r="J109" s="347" t="str">
        <f>IF(G109="","",IF(G109&lt;3,"URGENT",IF(G109&lt;7,"A PRODUIRE","OK")))</f>
        <v>#ERROR!</v>
      </c>
      <c r="K109" s="62"/>
    </row>
    <row r="110" ht="15.0" customHeight="1">
      <c r="A110" s="128"/>
      <c r="B110" s="128"/>
      <c r="C110" s="128"/>
      <c r="D110" s="128"/>
      <c r="E110" s="128"/>
      <c r="F110" s="128"/>
      <c r="G110" s="332" t="str">
        <f>IFERROR(IF(F110=0,"",D110/(F110/7)),"")</f>
        <v>#ERROR!</v>
      </c>
      <c r="H110" s="128"/>
      <c r="I110" s="128"/>
      <c r="J110" s="348" t="str">
        <f>IF(G110="","",IF(G110&lt;3,"URGENT",IF(G110&lt;7,"A PRODUIRE","OK")))</f>
        <v>#ERROR!</v>
      </c>
      <c r="K110" s="128"/>
    </row>
    <row r="111" ht="15.0" customHeight="1">
      <c r="A111" s="62"/>
      <c r="B111" s="62"/>
      <c r="C111" s="62"/>
      <c r="D111" s="62"/>
      <c r="E111" s="62"/>
      <c r="F111" s="62"/>
      <c r="G111" s="335" t="str">
        <f>IFERROR(IF(F111=0,"",D111/(F111/7)),"")</f>
        <v>#ERROR!</v>
      </c>
      <c r="H111" s="62"/>
      <c r="I111" s="62"/>
      <c r="J111" s="347" t="str">
        <f>IF(G111="","",IF(G111&lt;3,"URGENT",IF(G111&lt;7,"A PRODUIRE","OK")))</f>
        <v>#ERROR!</v>
      </c>
      <c r="K111" s="62"/>
    </row>
    <row r="112" ht="15.0" customHeight="1">
      <c r="A112" s="128"/>
      <c r="B112" s="128"/>
      <c r="C112" s="128"/>
      <c r="D112" s="128"/>
      <c r="E112" s="128"/>
      <c r="F112" s="128"/>
      <c r="G112" s="332" t="str">
        <f>IFERROR(IF(F112=0,"",D112/(F112/7)),"")</f>
        <v>#ERROR!</v>
      </c>
      <c r="H112" s="128"/>
      <c r="I112" s="128"/>
      <c r="J112" s="348" t="str">
        <f>IF(G112="","",IF(G112&lt;3,"URGENT",IF(G112&lt;7,"A PRODUIRE","OK")))</f>
        <v>#ERROR!</v>
      </c>
      <c r="K112" s="128"/>
    </row>
    <row r="113" ht="15.0" customHeight="1">
      <c r="A113" s="62"/>
      <c r="B113" s="62"/>
      <c r="C113" s="62"/>
      <c r="D113" s="62"/>
      <c r="E113" s="62"/>
      <c r="F113" s="62"/>
      <c r="G113" s="335" t="str">
        <f>IFERROR(IF(F113=0,"",D113/(F113/7)),"")</f>
        <v>#ERROR!</v>
      </c>
      <c r="H113" s="62"/>
      <c r="I113" s="62"/>
      <c r="J113" s="347" t="str">
        <f>IF(G113="","",IF(G113&lt;3,"URGENT",IF(G113&lt;7,"A PRODUIRE","OK")))</f>
        <v>#ERROR!</v>
      </c>
      <c r="K113" s="62"/>
    </row>
    <row r="114" ht="15.0" customHeight="1">
      <c r="A114" s="128"/>
      <c r="B114" s="128"/>
      <c r="C114" s="128"/>
      <c r="D114" s="128"/>
      <c r="E114" s="128"/>
      <c r="F114" s="128"/>
      <c r="G114" s="332" t="str">
        <f>IFERROR(IF(F114=0,"",D114/(F114/7)),"")</f>
        <v>#ERROR!</v>
      </c>
      <c r="H114" s="128"/>
      <c r="I114" s="128"/>
      <c r="J114" s="348" t="str">
        <f>IF(G114="","",IF(G114&lt;3,"URGENT",IF(G114&lt;7,"A PRODUIRE","OK")))</f>
        <v>#ERROR!</v>
      </c>
      <c r="K114" s="128"/>
    </row>
    <row r="115" ht="15.0" customHeight="1">
      <c r="A115" s="62"/>
      <c r="B115" s="62"/>
      <c r="C115" s="62"/>
      <c r="D115" s="62"/>
      <c r="E115" s="62"/>
      <c r="F115" s="62"/>
      <c r="G115" s="335" t="str">
        <f>IFERROR(IF(F115=0,"",D115/(F115/7)),"")</f>
        <v>#ERROR!</v>
      </c>
      <c r="H115" s="62"/>
      <c r="I115" s="62"/>
      <c r="J115" s="347" t="str">
        <f>IF(G115="","",IF(G115&lt;3,"URGENT",IF(G115&lt;7,"A PRODUIRE","OK")))</f>
        <v>#ERROR!</v>
      </c>
      <c r="K115" s="62"/>
    </row>
    <row r="116" ht="15.0" customHeight="1">
      <c r="A116" s="128"/>
      <c r="B116" s="128"/>
      <c r="C116" s="128"/>
      <c r="D116" s="128"/>
      <c r="E116" s="128"/>
      <c r="F116" s="128"/>
      <c r="G116" s="332" t="str">
        <f>IFERROR(IF(F116=0,"",D116/(F116/7)),"")</f>
        <v>#ERROR!</v>
      </c>
      <c r="H116" s="128"/>
      <c r="I116" s="128"/>
      <c r="J116" s="348" t="str">
        <f>IF(G116="","",IF(G116&lt;3,"URGENT",IF(G116&lt;7,"A PRODUIRE","OK")))</f>
        <v>#ERROR!</v>
      </c>
      <c r="K116" s="128"/>
    </row>
    <row r="117" ht="15.0" customHeight="1">
      <c r="A117" s="62"/>
      <c r="B117" s="62"/>
      <c r="C117" s="62"/>
      <c r="D117" s="62"/>
      <c r="E117" s="62"/>
      <c r="F117" s="62"/>
      <c r="G117" s="335" t="str">
        <f>IFERROR(IF(F117=0,"",D117/(F117/7)),"")</f>
        <v>#ERROR!</v>
      </c>
      <c r="H117" s="62"/>
      <c r="I117" s="62"/>
      <c r="J117" s="347" t="str">
        <f>IF(G117="","",IF(G117&lt;3,"URGENT",IF(G117&lt;7,"A PRODUIRE","OK")))</f>
        <v>#ERROR!</v>
      </c>
      <c r="K117" s="62"/>
    </row>
    <row r="118" ht="15.0" customHeight="1">
      <c r="A118" s="128"/>
      <c r="B118" s="128"/>
      <c r="C118" s="128"/>
      <c r="D118" s="128"/>
      <c r="E118" s="128"/>
      <c r="F118" s="128"/>
      <c r="G118" s="332" t="str">
        <f>IFERROR(IF(F118=0,"",D118/(F118/7)),"")</f>
        <v>#ERROR!</v>
      </c>
      <c r="H118" s="128"/>
      <c r="I118" s="128"/>
      <c r="J118" s="348" t="str">
        <f>IF(G118="","",IF(G118&lt;3,"URGENT",IF(G118&lt;7,"A PRODUIRE","OK")))</f>
        <v>#ERROR!</v>
      </c>
      <c r="K118" s="128"/>
    </row>
    <row r="119" ht="15.0" customHeight="1">
      <c r="A119" s="62"/>
      <c r="B119" s="62"/>
      <c r="C119" s="62"/>
      <c r="D119" s="62"/>
      <c r="E119" s="62"/>
      <c r="F119" s="62"/>
      <c r="G119" s="335" t="str">
        <f>IFERROR(IF(F119=0,"",D119/(F119/7)),"")</f>
        <v>#ERROR!</v>
      </c>
      <c r="H119" s="62"/>
      <c r="I119" s="62"/>
      <c r="J119" s="347" t="str">
        <f>IF(G119="","",IF(G119&lt;3,"URGENT",IF(G119&lt;7,"A PRODUIRE","OK")))</f>
        <v>#ERROR!</v>
      </c>
      <c r="K119" s="62"/>
    </row>
    <row r="120" ht="15.0" customHeight="1">
      <c r="A120" s="128"/>
      <c r="B120" s="128"/>
      <c r="C120" s="128"/>
      <c r="D120" s="128"/>
      <c r="E120" s="128"/>
      <c r="F120" s="128"/>
      <c r="G120" s="332" t="str">
        <f>IFERROR(IF(F120=0,"",D120/(F120/7)),"")</f>
        <v>#ERROR!</v>
      </c>
      <c r="H120" s="128"/>
      <c r="I120" s="128"/>
      <c r="J120" s="348" t="str">
        <f>IF(G120="","",IF(G120&lt;3,"URGENT",IF(G120&lt;7,"A PRODUIRE","OK")))</f>
        <v>#ERROR!</v>
      </c>
      <c r="K120" s="128"/>
    </row>
    <row r="121" ht="15.0" customHeight="1">
      <c r="A121" s="62"/>
      <c r="B121" s="62"/>
      <c r="C121" s="62"/>
      <c r="D121" s="62"/>
      <c r="E121" s="62"/>
      <c r="F121" s="62"/>
      <c r="G121" s="335" t="str">
        <f>IFERROR(IF(F121=0,"",D121/(F121/7)),"")</f>
        <v>#ERROR!</v>
      </c>
      <c r="H121" s="62"/>
      <c r="I121" s="62"/>
      <c r="J121" s="347" t="str">
        <f>IF(G121="","",IF(G121&lt;3,"URGENT",IF(G121&lt;7,"A PRODUIRE","OK")))</f>
        <v>#ERROR!</v>
      </c>
      <c r="K121" s="62"/>
    </row>
    <row r="122" ht="15.0" customHeight="1">
      <c r="A122" s="128"/>
      <c r="B122" s="128"/>
      <c r="C122" s="128"/>
      <c r="D122" s="128"/>
      <c r="E122" s="128"/>
      <c r="F122" s="128"/>
      <c r="G122" s="332" t="str">
        <f>IFERROR(IF(F122=0,"",D122/(F122/7)),"")</f>
        <v>#ERROR!</v>
      </c>
      <c r="H122" s="128"/>
      <c r="I122" s="128"/>
      <c r="J122" s="348" t="str">
        <f>IF(G122="","",IF(G122&lt;3,"URGENT",IF(G122&lt;7,"A PRODUIRE","OK")))</f>
        <v>#ERROR!</v>
      </c>
      <c r="K122" s="128"/>
    </row>
    <row r="123" ht="15.0" customHeight="1">
      <c r="A123" s="62"/>
      <c r="B123" s="62"/>
      <c r="C123" s="62"/>
      <c r="D123" s="62"/>
      <c r="E123" s="62"/>
      <c r="F123" s="62"/>
      <c r="G123" s="335" t="str">
        <f>IFERROR(IF(F123=0,"",D123/(F123/7)),"")</f>
        <v>#ERROR!</v>
      </c>
      <c r="H123" s="62"/>
      <c r="I123" s="62"/>
      <c r="J123" s="347" t="str">
        <f>IF(G123="","",IF(G123&lt;3,"URGENT",IF(G123&lt;7,"A PRODUIRE","OK")))</f>
        <v>#ERROR!</v>
      </c>
      <c r="K123" s="62"/>
    </row>
    <row r="124" ht="15.0" customHeight="1">
      <c r="A124" s="128"/>
      <c r="B124" s="128"/>
      <c r="C124" s="128"/>
      <c r="D124" s="128"/>
      <c r="E124" s="128"/>
      <c r="F124" s="128"/>
      <c r="G124" s="332" t="str">
        <f>IFERROR(IF(F124=0,"",D124/(F124/7)),"")</f>
        <v>#ERROR!</v>
      </c>
      <c r="H124" s="128"/>
      <c r="I124" s="128"/>
      <c r="J124" s="348" t="str">
        <f>IF(G124="","",IF(G124&lt;3,"URGENT",IF(G124&lt;7,"A PRODUIRE","OK")))</f>
        <v>#ERROR!</v>
      </c>
      <c r="K124" s="128"/>
    </row>
    <row r="125" ht="15.0" customHeight="1">
      <c r="A125" s="62"/>
      <c r="B125" s="62"/>
      <c r="C125" s="62"/>
      <c r="D125" s="62"/>
      <c r="E125" s="62"/>
      <c r="F125" s="62"/>
      <c r="G125" s="335" t="str">
        <f>IFERROR(IF(F125=0,"",D125/(F125/7)),"")</f>
        <v>#ERROR!</v>
      </c>
      <c r="H125" s="62"/>
      <c r="I125" s="62"/>
      <c r="J125" s="347" t="str">
        <f>IF(G125="","",IF(G125&lt;3,"URGENT",IF(G125&lt;7,"A PRODUIRE","OK")))</f>
        <v>#ERROR!</v>
      </c>
      <c r="K125" s="62"/>
    </row>
    <row r="126" ht="15.0" customHeight="1">
      <c r="A126" s="128"/>
      <c r="B126" s="128"/>
      <c r="C126" s="128"/>
      <c r="D126" s="128"/>
      <c r="E126" s="128"/>
      <c r="F126" s="128"/>
      <c r="G126" s="332" t="str">
        <f>IFERROR(IF(F126=0,"",D126/(F126/7)),"")</f>
        <v>#ERROR!</v>
      </c>
      <c r="H126" s="128"/>
      <c r="I126" s="128"/>
      <c r="J126" s="348" t="str">
        <f>IF(G126="","",IF(G126&lt;3,"URGENT",IF(G126&lt;7,"A PRODUIRE","OK")))</f>
        <v>#ERROR!</v>
      </c>
      <c r="K126" s="128"/>
    </row>
    <row r="127" ht="15.0" customHeight="1">
      <c r="A127" s="62"/>
      <c r="B127" s="62"/>
      <c r="C127" s="62"/>
      <c r="D127" s="62"/>
      <c r="E127" s="62"/>
      <c r="F127" s="62"/>
      <c r="G127" s="335" t="str">
        <f>IFERROR(IF(F127=0,"",D127/(F127/7)),"")</f>
        <v>#ERROR!</v>
      </c>
      <c r="H127" s="62"/>
      <c r="I127" s="62"/>
      <c r="J127" s="347" t="str">
        <f>IF(G127="","",IF(G127&lt;3,"URGENT",IF(G127&lt;7,"A PRODUIRE","OK")))</f>
        <v>#ERROR!</v>
      </c>
      <c r="K127" s="62"/>
    </row>
    <row r="128" ht="15.0" customHeight="1">
      <c r="A128" s="128"/>
      <c r="B128" s="128"/>
      <c r="C128" s="128"/>
      <c r="D128" s="128"/>
      <c r="E128" s="128"/>
      <c r="F128" s="128"/>
      <c r="G128" s="332" t="str">
        <f>IFERROR(IF(F128=0,"",D128/(F128/7)),"")</f>
        <v>#ERROR!</v>
      </c>
      <c r="H128" s="128"/>
      <c r="I128" s="128"/>
      <c r="J128" s="348" t="str">
        <f>IF(G128="","",IF(G128&lt;3,"URGENT",IF(G128&lt;7,"A PRODUIRE","OK")))</f>
        <v>#ERROR!</v>
      </c>
      <c r="K128" s="128"/>
    </row>
    <row r="129" ht="15.0" customHeight="1">
      <c r="A129" s="62"/>
      <c r="B129" s="62"/>
      <c r="C129" s="62"/>
      <c r="D129" s="62"/>
      <c r="E129" s="62"/>
      <c r="F129" s="62"/>
      <c r="G129" s="335" t="str">
        <f>IFERROR(IF(F129=0,"",D129/(F129/7)),"")</f>
        <v>#ERROR!</v>
      </c>
      <c r="H129" s="62"/>
      <c r="I129" s="62"/>
      <c r="J129" s="347" t="str">
        <f>IF(G129="","",IF(G129&lt;3,"URGENT",IF(G129&lt;7,"A PRODUIRE","OK")))</f>
        <v>#ERROR!</v>
      </c>
      <c r="K129" s="62"/>
    </row>
    <row r="130" ht="15.0" customHeight="1">
      <c r="A130" s="128"/>
      <c r="B130" s="128"/>
      <c r="C130" s="128"/>
      <c r="D130" s="128"/>
      <c r="E130" s="128"/>
      <c r="F130" s="128"/>
      <c r="G130" s="332" t="str">
        <f>IFERROR(IF(F130=0,"",D130/(F130/7)),"")</f>
        <v>#ERROR!</v>
      </c>
      <c r="H130" s="128"/>
      <c r="I130" s="128"/>
      <c r="J130" s="348" t="str">
        <f>IF(G130="","",IF(G130&lt;3,"URGENT",IF(G130&lt;7,"A PRODUIRE","OK")))</f>
        <v>#ERROR!</v>
      </c>
      <c r="K130" s="128"/>
    </row>
    <row r="131" ht="15.0" customHeight="1">
      <c r="A131" s="62"/>
      <c r="B131" s="62"/>
      <c r="C131" s="62"/>
      <c r="D131" s="62"/>
      <c r="E131" s="62"/>
      <c r="F131" s="62"/>
      <c r="G131" s="335" t="str">
        <f>IFERROR(IF(F131=0,"",D131/(F131/7)),"")</f>
        <v>#ERROR!</v>
      </c>
      <c r="H131" s="62"/>
      <c r="I131" s="62"/>
      <c r="J131" s="347" t="str">
        <f>IF(G131="","",IF(G131&lt;3,"URGENT",IF(G131&lt;7,"A PRODUIRE","OK")))</f>
        <v>#ERROR!</v>
      </c>
      <c r="K131" s="62"/>
    </row>
    <row r="132" ht="15.0" customHeight="1">
      <c r="A132" s="128"/>
      <c r="B132" s="128"/>
      <c r="C132" s="128"/>
      <c r="D132" s="128"/>
      <c r="E132" s="128"/>
      <c r="F132" s="128"/>
      <c r="G132" s="332" t="str">
        <f>IFERROR(IF(F132=0,"",D132/(F132/7)),"")</f>
        <v>#ERROR!</v>
      </c>
      <c r="H132" s="128"/>
      <c r="I132" s="128"/>
      <c r="J132" s="348" t="str">
        <f>IF(G132="","",IF(G132&lt;3,"URGENT",IF(G132&lt;7,"A PRODUIRE","OK")))</f>
        <v>#ERROR!</v>
      </c>
      <c r="K132" s="128"/>
    </row>
    <row r="133" ht="15.0" customHeight="1">
      <c r="A133" s="62"/>
      <c r="B133" s="62"/>
      <c r="C133" s="62"/>
      <c r="D133" s="62"/>
      <c r="E133" s="62"/>
      <c r="F133" s="62"/>
      <c r="G133" s="335" t="str">
        <f>IFERROR(IF(F133=0,"",D133/(F133/7)),"")</f>
        <v>#ERROR!</v>
      </c>
      <c r="H133" s="62"/>
      <c r="I133" s="62"/>
      <c r="J133" s="347" t="str">
        <f>IF(G133="","",IF(G133&lt;3,"URGENT",IF(G133&lt;7,"A PRODUIRE","OK")))</f>
        <v>#ERROR!</v>
      </c>
      <c r="K133" s="62"/>
    </row>
    <row r="134" ht="15.0" customHeight="1">
      <c r="A134" s="128"/>
      <c r="B134" s="128"/>
      <c r="C134" s="128"/>
      <c r="D134" s="128"/>
      <c r="E134" s="128"/>
      <c r="F134" s="128"/>
      <c r="G134" s="332" t="str">
        <f>IFERROR(IF(F134=0,"",D134/(F134/7)),"")</f>
        <v>#ERROR!</v>
      </c>
      <c r="H134" s="128"/>
      <c r="I134" s="128"/>
      <c r="J134" s="348" t="str">
        <f>IF(G134="","",IF(G134&lt;3,"URGENT",IF(G134&lt;7,"A PRODUIRE","OK")))</f>
        <v>#ERROR!</v>
      </c>
      <c r="K134" s="128"/>
    </row>
    <row r="135" ht="15.0" customHeight="1">
      <c r="A135" s="62"/>
      <c r="B135" s="62"/>
      <c r="C135" s="62"/>
      <c r="D135" s="62"/>
      <c r="E135" s="62"/>
      <c r="F135" s="62"/>
      <c r="G135" s="335" t="str">
        <f>IFERROR(IF(F135=0,"",D135/(F135/7)),"")</f>
        <v>#ERROR!</v>
      </c>
      <c r="H135" s="62"/>
      <c r="I135" s="62"/>
      <c r="J135" s="347" t="str">
        <f>IF(G135="","",IF(G135&lt;3,"URGENT",IF(G135&lt;7,"A PRODUIRE","OK")))</f>
        <v>#ERROR!</v>
      </c>
      <c r="K135" s="62"/>
    </row>
    <row r="136" ht="15.0" customHeight="1">
      <c r="A136" s="128"/>
      <c r="B136" s="128"/>
      <c r="C136" s="128"/>
      <c r="D136" s="128"/>
      <c r="E136" s="128"/>
      <c r="F136" s="128"/>
      <c r="G136" s="332" t="str">
        <f>IFERROR(IF(F136=0,"",D136/(F136/7)),"")</f>
        <v>#ERROR!</v>
      </c>
      <c r="H136" s="128"/>
      <c r="I136" s="128"/>
      <c r="J136" s="348" t="str">
        <f>IF(G136="","",IF(G136&lt;3,"URGENT",IF(G136&lt;7,"A PRODUIRE","OK")))</f>
        <v>#ERROR!</v>
      </c>
      <c r="K136" s="128"/>
    </row>
    <row r="137" ht="15.0" customHeight="1">
      <c r="A137" s="62"/>
      <c r="B137" s="62"/>
      <c r="C137" s="62"/>
      <c r="D137" s="62"/>
      <c r="E137" s="62"/>
      <c r="F137" s="62"/>
      <c r="G137" s="335" t="str">
        <f>IFERROR(IF(F137=0,"",D137/(F137/7)),"")</f>
        <v>#ERROR!</v>
      </c>
      <c r="H137" s="62"/>
      <c r="I137" s="62"/>
      <c r="J137" s="347" t="str">
        <f>IF(G137="","",IF(G137&lt;3,"URGENT",IF(G137&lt;7,"A PRODUIRE","OK")))</f>
        <v>#ERROR!</v>
      </c>
      <c r="K137" s="62"/>
    </row>
    <row r="138" ht="15.0" customHeight="1">
      <c r="A138" s="128"/>
      <c r="B138" s="128"/>
      <c r="C138" s="128"/>
      <c r="D138" s="128"/>
      <c r="E138" s="128"/>
      <c r="F138" s="128"/>
      <c r="G138" s="332" t="str">
        <f>IFERROR(IF(F138=0,"",D138/(F138/7)),"")</f>
        <v>#ERROR!</v>
      </c>
      <c r="H138" s="128"/>
      <c r="I138" s="128"/>
      <c r="J138" s="348" t="str">
        <f>IF(G138="","",IF(G138&lt;3,"URGENT",IF(G138&lt;7,"A PRODUIRE","OK")))</f>
        <v>#ERROR!</v>
      </c>
      <c r="K138" s="128"/>
    </row>
    <row r="139" ht="15.0" customHeight="1">
      <c r="A139" s="62"/>
      <c r="B139" s="62"/>
      <c r="C139" s="62"/>
      <c r="D139" s="62"/>
      <c r="E139" s="62"/>
      <c r="F139" s="62"/>
      <c r="G139" s="335" t="str">
        <f>IFERROR(IF(F139=0,"",D139/(F139/7)),"")</f>
        <v>#ERROR!</v>
      </c>
      <c r="H139" s="62"/>
      <c r="I139" s="62"/>
      <c r="J139" s="347" t="str">
        <f>IF(G139="","",IF(G139&lt;3,"URGENT",IF(G139&lt;7,"A PRODUIRE","OK")))</f>
        <v>#ERROR!</v>
      </c>
      <c r="K139" s="62"/>
    </row>
    <row r="140" ht="15.0" customHeight="1">
      <c r="A140" s="128"/>
      <c r="B140" s="128"/>
      <c r="C140" s="128"/>
      <c r="D140" s="128"/>
      <c r="E140" s="128"/>
      <c r="F140" s="128"/>
      <c r="G140" s="332" t="str">
        <f>IFERROR(IF(F140=0,"",D140/(F140/7)),"")</f>
        <v>#ERROR!</v>
      </c>
      <c r="H140" s="128"/>
      <c r="I140" s="128"/>
      <c r="J140" s="348" t="str">
        <f>IF(G140="","",IF(G140&lt;3,"URGENT",IF(G140&lt;7,"A PRODUIRE","OK")))</f>
        <v>#ERROR!</v>
      </c>
      <c r="K140" s="128"/>
    </row>
    <row r="141" ht="15.0" customHeight="1">
      <c r="A141" s="62"/>
      <c r="B141" s="62"/>
      <c r="C141" s="62"/>
      <c r="D141" s="62"/>
      <c r="E141" s="62"/>
      <c r="F141" s="62"/>
      <c r="G141" s="335" t="str">
        <f>IFERROR(IF(F141=0,"",D141/(F141/7)),"")</f>
        <v>#ERROR!</v>
      </c>
      <c r="H141" s="62"/>
      <c r="I141" s="62"/>
      <c r="J141" s="347" t="str">
        <f>IF(G141="","",IF(G141&lt;3,"URGENT",IF(G141&lt;7,"A PRODUIRE","OK")))</f>
        <v>#ERROR!</v>
      </c>
      <c r="K141" s="62"/>
    </row>
    <row r="142" ht="15.0" customHeight="1">
      <c r="A142" s="128"/>
      <c r="B142" s="128"/>
      <c r="C142" s="128"/>
      <c r="D142" s="128"/>
      <c r="E142" s="128"/>
      <c r="F142" s="128"/>
      <c r="G142" s="332" t="str">
        <f>IFERROR(IF(F142=0,"",D142/(F142/7)),"")</f>
        <v>#ERROR!</v>
      </c>
      <c r="H142" s="128"/>
      <c r="I142" s="128"/>
      <c r="J142" s="348" t="str">
        <f>IF(G142="","",IF(G142&lt;3,"URGENT",IF(G142&lt;7,"A PRODUIRE","OK")))</f>
        <v>#ERROR!</v>
      </c>
      <c r="K142" s="128"/>
    </row>
    <row r="143" ht="15.0" customHeight="1">
      <c r="A143" s="62"/>
      <c r="B143" s="62"/>
      <c r="C143" s="62"/>
      <c r="D143" s="62"/>
      <c r="E143" s="62"/>
      <c r="F143" s="62"/>
      <c r="G143" s="335" t="str">
        <f>IFERROR(IF(F143=0,"",D143/(F143/7)),"")</f>
        <v>#ERROR!</v>
      </c>
      <c r="H143" s="62"/>
      <c r="I143" s="62"/>
      <c r="J143" s="347" t="str">
        <f>IF(G143="","",IF(G143&lt;3,"URGENT",IF(G143&lt;7,"A PRODUIRE","OK")))</f>
        <v>#ERROR!</v>
      </c>
      <c r="K143" s="62"/>
    </row>
    <row r="144" ht="15.0" customHeight="1">
      <c r="A144" s="128"/>
      <c r="B144" s="128"/>
      <c r="C144" s="128"/>
      <c r="D144" s="128"/>
      <c r="E144" s="128"/>
      <c r="F144" s="128"/>
      <c r="G144" s="332" t="str">
        <f>IFERROR(IF(F144=0,"",D144/(F144/7)),"")</f>
        <v>#ERROR!</v>
      </c>
      <c r="H144" s="128"/>
      <c r="I144" s="128"/>
      <c r="J144" s="348" t="str">
        <f>IF(G144="","",IF(G144&lt;3,"URGENT",IF(G144&lt;7,"A PRODUIRE","OK")))</f>
        <v>#ERROR!</v>
      </c>
      <c r="K144" s="128"/>
    </row>
    <row r="145" ht="15.0" customHeight="1">
      <c r="A145" s="62"/>
      <c r="B145" s="62"/>
      <c r="C145" s="62"/>
      <c r="D145" s="62"/>
      <c r="E145" s="62"/>
      <c r="F145" s="62"/>
      <c r="G145" s="335" t="str">
        <f>IFERROR(IF(F145=0,"",D145/(F145/7)),"")</f>
        <v>#ERROR!</v>
      </c>
      <c r="H145" s="62"/>
      <c r="I145" s="62"/>
      <c r="J145" s="347" t="str">
        <f>IF(G145="","",IF(G145&lt;3,"URGENT",IF(G145&lt;7,"A PRODUIRE","OK")))</f>
        <v>#ERROR!</v>
      </c>
      <c r="K145" s="62"/>
    </row>
    <row r="146" ht="15.0" customHeight="1">
      <c r="A146" s="128"/>
      <c r="B146" s="128"/>
      <c r="C146" s="128"/>
      <c r="D146" s="128"/>
      <c r="E146" s="128"/>
      <c r="F146" s="128"/>
      <c r="G146" s="332" t="str">
        <f>IFERROR(IF(F146=0,"",D146/(F146/7)),"")</f>
        <v>#ERROR!</v>
      </c>
      <c r="H146" s="128"/>
      <c r="I146" s="128"/>
      <c r="J146" s="348" t="str">
        <f>IF(G146="","",IF(G146&lt;3,"URGENT",IF(G146&lt;7,"A PRODUIRE","OK")))</f>
        <v>#ERROR!</v>
      </c>
      <c r="K146" s="128"/>
    </row>
    <row r="147" ht="15.0" customHeight="1">
      <c r="A147" s="62"/>
      <c r="B147" s="62"/>
      <c r="C147" s="62"/>
      <c r="D147" s="62"/>
      <c r="E147" s="62"/>
      <c r="F147" s="62"/>
      <c r="G147" s="335" t="str">
        <f>IFERROR(IF(F147=0,"",D147/(F147/7)),"")</f>
        <v>#ERROR!</v>
      </c>
      <c r="H147" s="62"/>
      <c r="I147" s="62"/>
      <c r="J147" s="347" t="str">
        <f>IF(G147="","",IF(G147&lt;3,"URGENT",IF(G147&lt;7,"A PRODUIRE","OK")))</f>
        <v>#ERROR!</v>
      </c>
      <c r="K147" s="62"/>
    </row>
    <row r="148" ht="15.0" customHeight="1">
      <c r="A148" s="128"/>
      <c r="B148" s="128"/>
      <c r="C148" s="128"/>
      <c r="D148" s="128"/>
      <c r="E148" s="128"/>
      <c r="F148" s="128"/>
      <c r="G148" s="332" t="str">
        <f>IFERROR(IF(F148=0,"",D148/(F148/7)),"")</f>
        <v>#ERROR!</v>
      </c>
      <c r="H148" s="128"/>
      <c r="I148" s="128"/>
      <c r="J148" s="348" t="str">
        <f>IF(G148="","",IF(G148&lt;3,"URGENT",IF(G148&lt;7,"A PRODUIRE","OK")))</f>
        <v>#ERROR!</v>
      </c>
      <c r="K148" s="128"/>
    </row>
    <row r="149" ht="15.0" customHeight="1">
      <c r="A149" s="62"/>
      <c r="B149" s="62"/>
      <c r="C149" s="62"/>
      <c r="D149" s="62"/>
      <c r="E149" s="62"/>
      <c r="F149" s="62"/>
      <c r="G149" s="335" t="str">
        <f>IFERROR(IF(F149=0,"",D149/(F149/7)),"")</f>
        <v>#ERROR!</v>
      </c>
      <c r="H149" s="62"/>
      <c r="I149" s="62"/>
      <c r="J149" s="347" t="str">
        <f>IF(G149="","",IF(G149&lt;3,"URGENT",IF(G149&lt;7,"A PRODUIRE","OK")))</f>
        <v>#ERROR!</v>
      </c>
      <c r="K149" s="62"/>
    </row>
    <row r="150" ht="15.0" customHeight="1">
      <c r="A150" s="128"/>
      <c r="B150" s="128"/>
      <c r="C150" s="128"/>
      <c r="D150" s="128"/>
      <c r="E150" s="128"/>
      <c r="F150" s="128"/>
      <c r="G150" s="332" t="str">
        <f>IFERROR(IF(F150=0,"",D150/(F150/7)),"")</f>
        <v>#ERROR!</v>
      </c>
      <c r="H150" s="128"/>
      <c r="I150" s="128"/>
      <c r="J150" s="348" t="str">
        <f>IF(G150="","",IF(G150&lt;3,"URGENT",IF(G150&lt;7,"A PRODUIRE","OK")))</f>
        <v>#ERROR!</v>
      </c>
      <c r="K150" s="128"/>
    </row>
    <row r="151" ht="15.0" customHeight="1">
      <c r="A151" s="62"/>
      <c r="B151" s="62"/>
      <c r="C151" s="62"/>
      <c r="D151" s="62"/>
      <c r="E151" s="62"/>
      <c r="F151" s="62"/>
      <c r="G151" s="335" t="str">
        <f>IFERROR(IF(F151=0,"",D151/(F151/7)),"")</f>
        <v>#ERROR!</v>
      </c>
      <c r="H151" s="62"/>
      <c r="I151" s="62"/>
      <c r="J151" s="347" t="str">
        <f>IF(G151="","",IF(G151&lt;3,"URGENT",IF(G151&lt;7,"A PRODUIRE","OK")))</f>
        <v>#ERROR!</v>
      </c>
      <c r="K151" s="62"/>
    </row>
    <row r="152" ht="15.0" customHeight="1">
      <c r="A152" s="128"/>
      <c r="B152" s="128"/>
      <c r="C152" s="128"/>
      <c r="D152" s="128"/>
      <c r="E152" s="128"/>
      <c r="F152" s="128"/>
      <c r="G152" s="332" t="str">
        <f>IFERROR(IF(F152=0,"",D152/(F152/7)),"")</f>
        <v>#ERROR!</v>
      </c>
      <c r="H152" s="128"/>
      <c r="I152" s="128"/>
      <c r="J152" s="348" t="str">
        <f>IF(G152="","",IF(G152&lt;3,"URGENT",IF(G152&lt;7,"A PRODUIRE","OK")))</f>
        <v>#ERROR!</v>
      </c>
      <c r="K152" s="128"/>
    </row>
    <row r="153" ht="15.0" customHeight="1">
      <c r="A153" s="62"/>
      <c r="B153" s="62"/>
      <c r="C153" s="62"/>
      <c r="D153" s="62"/>
      <c r="E153" s="62"/>
      <c r="F153" s="62"/>
      <c r="G153" s="335" t="str">
        <f>IFERROR(IF(F153=0,"",D153/(F153/7)),"")</f>
        <v>#ERROR!</v>
      </c>
      <c r="H153" s="62"/>
      <c r="I153" s="62"/>
      <c r="J153" s="347" t="str">
        <f>IF(G153="","",IF(G153&lt;3,"URGENT",IF(G153&lt;7,"A PRODUIRE","OK")))</f>
        <v>#ERROR!</v>
      </c>
      <c r="K153" s="62"/>
    </row>
    <row r="154" ht="15.0" customHeight="1">
      <c r="A154" s="128"/>
      <c r="B154" s="128"/>
      <c r="C154" s="128"/>
      <c r="D154" s="128"/>
      <c r="E154" s="128"/>
      <c r="F154" s="128"/>
      <c r="G154" s="332" t="str">
        <f>IFERROR(IF(F154=0,"",D154/(F154/7)),"")</f>
        <v>#ERROR!</v>
      </c>
      <c r="H154" s="128"/>
      <c r="I154" s="128"/>
      <c r="J154" s="348" t="str">
        <f>IF(G154="","",IF(G154&lt;3,"URGENT",IF(G154&lt;7,"A PRODUIRE","OK")))</f>
        <v>#ERROR!</v>
      </c>
      <c r="K154" s="128"/>
    </row>
    <row r="155" ht="15.0" customHeight="1">
      <c r="A155" s="62"/>
      <c r="B155" s="62"/>
      <c r="C155" s="62"/>
      <c r="D155" s="62"/>
      <c r="E155" s="62"/>
      <c r="F155" s="62"/>
      <c r="G155" s="335" t="str">
        <f>IFERROR(IF(F155=0,"",D155/(F155/7)),"")</f>
        <v>#ERROR!</v>
      </c>
      <c r="H155" s="62"/>
      <c r="I155" s="62"/>
      <c r="J155" s="347" t="str">
        <f>IF(G155="","",IF(G155&lt;3,"URGENT",IF(G155&lt;7,"A PRODUIRE","OK")))</f>
        <v>#ERROR!</v>
      </c>
      <c r="K155" s="62"/>
    </row>
    <row r="156" ht="15.0" customHeight="1">
      <c r="A156" s="128"/>
      <c r="B156" s="128"/>
      <c r="C156" s="128"/>
      <c r="D156" s="128"/>
      <c r="E156" s="128"/>
      <c r="F156" s="128"/>
      <c r="G156" s="332" t="str">
        <f>IFERROR(IF(F156=0,"",D156/(F156/7)),"")</f>
        <v>#ERROR!</v>
      </c>
      <c r="H156" s="128"/>
      <c r="I156" s="128"/>
      <c r="J156" s="348" t="str">
        <f>IF(G156="","",IF(G156&lt;3,"URGENT",IF(G156&lt;7,"A PRODUIRE","OK")))</f>
        <v>#ERROR!</v>
      </c>
      <c r="K156" s="128"/>
    </row>
    <row r="157" ht="15.0" customHeight="1">
      <c r="A157" s="62"/>
      <c r="B157" s="62"/>
      <c r="C157" s="62"/>
      <c r="D157" s="62"/>
      <c r="E157" s="62"/>
      <c r="F157" s="62"/>
      <c r="G157" s="335" t="str">
        <f>IFERROR(IF(F157=0,"",D157/(F157/7)),"")</f>
        <v>#ERROR!</v>
      </c>
      <c r="H157" s="62"/>
      <c r="I157" s="62"/>
      <c r="J157" s="347" t="str">
        <f>IF(G157="","",IF(G157&lt;3,"URGENT",IF(G157&lt;7,"A PRODUIRE","OK")))</f>
        <v>#ERROR!</v>
      </c>
      <c r="K157" s="62"/>
    </row>
    <row r="158" ht="15.0" customHeight="1">
      <c r="A158" s="128"/>
      <c r="B158" s="128"/>
      <c r="C158" s="128"/>
      <c r="D158" s="128"/>
      <c r="E158" s="128"/>
      <c r="F158" s="128"/>
      <c r="G158" s="332" t="str">
        <f>IFERROR(IF(F158=0,"",D158/(F158/7)),"")</f>
        <v>#ERROR!</v>
      </c>
      <c r="H158" s="128"/>
      <c r="I158" s="128"/>
      <c r="J158" s="348" t="str">
        <f>IF(G158="","",IF(G158&lt;3,"URGENT",IF(G158&lt;7,"A PRODUIRE","OK")))</f>
        <v>#ERROR!</v>
      </c>
      <c r="K158" s="128"/>
    </row>
    <row r="159" ht="15.0" customHeight="1">
      <c r="A159" s="62"/>
      <c r="B159" s="62"/>
      <c r="C159" s="62"/>
      <c r="D159" s="62"/>
      <c r="E159" s="62"/>
      <c r="F159" s="62"/>
      <c r="G159" s="335" t="str">
        <f>IFERROR(IF(F159=0,"",D159/(F159/7)),"")</f>
        <v>#ERROR!</v>
      </c>
      <c r="H159" s="62"/>
      <c r="I159" s="62"/>
      <c r="J159" s="347" t="str">
        <f>IF(G159="","",IF(G159&lt;3,"URGENT",IF(G159&lt;7,"A PRODUIRE","OK")))</f>
        <v>#ERROR!</v>
      </c>
      <c r="K159" s="62"/>
    </row>
    <row r="160" ht="15.0" customHeight="1">
      <c r="A160" s="128"/>
      <c r="B160" s="128"/>
      <c r="C160" s="128"/>
      <c r="D160" s="128"/>
      <c r="E160" s="128"/>
      <c r="F160" s="128"/>
      <c r="G160" s="332" t="str">
        <f>IFERROR(IF(F160=0,"",D160/(F160/7)),"")</f>
        <v>#ERROR!</v>
      </c>
      <c r="H160" s="128"/>
      <c r="I160" s="128"/>
      <c r="J160" s="348" t="str">
        <f>IF(G160="","",IF(G160&lt;3,"URGENT",IF(G160&lt;7,"A PRODUIRE","OK")))</f>
        <v>#ERROR!</v>
      </c>
      <c r="K160" s="128"/>
    </row>
    <row r="161" ht="15.0" customHeight="1">
      <c r="A161" s="62"/>
      <c r="B161" s="62"/>
      <c r="C161" s="62"/>
      <c r="D161" s="62"/>
      <c r="E161" s="62"/>
      <c r="F161" s="62"/>
      <c r="G161" s="335" t="str">
        <f>IFERROR(IF(F161=0,"",D161/(F161/7)),"")</f>
        <v>#ERROR!</v>
      </c>
      <c r="H161" s="62"/>
      <c r="I161" s="62"/>
      <c r="J161" s="347" t="str">
        <f>IF(G161="","",IF(G161&lt;3,"URGENT",IF(G161&lt;7,"A PRODUIRE","OK")))</f>
        <v>#ERROR!</v>
      </c>
      <c r="K161" s="62"/>
    </row>
    <row r="162" ht="15.0" customHeight="1">
      <c r="A162" s="128"/>
      <c r="B162" s="128"/>
      <c r="C162" s="128"/>
      <c r="D162" s="128"/>
      <c r="E162" s="128"/>
      <c r="F162" s="128"/>
      <c r="G162" s="332" t="str">
        <f>IFERROR(IF(F162=0,"",D162/(F162/7)),"")</f>
        <v>#ERROR!</v>
      </c>
      <c r="H162" s="128"/>
      <c r="I162" s="128"/>
      <c r="J162" s="348" t="str">
        <f>IF(G162="","",IF(G162&lt;3,"URGENT",IF(G162&lt;7,"A PRODUIRE","OK")))</f>
        <v>#ERROR!</v>
      </c>
      <c r="K162" s="128"/>
    </row>
    <row r="163" ht="15.0" customHeight="1">
      <c r="A163" s="62"/>
      <c r="B163" s="62"/>
      <c r="C163" s="62"/>
      <c r="D163" s="62"/>
      <c r="E163" s="62"/>
      <c r="F163" s="62"/>
      <c r="G163" s="335" t="str">
        <f>IFERROR(IF(F163=0,"",D163/(F163/7)),"")</f>
        <v>#ERROR!</v>
      </c>
      <c r="H163" s="62"/>
      <c r="I163" s="62"/>
      <c r="J163" s="347" t="str">
        <f>IF(G163="","",IF(G163&lt;3,"URGENT",IF(G163&lt;7,"A PRODUIRE","OK")))</f>
        <v>#ERROR!</v>
      </c>
      <c r="K163" s="62"/>
    </row>
    <row r="164" ht="15.0" customHeight="1">
      <c r="A164" s="128"/>
      <c r="B164" s="128"/>
      <c r="C164" s="128"/>
      <c r="D164" s="128"/>
      <c r="E164" s="128"/>
      <c r="F164" s="128"/>
      <c r="G164" s="332" t="str">
        <f>IFERROR(IF(F164=0,"",D164/(F164/7)),"")</f>
        <v>#ERROR!</v>
      </c>
      <c r="H164" s="128"/>
      <c r="I164" s="128"/>
      <c r="J164" s="348" t="str">
        <f>IF(G164="","",IF(G164&lt;3,"URGENT",IF(G164&lt;7,"A PRODUIRE","OK")))</f>
        <v>#ERROR!</v>
      </c>
      <c r="K164" s="128"/>
    </row>
    <row r="165" ht="15.0" customHeight="1">
      <c r="A165" s="62"/>
      <c r="B165" s="62"/>
      <c r="C165" s="62"/>
      <c r="D165" s="62"/>
      <c r="E165" s="62"/>
      <c r="F165" s="62"/>
      <c r="G165" s="335" t="str">
        <f>IFERROR(IF(F165=0,"",D165/(F165/7)),"")</f>
        <v>#ERROR!</v>
      </c>
      <c r="H165" s="62"/>
      <c r="I165" s="62"/>
      <c r="J165" s="347" t="str">
        <f>IF(G165="","",IF(G165&lt;3,"URGENT",IF(G165&lt;7,"A PRODUIRE","OK")))</f>
        <v>#ERROR!</v>
      </c>
      <c r="K165" s="62"/>
    </row>
    <row r="166" ht="15.0" customHeight="1">
      <c r="A166" s="128"/>
      <c r="B166" s="128"/>
      <c r="C166" s="128"/>
      <c r="D166" s="128"/>
      <c r="E166" s="128"/>
      <c r="F166" s="128"/>
      <c r="G166" s="332" t="str">
        <f>IFERROR(IF(F166=0,"",D166/(F166/7)),"")</f>
        <v>#ERROR!</v>
      </c>
      <c r="H166" s="128"/>
      <c r="I166" s="128"/>
      <c r="J166" s="348" t="str">
        <f>IF(G166="","",IF(G166&lt;3,"URGENT",IF(G166&lt;7,"A PRODUIRE","OK")))</f>
        <v>#ERROR!</v>
      </c>
      <c r="K166" s="128"/>
    </row>
    <row r="167" ht="15.0" customHeight="1">
      <c r="A167" s="62"/>
      <c r="B167" s="62"/>
      <c r="C167" s="62"/>
      <c r="D167" s="62"/>
      <c r="E167" s="62"/>
      <c r="F167" s="62"/>
      <c r="G167" s="335" t="str">
        <f>IFERROR(IF(F167=0,"",D167/(F167/7)),"")</f>
        <v>#ERROR!</v>
      </c>
      <c r="H167" s="62"/>
      <c r="I167" s="62"/>
      <c r="J167" s="347" t="str">
        <f>IF(G167="","",IF(G167&lt;3,"URGENT",IF(G167&lt;7,"A PRODUIRE","OK")))</f>
        <v>#ERROR!</v>
      </c>
      <c r="K167" s="62"/>
    </row>
    <row r="168" ht="15.0" customHeight="1">
      <c r="A168" s="128"/>
      <c r="B168" s="128"/>
      <c r="C168" s="128"/>
      <c r="D168" s="128"/>
      <c r="E168" s="128"/>
      <c r="F168" s="128"/>
      <c r="G168" s="332" t="str">
        <f>IFERROR(IF(F168=0,"",D168/(F168/7)),"")</f>
        <v>#ERROR!</v>
      </c>
      <c r="H168" s="128"/>
      <c r="I168" s="128"/>
      <c r="J168" s="348" t="str">
        <f>IF(G168="","",IF(G168&lt;3,"URGENT",IF(G168&lt;7,"A PRODUIRE","OK")))</f>
        <v>#ERROR!</v>
      </c>
      <c r="K168" s="128"/>
    </row>
    <row r="169" ht="15.0" customHeight="1">
      <c r="A169" s="62"/>
      <c r="B169" s="62"/>
      <c r="C169" s="62"/>
      <c r="D169" s="62"/>
      <c r="E169" s="62"/>
      <c r="F169" s="62"/>
      <c r="G169" s="335" t="str">
        <f>IFERROR(IF(F169=0,"",D169/(F169/7)),"")</f>
        <v>#ERROR!</v>
      </c>
      <c r="H169" s="62"/>
      <c r="I169" s="62"/>
      <c r="J169" s="347" t="str">
        <f>IF(G169="","",IF(G169&lt;3,"URGENT",IF(G169&lt;7,"A PRODUIRE","OK")))</f>
        <v>#ERROR!</v>
      </c>
      <c r="K169" s="62"/>
    </row>
    <row r="170" ht="15.0" customHeight="1">
      <c r="A170" s="128"/>
      <c r="B170" s="128"/>
      <c r="C170" s="128"/>
      <c r="D170" s="128"/>
      <c r="E170" s="128"/>
      <c r="F170" s="128"/>
      <c r="G170" s="332" t="str">
        <f>IFERROR(IF(F170=0,"",D170/(F170/7)),"")</f>
        <v>#ERROR!</v>
      </c>
      <c r="H170" s="128"/>
      <c r="I170" s="128"/>
      <c r="J170" s="348" t="str">
        <f>IF(G170="","",IF(G170&lt;3,"URGENT",IF(G170&lt;7,"A PRODUIRE","OK")))</f>
        <v>#ERROR!</v>
      </c>
      <c r="K170" s="128"/>
    </row>
    <row r="171" ht="15.0" customHeight="1">
      <c r="A171" s="62"/>
      <c r="B171" s="62"/>
      <c r="C171" s="62"/>
      <c r="D171" s="62"/>
      <c r="E171" s="62"/>
      <c r="F171" s="62"/>
      <c r="G171" s="335" t="str">
        <f>IFERROR(IF(F171=0,"",D171/(F171/7)),"")</f>
        <v>#ERROR!</v>
      </c>
      <c r="H171" s="62"/>
      <c r="I171" s="62"/>
      <c r="J171" s="347" t="str">
        <f>IF(G171="","",IF(G171&lt;3,"URGENT",IF(G171&lt;7,"A PRODUIRE","OK")))</f>
        <v>#ERROR!</v>
      </c>
      <c r="K171" s="62"/>
    </row>
    <row r="172" ht="15.0" customHeight="1">
      <c r="A172" s="128"/>
      <c r="B172" s="128"/>
      <c r="C172" s="128"/>
      <c r="D172" s="128"/>
      <c r="E172" s="128"/>
      <c r="F172" s="128"/>
      <c r="G172" s="332" t="str">
        <f>IFERROR(IF(F172=0,"",D172/(F172/7)),"")</f>
        <v>#ERROR!</v>
      </c>
      <c r="H172" s="128"/>
      <c r="I172" s="128"/>
      <c r="J172" s="348" t="str">
        <f>IF(G172="","",IF(G172&lt;3,"URGENT",IF(G172&lt;7,"A PRODUIRE","OK")))</f>
        <v>#ERROR!</v>
      </c>
      <c r="K172" s="128"/>
    </row>
    <row r="173" ht="15.0" customHeight="1">
      <c r="A173" s="62"/>
      <c r="B173" s="62"/>
      <c r="C173" s="62"/>
      <c r="D173" s="62"/>
      <c r="E173" s="62"/>
      <c r="F173" s="62"/>
      <c r="G173" s="335" t="str">
        <f>IFERROR(IF(F173=0,"",D173/(F173/7)),"")</f>
        <v>#ERROR!</v>
      </c>
      <c r="H173" s="62"/>
      <c r="I173" s="62"/>
      <c r="J173" s="347" t="str">
        <f>IF(G173="","",IF(G173&lt;3,"URGENT",IF(G173&lt;7,"A PRODUIRE","OK")))</f>
        <v>#ERROR!</v>
      </c>
      <c r="K173" s="62"/>
    </row>
    <row r="174" ht="15.0" customHeight="1">
      <c r="A174" s="128"/>
      <c r="B174" s="128"/>
      <c r="C174" s="128"/>
      <c r="D174" s="128"/>
      <c r="E174" s="128"/>
      <c r="F174" s="128"/>
      <c r="G174" s="332" t="str">
        <f>IFERROR(IF(F174=0,"",D174/(F174/7)),"")</f>
        <v>#ERROR!</v>
      </c>
      <c r="H174" s="128"/>
      <c r="I174" s="128"/>
      <c r="J174" s="348" t="str">
        <f>IF(G174="","",IF(G174&lt;3,"URGENT",IF(G174&lt;7,"A PRODUIRE","OK")))</f>
        <v>#ERROR!</v>
      </c>
      <c r="K174" s="128"/>
    </row>
    <row r="175" ht="15.0" customHeight="1">
      <c r="A175" s="62"/>
      <c r="B175" s="62"/>
      <c r="C175" s="62"/>
      <c r="D175" s="62"/>
      <c r="E175" s="62"/>
      <c r="F175" s="62"/>
      <c r="G175" s="335" t="str">
        <f>IFERROR(IF(F175=0,"",D175/(F175/7)),"")</f>
        <v>#ERROR!</v>
      </c>
      <c r="H175" s="62"/>
      <c r="I175" s="62"/>
      <c r="J175" s="347" t="str">
        <f>IF(G175="","",IF(G175&lt;3,"URGENT",IF(G175&lt;7,"A PRODUIRE","OK")))</f>
        <v>#ERROR!</v>
      </c>
      <c r="K175" s="62"/>
    </row>
    <row r="176" ht="15.0" customHeight="1">
      <c r="A176" s="128"/>
      <c r="B176" s="128"/>
      <c r="C176" s="128"/>
      <c r="D176" s="128"/>
      <c r="E176" s="128"/>
      <c r="F176" s="128"/>
      <c r="G176" s="332" t="str">
        <f>IFERROR(IF(F176=0,"",D176/(F176/7)),"")</f>
        <v>#ERROR!</v>
      </c>
      <c r="H176" s="128"/>
      <c r="I176" s="128"/>
      <c r="J176" s="348" t="str">
        <f>IF(G176="","",IF(G176&lt;3,"URGENT",IF(G176&lt;7,"A PRODUIRE","OK")))</f>
        <v>#ERROR!</v>
      </c>
      <c r="K176" s="128"/>
    </row>
    <row r="177" ht="15.0" customHeight="1">
      <c r="A177" s="62"/>
      <c r="B177" s="62"/>
      <c r="C177" s="62"/>
      <c r="D177" s="62"/>
      <c r="E177" s="62"/>
      <c r="F177" s="62"/>
      <c r="G177" s="335" t="str">
        <f>IFERROR(IF(F177=0,"",D177/(F177/7)),"")</f>
        <v>#ERROR!</v>
      </c>
      <c r="H177" s="62"/>
      <c r="I177" s="62"/>
      <c r="J177" s="347" t="str">
        <f>IF(G177="","",IF(G177&lt;3,"URGENT",IF(G177&lt;7,"A PRODUIRE","OK")))</f>
        <v>#ERROR!</v>
      </c>
      <c r="K177" s="62"/>
    </row>
    <row r="178" ht="15.0" customHeight="1">
      <c r="A178" s="128"/>
      <c r="B178" s="128"/>
      <c r="C178" s="128"/>
      <c r="D178" s="128"/>
      <c r="E178" s="128"/>
      <c r="F178" s="128"/>
      <c r="G178" s="332" t="str">
        <f>IFERROR(IF(F178=0,"",D178/(F178/7)),"")</f>
        <v>#ERROR!</v>
      </c>
      <c r="H178" s="128"/>
      <c r="I178" s="128"/>
      <c r="J178" s="348" t="str">
        <f>IF(G178="","",IF(G178&lt;3,"URGENT",IF(G178&lt;7,"A PRODUIRE","OK")))</f>
        <v>#ERROR!</v>
      </c>
      <c r="K178" s="128"/>
    </row>
    <row r="179" ht="15.0" customHeight="1">
      <c r="A179" s="62"/>
      <c r="B179" s="62"/>
      <c r="C179" s="62"/>
      <c r="D179" s="62"/>
      <c r="E179" s="62"/>
      <c r="F179" s="62"/>
      <c r="G179" s="335" t="str">
        <f>IFERROR(IF(F179=0,"",D179/(F179/7)),"")</f>
        <v>#ERROR!</v>
      </c>
      <c r="H179" s="62"/>
      <c r="I179" s="62"/>
      <c r="J179" s="347" t="str">
        <f>IF(G179="","",IF(G179&lt;3,"URGENT",IF(G179&lt;7,"A PRODUIRE","OK")))</f>
        <v>#ERROR!</v>
      </c>
      <c r="K179" s="62"/>
    </row>
    <row r="180" ht="15.0" customHeight="1">
      <c r="A180" s="128"/>
      <c r="B180" s="128"/>
      <c r="C180" s="128"/>
      <c r="D180" s="128"/>
      <c r="E180" s="128"/>
      <c r="F180" s="128"/>
      <c r="G180" s="332" t="str">
        <f>IFERROR(IF(F180=0,"",D180/(F180/7)),"")</f>
        <v>#ERROR!</v>
      </c>
      <c r="H180" s="128"/>
      <c r="I180" s="128"/>
      <c r="J180" s="348" t="str">
        <f>IF(G180="","",IF(G180&lt;3,"URGENT",IF(G180&lt;7,"A PRODUIRE","OK")))</f>
        <v>#ERROR!</v>
      </c>
      <c r="K180" s="128"/>
    </row>
    <row r="181" ht="15.0" customHeight="1">
      <c r="A181" s="62"/>
      <c r="B181" s="62"/>
      <c r="C181" s="62"/>
      <c r="D181" s="62"/>
      <c r="E181" s="62"/>
      <c r="F181" s="62"/>
      <c r="G181" s="335" t="str">
        <f>IFERROR(IF(F181=0,"",D181/(F181/7)),"")</f>
        <v>#ERROR!</v>
      </c>
      <c r="H181" s="62"/>
      <c r="I181" s="62"/>
      <c r="J181" s="347" t="str">
        <f>IF(G181="","",IF(G181&lt;3,"URGENT",IF(G181&lt;7,"A PRODUIRE","OK")))</f>
        <v>#ERROR!</v>
      </c>
      <c r="K181" s="62"/>
    </row>
    <row r="182" ht="15.0" customHeight="1">
      <c r="A182" s="128"/>
      <c r="B182" s="128"/>
      <c r="C182" s="128"/>
      <c r="D182" s="128"/>
      <c r="E182" s="128"/>
      <c r="F182" s="128"/>
      <c r="G182" s="332" t="str">
        <f>IFERROR(IF(F182=0,"",D182/(F182/7)),"")</f>
        <v>#ERROR!</v>
      </c>
      <c r="H182" s="128"/>
      <c r="I182" s="128"/>
      <c r="J182" s="348" t="str">
        <f>IF(G182="","",IF(G182&lt;3,"URGENT",IF(G182&lt;7,"A PRODUIRE","OK")))</f>
        <v>#ERROR!</v>
      </c>
      <c r="K182" s="128"/>
    </row>
    <row r="183" ht="15.0" customHeight="1">
      <c r="A183" s="62"/>
      <c r="B183" s="62"/>
      <c r="C183" s="62"/>
      <c r="D183" s="62"/>
      <c r="E183" s="62"/>
      <c r="F183" s="62"/>
      <c r="G183" s="335" t="str">
        <f>IFERROR(IF(F183=0,"",D183/(F183/7)),"")</f>
        <v>#ERROR!</v>
      </c>
      <c r="H183" s="62"/>
      <c r="I183" s="62"/>
      <c r="J183" s="347" t="str">
        <f>IF(G183="","",IF(G183&lt;3,"URGENT",IF(G183&lt;7,"A PRODUIRE","OK")))</f>
        <v>#ERROR!</v>
      </c>
      <c r="K183" s="62"/>
    </row>
    <row r="184" ht="15.0" customHeight="1">
      <c r="A184" s="128"/>
      <c r="B184" s="128"/>
      <c r="C184" s="128"/>
      <c r="D184" s="128"/>
      <c r="E184" s="128"/>
      <c r="F184" s="128"/>
      <c r="G184" s="332" t="str">
        <f>IFERROR(IF(F184=0,"",D184/(F184/7)),"")</f>
        <v>#ERROR!</v>
      </c>
      <c r="H184" s="128"/>
      <c r="I184" s="128"/>
      <c r="J184" s="348" t="str">
        <f>IF(G184="","",IF(G184&lt;3,"URGENT",IF(G184&lt;7,"A PRODUIRE","OK")))</f>
        <v>#ERROR!</v>
      </c>
      <c r="K184" s="128"/>
    </row>
    <row r="185" ht="15.0" customHeight="1">
      <c r="A185" s="62"/>
      <c r="B185" s="62"/>
      <c r="C185" s="62"/>
      <c r="D185" s="62"/>
      <c r="E185" s="62"/>
      <c r="F185" s="62"/>
      <c r="G185" s="335" t="str">
        <f>IFERROR(IF(F185=0,"",D185/(F185/7)),"")</f>
        <v>#ERROR!</v>
      </c>
      <c r="H185" s="62"/>
      <c r="I185" s="62"/>
      <c r="J185" s="347" t="str">
        <f>IF(G185="","",IF(G185&lt;3,"URGENT",IF(G185&lt;7,"A PRODUIRE","OK")))</f>
        <v>#ERROR!</v>
      </c>
      <c r="K185" s="62"/>
    </row>
    <row r="186" ht="15.0" customHeight="1">
      <c r="A186" s="128"/>
      <c r="B186" s="128"/>
      <c r="C186" s="128"/>
      <c r="D186" s="128"/>
      <c r="E186" s="128"/>
      <c r="F186" s="128"/>
      <c r="G186" s="332" t="str">
        <f>IFERROR(IF(F186=0,"",D186/(F186/7)),"")</f>
        <v>#ERROR!</v>
      </c>
      <c r="H186" s="128"/>
      <c r="I186" s="128"/>
      <c r="J186" s="348" t="str">
        <f>IF(G186="","",IF(G186&lt;3,"URGENT",IF(G186&lt;7,"A PRODUIRE","OK")))</f>
        <v>#ERROR!</v>
      </c>
      <c r="K186" s="128"/>
    </row>
    <row r="187" ht="15.0" customHeight="1">
      <c r="A187" s="62"/>
      <c r="B187" s="62"/>
      <c r="C187" s="62"/>
      <c r="D187" s="62"/>
      <c r="E187" s="62"/>
      <c r="F187" s="62"/>
      <c r="G187" s="335" t="str">
        <f>IFERROR(IF(F187=0,"",D187/(F187/7)),"")</f>
        <v>#ERROR!</v>
      </c>
      <c r="H187" s="62"/>
      <c r="I187" s="62"/>
      <c r="J187" s="347" t="str">
        <f>IF(G187="","",IF(G187&lt;3,"URGENT",IF(G187&lt;7,"A PRODUIRE","OK")))</f>
        <v>#ERROR!</v>
      </c>
      <c r="K187" s="62"/>
    </row>
    <row r="188" ht="15.0" customHeight="1">
      <c r="A188" s="128"/>
      <c r="B188" s="128"/>
      <c r="C188" s="128"/>
      <c r="D188" s="128"/>
      <c r="E188" s="128"/>
      <c r="F188" s="128"/>
      <c r="G188" s="332" t="str">
        <f>IFERROR(IF(F188=0,"",D188/(F188/7)),"")</f>
        <v>#ERROR!</v>
      </c>
      <c r="H188" s="128"/>
      <c r="I188" s="128"/>
      <c r="J188" s="348" t="str">
        <f>IF(G188="","",IF(G188&lt;3,"URGENT",IF(G188&lt;7,"A PRODUIRE","OK")))</f>
        <v>#ERROR!</v>
      </c>
      <c r="K188" s="128"/>
    </row>
    <row r="189" ht="15.0" customHeight="1">
      <c r="A189" s="62"/>
      <c r="B189" s="62"/>
      <c r="C189" s="62"/>
      <c r="D189" s="62"/>
      <c r="E189" s="62"/>
      <c r="F189" s="62"/>
      <c r="G189" s="335" t="str">
        <f>IFERROR(IF(F189=0,"",D189/(F189/7)),"")</f>
        <v>#ERROR!</v>
      </c>
      <c r="H189" s="62"/>
      <c r="I189" s="62"/>
      <c r="J189" s="347" t="str">
        <f>IF(G189="","",IF(G189&lt;3,"URGENT",IF(G189&lt;7,"A PRODUIRE","OK")))</f>
        <v>#ERROR!</v>
      </c>
      <c r="K189" s="62"/>
    </row>
    <row r="190" ht="15.0" customHeight="1">
      <c r="A190" s="128"/>
      <c r="B190" s="128"/>
      <c r="C190" s="128"/>
      <c r="D190" s="128"/>
      <c r="E190" s="128"/>
      <c r="F190" s="128"/>
      <c r="G190" s="332" t="str">
        <f>IFERROR(IF(F190=0,"",D190/(F190/7)),"")</f>
        <v>#ERROR!</v>
      </c>
      <c r="H190" s="128"/>
      <c r="I190" s="128"/>
      <c r="J190" s="348" t="str">
        <f>IF(G190="","",IF(G190&lt;3,"URGENT",IF(G190&lt;7,"A PRODUIRE","OK")))</f>
        <v>#ERROR!</v>
      </c>
      <c r="K190" s="128"/>
    </row>
    <row r="191" ht="15.0" customHeight="1">
      <c r="A191" s="62"/>
      <c r="B191" s="62"/>
      <c r="C191" s="62"/>
      <c r="D191" s="62"/>
      <c r="E191" s="62"/>
      <c r="F191" s="62"/>
      <c r="G191" s="335" t="str">
        <f>IFERROR(IF(F191=0,"",D191/(F191/7)),"")</f>
        <v>#ERROR!</v>
      </c>
      <c r="H191" s="62"/>
      <c r="I191" s="62"/>
      <c r="J191" s="347" t="str">
        <f>IF(G191="","",IF(G191&lt;3,"URGENT",IF(G191&lt;7,"A PRODUIRE","OK")))</f>
        <v>#ERROR!</v>
      </c>
      <c r="K191" s="62"/>
    </row>
    <row r="192" ht="15.0" customHeight="1">
      <c r="A192" s="128"/>
      <c r="B192" s="128"/>
      <c r="C192" s="128"/>
      <c r="D192" s="128"/>
      <c r="E192" s="128"/>
      <c r="F192" s="128"/>
      <c r="G192" s="332" t="str">
        <f>IFERROR(IF(F192=0,"",D192/(F192/7)),"")</f>
        <v>#ERROR!</v>
      </c>
      <c r="H192" s="128"/>
      <c r="I192" s="128"/>
      <c r="J192" s="348" t="str">
        <f>IF(G192="","",IF(G192&lt;3,"URGENT",IF(G192&lt;7,"A PRODUIRE","OK")))</f>
        <v>#ERROR!</v>
      </c>
      <c r="K192" s="128"/>
    </row>
    <row r="193" ht="15.0" customHeight="1">
      <c r="A193" s="62"/>
      <c r="B193" s="62"/>
      <c r="C193" s="62"/>
      <c r="D193" s="62"/>
      <c r="E193" s="62"/>
      <c r="F193" s="62"/>
      <c r="G193" s="335" t="str">
        <f>IFERROR(IF(F193=0,"",D193/(F193/7)),"")</f>
        <v>#ERROR!</v>
      </c>
      <c r="H193" s="62"/>
      <c r="I193" s="62"/>
      <c r="J193" s="347" t="str">
        <f>IF(G193="","",IF(G193&lt;3,"URGENT",IF(G193&lt;7,"A PRODUIRE","OK")))</f>
        <v>#ERROR!</v>
      </c>
      <c r="K193" s="62"/>
    </row>
    <row r="194" ht="15.0" customHeight="1">
      <c r="A194" s="128"/>
      <c r="B194" s="128"/>
      <c r="C194" s="128"/>
      <c r="D194" s="128"/>
      <c r="E194" s="128"/>
      <c r="F194" s="128"/>
      <c r="G194" s="332" t="str">
        <f>IFERROR(IF(F194=0,"",D194/(F194/7)),"")</f>
        <v>#ERROR!</v>
      </c>
      <c r="H194" s="128"/>
      <c r="I194" s="128"/>
      <c r="J194" s="348" t="str">
        <f>IF(G194="","",IF(G194&lt;3,"URGENT",IF(G194&lt;7,"A PRODUIRE","OK")))</f>
        <v>#ERROR!</v>
      </c>
      <c r="K194" s="128"/>
    </row>
    <row r="195" ht="15.0" customHeight="1">
      <c r="A195" s="62"/>
      <c r="B195" s="62"/>
      <c r="C195" s="62"/>
      <c r="D195" s="62"/>
      <c r="E195" s="62"/>
      <c r="F195" s="62"/>
      <c r="G195" s="335" t="str">
        <f>IFERROR(IF(F195=0,"",D195/(F195/7)),"")</f>
        <v>#ERROR!</v>
      </c>
      <c r="H195" s="62"/>
      <c r="I195" s="62"/>
      <c r="J195" s="347" t="str">
        <f>IF(G195="","",IF(G195&lt;3,"URGENT",IF(G195&lt;7,"A PRODUIRE","OK")))</f>
        <v>#ERROR!</v>
      </c>
      <c r="K195" s="62"/>
    </row>
    <row r="196" ht="15.0" customHeight="1">
      <c r="A196" s="128"/>
      <c r="B196" s="128"/>
      <c r="C196" s="128"/>
      <c r="D196" s="128"/>
      <c r="E196" s="128"/>
      <c r="F196" s="128"/>
      <c r="G196" s="332" t="str">
        <f>IFERROR(IF(F196=0,"",D196/(F196/7)),"")</f>
        <v>#ERROR!</v>
      </c>
      <c r="H196" s="128"/>
      <c r="I196" s="128"/>
      <c r="J196" s="348" t="str">
        <f>IF(G196="","",IF(G196&lt;3,"URGENT",IF(G196&lt;7,"A PRODUIRE","OK")))</f>
        <v>#ERROR!</v>
      </c>
      <c r="K196" s="128"/>
    </row>
    <row r="197" ht="15.0" customHeight="1">
      <c r="A197" s="62"/>
      <c r="B197" s="62"/>
      <c r="C197" s="62"/>
      <c r="D197" s="62"/>
      <c r="E197" s="62"/>
      <c r="F197" s="62"/>
      <c r="G197" s="335" t="str">
        <f>IFERROR(IF(F197=0,"",D197/(F197/7)),"")</f>
        <v>#ERROR!</v>
      </c>
      <c r="H197" s="62"/>
      <c r="I197" s="62"/>
      <c r="J197" s="347" t="str">
        <f>IF(G197="","",IF(G197&lt;3,"URGENT",IF(G197&lt;7,"A PRODUIRE","OK")))</f>
        <v>#ERROR!</v>
      </c>
      <c r="K197" s="62"/>
    </row>
    <row r="198" ht="15.0" customHeight="1">
      <c r="A198" s="128"/>
      <c r="B198" s="128"/>
      <c r="C198" s="128"/>
      <c r="D198" s="128"/>
      <c r="E198" s="128"/>
      <c r="F198" s="128"/>
      <c r="G198" s="332" t="str">
        <f>IFERROR(IF(F198=0,"",D198/(F198/7)),"")</f>
        <v>#ERROR!</v>
      </c>
      <c r="H198" s="128"/>
      <c r="I198" s="128"/>
      <c r="J198" s="348" t="str">
        <f>IF(G198="","",IF(G198&lt;3,"URGENT",IF(G198&lt;7,"A PRODUIRE","OK")))</f>
        <v>#ERROR!</v>
      </c>
      <c r="K198" s="128"/>
    </row>
    <row r="199" ht="15.0" customHeight="1">
      <c r="A199" s="62"/>
      <c r="B199" s="62"/>
      <c r="C199" s="62"/>
      <c r="D199" s="62"/>
      <c r="E199" s="62"/>
      <c r="F199" s="62"/>
      <c r="G199" s="335" t="str">
        <f>IFERROR(IF(F199=0,"",D199/(F199/7)),"")</f>
        <v>#ERROR!</v>
      </c>
      <c r="H199" s="62"/>
      <c r="I199" s="62"/>
      <c r="J199" s="347" t="str">
        <f>IF(G199="","",IF(G199&lt;3,"URGENT",IF(G199&lt;7,"A PRODUIRE","OK")))</f>
        <v>#ERROR!</v>
      </c>
      <c r="K199" s="62"/>
    </row>
    <row r="200" ht="15.0" customHeight="1">
      <c r="A200" s="128"/>
      <c r="B200" s="128"/>
      <c r="C200" s="128"/>
      <c r="D200" s="128"/>
      <c r="E200" s="128"/>
      <c r="F200" s="128"/>
      <c r="G200" s="332" t="str">
        <f>IFERROR(IF(F200=0,"",D200/(F200/7)),"")</f>
        <v>#ERROR!</v>
      </c>
      <c r="H200" s="128"/>
      <c r="I200" s="128"/>
      <c r="J200" s="348" t="str">
        <f>IF(G200="","",IF(G200&lt;3,"URGENT",IF(G200&lt;7,"A PRODUIRE","OK")))</f>
        <v>#ERROR!</v>
      </c>
      <c r="K200" s="128"/>
    </row>
    <row r="201" ht="15.0" customHeight="1">
      <c r="A201" s="62"/>
      <c r="B201" s="62"/>
      <c r="C201" s="62"/>
      <c r="D201" s="62"/>
      <c r="E201" s="62"/>
      <c r="F201" s="62"/>
      <c r="G201" s="335" t="str">
        <f>IFERROR(IF(F201=0,"",D201/(F201/7)),"")</f>
        <v>#ERROR!</v>
      </c>
      <c r="H201" s="62"/>
      <c r="I201" s="62"/>
      <c r="J201" s="347" t="str">
        <f>IF(G201="","",IF(G201&lt;3,"URGENT",IF(G201&lt;7,"A PRODUIRE","OK")))</f>
        <v>#ERROR!</v>
      </c>
      <c r="K201" s="62"/>
    </row>
    <row r="202" ht="15.0" customHeight="1">
      <c r="A202" s="128"/>
      <c r="B202" s="128"/>
      <c r="C202" s="128"/>
      <c r="D202" s="128"/>
      <c r="E202" s="128"/>
      <c r="F202" s="128"/>
      <c r="G202" s="332" t="str">
        <f>IFERROR(IF(F202=0,"",D202/(F202/7)),"")</f>
        <v>#ERROR!</v>
      </c>
      <c r="H202" s="128"/>
      <c r="I202" s="128"/>
      <c r="J202" s="348" t="str">
        <f>IF(G202="","",IF(G202&lt;3,"URGENT",IF(G202&lt;7,"A PRODUIRE","OK")))</f>
        <v>#ERROR!</v>
      </c>
      <c r="K202" s="128"/>
    </row>
    <row r="203" ht="15.0" customHeight="1">
      <c r="A203" s="62"/>
      <c r="B203" s="62"/>
      <c r="C203" s="62"/>
      <c r="D203" s="62"/>
      <c r="E203" s="62"/>
      <c r="F203" s="62"/>
      <c r="G203" s="335" t="str">
        <f>IFERROR(IF(F203=0,"",D203/(F203/7)),"")</f>
        <v>#ERROR!</v>
      </c>
      <c r="H203" s="62"/>
      <c r="I203" s="62"/>
      <c r="J203" s="347" t="str">
        <f>IF(G203="","",IF(G203&lt;3,"URGENT",IF(G203&lt;7,"A PRODUIRE","OK")))</f>
        <v>#ERROR!</v>
      </c>
      <c r="K203" s="62"/>
    </row>
    <row r="206" ht="16.5" customHeight="1">
      <c r="A206" s="349" t="s">
        <v>920</v>
      </c>
    </row>
    <row r="207">
      <c r="A207" s="31" t="s">
        <v>921</v>
      </c>
      <c r="B207" s="31" t="s">
        <v>76</v>
      </c>
      <c r="C207" s="31" t="s">
        <v>75</v>
      </c>
      <c r="D207" s="31" t="s">
        <v>922</v>
      </c>
      <c r="E207" s="31" t="s">
        <v>923</v>
      </c>
      <c r="F207" s="31" t="s">
        <v>924</v>
      </c>
      <c r="G207" s="31" t="s">
        <v>925</v>
      </c>
      <c r="H207" s="31" t="s">
        <v>926</v>
      </c>
      <c r="I207" s="31" t="s">
        <v>105</v>
      </c>
    </row>
    <row r="208" ht="15.0" customHeight="1">
      <c r="A208" s="128" t="str">
        <f>IFERROR(INDEX('Bons de Commande'!A:A,MATCH("Confirme",'Bons de Commande'!W:W,0)+0),"")</f>
        <v>#ERROR!</v>
      </c>
      <c r="B208" s="128" t="str">
        <f>IFERROR(IF(A208="","",INDEX('Bons de Commande'!C:C,MATCH(A208,'Bons de Commande'!A:A,0))),"")</f>
        <v>#ERROR!</v>
      </c>
      <c r="C208" s="128" t="str">
        <f>IFERROR(IF(A208="","",INDEX('Bons de Commande'!D:D,MATCH(A208,'Bons de Commande'!A:A,0))),"")</f>
        <v>#ERROR!</v>
      </c>
      <c r="D208" s="128" t="str">
        <f>IFERROR(IF(A208="","",INDEX('Bons de Commande'!F:F,MATCH(A208,'Bons de Commande'!A:A,0))),"")</f>
        <v>#ERROR!</v>
      </c>
      <c r="E208" s="128" t="str">
        <f>IFERROR(IF(A208="","",INDEX('Bons de Commande'!H:H,MATCH(A208,'Bons de Commande'!A:A,0))),"")</f>
        <v>#ERROR!</v>
      </c>
      <c r="F208" s="128" t="str">
        <f>IFERROR(IF(A208="","",INDEX('Bons de Commande'!J:J,MATCH(A208,'Bons de Commande'!A:A,0))),"")</f>
        <v>#ERROR!</v>
      </c>
      <c r="G208" s="128" t="str">
        <f>IFERROR(IF(A208="","",INDEX('Bons de Commande'!L:L,MATCH(A208,'Bons de Commande'!A:A,0))),"")</f>
        <v>#ERROR!</v>
      </c>
      <c r="H208" s="128" t="str">
        <f>IFERROR(IF(A208="","",TEXT(INDEX('Bons de Commande'!X:X,MATCH(A208,'Bons de Commande'!A:A,0)),"dd/mm/yyyy")),"")</f>
        <v>#ERROR!</v>
      </c>
      <c r="I208" s="128" t="str">
        <f>IFERROR(IF(A208="","",INDEX('Bons de Commande'!W:W,MATCH(A208,'Bons de Commande'!A:A,0))),"")</f>
        <v>#ERROR!</v>
      </c>
    </row>
    <row r="209" ht="15.0" customHeight="1">
      <c r="A209" s="62" t="str">
        <f>IFERROR(INDEX('Bons de Commande'!A:A,MATCH("Confirme",'Bons de Commande'!W:W,0)+1),"")</f>
        <v>#ERROR!</v>
      </c>
      <c r="B209" s="62" t="str">
        <f>IFERROR(IF(A209="","",INDEX('Bons de Commande'!C:C,MATCH(A209,'Bons de Commande'!A:A,0))),"")</f>
        <v>#ERROR!</v>
      </c>
      <c r="C209" s="62" t="str">
        <f>IFERROR(IF(A209="","",INDEX('Bons de Commande'!D:D,MATCH(A209,'Bons de Commande'!A:A,0))),"")</f>
        <v>#ERROR!</v>
      </c>
      <c r="D209" s="62" t="str">
        <f>IFERROR(IF(A209="","",INDEX('Bons de Commande'!F:F,MATCH(A209,'Bons de Commande'!A:A,0))),"")</f>
        <v>#ERROR!</v>
      </c>
      <c r="E209" s="62" t="str">
        <f>IFERROR(IF(A209="","",INDEX('Bons de Commande'!H:H,MATCH(A209,'Bons de Commande'!A:A,0))),"")</f>
        <v>#ERROR!</v>
      </c>
      <c r="F209" s="62" t="str">
        <f>IFERROR(IF(A209="","",INDEX('Bons de Commande'!J:J,MATCH(A209,'Bons de Commande'!A:A,0))),"")</f>
        <v>#ERROR!</v>
      </c>
      <c r="G209" s="62" t="str">
        <f>IFERROR(IF(A209="","",INDEX('Bons de Commande'!L:L,MATCH(A209,'Bons de Commande'!A:A,0))),"")</f>
        <v>#ERROR!</v>
      </c>
      <c r="H209" s="62" t="str">
        <f>IFERROR(IF(A209="","",TEXT(INDEX('Bons de Commande'!X:X,MATCH(A209,'Bons de Commande'!A:A,0)),"dd/mm/yyyy")),"")</f>
        <v>#ERROR!</v>
      </c>
      <c r="I209" s="62" t="str">
        <f>IFERROR(IF(A209="","",INDEX('Bons de Commande'!W:W,MATCH(A209,'Bons de Commande'!A:A,0))),"")</f>
        <v>#ERROR!</v>
      </c>
    </row>
    <row r="210" ht="15.0" customHeight="1">
      <c r="A210" s="128" t="str">
        <f>IFERROR(INDEX('Bons de Commande'!A:A,MATCH("Confirme",'Bons de Commande'!W:W,0)+2),"")</f>
        <v>#ERROR!</v>
      </c>
      <c r="B210" s="128" t="str">
        <f>IFERROR(IF(A210="","",INDEX('Bons de Commande'!C:C,MATCH(A210,'Bons de Commande'!A:A,0))),"")</f>
        <v>#ERROR!</v>
      </c>
      <c r="C210" s="128" t="str">
        <f>IFERROR(IF(A210="","",INDEX('Bons de Commande'!D:D,MATCH(A210,'Bons de Commande'!A:A,0))),"")</f>
        <v>#ERROR!</v>
      </c>
      <c r="D210" s="128" t="str">
        <f>IFERROR(IF(A210="","",INDEX('Bons de Commande'!F:F,MATCH(A210,'Bons de Commande'!A:A,0))),"")</f>
        <v>#ERROR!</v>
      </c>
      <c r="E210" s="128" t="str">
        <f>IFERROR(IF(A210="","",INDEX('Bons de Commande'!H:H,MATCH(A210,'Bons de Commande'!A:A,0))),"")</f>
        <v>#ERROR!</v>
      </c>
      <c r="F210" s="128" t="str">
        <f>IFERROR(IF(A210="","",INDEX('Bons de Commande'!J:J,MATCH(A210,'Bons de Commande'!A:A,0))),"")</f>
        <v>#ERROR!</v>
      </c>
      <c r="G210" s="128" t="str">
        <f>IFERROR(IF(A210="","",INDEX('Bons de Commande'!L:L,MATCH(A210,'Bons de Commande'!A:A,0))),"")</f>
        <v>#ERROR!</v>
      </c>
      <c r="H210" s="128" t="str">
        <f>IFERROR(IF(A210="","",TEXT(INDEX('Bons de Commande'!X:X,MATCH(A210,'Bons de Commande'!A:A,0)),"dd/mm/yyyy")),"")</f>
        <v>#ERROR!</v>
      </c>
      <c r="I210" s="128" t="str">
        <f>IFERROR(IF(A210="","",INDEX('Bons de Commande'!W:W,MATCH(A210,'Bons de Commande'!A:A,0))),"")</f>
        <v>#ERROR!</v>
      </c>
    </row>
    <row r="211" ht="15.0" customHeight="1">
      <c r="A211" s="62" t="str">
        <f>IFERROR(INDEX('Bons de Commande'!A:A,MATCH("Confirme",'Bons de Commande'!W:W,0)+3),"")</f>
        <v>#ERROR!</v>
      </c>
      <c r="B211" s="62" t="str">
        <f>IFERROR(IF(A211="","",INDEX('Bons de Commande'!C:C,MATCH(A211,'Bons de Commande'!A:A,0))),"")</f>
        <v>#ERROR!</v>
      </c>
      <c r="C211" s="62" t="str">
        <f>IFERROR(IF(A211="","",INDEX('Bons de Commande'!D:D,MATCH(A211,'Bons de Commande'!A:A,0))),"")</f>
        <v>#ERROR!</v>
      </c>
      <c r="D211" s="62" t="str">
        <f>IFERROR(IF(A211="","",INDEX('Bons de Commande'!F:F,MATCH(A211,'Bons de Commande'!A:A,0))),"")</f>
        <v>#ERROR!</v>
      </c>
      <c r="E211" s="62" t="str">
        <f>IFERROR(IF(A211="","",INDEX('Bons de Commande'!H:H,MATCH(A211,'Bons de Commande'!A:A,0))),"")</f>
        <v>#ERROR!</v>
      </c>
      <c r="F211" s="62" t="str">
        <f>IFERROR(IF(A211="","",INDEX('Bons de Commande'!J:J,MATCH(A211,'Bons de Commande'!A:A,0))),"")</f>
        <v>#ERROR!</v>
      </c>
      <c r="G211" s="62" t="str">
        <f>IFERROR(IF(A211="","",INDEX('Bons de Commande'!L:L,MATCH(A211,'Bons de Commande'!A:A,0))),"")</f>
        <v>#ERROR!</v>
      </c>
      <c r="H211" s="62" t="str">
        <f>IFERROR(IF(A211="","",TEXT(INDEX('Bons de Commande'!X:X,MATCH(A211,'Bons de Commande'!A:A,0)),"dd/mm/yyyy")),"")</f>
        <v>#ERROR!</v>
      </c>
      <c r="I211" s="62" t="str">
        <f>IFERROR(IF(A211="","",INDEX('Bons de Commande'!W:W,MATCH(A211,'Bons de Commande'!A:A,0))),"")</f>
        <v>#ERROR!</v>
      </c>
    </row>
    <row r="212" ht="15.0" customHeight="1">
      <c r="A212" s="128" t="str">
        <f>IFERROR(INDEX('Bons de Commande'!A:A,MATCH("Confirme",'Bons de Commande'!W:W,0)+4),"")</f>
        <v>#ERROR!</v>
      </c>
      <c r="B212" s="128" t="str">
        <f>IFERROR(IF(A212="","",INDEX('Bons de Commande'!C:C,MATCH(A212,'Bons de Commande'!A:A,0))),"")</f>
        <v>#ERROR!</v>
      </c>
      <c r="C212" s="128" t="str">
        <f>IFERROR(IF(A212="","",INDEX('Bons de Commande'!D:D,MATCH(A212,'Bons de Commande'!A:A,0))),"")</f>
        <v>#ERROR!</v>
      </c>
      <c r="D212" s="128" t="str">
        <f>IFERROR(IF(A212="","",INDEX('Bons de Commande'!F:F,MATCH(A212,'Bons de Commande'!A:A,0))),"")</f>
        <v>#ERROR!</v>
      </c>
      <c r="E212" s="128" t="str">
        <f>IFERROR(IF(A212="","",INDEX('Bons de Commande'!H:H,MATCH(A212,'Bons de Commande'!A:A,0))),"")</f>
        <v>#ERROR!</v>
      </c>
      <c r="F212" s="128" t="str">
        <f>IFERROR(IF(A212="","",INDEX('Bons de Commande'!J:J,MATCH(A212,'Bons de Commande'!A:A,0))),"")</f>
        <v>#ERROR!</v>
      </c>
      <c r="G212" s="128" t="str">
        <f>IFERROR(IF(A212="","",INDEX('Bons de Commande'!L:L,MATCH(A212,'Bons de Commande'!A:A,0))),"")</f>
        <v>#ERROR!</v>
      </c>
      <c r="H212" s="128" t="str">
        <f>IFERROR(IF(A212="","",TEXT(INDEX('Bons de Commande'!X:X,MATCH(A212,'Bons de Commande'!A:A,0)),"dd/mm/yyyy")),"")</f>
        <v>#ERROR!</v>
      </c>
      <c r="I212" s="128" t="str">
        <f>IFERROR(IF(A212="","",INDEX('Bons de Commande'!W:W,MATCH(A212,'Bons de Commande'!A:A,0))),"")</f>
        <v>#ERROR!</v>
      </c>
    </row>
    <row r="213" ht="15.0" customHeight="1">
      <c r="A213" s="62" t="str">
        <f>IFERROR(INDEX('Bons de Commande'!A:A,MATCH("Confirme",'Bons de Commande'!W:W,0)+5),"")</f>
        <v>#ERROR!</v>
      </c>
      <c r="B213" s="62" t="str">
        <f>IFERROR(IF(A213="","",INDEX('Bons de Commande'!C:C,MATCH(A213,'Bons de Commande'!A:A,0))),"")</f>
        <v>#ERROR!</v>
      </c>
      <c r="C213" s="62" t="str">
        <f>IFERROR(IF(A213="","",INDEX('Bons de Commande'!D:D,MATCH(A213,'Bons de Commande'!A:A,0))),"")</f>
        <v>#ERROR!</v>
      </c>
      <c r="D213" s="62" t="str">
        <f>IFERROR(IF(A213="","",INDEX('Bons de Commande'!F:F,MATCH(A213,'Bons de Commande'!A:A,0))),"")</f>
        <v>#ERROR!</v>
      </c>
      <c r="E213" s="62" t="str">
        <f>IFERROR(IF(A213="","",INDEX('Bons de Commande'!H:H,MATCH(A213,'Bons de Commande'!A:A,0))),"")</f>
        <v>#ERROR!</v>
      </c>
      <c r="F213" s="62" t="str">
        <f>IFERROR(IF(A213="","",INDEX('Bons de Commande'!J:J,MATCH(A213,'Bons de Commande'!A:A,0))),"")</f>
        <v>#ERROR!</v>
      </c>
      <c r="G213" s="62" t="str">
        <f>IFERROR(IF(A213="","",INDEX('Bons de Commande'!L:L,MATCH(A213,'Bons de Commande'!A:A,0))),"")</f>
        <v>#ERROR!</v>
      </c>
      <c r="H213" s="62" t="str">
        <f>IFERROR(IF(A213="","",TEXT(INDEX('Bons de Commande'!X:X,MATCH(A213,'Bons de Commande'!A:A,0)),"dd/mm/yyyy")),"")</f>
        <v>#ERROR!</v>
      </c>
      <c r="I213" s="62" t="str">
        <f>IFERROR(IF(A213="","",INDEX('Bons de Commande'!W:W,MATCH(A213,'Bons de Commande'!A:A,0))),"")</f>
        <v>#ERROR!</v>
      </c>
    </row>
    <row r="214" ht="15.0" customHeight="1">
      <c r="A214" s="128" t="str">
        <f>IFERROR(INDEX('Bons de Commande'!A:A,MATCH("Confirme",'Bons de Commande'!W:W,0)+6),"")</f>
        <v>#ERROR!</v>
      </c>
      <c r="B214" s="128" t="str">
        <f>IFERROR(IF(A214="","",INDEX('Bons de Commande'!C:C,MATCH(A214,'Bons de Commande'!A:A,0))),"")</f>
        <v>#ERROR!</v>
      </c>
      <c r="C214" s="128" t="str">
        <f>IFERROR(IF(A214="","",INDEX('Bons de Commande'!D:D,MATCH(A214,'Bons de Commande'!A:A,0))),"")</f>
        <v>#ERROR!</v>
      </c>
      <c r="D214" s="128" t="str">
        <f>IFERROR(IF(A214="","",INDEX('Bons de Commande'!F:F,MATCH(A214,'Bons de Commande'!A:A,0))),"")</f>
        <v>#ERROR!</v>
      </c>
      <c r="E214" s="128" t="str">
        <f>IFERROR(IF(A214="","",INDEX('Bons de Commande'!H:H,MATCH(A214,'Bons de Commande'!A:A,0))),"")</f>
        <v>#ERROR!</v>
      </c>
      <c r="F214" s="128" t="str">
        <f>IFERROR(IF(A214="","",INDEX('Bons de Commande'!J:J,MATCH(A214,'Bons de Commande'!A:A,0))),"")</f>
        <v>#ERROR!</v>
      </c>
      <c r="G214" s="128" t="str">
        <f>IFERROR(IF(A214="","",INDEX('Bons de Commande'!L:L,MATCH(A214,'Bons de Commande'!A:A,0))),"")</f>
        <v>#ERROR!</v>
      </c>
      <c r="H214" s="128" t="str">
        <f>IFERROR(IF(A214="","",TEXT(INDEX('Bons de Commande'!X:X,MATCH(A214,'Bons de Commande'!A:A,0)),"dd/mm/yyyy")),"")</f>
        <v>#ERROR!</v>
      </c>
      <c r="I214" s="128" t="str">
        <f>IFERROR(IF(A214="","",INDEX('Bons de Commande'!W:W,MATCH(A214,'Bons de Commande'!A:A,0))),"")</f>
        <v>#ERROR!</v>
      </c>
    </row>
    <row r="215" ht="15.0" customHeight="1">
      <c r="A215" s="62" t="str">
        <f>IFERROR(INDEX('Bons de Commande'!A:A,MATCH("Confirme",'Bons de Commande'!W:W,0)+7),"")</f>
        <v>#ERROR!</v>
      </c>
      <c r="B215" s="62" t="str">
        <f>IFERROR(IF(A215="","",INDEX('Bons de Commande'!C:C,MATCH(A215,'Bons de Commande'!A:A,0))),"")</f>
        <v>#ERROR!</v>
      </c>
      <c r="C215" s="62" t="str">
        <f>IFERROR(IF(A215="","",INDEX('Bons de Commande'!D:D,MATCH(A215,'Bons de Commande'!A:A,0))),"")</f>
        <v>#ERROR!</v>
      </c>
      <c r="D215" s="62" t="str">
        <f>IFERROR(IF(A215="","",INDEX('Bons de Commande'!F:F,MATCH(A215,'Bons de Commande'!A:A,0))),"")</f>
        <v>#ERROR!</v>
      </c>
      <c r="E215" s="62" t="str">
        <f>IFERROR(IF(A215="","",INDEX('Bons de Commande'!H:H,MATCH(A215,'Bons de Commande'!A:A,0))),"")</f>
        <v>#ERROR!</v>
      </c>
      <c r="F215" s="62" t="str">
        <f>IFERROR(IF(A215="","",INDEX('Bons de Commande'!J:J,MATCH(A215,'Bons de Commande'!A:A,0))),"")</f>
        <v>#ERROR!</v>
      </c>
      <c r="G215" s="62" t="str">
        <f>IFERROR(IF(A215="","",INDEX('Bons de Commande'!L:L,MATCH(A215,'Bons de Commande'!A:A,0))),"")</f>
        <v>#ERROR!</v>
      </c>
      <c r="H215" s="62" t="str">
        <f>IFERROR(IF(A215="","",TEXT(INDEX('Bons de Commande'!X:X,MATCH(A215,'Bons de Commande'!A:A,0)),"dd/mm/yyyy")),"")</f>
        <v>#ERROR!</v>
      </c>
      <c r="I215" s="62" t="str">
        <f>IFERROR(IF(A215="","",INDEX('Bons de Commande'!W:W,MATCH(A215,'Bons de Commande'!A:A,0))),"")</f>
        <v>#ERROR!</v>
      </c>
    </row>
    <row r="216" ht="15.0" customHeight="1">
      <c r="A216" s="128" t="str">
        <f>IFERROR(INDEX('Bons de Commande'!A:A,MATCH("Confirme",'Bons de Commande'!W:W,0)+8),"")</f>
        <v>#ERROR!</v>
      </c>
      <c r="B216" s="128" t="str">
        <f>IFERROR(IF(A216="","",INDEX('Bons de Commande'!C:C,MATCH(A216,'Bons de Commande'!A:A,0))),"")</f>
        <v>#ERROR!</v>
      </c>
      <c r="C216" s="128" t="str">
        <f>IFERROR(IF(A216="","",INDEX('Bons de Commande'!D:D,MATCH(A216,'Bons de Commande'!A:A,0))),"")</f>
        <v>#ERROR!</v>
      </c>
      <c r="D216" s="128" t="str">
        <f>IFERROR(IF(A216="","",INDEX('Bons de Commande'!F:F,MATCH(A216,'Bons de Commande'!A:A,0))),"")</f>
        <v>#ERROR!</v>
      </c>
      <c r="E216" s="128" t="str">
        <f>IFERROR(IF(A216="","",INDEX('Bons de Commande'!H:H,MATCH(A216,'Bons de Commande'!A:A,0))),"")</f>
        <v>#ERROR!</v>
      </c>
      <c r="F216" s="128" t="str">
        <f>IFERROR(IF(A216="","",INDEX('Bons de Commande'!J:J,MATCH(A216,'Bons de Commande'!A:A,0))),"")</f>
        <v>#ERROR!</v>
      </c>
      <c r="G216" s="128" t="str">
        <f>IFERROR(IF(A216="","",INDEX('Bons de Commande'!L:L,MATCH(A216,'Bons de Commande'!A:A,0))),"")</f>
        <v>#ERROR!</v>
      </c>
      <c r="H216" s="128" t="str">
        <f>IFERROR(IF(A216="","",TEXT(INDEX('Bons de Commande'!X:X,MATCH(A216,'Bons de Commande'!A:A,0)),"dd/mm/yyyy")),"")</f>
        <v>#ERROR!</v>
      </c>
      <c r="I216" s="128" t="str">
        <f>IFERROR(IF(A216="","",INDEX('Bons de Commande'!W:W,MATCH(A216,'Bons de Commande'!A:A,0))),"")</f>
        <v>#ERROR!</v>
      </c>
    </row>
    <row r="217" ht="15.0" customHeight="1">
      <c r="A217" s="62" t="str">
        <f>IFERROR(INDEX('Bons de Commande'!A:A,MATCH("Confirme",'Bons de Commande'!W:W,0)+9),"")</f>
        <v>#ERROR!</v>
      </c>
      <c r="B217" s="62" t="str">
        <f>IFERROR(IF(A217="","",INDEX('Bons de Commande'!C:C,MATCH(A217,'Bons de Commande'!A:A,0))),"")</f>
        <v>#ERROR!</v>
      </c>
      <c r="C217" s="62" t="str">
        <f>IFERROR(IF(A217="","",INDEX('Bons de Commande'!D:D,MATCH(A217,'Bons de Commande'!A:A,0))),"")</f>
        <v>#ERROR!</v>
      </c>
      <c r="D217" s="62" t="str">
        <f>IFERROR(IF(A217="","",INDEX('Bons de Commande'!F:F,MATCH(A217,'Bons de Commande'!A:A,0))),"")</f>
        <v>#ERROR!</v>
      </c>
      <c r="E217" s="62" t="str">
        <f>IFERROR(IF(A217="","",INDEX('Bons de Commande'!H:H,MATCH(A217,'Bons de Commande'!A:A,0))),"")</f>
        <v>#ERROR!</v>
      </c>
      <c r="F217" s="62" t="str">
        <f>IFERROR(IF(A217="","",INDEX('Bons de Commande'!J:J,MATCH(A217,'Bons de Commande'!A:A,0))),"")</f>
        <v>#ERROR!</v>
      </c>
      <c r="G217" s="62" t="str">
        <f>IFERROR(IF(A217="","",INDEX('Bons de Commande'!L:L,MATCH(A217,'Bons de Commande'!A:A,0))),"")</f>
        <v>#ERROR!</v>
      </c>
      <c r="H217" s="62" t="str">
        <f>IFERROR(IF(A217="","",TEXT(INDEX('Bons de Commande'!X:X,MATCH(A217,'Bons de Commande'!A:A,0)),"dd/mm/yyyy")),"")</f>
        <v>#ERROR!</v>
      </c>
      <c r="I217" s="62" t="str">
        <f>IFERROR(IF(A217="","",INDEX('Bons de Commande'!W:W,MATCH(A217,'Bons de Commande'!A:A,0))),"")</f>
        <v>#ERROR!</v>
      </c>
    </row>
    <row r="218" ht="15.0" customHeight="1">
      <c r="A218" s="128" t="str">
        <f>IFERROR(INDEX('Bons de Commande'!A:A,MATCH("Confirme",'Bons de Commande'!W:W,0)+10),"")</f>
        <v>#ERROR!</v>
      </c>
      <c r="B218" s="128" t="str">
        <f>IFERROR(IF(A218="","",INDEX('Bons de Commande'!C:C,MATCH(A218,'Bons de Commande'!A:A,0))),"")</f>
        <v>#ERROR!</v>
      </c>
      <c r="C218" s="128" t="str">
        <f>IFERROR(IF(A218="","",INDEX('Bons de Commande'!D:D,MATCH(A218,'Bons de Commande'!A:A,0))),"")</f>
        <v>#ERROR!</v>
      </c>
      <c r="D218" s="128" t="str">
        <f>IFERROR(IF(A218="","",INDEX('Bons de Commande'!F:F,MATCH(A218,'Bons de Commande'!A:A,0))),"")</f>
        <v>#ERROR!</v>
      </c>
      <c r="E218" s="128" t="str">
        <f>IFERROR(IF(A218="","",INDEX('Bons de Commande'!H:H,MATCH(A218,'Bons de Commande'!A:A,0))),"")</f>
        <v>#ERROR!</v>
      </c>
      <c r="F218" s="128" t="str">
        <f>IFERROR(IF(A218="","",INDEX('Bons de Commande'!J:J,MATCH(A218,'Bons de Commande'!A:A,0))),"")</f>
        <v>#ERROR!</v>
      </c>
      <c r="G218" s="128" t="str">
        <f>IFERROR(IF(A218="","",INDEX('Bons de Commande'!L:L,MATCH(A218,'Bons de Commande'!A:A,0))),"")</f>
        <v>#ERROR!</v>
      </c>
      <c r="H218" s="128" t="str">
        <f>IFERROR(IF(A218="","",TEXT(INDEX('Bons de Commande'!X:X,MATCH(A218,'Bons de Commande'!A:A,0)),"dd/mm/yyyy")),"")</f>
        <v>#ERROR!</v>
      </c>
      <c r="I218" s="128" t="str">
        <f>IFERROR(IF(A218="","",INDEX('Bons de Commande'!W:W,MATCH(A218,'Bons de Commande'!A:A,0))),"")</f>
        <v>#ERROR!</v>
      </c>
    </row>
    <row r="219" ht="15.0" customHeight="1">
      <c r="A219" s="62" t="str">
        <f>IFERROR(INDEX('Bons de Commande'!A:A,MATCH("Confirme",'Bons de Commande'!W:W,0)+11),"")</f>
        <v>#ERROR!</v>
      </c>
      <c r="B219" s="62" t="str">
        <f>IFERROR(IF(A219="","",INDEX('Bons de Commande'!C:C,MATCH(A219,'Bons de Commande'!A:A,0))),"")</f>
        <v>#ERROR!</v>
      </c>
      <c r="C219" s="62" t="str">
        <f>IFERROR(IF(A219="","",INDEX('Bons de Commande'!D:D,MATCH(A219,'Bons de Commande'!A:A,0))),"")</f>
        <v>#ERROR!</v>
      </c>
      <c r="D219" s="62" t="str">
        <f>IFERROR(IF(A219="","",INDEX('Bons de Commande'!F:F,MATCH(A219,'Bons de Commande'!A:A,0))),"")</f>
        <v>#ERROR!</v>
      </c>
      <c r="E219" s="62" t="str">
        <f>IFERROR(IF(A219="","",INDEX('Bons de Commande'!H:H,MATCH(A219,'Bons de Commande'!A:A,0))),"")</f>
        <v>#ERROR!</v>
      </c>
      <c r="F219" s="62" t="str">
        <f>IFERROR(IF(A219="","",INDEX('Bons de Commande'!J:J,MATCH(A219,'Bons de Commande'!A:A,0))),"")</f>
        <v>#ERROR!</v>
      </c>
      <c r="G219" s="62" t="str">
        <f>IFERROR(IF(A219="","",INDEX('Bons de Commande'!L:L,MATCH(A219,'Bons de Commande'!A:A,0))),"")</f>
        <v>#ERROR!</v>
      </c>
      <c r="H219" s="62" t="str">
        <f>IFERROR(IF(A219="","",TEXT(INDEX('Bons de Commande'!X:X,MATCH(A219,'Bons de Commande'!A:A,0)),"dd/mm/yyyy")),"")</f>
        <v>#ERROR!</v>
      </c>
      <c r="I219" s="62" t="str">
        <f>IFERROR(IF(A219="","",INDEX('Bons de Commande'!W:W,MATCH(A219,'Bons de Commande'!A:A,0))),"")</f>
        <v>#ERROR!</v>
      </c>
    </row>
    <row r="220" ht="15.0" customHeight="1">
      <c r="A220" s="128" t="str">
        <f>IFERROR(INDEX('Bons de Commande'!A:A,MATCH("Confirme",'Bons de Commande'!W:W,0)+12),"")</f>
        <v>#ERROR!</v>
      </c>
      <c r="B220" s="128" t="str">
        <f>IFERROR(IF(A220="","",INDEX('Bons de Commande'!C:C,MATCH(A220,'Bons de Commande'!A:A,0))),"")</f>
        <v>#ERROR!</v>
      </c>
      <c r="C220" s="128" t="str">
        <f>IFERROR(IF(A220="","",INDEX('Bons de Commande'!D:D,MATCH(A220,'Bons de Commande'!A:A,0))),"")</f>
        <v>#ERROR!</v>
      </c>
      <c r="D220" s="128" t="str">
        <f>IFERROR(IF(A220="","",INDEX('Bons de Commande'!F:F,MATCH(A220,'Bons de Commande'!A:A,0))),"")</f>
        <v>#ERROR!</v>
      </c>
      <c r="E220" s="128" t="str">
        <f>IFERROR(IF(A220="","",INDEX('Bons de Commande'!H:H,MATCH(A220,'Bons de Commande'!A:A,0))),"")</f>
        <v>#ERROR!</v>
      </c>
      <c r="F220" s="128" t="str">
        <f>IFERROR(IF(A220="","",INDEX('Bons de Commande'!J:J,MATCH(A220,'Bons de Commande'!A:A,0))),"")</f>
        <v>#ERROR!</v>
      </c>
      <c r="G220" s="128" t="str">
        <f>IFERROR(IF(A220="","",INDEX('Bons de Commande'!L:L,MATCH(A220,'Bons de Commande'!A:A,0))),"")</f>
        <v>#ERROR!</v>
      </c>
      <c r="H220" s="128" t="str">
        <f>IFERROR(IF(A220="","",TEXT(INDEX('Bons de Commande'!X:X,MATCH(A220,'Bons de Commande'!A:A,0)),"dd/mm/yyyy")),"")</f>
        <v>#ERROR!</v>
      </c>
      <c r="I220" s="128" t="str">
        <f>IFERROR(IF(A220="","",INDEX('Bons de Commande'!W:W,MATCH(A220,'Bons de Commande'!A:A,0))),"")</f>
        <v>#ERROR!</v>
      </c>
    </row>
    <row r="221" ht="15.0" customHeight="1">
      <c r="A221" s="62" t="str">
        <f>IFERROR(INDEX('Bons de Commande'!A:A,MATCH("Confirme",'Bons de Commande'!W:W,0)+13),"")</f>
        <v>#ERROR!</v>
      </c>
      <c r="B221" s="62" t="str">
        <f>IFERROR(IF(A221="","",INDEX('Bons de Commande'!C:C,MATCH(A221,'Bons de Commande'!A:A,0))),"")</f>
        <v>#ERROR!</v>
      </c>
      <c r="C221" s="62" t="str">
        <f>IFERROR(IF(A221="","",INDEX('Bons de Commande'!D:D,MATCH(A221,'Bons de Commande'!A:A,0))),"")</f>
        <v>#ERROR!</v>
      </c>
      <c r="D221" s="62" t="str">
        <f>IFERROR(IF(A221="","",INDEX('Bons de Commande'!F:F,MATCH(A221,'Bons de Commande'!A:A,0))),"")</f>
        <v>#ERROR!</v>
      </c>
      <c r="E221" s="62" t="str">
        <f>IFERROR(IF(A221="","",INDEX('Bons de Commande'!H:H,MATCH(A221,'Bons de Commande'!A:A,0))),"")</f>
        <v>#ERROR!</v>
      </c>
      <c r="F221" s="62" t="str">
        <f>IFERROR(IF(A221="","",INDEX('Bons de Commande'!J:J,MATCH(A221,'Bons de Commande'!A:A,0))),"")</f>
        <v>#ERROR!</v>
      </c>
      <c r="G221" s="62" t="str">
        <f>IFERROR(IF(A221="","",INDEX('Bons de Commande'!L:L,MATCH(A221,'Bons de Commande'!A:A,0))),"")</f>
        <v>#ERROR!</v>
      </c>
      <c r="H221" s="62" t="str">
        <f>IFERROR(IF(A221="","",TEXT(INDEX('Bons de Commande'!X:X,MATCH(A221,'Bons de Commande'!A:A,0)),"dd/mm/yyyy")),"")</f>
        <v>#ERROR!</v>
      </c>
      <c r="I221" s="62" t="str">
        <f>IFERROR(IF(A221="","",INDEX('Bons de Commande'!W:W,MATCH(A221,'Bons de Commande'!A:A,0))),"")</f>
        <v>#ERROR!</v>
      </c>
    </row>
    <row r="222" ht="15.0" customHeight="1">
      <c r="A222" s="128" t="str">
        <f>IFERROR(INDEX('Bons de Commande'!A:A,MATCH("Confirme",'Bons de Commande'!W:W,0)+14),"")</f>
        <v>#ERROR!</v>
      </c>
      <c r="B222" s="128" t="str">
        <f>IFERROR(IF(A222="","",INDEX('Bons de Commande'!C:C,MATCH(A222,'Bons de Commande'!A:A,0))),"")</f>
        <v>#ERROR!</v>
      </c>
      <c r="C222" s="128" t="str">
        <f>IFERROR(IF(A222="","",INDEX('Bons de Commande'!D:D,MATCH(A222,'Bons de Commande'!A:A,0))),"")</f>
        <v>#ERROR!</v>
      </c>
      <c r="D222" s="128" t="str">
        <f>IFERROR(IF(A222="","",INDEX('Bons de Commande'!F:F,MATCH(A222,'Bons de Commande'!A:A,0))),"")</f>
        <v>#ERROR!</v>
      </c>
      <c r="E222" s="128" t="str">
        <f>IFERROR(IF(A222="","",INDEX('Bons de Commande'!H:H,MATCH(A222,'Bons de Commande'!A:A,0))),"")</f>
        <v>#ERROR!</v>
      </c>
      <c r="F222" s="128" t="str">
        <f>IFERROR(IF(A222="","",INDEX('Bons de Commande'!J:J,MATCH(A222,'Bons de Commande'!A:A,0))),"")</f>
        <v>#ERROR!</v>
      </c>
      <c r="G222" s="128" t="str">
        <f>IFERROR(IF(A222="","",INDEX('Bons de Commande'!L:L,MATCH(A222,'Bons de Commande'!A:A,0))),"")</f>
        <v>#ERROR!</v>
      </c>
      <c r="H222" s="128" t="str">
        <f>IFERROR(IF(A222="","",TEXT(INDEX('Bons de Commande'!X:X,MATCH(A222,'Bons de Commande'!A:A,0)),"dd/mm/yyyy")),"")</f>
        <v>#ERROR!</v>
      </c>
      <c r="I222" s="128" t="str">
        <f>IFERROR(IF(A222="","",INDEX('Bons de Commande'!W:W,MATCH(A222,'Bons de Commande'!A:A,0))),"")</f>
        <v>#ERROR!</v>
      </c>
    </row>
    <row r="223" ht="15.0" customHeight="1">
      <c r="A223" s="62" t="str">
        <f>IFERROR(INDEX('Bons de Commande'!A:A,MATCH("Confirme",'Bons de Commande'!W:W,0)+15),"")</f>
        <v>#ERROR!</v>
      </c>
      <c r="B223" s="62" t="str">
        <f>IFERROR(IF(A223="","",INDEX('Bons de Commande'!C:C,MATCH(A223,'Bons de Commande'!A:A,0))),"")</f>
        <v>#ERROR!</v>
      </c>
      <c r="C223" s="62" t="str">
        <f>IFERROR(IF(A223="","",INDEX('Bons de Commande'!D:D,MATCH(A223,'Bons de Commande'!A:A,0))),"")</f>
        <v>#ERROR!</v>
      </c>
      <c r="D223" s="62" t="str">
        <f>IFERROR(IF(A223="","",INDEX('Bons de Commande'!F:F,MATCH(A223,'Bons de Commande'!A:A,0))),"")</f>
        <v>#ERROR!</v>
      </c>
      <c r="E223" s="62" t="str">
        <f>IFERROR(IF(A223="","",INDEX('Bons de Commande'!H:H,MATCH(A223,'Bons de Commande'!A:A,0))),"")</f>
        <v>#ERROR!</v>
      </c>
      <c r="F223" s="62" t="str">
        <f>IFERROR(IF(A223="","",INDEX('Bons de Commande'!J:J,MATCH(A223,'Bons de Commande'!A:A,0))),"")</f>
        <v>#ERROR!</v>
      </c>
      <c r="G223" s="62" t="str">
        <f>IFERROR(IF(A223="","",INDEX('Bons de Commande'!L:L,MATCH(A223,'Bons de Commande'!A:A,0))),"")</f>
        <v>#ERROR!</v>
      </c>
      <c r="H223" s="62" t="str">
        <f>IFERROR(IF(A223="","",TEXT(INDEX('Bons de Commande'!X:X,MATCH(A223,'Bons de Commande'!A:A,0)),"dd/mm/yyyy")),"")</f>
        <v>#ERROR!</v>
      </c>
      <c r="I223" s="62" t="str">
        <f>IFERROR(IF(A223="","",INDEX('Bons de Commande'!W:W,MATCH(A223,'Bons de Commande'!A:A,0))),"")</f>
        <v>#ERROR!</v>
      </c>
    </row>
    <row r="224" ht="15.0" customHeight="1">
      <c r="A224" s="128" t="str">
        <f>IFERROR(INDEX('Bons de Commande'!A:A,MATCH("Confirme",'Bons de Commande'!W:W,0)+16),"")</f>
        <v>#ERROR!</v>
      </c>
      <c r="B224" s="128" t="str">
        <f>IFERROR(IF(A224="","",INDEX('Bons de Commande'!C:C,MATCH(A224,'Bons de Commande'!A:A,0))),"")</f>
        <v>#ERROR!</v>
      </c>
      <c r="C224" s="128" t="str">
        <f>IFERROR(IF(A224="","",INDEX('Bons de Commande'!D:D,MATCH(A224,'Bons de Commande'!A:A,0))),"")</f>
        <v>#ERROR!</v>
      </c>
      <c r="D224" s="128" t="str">
        <f>IFERROR(IF(A224="","",INDEX('Bons de Commande'!F:F,MATCH(A224,'Bons de Commande'!A:A,0))),"")</f>
        <v>#ERROR!</v>
      </c>
      <c r="E224" s="128" t="str">
        <f>IFERROR(IF(A224="","",INDEX('Bons de Commande'!H:H,MATCH(A224,'Bons de Commande'!A:A,0))),"")</f>
        <v>#ERROR!</v>
      </c>
      <c r="F224" s="128" t="str">
        <f>IFERROR(IF(A224="","",INDEX('Bons de Commande'!J:J,MATCH(A224,'Bons de Commande'!A:A,0))),"")</f>
        <v>#ERROR!</v>
      </c>
      <c r="G224" s="128" t="str">
        <f>IFERROR(IF(A224="","",INDEX('Bons de Commande'!L:L,MATCH(A224,'Bons de Commande'!A:A,0))),"")</f>
        <v>#ERROR!</v>
      </c>
      <c r="H224" s="128" t="str">
        <f>IFERROR(IF(A224="","",TEXT(INDEX('Bons de Commande'!X:X,MATCH(A224,'Bons de Commande'!A:A,0)),"dd/mm/yyyy")),"")</f>
        <v>#ERROR!</v>
      </c>
      <c r="I224" s="128" t="str">
        <f>IFERROR(IF(A224="","",INDEX('Bons de Commande'!W:W,MATCH(A224,'Bons de Commande'!A:A,0))),"")</f>
        <v>#ERROR!</v>
      </c>
    </row>
    <row r="225" ht="15.0" customHeight="1">
      <c r="A225" s="62" t="str">
        <f>IFERROR(INDEX('Bons de Commande'!A:A,MATCH("Confirme",'Bons de Commande'!W:W,0)+17),"")</f>
        <v>#ERROR!</v>
      </c>
      <c r="B225" s="62" t="str">
        <f>IFERROR(IF(A225="","",INDEX('Bons de Commande'!C:C,MATCH(A225,'Bons de Commande'!A:A,0))),"")</f>
        <v>#ERROR!</v>
      </c>
      <c r="C225" s="62" t="str">
        <f>IFERROR(IF(A225="","",INDEX('Bons de Commande'!D:D,MATCH(A225,'Bons de Commande'!A:A,0))),"")</f>
        <v>#ERROR!</v>
      </c>
      <c r="D225" s="62" t="str">
        <f>IFERROR(IF(A225="","",INDEX('Bons de Commande'!F:F,MATCH(A225,'Bons de Commande'!A:A,0))),"")</f>
        <v>#ERROR!</v>
      </c>
      <c r="E225" s="62" t="str">
        <f>IFERROR(IF(A225="","",INDEX('Bons de Commande'!H:H,MATCH(A225,'Bons de Commande'!A:A,0))),"")</f>
        <v>#ERROR!</v>
      </c>
      <c r="F225" s="62" t="str">
        <f>IFERROR(IF(A225="","",INDEX('Bons de Commande'!J:J,MATCH(A225,'Bons de Commande'!A:A,0))),"")</f>
        <v>#ERROR!</v>
      </c>
      <c r="G225" s="62" t="str">
        <f>IFERROR(IF(A225="","",INDEX('Bons de Commande'!L:L,MATCH(A225,'Bons de Commande'!A:A,0))),"")</f>
        <v>#ERROR!</v>
      </c>
      <c r="H225" s="62" t="str">
        <f>IFERROR(IF(A225="","",TEXT(INDEX('Bons de Commande'!X:X,MATCH(A225,'Bons de Commande'!A:A,0)),"dd/mm/yyyy")),"")</f>
        <v>#ERROR!</v>
      </c>
      <c r="I225" s="62" t="str">
        <f>IFERROR(IF(A225="","",INDEX('Bons de Commande'!W:W,MATCH(A225,'Bons de Commande'!A:A,0))),"")</f>
        <v>#ERROR!</v>
      </c>
    </row>
    <row r="226" ht="15.0" customHeight="1">
      <c r="A226" s="128" t="str">
        <f>IFERROR(INDEX('Bons de Commande'!A:A,MATCH("Confirme",'Bons de Commande'!W:W,0)+18),"")</f>
        <v>#ERROR!</v>
      </c>
      <c r="B226" s="128" t="str">
        <f>IFERROR(IF(A226="","",INDEX('Bons de Commande'!C:C,MATCH(A226,'Bons de Commande'!A:A,0))),"")</f>
        <v>#ERROR!</v>
      </c>
      <c r="C226" s="128" t="str">
        <f>IFERROR(IF(A226="","",INDEX('Bons de Commande'!D:D,MATCH(A226,'Bons de Commande'!A:A,0))),"")</f>
        <v>#ERROR!</v>
      </c>
      <c r="D226" s="128" t="str">
        <f>IFERROR(IF(A226="","",INDEX('Bons de Commande'!F:F,MATCH(A226,'Bons de Commande'!A:A,0))),"")</f>
        <v>#ERROR!</v>
      </c>
      <c r="E226" s="128" t="str">
        <f>IFERROR(IF(A226="","",INDEX('Bons de Commande'!H:H,MATCH(A226,'Bons de Commande'!A:A,0))),"")</f>
        <v>#ERROR!</v>
      </c>
      <c r="F226" s="128" t="str">
        <f>IFERROR(IF(A226="","",INDEX('Bons de Commande'!J:J,MATCH(A226,'Bons de Commande'!A:A,0))),"")</f>
        <v>#ERROR!</v>
      </c>
      <c r="G226" s="128" t="str">
        <f>IFERROR(IF(A226="","",INDEX('Bons de Commande'!L:L,MATCH(A226,'Bons de Commande'!A:A,0))),"")</f>
        <v>#ERROR!</v>
      </c>
      <c r="H226" s="128" t="str">
        <f>IFERROR(IF(A226="","",TEXT(INDEX('Bons de Commande'!X:X,MATCH(A226,'Bons de Commande'!A:A,0)),"dd/mm/yyyy")),"")</f>
        <v>#ERROR!</v>
      </c>
      <c r="I226" s="128" t="str">
        <f>IFERROR(IF(A226="","",INDEX('Bons de Commande'!W:W,MATCH(A226,'Bons de Commande'!A:A,0))),"")</f>
        <v>#ERROR!</v>
      </c>
    </row>
    <row r="227" ht="15.0" customHeight="1">
      <c r="A227" s="62" t="str">
        <f>IFERROR(INDEX('Bons de Commande'!A:A,MATCH("Confirme",'Bons de Commande'!W:W,0)+19),"")</f>
        <v>#ERROR!</v>
      </c>
      <c r="B227" s="62" t="str">
        <f>IFERROR(IF(A227="","",INDEX('Bons de Commande'!C:C,MATCH(A227,'Bons de Commande'!A:A,0))),"")</f>
        <v>#ERROR!</v>
      </c>
      <c r="C227" s="62" t="str">
        <f>IFERROR(IF(A227="","",INDEX('Bons de Commande'!D:D,MATCH(A227,'Bons de Commande'!A:A,0))),"")</f>
        <v>#ERROR!</v>
      </c>
      <c r="D227" s="62" t="str">
        <f>IFERROR(IF(A227="","",INDEX('Bons de Commande'!F:F,MATCH(A227,'Bons de Commande'!A:A,0))),"")</f>
        <v>#ERROR!</v>
      </c>
      <c r="E227" s="62" t="str">
        <f>IFERROR(IF(A227="","",INDEX('Bons de Commande'!H:H,MATCH(A227,'Bons de Commande'!A:A,0))),"")</f>
        <v>#ERROR!</v>
      </c>
      <c r="F227" s="62" t="str">
        <f>IFERROR(IF(A227="","",INDEX('Bons de Commande'!J:J,MATCH(A227,'Bons de Commande'!A:A,0))),"")</f>
        <v>#ERROR!</v>
      </c>
      <c r="G227" s="62" t="str">
        <f>IFERROR(IF(A227="","",INDEX('Bons de Commande'!L:L,MATCH(A227,'Bons de Commande'!A:A,0))),"")</f>
        <v>#ERROR!</v>
      </c>
      <c r="H227" s="62" t="str">
        <f>IFERROR(IF(A227="","",TEXT(INDEX('Bons de Commande'!X:X,MATCH(A227,'Bons de Commande'!A:A,0)),"dd/mm/yyyy")),"")</f>
        <v>#ERROR!</v>
      </c>
      <c r="I227" s="62" t="str">
        <f>IFERROR(IF(A227="","",INDEX('Bons de Commande'!W:W,MATCH(A227,'Bons de Commande'!A:A,0))),"")</f>
        <v>#ERROR!</v>
      </c>
    </row>
    <row r="230" ht="16.5" customHeight="1">
      <c r="A230" s="3" t="s">
        <v>927</v>
      </c>
    </row>
    <row r="231">
      <c r="A231" s="142" t="s">
        <v>928</v>
      </c>
    </row>
    <row r="232" ht="19.5" customHeight="1">
      <c r="A232" s="350" t="s">
        <v>52</v>
      </c>
      <c r="B232" s="350" t="s">
        <v>515</v>
      </c>
      <c r="C232" s="350" t="s">
        <v>55</v>
      </c>
      <c r="D232" s="350" t="s">
        <v>929</v>
      </c>
      <c r="E232" s="350" t="s">
        <v>684</v>
      </c>
      <c r="F232" s="350" t="s">
        <v>930</v>
      </c>
      <c r="G232" s="350" t="s">
        <v>105</v>
      </c>
      <c r="H232" s="350" t="s">
        <v>931</v>
      </c>
    </row>
    <row r="233" ht="15.0" customHeight="1">
      <c r="A233" s="351" t="s">
        <v>236</v>
      </c>
      <c r="B233" s="352" t="s">
        <v>237</v>
      </c>
      <c r="C233" s="353" t="s">
        <v>239</v>
      </c>
      <c r="D233" s="354" t="str">
        <f>IFERROR(SUMPRODUCT((Planning!A4:A303=TODAY())*(Planning!I4:I303&gt;0)*IFERROR(INDEX('Detail Recettes'!D:D,MATCH(Planning!C4:C303&amp;A233,'Detail Recettes'!A:A&amp;'Detail Recettes'!B:B,0)),0)*Planning!I4:I303/IFERROR(INDEX(Recettes!F:F,MATCH(Planning!C4:C303,Recettes!B:B,0)),1)),"")</f>
        <v>#ERROR!</v>
      </c>
      <c r="E233" s="355" t="str">
        <f>IFERROR(INDEX(Stock!E:E,MATCH(A233,Stock!A:A,0)),"")</f>
        <v>#ERROR!</v>
      </c>
      <c r="F233" s="356" t="str">
        <f>IFERROR(IF(D233="","",D233-E233),"")</f>
        <v>#ERROR!</v>
      </c>
      <c r="G233" s="357" t="str">
        <f>IFERROR(IF(D233="","",IF(F233&lt;=0,"OK","MANQUE")),"")</f>
        <v>#ERROR!</v>
      </c>
      <c r="H233" s="207"/>
    </row>
    <row r="234" ht="15.0" customHeight="1">
      <c r="A234" s="351" t="s">
        <v>241</v>
      </c>
      <c r="B234" s="138" t="s">
        <v>242</v>
      </c>
      <c r="C234" s="37" t="s">
        <v>239</v>
      </c>
      <c r="D234" s="354" t="str">
        <f>IFERROR(SUMPRODUCT((Planning!A4:A303=TODAY())*(Planning!I4:I303&gt;0)*IFERROR(INDEX('Detail Recettes'!D:D,MATCH(Planning!C4:C303&amp;A234,'Detail Recettes'!A:A&amp;'Detail Recettes'!B:B,0)),0)*Planning!I4:I303/IFERROR(INDEX(Recettes!F:F,MATCH(Planning!C4:C303,Recettes!B:B,0)),1)),"")</f>
        <v>#ERROR!</v>
      </c>
      <c r="E234" s="358" t="str">
        <f>IFERROR(INDEX(Stock!E:E,MATCH(A234,Stock!A:A,0)),"")</f>
        <v>#ERROR!</v>
      </c>
      <c r="F234" s="356" t="str">
        <f>IFERROR(IF(D234="","",D234-E234),"")</f>
        <v>#ERROR!</v>
      </c>
      <c r="G234" s="357" t="str">
        <f>IFERROR(IF(D234="","",IF(F234&lt;=0,"OK","MANQUE")),"")</f>
        <v>#ERROR!</v>
      </c>
      <c r="H234" s="207"/>
    </row>
    <row r="235" ht="15.0" customHeight="1">
      <c r="A235" s="351" t="s">
        <v>243</v>
      </c>
      <c r="B235" s="352" t="s">
        <v>244</v>
      </c>
      <c r="C235" s="353" t="s">
        <v>239</v>
      </c>
      <c r="D235" s="354" t="str">
        <f>IFERROR(SUMPRODUCT((Planning!A4:A303=TODAY())*(Planning!I4:I303&gt;0)*IFERROR(INDEX('Detail Recettes'!D:D,MATCH(Planning!C4:C303&amp;A235,'Detail Recettes'!A:A&amp;'Detail Recettes'!B:B,0)),0)*Planning!I4:I303/IFERROR(INDEX(Recettes!F:F,MATCH(Planning!C4:C303,Recettes!B:B,0)),1)),"")</f>
        <v>#ERROR!</v>
      </c>
      <c r="E235" s="355" t="str">
        <f>IFERROR(INDEX(Stock!E:E,MATCH(A235,Stock!A:A,0)),"")</f>
        <v>#ERROR!</v>
      </c>
      <c r="F235" s="356" t="str">
        <f>IFERROR(IF(D235="","",D235-E235),"")</f>
        <v>#ERROR!</v>
      </c>
      <c r="G235" s="357" t="str">
        <f>IFERROR(IF(D235="","",IF(F235&lt;=0,"OK","MANQUE")),"")</f>
        <v>#ERROR!</v>
      </c>
      <c r="H235" s="207"/>
    </row>
    <row r="236" ht="15.0" customHeight="1">
      <c r="A236" s="351" t="s">
        <v>245</v>
      </c>
      <c r="B236" s="138" t="s">
        <v>246</v>
      </c>
      <c r="C236" s="37" t="s">
        <v>239</v>
      </c>
      <c r="D236" s="354" t="str">
        <f>IFERROR(SUMPRODUCT((Planning!A4:A303=TODAY())*(Planning!I4:I303&gt;0)*IFERROR(INDEX('Detail Recettes'!D:D,MATCH(Planning!C4:C303&amp;A236,'Detail Recettes'!A:A&amp;'Detail Recettes'!B:B,0)),0)*Planning!I4:I303/IFERROR(INDEX(Recettes!F:F,MATCH(Planning!C4:C303,Recettes!B:B,0)),1)),"")</f>
        <v>#ERROR!</v>
      </c>
      <c r="E236" s="358" t="str">
        <f>IFERROR(INDEX(Stock!E:E,MATCH(A236,Stock!A:A,0)),"")</f>
        <v>#ERROR!</v>
      </c>
      <c r="F236" s="356" t="str">
        <f>IFERROR(IF(D236="","",D236-E236),"")</f>
        <v>#ERROR!</v>
      </c>
      <c r="G236" s="357" t="str">
        <f>IFERROR(IF(D236="","",IF(F236&lt;=0,"OK","MANQUE")),"")</f>
        <v>#ERROR!</v>
      </c>
      <c r="H236" s="207"/>
    </row>
    <row r="237" ht="15.0" customHeight="1">
      <c r="A237" s="351" t="s">
        <v>247</v>
      </c>
      <c r="B237" s="352" t="s">
        <v>248</v>
      </c>
      <c r="C237" s="353" t="s">
        <v>239</v>
      </c>
      <c r="D237" s="354" t="str">
        <f>IFERROR(SUMPRODUCT((Planning!A4:A303=TODAY())*(Planning!I4:I303&gt;0)*IFERROR(INDEX('Detail Recettes'!D:D,MATCH(Planning!C4:C303&amp;A237,'Detail Recettes'!A:A&amp;'Detail Recettes'!B:B,0)),0)*Planning!I4:I303/IFERROR(INDEX(Recettes!F:F,MATCH(Planning!C4:C303,Recettes!B:B,0)),1)),"")</f>
        <v>#ERROR!</v>
      </c>
      <c r="E237" s="355" t="str">
        <f>IFERROR(INDEX(Stock!E:E,MATCH(A237,Stock!A:A,0)),"")</f>
        <v>#ERROR!</v>
      </c>
      <c r="F237" s="356" t="str">
        <f>IFERROR(IF(D237="","",D237-E237),"")</f>
        <v>#ERROR!</v>
      </c>
      <c r="G237" s="357" t="str">
        <f>IFERROR(IF(D237="","",IF(F237&lt;=0,"OK","MANQUE")),"")</f>
        <v>#ERROR!</v>
      </c>
      <c r="H237" s="207"/>
    </row>
    <row r="238" ht="15.0" customHeight="1">
      <c r="A238" s="351" t="s">
        <v>249</v>
      </c>
      <c r="B238" s="138" t="s">
        <v>250</v>
      </c>
      <c r="C238" s="37" t="s">
        <v>239</v>
      </c>
      <c r="D238" s="354" t="str">
        <f>IFERROR(SUMPRODUCT((Planning!A4:A303=TODAY())*(Planning!I4:I303&gt;0)*IFERROR(INDEX('Detail Recettes'!D:D,MATCH(Planning!C4:C303&amp;A238,'Detail Recettes'!A:A&amp;'Detail Recettes'!B:B,0)),0)*Planning!I4:I303/IFERROR(INDEX(Recettes!F:F,MATCH(Planning!C4:C303,Recettes!B:B,0)),1)),"")</f>
        <v>#ERROR!</v>
      </c>
      <c r="E238" s="358" t="str">
        <f>IFERROR(INDEX(Stock!E:E,MATCH(A238,Stock!A:A,0)),"")</f>
        <v>#ERROR!</v>
      </c>
      <c r="F238" s="356" t="str">
        <f>IFERROR(IF(D238="","",D238-E238),"")</f>
        <v>#ERROR!</v>
      </c>
      <c r="G238" s="357" t="str">
        <f>IFERROR(IF(D238="","",IF(F238&lt;=0,"OK","MANQUE")),"")</f>
        <v>#ERROR!</v>
      </c>
      <c r="H238" s="207"/>
    </row>
    <row r="239" ht="15.0" customHeight="1">
      <c r="A239" s="351" t="s">
        <v>252</v>
      </c>
      <c r="B239" s="352" t="s">
        <v>253</v>
      </c>
      <c r="C239" s="353" t="s">
        <v>239</v>
      </c>
      <c r="D239" s="354" t="str">
        <f>IFERROR(SUMPRODUCT((Planning!A4:A303=TODAY())*(Planning!I4:I303&gt;0)*IFERROR(INDEX('Detail Recettes'!D:D,MATCH(Planning!C4:C303&amp;A239,'Detail Recettes'!A:A&amp;'Detail Recettes'!B:B,0)),0)*Planning!I4:I303/IFERROR(INDEX(Recettes!F:F,MATCH(Planning!C4:C303,Recettes!B:B,0)),1)),"")</f>
        <v>#ERROR!</v>
      </c>
      <c r="E239" s="355" t="str">
        <f>IFERROR(INDEX(Stock!E:E,MATCH(A239,Stock!A:A,0)),"")</f>
        <v>#ERROR!</v>
      </c>
      <c r="F239" s="356" t="str">
        <f>IFERROR(IF(D239="","",D239-E239),"")</f>
        <v>#ERROR!</v>
      </c>
      <c r="G239" s="357" t="str">
        <f>IFERROR(IF(D239="","",IF(F239&lt;=0,"OK","MANQUE")),"")</f>
        <v>#ERROR!</v>
      </c>
      <c r="H239" s="207"/>
    </row>
    <row r="240" ht="15.0" customHeight="1">
      <c r="A240" s="351" t="s">
        <v>255</v>
      </c>
      <c r="B240" s="138" t="s">
        <v>256</v>
      </c>
      <c r="C240" s="37" t="s">
        <v>239</v>
      </c>
      <c r="D240" s="354" t="str">
        <f>IFERROR(SUMPRODUCT((Planning!A4:A303=TODAY())*(Planning!I4:I303&gt;0)*IFERROR(INDEX('Detail Recettes'!D:D,MATCH(Planning!C4:C303&amp;A240,'Detail Recettes'!A:A&amp;'Detail Recettes'!B:B,0)),0)*Planning!I4:I303/IFERROR(INDEX(Recettes!F:F,MATCH(Planning!C4:C303,Recettes!B:B,0)),1)),"")</f>
        <v>#ERROR!</v>
      </c>
      <c r="E240" s="358" t="str">
        <f>IFERROR(INDEX(Stock!E:E,MATCH(A240,Stock!A:A,0)),"")</f>
        <v>#ERROR!</v>
      </c>
      <c r="F240" s="356" t="str">
        <f>IFERROR(IF(D240="","",D240-E240),"")</f>
        <v>#ERROR!</v>
      </c>
      <c r="G240" s="357" t="str">
        <f>IFERROR(IF(D240="","",IF(F240&lt;=0,"OK","MANQUE")),"")</f>
        <v>#ERROR!</v>
      </c>
      <c r="H240" s="207"/>
    </row>
    <row r="241" ht="15.0" customHeight="1">
      <c r="A241" s="351" t="s">
        <v>257</v>
      </c>
      <c r="B241" s="352" t="s">
        <v>258</v>
      </c>
      <c r="C241" s="353" t="s">
        <v>239</v>
      </c>
      <c r="D241" s="354" t="str">
        <f>IFERROR(SUMPRODUCT((Planning!A4:A303=TODAY())*(Planning!I4:I303&gt;0)*IFERROR(INDEX('Detail Recettes'!D:D,MATCH(Planning!C4:C303&amp;A241,'Detail Recettes'!A:A&amp;'Detail Recettes'!B:B,0)),0)*Planning!I4:I303/IFERROR(INDEX(Recettes!F:F,MATCH(Planning!C4:C303,Recettes!B:B,0)),1)),"")</f>
        <v>#ERROR!</v>
      </c>
      <c r="E241" s="355" t="str">
        <f>IFERROR(INDEX(Stock!E:E,MATCH(A241,Stock!A:A,0)),"")</f>
        <v>#ERROR!</v>
      </c>
      <c r="F241" s="356" t="str">
        <f>IFERROR(IF(D241="","",D241-E241),"")</f>
        <v>#ERROR!</v>
      </c>
      <c r="G241" s="357" t="str">
        <f>IFERROR(IF(D241="","",IF(F241&lt;=0,"OK","MANQUE")),"")</f>
        <v>#ERROR!</v>
      </c>
      <c r="H241" s="207"/>
    </row>
    <row r="242" ht="15.0" customHeight="1">
      <c r="A242" s="351" t="s">
        <v>260</v>
      </c>
      <c r="B242" s="138" t="s">
        <v>261</v>
      </c>
      <c r="C242" s="37" t="s">
        <v>239</v>
      </c>
      <c r="D242" s="354" t="str">
        <f>IFERROR(SUMPRODUCT((Planning!A4:A303=TODAY())*(Planning!I4:I303&gt;0)*IFERROR(INDEX('Detail Recettes'!D:D,MATCH(Planning!C4:C303&amp;A242,'Detail Recettes'!A:A&amp;'Detail Recettes'!B:B,0)),0)*Planning!I4:I303/IFERROR(INDEX(Recettes!F:F,MATCH(Planning!C4:C303,Recettes!B:B,0)),1)),"")</f>
        <v>#ERROR!</v>
      </c>
      <c r="E242" s="358" t="str">
        <f>IFERROR(INDEX(Stock!E:E,MATCH(A242,Stock!A:A,0)),"")</f>
        <v>#ERROR!</v>
      </c>
      <c r="F242" s="356" t="str">
        <f>IFERROR(IF(D242="","",D242-E242),"")</f>
        <v>#ERROR!</v>
      </c>
      <c r="G242" s="357" t="str">
        <f>IFERROR(IF(D242="","",IF(F242&lt;=0,"OK","MANQUE")),"")</f>
        <v>#ERROR!</v>
      </c>
      <c r="H242" s="207"/>
    </row>
    <row r="243" ht="15.0" customHeight="1">
      <c r="A243" s="351" t="s">
        <v>262</v>
      </c>
      <c r="B243" s="352" t="s">
        <v>263</v>
      </c>
      <c r="C243" s="353" t="s">
        <v>239</v>
      </c>
      <c r="D243" s="354" t="str">
        <f>IFERROR(SUMPRODUCT((Planning!A4:A303=TODAY())*(Planning!I4:I303&gt;0)*IFERROR(INDEX('Detail Recettes'!D:D,MATCH(Planning!C4:C303&amp;A243,'Detail Recettes'!A:A&amp;'Detail Recettes'!B:B,0)),0)*Planning!I4:I303/IFERROR(INDEX(Recettes!F:F,MATCH(Planning!C4:C303,Recettes!B:B,0)),1)),"")</f>
        <v>#ERROR!</v>
      </c>
      <c r="E243" s="355" t="str">
        <f>IFERROR(INDEX(Stock!E:E,MATCH(A243,Stock!A:A,0)),"")</f>
        <v>#ERROR!</v>
      </c>
      <c r="F243" s="356" t="str">
        <f>IFERROR(IF(D243="","",D243-E243),"")</f>
        <v>#ERROR!</v>
      </c>
      <c r="G243" s="357" t="str">
        <f>IFERROR(IF(D243="","",IF(F243&lt;=0,"OK","MANQUE")),"")</f>
        <v>#ERROR!</v>
      </c>
      <c r="H243" s="207"/>
    </row>
    <row r="244" ht="15.0" customHeight="1">
      <c r="A244" s="351" t="s">
        <v>264</v>
      </c>
      <c r="B244" s="138" t="s">
        <v>265</v>
      </c>
      <c r="C244" s="37" t="s">
        <v>239</v>
      </c>
      <c r="D244" s="354" t="str">
        <f>IFERROR(SUMPRODUCT((Planning!A4:A303=TODAY())*(Planning!I4:I303&gt;0)*IFERROR(INDEX('Detail Recettes'!D:D,MATCH(Planning!C4:C303&amp;A244,'Detail Recettes'!A:A&amp;'Detail Recettes'!B:B,0)),0)*Planning!I4:I303/IFERROR(INDEX(Recettes!F:F,MATCH(Planning!C4:C303,Recettes!B:B,0)),1)),"")</f>
        <v>#ERROR!</v>
      </c>
      <c r="E244" s="358" t="str">
        <f>IFERROR(INDEX(Stock!E:E,MATCH(A244,Stock!A:A,0)),"")</f>
        <v>#ERROR!</v>
      </c>
      <c r="F244" s="356" t="str">
        <f>IFERROR(IF(D244="","",D244-E244),"")</f>
        <v>#ERROR!</v>
      </c>
      <c r="G244" s="357" t="str">
        <f>IFERROR(IF(D244="","",IF(F244&lt;=0,"OK","MANQUE")),"")</f>
        <v>#ERROR!</v>
      </c>
      <c r="H244" s="207"/>
    </row>
    <row r="245" ht="15.0" customHeight="1">
      <c r="A245" s="351" t="s">
        <v>266</v>
      </c>
      <c r="B245" s="352" t="s">
        <v>267</v>
      </c>
      <c r="C245" s="353" t="s">
        <v>239</v>
      </c>
      <c r="D245" s="354" t="str">
        <f>IFERROR(SUMPRODUCT((Planning!A4:A303=TODAY())*(Planning!I4:I303&gt;0)*IFERROR(INDEX('Detail Recettes'!D:D,MATCH(Planning!C4:C303&amp;A245,'Detail Recettes'!A:A&amp;'Detail Recettes'!B:B,0)),0)*Planning!I4:I303/IFERROR(INDEX(Recettes!F:F,MATCH(Planning!C4:C303,Recettes!B:B,0)),1)),"")</f>
        <v>#ERROR!</v>
      </c>
      <c r="E245" s="355" t="str">
        <f>IFERROR(INDEX(Stock!E:E,MATCH(A245,Stock!A:A,0)),"")</f>
        <v>#ERROR!</v>
      </c>
      <c r="F245" s="356" t="str">
        <f>IFERROR(IF(D245="","",D245-E245),"")</f>
        <v>#ERROR!</v>
      </c>
      <c r="G245" s="357" t="str">
        <f>IFERROR(IF(D245="","",IF(F245&lt;=0,"OK","MANQUE")),"")</f>
        <v>#ERROR!</v>
      </c>
      <c r="H245" s="207"/>
    </row>
    <row r="246" ht="15.0" customHeight="1">
      <c r="A246" s="351" t="s">
        <v>268</v>
      </c>
      <c r="B246" s="138" t="s">
        <v>269</v>
      </c>
      <c r="C246" s="37" t="s">
        <v>239</v>
      </c>
      <c r="D246" s="354" t="str">
        <f>IFERROR(SUMPRODUCT((Planning!A4:A303=TODAY())*(Planning!I4:I303&gt;0)*IFERROR(INDEX('Detail Recettes'!D:D,MATCH(Planning!C4:C303&amp;A246,'Detail Recettes'!A:A&amp;'Detail Recettes'!B:B,0)),0)*Planning!I4:I303/IFERROR(INDEX(Recettes!F:F,MATCH(Planning!C4:C303,Recettes!B:B,0)),1)),"")</f>
        <v>#ERROR!</v>
      </c>
      <c r="E246" s="358" t="str">
        <f>IFERROR(INDEX(Stock!E:E,MATCH(A246,Stock!A:A,0)),"")</f>
        <v>#ERROR!</v>
      </c>
      <c r="F246" s="356" t="str">
        <f>IFERROR(IF(D246="","",D246-E246),"")</f>
        <v>#ERROR!</v>
      </c>
      <c r="G246" s="357" t="str">
        <f>IFERROR(IF(D246="","",IF(F246&lt;=0,"OK","MANQUE")),"")</f>
        <v>#ERROR!</v>
      </c>
      <c r="H246" s="207"/>
    </row>
    <row r="247" ht="15.0" customHeight="1">
      <c r="A247" s="351" t="s">
        <v>270</v>
      </c>
      <c r="B247" s="352" t="s">
        <v>271</v>
      </c>
      <c r="C247" s="353" t="s">
        <v>239</v>
      </c>
      <c r="D247" s="354" t="str">
        <f>IFERROR(SUMPRODUCT((Planning!A4:A303=TODAY())*(Planning!I4:I303&gt;0)*IFERROR(INDEX('Detail Recettes'!D:D,MATCH(Planning!C4:C303&amp;A247,'Detail Recettes'!A:A&amp;'Detail Recettes'!B:B,0)),0)*Planning!I4:I303/IFERROR(INDEX(Recettes!F:F,MATCH(Planning!C4:C303,Recettes!B:B,0)),1)),"")</f>
        <v>#ERROR!</v>
      </c>
      <c r="E247" s="355" t="str">
        <f>IFERROR(INDEX(Stock!E:E,MATCH(A247,Stock!A:A,0)),"")</f>
        <v>#ERROR!</v>
      </c>
      <c r="F247" s="356" t="str">
        <f>IFERROR(IF(D247="","",D247-E247),"")</f>
        <v>#ERROR!</v>
      </c>
      <c r="G247" s="357" t="str">
        <f>IFERROR(IF(D247="","",IF(F247&lt;=0,"OK","MANQUE")),"")</f>
        <v>#ERROR!</v>
      </c>
      <c r="H247" s="207"/>
    </row>
    <row r="248" ht="15.0" customHeight="1">
      <c r="A248" s="351" t="s">
        <v>272</v>
      </c>
      <c r="B248" s="138" t="s">
        <v>273</v>
      </c>
      <c r="C248" s="37" t="s">
        <v>239</v>
      </c>
      <c r="D248" s="354" t="str">
        <f>IFERROR(SUMPRODUCT((Planning!A4:A303=TODAY())*(Planning!I4:I303&gt;0)*IFERROR(INDEX('Detail Recettes'!D:D,MATCH(Planning!C4:C303&amp;A248,'Detail Recettes'!A:A&amp;'Detail Recettes'!B:B,0)),0)*Planning!I4:I303/IFERROR(INDEX(Recettes!F:F,MATCH(Planning!C4:C303,Recettes!B:B,0)),1)),"")</f>
        <v>#ERROR!</v>
      </c>
      <c r="E248" s="358" t="str">
        <f>IFERROR(INDEX(Stock!E:E,MATCH(A248,Stock!A:A,0)),"")</f>
        <v>#ERROR!</v>
      </c>
      <c r="F248" s="356" t="str">
        <f>IFERROR(IF(D248="","",D248-E248),"")</f>
        <v>#ERROR!</v>
      </c>
      <c r="G248" s="357" t="str">
        <f>IFERROR(IF(D248="","",IF(F248&lt;=0,"OK","MANQUE")),"")</f>
        <v>#ERROR!</v>
      </c>
      <c r="H248" s="207"/>
    </row>
    <row r="249" ht="15.0" customHeight="1">
      <c r="A249" s="351" t="s">
        <v>274</v>
      </c>
      <c r="B249" s="352" t="s">
        <v>275</v>
      </c>
      <c r="C249" s="353" t="s">
        <v>239</v>
      </c>
      <c r="D249" s="354" t="str">
        <f>IFERROR(SUMPRODUCT((Planning!A4:A303=TODAY())*(Planning!I4:I303&gt;0)*IFERROR(INDEX('Detail Recettes'!D:D,MATCH(Planning!C4:C303&amp;A249,'Detail Recettes'!A:A&amp;'Detail Recettes'!B:B,0)),0)*Planning!I4:I303/IFERROR(INDEX(Recettes!F:F,MATCH(Planning!C4:C303,Recettes!B:B,0)),1)),"")</f>
        <v>#ERROR!</v>
      </c>
      <c r="E249" s="355" t="str">
        <f>IFERROR(INDEX(Stock!E:E,MATCH(A249,Stock!A:A,0)),"")</f>
        <v>#ERROR!</v>
      </c>
      <c r="F249" s="356" t="str">
        <f>IFERROR(IF(D249="","",D249-E249),"")</f>
        <v>#ERROR!</v>
      </c>
      <c r="G249" s="357" t="str">
        <f>IFERROR(IF(D249="","",IF(F249&lt;=0,"OK","MANQUE")),"")</f>
        <v>#ERROR!</v>
      </c>
      <c r="H249" s="207"/>
    </row>
    <row r="250" ht="15.0" customHeight="1">
      <c r="A250" s="351" t="s">
        <v>276</v>
      </c>
      <c r="B250" s="138" t="s">
        <v>277</v>
      </c>
      <c r="C250" s="37" t="s">
        <v>239</v>
      </c>
      <c r="D250" s="354" t="str">
        <f>IFERROR(SUMPRODUCT((Planning!A4:A303=TODAY())*(Planning!I4:I303&gt;0)*IFERROR(INDEX('Detail Recettes'!D:D,MATCH(Planning!C4:C303&amp;A250,'Detail Recettes'!A:A&amp;'Detail Recettes'!B:B,0)),0)*Planning!I4:I303/IFERROR(INDEX(Recettes!F:F,MATCH(Planning!C4:C303,Recettes!B:B,0)),1)),"")</f>
        <v>#ERROR!</v>
      </c>
      <c r="E250" s="358" t="str">
        <f>IFERROR(INDEX(Stock!E:E,MATCH(A250,Stock!A:A,0)),"")</f>
        <v>#ERROR!</v>
      </c>
      <c r="F250" s="356" t="str">
        <f>IFERROR(IF(D250="","",D250-E250),"")</f>
        <v>#ERROR!</v>
      </c>
      <c r="G250" s="357" t="str">
        <f>IFERROR(IF(D250="","",IF(F250&lt;=0,"OK","MANQUE")),"")</f>
        <v>#ERROR!</v>
      </c>
      <c r="H250" s="207"/>
    </row>
    <row r="251" ht="15.0" customHeight="1">
      <c r="A251" s="351" t="s">
        <v>278</v>
      </c>
      <c r="B251" s="352" t="s">
        <v>279</v>
      </c>
      <c r="C251" s="353" t="s">
        <v>239</v>
      </c>
      <c r="D251" s="354" t="str">
        <f>IFERROR(SUMPRODUCT((Planning!A4:A303=TODAY())*(Planning!I4:I303&gt;0)*IFERROR(INDEX('Detail Recettes'!D:D,MATCH(Planning!C4:C303&amp;A251,'Detail Recettes'!A:A&amp;'Detail Recettes'!B:B,0)),0)*Planning!I4:I303/IFERROR(INDEX(Recettes!F:F,MATCH(Planning!C4:C303,Recettes!B:B,0)),1)),"")</f>
        <v>#ERROR!</v>
      </c>
      <c r="E251" s="355" t="str">
        <f>IFERROR(INDEX(Stock!E:E,MATCH(A251,Stock!A:A,0)),"")</f>
        <v>#ERROR!</v>
      </c>
      <c r="F251" s="356" t="str">
        <f>IFERROR(IF(D251="","",D251-E251),"")</f>
        <v>#ERROR!</v>
      </c>
      <c r="G251" s="357" t="str">
        <f>IFERROR(IF(D251="","",IF(F251&lt;=0,"OK","MANQUE")),"")</f>
        <v>#ERROR!</v>
      </c>
      <c r="H251" s="207"/>
    </row>
    <row r="252" ht="15.0" customHeight="1">
      <c r="A252" s="351" t="s">
        <v>280</v>
      </c>
      <c r="B252" s="138" t="s">
        <v>281</v>
      </c>
      <c r="C252" s="37" t="s">
        <v>239</v>
      </c>
      <c r="D252" s="354" t="str">
        <f>IFERROR(SUMPRODUCT((Planning!A4:A303=TODAY())*(Planning!I4:I303&gt;0)*IFERROR(INDEX('Detail Recettes'!D:D,MATCH(Planning!C4:C303&amp;A252,'Detail Recettes'!A:A&amp;'Detail Recettes'!B:B,0)),0)*Planning!I4:I303/IFERROR(INDEX(Recettes!F:F,MATCH(Planning!C4:C303,Recettes!B:B,0)),1)),"")</f>
        <v>#ERROR!</v>
      </c>
      <c r="E252" s="358" t="str">
        <f>IFERROR(INDEX(Stock!E:E,MATCH(A252,Stock!A:A,0)),"")</f>
        <v>#ERROR!</v>
      </c>
      <c r="F252" s="356" t="str">
        <f>IFERROR(IF(D252="","",D252-E252),"")</f>
        <v>#ERROR!</v>
      </c>
      <c r="G252" s="357" t="str">
        <f>IFERROR(IF(D252="","",IF(F252&lt;=0,"OK","MANQUE")),"")</f>
        <v>#ERROR!</v>
      </c>
      <c r="H252" s="207"/>
    </row>
    <row r="253" ht="15.0" customHeight="1">
      <c r="A253" s="351" t="s">
        <v>282</v>
      </c>
      <c r="B253" s="352" t="s">
        <v>283</v>
      </c>
      <c r="C253" s="353" t="s">
        <v>239</v>
      </c>
      <c r="D253" s="354" t="str">
        <f>IFERROR(SUMPRODUCT((Planning!A4:A303=TODAY())*(Planning!I4:I303&gt;0)*IFERROR(INDEX('Detail Recettes'!D:D,MATCH(Planning!C4:C303&amp;A253,'Detail Recettes'!A:A&amp;'Detail Recettes'!B:B,0)),0)*Planning!I4:I303/IFERROR(INDEX(Recettes!F:F,MATCH(Planning!C4:C303,Recettes!B:B,0)),1)),"")</f>
        <v>#ERROR!</v>
      </c>
      <c r="E253" s="355" t="str">
        <f>IFERROR(INDEX(Stock!E:E,MATCH(A253,Stock!A:A,0)),"")</f>
        <v>#ERROR!</v>
      </c>
      <c r="F253" s="356" t="str">
        <f>IFERROR(IF(D253="","",D253-E253),"")</f>
        <v>#ERROR!</v>
      </c>
      <c r="G253" s="357" t="str">
        <f>IFERROR(IF(D253="","",IF(F253&lt;=0,"OK","MANQUE")),"")</f>
        <v>#ERROR!</v>
      </c>
      <c r="H253" s="207"/>
    </row>
    <row r="254" ht="15.0" customHeight="1">
      <c r="A254" s="351" t="s">
        <v>284</v>
      </c>
      <c r="B254" s="138" t="s">
        <v>285</v>
      </c>
      <c r="C254" s="37" t="s">
        <v>239</v>
      </c>
      <c r="D254" s="354" t="str">
        <f>IFERROR(SUMPRODUCT((Planning!A4:A303=TODAY())*(Planning!I4:I303&gt;0)*IFERROR(INDEX('Detail Recettes'!D:D,MATCH(Planning!C4:C303&amp;A254,'Detail Recettes'!A:A&amp;'Detail Recettes'!B:B,0)),0)*Planning!I4:I303/IFERROR(INDEX(Recettes!F:F,MATCH(Planning!C4:C303,Recettes!B:B,0)),1)),"")</f>
        <v>#ERROR!</v>
      </c>
      <c r="E254" s="358" t="str">
        <f>IFERROR(INDEX(Stock!E:E,MATCH(A254,Stock!A:A,0)),"")</f>
        <v>#ERROR!</v>
      </c>
      <c r="F254" s="356" t="str">
        <f>IFERROR(IF(D254="","",D254-E254),"")</f>
        <v>#ERROR!</v>
      </c>
      <c r="G254" s="357" t="str">
        <f>IFERROR(IF(D254="","",IF(F254&lt;=0,"OK","MANQUE")),"")</f>
        <v>#ERROR!</v>
      </c>
      <c r="H254" s="207"/>
    </row>
    <row r="255" ht="15.0" customHeight="1">
      <c r="A255" s="351" t="s">
        <v>286</v>
      </c>
      <c r="B255" s="352" t="s">
        <v>287</v>
      </c>
      <c r="C255" s="353" t="s">
        <v>239</v>
      </c>
      <c r="D255" s="354" t="str">
        <f>IFERROR(SUMPRODUCT((Planning!A4:A303=TODAY())*(Planning!I4:I303&gt;0)*IFERROR(INDEX('Detail Recettes'!D:D,MATCH(Planning!C4:C303&amp;A255,'Detail Recettes'!A:A&amp;'Detail Recettes'!B:B,0)),0)*Planning!I4:I303/IFERROR(INDEX(Recettes!F:F,MATCH(Planning!C4:C303,Recettes!B:B,0)),1)),"")</f>
        <v>#ERROR!</v>
      </c>
      <c r="E255" s="355" t="str">
        <f>IFERROR(INDEX(Stock!E:E,MATCH(A255,Stock!A:A,0)),"")</f>
        <v>#ERROR!</v>
      </c>
      <c r="F255" s="356" t="str">
        <f>IFERROR(IF(D255="","",D255-E255),"")</f>
        <v>#ERROR!</v>
      </c>
      <c r="G255" s="357" t="str">
        <f>IFERROR(IF(D255="","",IF(F255&lt;=0,"OK","MANQUE")),"")</f>
        <v>#ERROR!</v>
      </c>
      <c r="H255" s="207"/>
    </row>
    <row r="256" ht="15.0" customHeight="1">
      <c r="A256" s="351" t="s">
        <v>289</v>
      </c>
      <c r="B256" s="138" t="s">
        <v>290</v>
      </c>
      <c r="C256" s="37" t="s">
        <v>239</v>
      </c>
      <c r="D256" s="354" t="str">
        <f>IFERROR(SUMPRODUCT((Planning!A4:A303=TODAY())*(Planning!I4:I303&gt;0)*IFERROR(INDEX('Detail Recettes'!D:D,MATCH(Planning!C4:C303&amp;A256,'Detail Recettes'!A:A&amp;'Detail Recettes'!B:B,0)),0)*Planning!I4:I303/IFERROR(INDEX(Recettes!F:F,MATCH(Planning!C4:C303,Recettes!B:B,0)),1)),"")</f>
        <v>#ERROR!</v>
      </c>
      <c r="E256" s="358" t="str">
        <f>IFERROR(INDEX(Stock!E:E,MATCH(A256,Stock!A:A,0)),"")</f>
        <v>#ERROR!</v>
      </c>
      <c r="F256" s="356" t="str">
        <f>IFERROR(IF(D256="","",D256-E256),"")</f>
        <v>#ERROR!</v>
      </c>
      <c r="G256" s="357" t="str">
        <f>IFERROR(IF(D256="","",IF(F256&lt;=0,"OK","MANQUE")),"")</f>
        <v>#ERROR!</v>
      </c>
      <c r="H256" s="207"/>
    </row>
    <row r="257" ht="15.0" customHeight="1">
      <c r="A257" s="351" t="s">
        <v>291</v>
      </c>
      <c r="B257" s="352" t="s">
        <v>292</v>
      </c>
      <c r="C257" s="353" t="s">
        <v>239</v>
      </c>
      <c r="D257" s="354" t="str">
        <f>IFERROR(SUMPRODUCT((Planning!A4:A303=TODAY())*(Planning!I4:I303&gt;0)*IFERROR(INDEX('Detail Recettes'!D:D,MATCH(Planning!C4:C303&amp;A257,'Detail Recettes'!A:A&amp;'Detail Recettes'!B:B,0)),0)*Planning!I4:I303/IFERROR(INDEX(Recettes!F:F,MATCH(Planning!C4:C303,Recettes!B:B,0)),1)),"")</f>
        <v>#ERROR!</v>
      </c>
      <c r="E257" s="355" t="str">
        <f>IFERROR(INDEX(Stock!E:E,MATCH(A257,Stock!A:A,0)),"")</f>
        <v>#ERROR!</v>
      </c>
      <c r="F257" s="356" t="str">
        <f>IFERROR(IF(D257="","",D257-E257),"")</f>
        <v>#ERROR!</v>
      </c>
      <c r="G257" s="357" t="str">
        <f>IFERROR(IF(D257="","",IF(F257&lt;=0,"OK","MANQUE")),"")</f>
        <v>#ERROR!</v>
      </c>
      <c r="H257" s="207"/>
    </row>
    <row r="258" ht="15.0" customHeight="1">
      <c r="A258" s="351" t="s">
        <v>294</v>
      </c>
      <c r="B258" s="138" t="s">
        <v>295</v>
      </c>
      <c r="C258" s="37" t="s">
        <v>239</v>
      </c>
      <c r="D258" s="354" t="str">
        <f>IFERROR(SUMPRODUCT((Planning!A4:A303=TODAY())*(Planning!I4:I303&gt;0)*IFERROR(INDEX('Detail Recettes'!D:D,MATCH(Planning!C4:C303&amp;A258,'Detail Recettes'!A:A&amp;'Detail Recettes'!B:B,0)),0)*Planning!I4:I303/IFERROR(INDEX(Recettes!F:F,MATCH(Planning!C4:C303,Recettes!B:B,0)),1)),"")</f>
        <v>#ERROR!</v>
      </c>
      <c r="E258" s="358" t="str">
        <f>IFERROR(INDEX(Stock!E:E,MATCH(A258,Stock!A:A,0)),"")</f>
        <v>#ERROR!</v>
      </c>
      <c r="F258" s="356" t="str">
        <f>IFERROR(IF(D258="","",D258-E258),"")</f>
        <v>#ERROR!</v>
      </c>
      <c r="G258" s="357" t="str">
        <f>IFERROR(IF(D258="","",IF(F258&lt;=0,"OK","MANQUE")),"")</f>
        <v>#ERROR!</v>
      </c>
      <c r="H258" s="207"/>
    </row>
    <row r="259" ht="15.0" customHeight="1">
      <c r="A259" s="351" t="s">
        <v>297</v>
      </c>
      <c r="B259" s="352" t="s">
        <v>298</v>
      </c>
      <c r="C259" s="353" t="s">
        <v>239</v>
      </c>
      <c r="D259" s="354" t="str">
        <f>IFERROR(SUMPRODUCT((Planning!A4:A303=TODAY())*(Planning!I4:I303&gt;0)*IFERROR(INDEX('Detail Recettes'!D:D,MATCH(Planning!C4:C303&amp;A259,'Detail Recettes'!A:A&amp;'Detail Recettes'!B:B,0)),0)*Planning!I4:I303/IFERROR(INDEX(Recettes!F:F,MATCH(Planning!C4:C303,Recettes!B:B,0)),1)),"")</f>
        <v>#ERROR!</v>
      </c>
      <c r="E259" s="355" t="str">
        <f>IFERROR(INDEX(Stock!E:E,MATCH(A259,Stock!A:A,0)),"")</f>
        <v>#ERROR!</v>
      </c>
      <c r="F259" s="356" t="str">
        <f>IFERROR(IF(D259="","",D259-E259),"")</f>
        <v>#ERROR!</v>
      </c>
      <c r="G259" s="357" t="str">
        <f>IFERROR(IF(D259="","",IF(F259&lt;=0,"OK","MANQUE")),"")</f>
        <v>#ERROR!</v>
      </c>
      <c r="H259" s="207"/>
    </row>
    <row r="260" ht="15.0" customHeight="1">
      <c r="A260" s="351" t="s">
        <v>299</v>
      </c>
      <c r="B260" s="138" t="s">
        <v>300</v>
      </c>
      <c r="C260" s="37" t="s">
        <v>239</v>
      </c>
      <c r="D260" s="354" t="str">
        <f>IFERROR(SUMPRODUCT((Planning!A4:A303=TODAY())*(Planning!I4:I303&gt;0)*IFERROR(INDEX('Detail Recettes'!D:D,MATCH(Planning!C4:C303&amp;A260,'Detail Recettes'!A:A&amp;'Detail Recettes'!B:B,0)),0)*Planning!I4:I303/IFERROR(INDEX(Recettes!F:F,MATCH(Planning!C4:C303,Recettes!B:B,0)),1)),"")</f>
        <v>#ERROR!</v>
      </c>
      <c r="E260" s="358" t="str">
        <f>IFERROR(INDEX(Stock!E:E,MATCH(A260,Stock!A:A,0)),"")</f>
        <v>#ERROR!</v>
      </c>
      <c r="F260" s="356" t="str">
        <f>IFERROR(IF(D260="","",D260-E260),"")</f>
        <v>#ERROR!</v>
      </c>
      <c r="G260" s="357" t="str">
        <f>IFERROR(IF(D260="","",IF(F260&lt;=0,"OK","MANQUE")),"")</f>
        <v>#ERROR!</v>
      </c>
      <c r="H260" s="207"/>
    </row>
    <row r="261" ht="15.0" customHeight="1">
      <c r="A261" s="351" t="s">
        <v>302</v>
      </c>
      <c r="B261" s="352" t="s">
        <v>303</v>
      </c>
      <c r="C261" s="353" t="s">
        <v>239</v>
      </c>
      <c r="D261" s="354" t="str">
        <f>IFERROR(SUMPRODUCT((Planning!A4:A303=TODAY())*(Planning!I4:I303&gt;0)*IFERROR(INDEX('Detail Recettes'!D:D,MATCH(Planning!C4:C303&amp;A261,'Detail Recettes'!A:A&amp;'Detail Recettes'!B:B,0)),0)*Planning!I4:I303/IFERROR(INDEX(Recettes!F:F,MATCH(Planning!C4:C303,Recettes!B:B,0)),1)),"")</f>
        <v>#ERROR!</v>
      </c>
      <c r="E261" s="355" t="str">
        <f>IFERROR(INDEX(Stock!E:E,MATCH(A261,Stock!A:A,0)),"")</f>
        <v>#ERROR!</v>
      </c>
      <c r="F261" s="356" t="str">
        <f>IFERROR(IF(D261="","",D261-E261),"")</f>
        <v>#ERROR!</v>
      </c>
      <c r="G261" s="357" t="str">
        <f>IFERROR(IF(D261="","",IF(F261&lt;=0,"OK","MANQUE")),"")</f>
        <v>#ERROR!</v>
      </c>
      <c r="H261" s="207"/>
    </row>
    <row r="262" ht="15.0" customHeight="1">
      <c r="A262" s="351" t="s">
        <v>304</v>
      </c>
      <c r="B262" s="138" t="s">
        <v>305</v>
      </c>
      <c r="C262" s="37" t="s">
        <v>239</v>
      </c>
      <c r="D262" s="354" t="str">
        <f>IFERROR(SUMPRODUCT((Planning!A4:A303=TODAY())*(Planning!I4:I303&gt;0)*IFERROR(INDEX('Detail Recettes'!D:D,MATCH(Planning!C4:C303&amp;A262,'Detail Recettes'!A:A&amp;'Detail Recettes'!B:B,0)),0)*Planning!I4:I303/IFERROR(INDEX(Recettes!F:F,MATCH(Planning!C4:C303,Recettes!B:B,0)),1)),"")</f>
        <v>#ERROR!</v>
      </c>
      <c r="E262" s="358" t="str">
        <f>IFERROR(INDEX(Stock!E:E,MATCH(A262,Stock!A:A,0)),"")</f>
        <v>#ERROR!</v>
      </c>
      <c r="F262" s="356" t="str">
        <f>IFERROR(IF(D262="","",D262-E262),"")</f>
        <v>#ERROR!</v>
      </c>
      <c r="G262" s="357" t="str">
        <f>IFERROR(IF(D262="","",IF(F262&lt;=0,"OK","MANQUE")),"")</f>
        <v>#ERROR!</v>
      </c>
      <c r="H262" s="207"/>
    </row>
    <row r="263" ht="15.0" customHeight="1">
      <c r="A263" s="351" t="s">
        <v>306</v>
      </c>
      <c r="B263" s="352" t="s">
        <v>307</v>
      </c>
      <c r="C263" s="353" t="s">
        <v>308</v>
      </c>
      <c r="D263" s="354" t="str">
        <f>IFERROR(SUMPRODUCT((Planning!A4:A303=TODAY())*(Planning!I4:I303&gt;0)*IFERROR(INDEX('Detail Recettes'!D:D,MATCH(Planning!C4:C303&amp;A263,'Detail Recettes'!A:A&amp;'Detail Recettes'!B:B,0)),0)*Planning!I4:I303/IFERROR(INDEX(Recettes!F:F,MATCH(Planning!C4:C303,Recettes!B:B,0)),1)),"")</f>
        <v>#ERROR!</v>
      </c>
      <c r="E263" s="355" t="str">
        <f>IFERROR(INDEX(Stock!E:E,MATCH(A263,Stock!A:A,0)),"")</f>
        <v>#ERROR!</v>
      </c>
      <c r="F263" s="356" t="str">
        <f>IFERROR(IF(D263="","",D263-E263),"")</f>
        <v>#ERROR!</v>
      </c>
      <c r="G263" s="357" t="str">
        <f>IFERROR(IF(D263="","",IF(F263&lt;=0,"OK","MANQUE")),"")</f>
        <v>#ERROR!</v>
      </c>
      <c r="H263" s="207"/>
    </row>
    <row r="264" ht="15.0" customHeight="1">
      <c r="A264" s="351" t="s">
        <v>309</v>
      </c>
      <c r="B264" s="138" t="s">
        <v>310</v>
      </c>
      <c r="C264" s="37" t="s">
        <v>239</v>
      </c>
      <c r="D264" s="354" t="str">
        <f>IFERROR(SUMPRODUCT((Planning!A4:A303=TODAY())*(Planning!I4:I303&gt;0)*IFERROR(INDEX('Detail Recettes'!D:D,MATCH(Planning!C4:C303&amp;A264,'Detail Recettes'!A:A&amp;'Detail Recettes'!B:B,0)),0)*Planning!I4:I303/IFERROR(INDEX(Recettes!F:F,MATCH(Planning!C4:C303,Recettes!B:B,0)),1)),"")</f>
        <v>#ERROR!</v>
      </c>
      <c r="E264" s="358" t="str">
        <f>IFERROR(INDEX(Stock!E:E,MATCH(A264,Stock!A:A,0)),"")</f>
        <v>#ERROR!</v>
      </c>
      <c r="F264" s="356" t="str">
        <f>IFERROR(IF(D264="","",D264-E264),"")</f>
        <v>#ERROR!</v>
      </c>
      <c r="G264" s="357" t="str">
        <f>IFERROR(IF(D264="","",IF(F264&lt;=0,"OK","MANQUE")),"")</f>
        <v>#ERROR!</v>
      </c>
      <c r="H264" s="207"/>
    </row>
    <row r="265" ht="15.0" customHeight="1">
      <c r="A265" s="351" t="s">
        <v>311</v>
      </c>
      <c r="B265" s="352" t="s">
        <v>312</v>
      </c>
      <c r="C265" s="353" t="s">
        <v>308</v>
      </c>
      <c r="D265" s="354" t="str">
        <f>IFERROR(SUMPRODUCT((Planning!A4:A303=TODAY())*(Planning!I4:I303&gt;0)*IFERROR(INDEX('Detail Recettes'!D:D,MATCH(Planning!C4:C303&amp;A265,'Detail Recettes'!A:A&amp;'Detail Recettes'!B:B,0)),0)*Planning!I4:I303/IFERROR(INDEX(Recettes!F:F,MATCH(Planning!C4:C303,Recettes!B:B,0)),1)),"")</f>
        <v>#ERROR!</v>
      </c>
      <c r="E265" s="355" t="str">
        <f>IFERROR(INDEX(Stock!E:E,MATCH(A265,Stock!A:A,0)),"")</f>
        <v>#ERROR!</v>
      </c>
      <c r="F265" s="356" t="str">
        <f>IFERROR(IF(D265="","",D265-E265),"")</f>
        <v>#ERROR!</v>
      </c>
      <c r="G265" s="357" t="str">
        <f>IFERROR(IF(D265="","",IF(F265&lt;=0,"OK","MANQUE")),"")</f>
        <v>#ERROR!</v>
      </c>
      <c r="H265" s="207"/>
    </row>
    <row r="266" ht="15.0" customHeight="1">
      <c r="A266" s="351" t="s">
        <v>313</v>
      </c>
      <c r="B266" s="138" t="s">
        <v>314</v>
      </c>
      <c r="C266" s="37" t="s">
        <v>239</v>
      </c>
      <c r="D266" s="354" t="str">
        <f>IFERROR(SUMPRODUCT((Planning!A4:A303=TODAY())*(Planning!I4:I303&gt;0)*IFERROR(INDEX('Detail Recettes'!D:D,MATCH(Planning!C4:C303&amp;A266,'Detail Recettes'!A:A&amp;'Detail Recettes'!B:B,0)),0)*Planning!I4:I303/IFERROR(INDEX(Recettes!F:F,MATCH(Planning!C4:C303,Recettes!B:B,0)),1)),"")</f>
        <v>#ERROR!</v>
      </c>
      <c r="E266" s="358" t="str">
        <f>IFERROR(INDEX(Stock!E:E,MATCH(A266,Stock!A:A,0)),"")</f>
        <v>#ERROR!</v>
      </c>
      <c r="F266" s="356" t="str">
        <f>IFERROR(IF(D266="","",D266-E266),"")</f>
        <v>#ERROR!</v>
      </c>
      <c r="G266" s="357" t="str">
        <f>IFERROR(IF(D266="","",IF(F266&lt;=0,"OK","MANQUE")),"")</f>
        <v>#ERROR!</v>
      </c>
      <c r="H266" s="207"/>
    </row>
    <row r="267" ht="15.0" customHeight="1">
      <c r="A267" s="351" t="s">
        <v>315</v>
      </c>
      <c r="B267" s="352" t="s">
        <v>316</v>
      </c>
      <c r="C267" s="353" t="s">
        <v>308</v>
      </c>
      <c r="D267" s="354" t="str">
        <f>IFERROR(SUMPRODUCT((Planning!A4:A303=TODAY())*(Planning!I4:I303&gt;0)*IFERROR(INDEX('Detail Recettes'!D:D,MATCH(Planning!C4:C303&amp;A267,'Detail Recettes'!A:A&amp;'Detail Recettes'!B:B,0)),0)*Planning!I4:I303/IFERROR(INDEX(Recettes!F:F,MATCH(Planning!C4:C303,Recettes!B:B,0)),1)),"")</f>
        <v>#ERROR!</v>
      </c>
      <c r="E267" s="355" t="str">
        <f>IFERROR(INDEX(Stock!E:E,MATCH(A267,Stock!A:A,0)),"")</f>
        <v>#ERROR!</v>
      </c>
      <c r="F267" s="356" t="str">
        <f>IFERROR(IF(D267="","",D267-E267),"")</f>
        <v>#ERROR!</v>
      </c>
      <c r="G267" s="357" t="str">
        <f>IFERROR(IF(D267="","",IF(F267&lt;=0,"OK","MANQUE")),"")</f>
        <v>#ERROR!</v>
      </c>
      <c r="H267" s="207"/>
    </row>
    <row r="268" ht="15.0" customHeight="1">
      <c r="A268" s="351" t="s">
        <v>318</v>
      </c>
      <c r="B268" s="138" t="s">
        <v>319</v>
      </c>
      <c r="C268" s="37" t="s">
        <v>239</v>
      </c>
      <c r="D268" s="354" t="str">
        <f>IFERROR(SUMPRODUCT((Planning!A4:A303=TODAY())*(Planning!I4:I303&gt;0)*IFERROR(INDEX('Detail Recettes'!D:D,MATCH(Planning!C4:C303&amp;A268,'Detail Recettes'!A:A&amp;'Detail Recettes'!B:B,0)),0)*Planning!I4:I303/IFERROR(INDEX(Recettes!F:F,MATCH(Planning!C4:C303,Recettes!B:B,0)),1)),"")</f>
        <v>#ERROR!</v>
      </c>
      <c r="E268" s="358" t="str">
        <f>IFERROR(INDEX(Stock!E:E,MATCH(A268,Stock!A:A,0)),"")</f>
        <v>#ERROR!</v>
      </c>
      <c r="F268" s="356" t="str">
        <f>IFERROR(IF(D268="","",D268-E268),"")</f>
        <v>#ERROR!</v>
      </c>
      <c r="G268" s="357" t="str">
        <f>IFERROR(IF(D268="","",IF(F268&lt;=0,"OK","MANQUE")),"")</f>
        <v>#ERROR!</v>
      </c>
      <c r="H268" s="207"/>
    </row>
    <row r="269" ht="15.0" customHeight="1">
      <c r="A269" s="351" t="s">
        <v>320</v>
      </c>
      <c r="B269" s="352" t="s">
        <v>321</v>
      </c>
      <c r="C269" s="353" t="s">
        <v>239</v>
      </c>
      <c r="D269" s="354" t="str">
        <f>IFERROR(SUMPRODUCT((Planning!A4:A303=TODAY())*(Planning!I4:I303&gt;0)*IFERROR(INDEX('Detail Recettes'!D:D,MATCH(Planning!C4:C303&amp;A269,'Detail Recettes'!A:A&amp;'Detail Recettes'!B:B,0)),0)*Planning!I4:I303/IFERROR(INDEX(Recettes!F:F,MATCH(Planning!C4:C303,Recettes!B:B,0)),1)),"")</f>
        <v>#ERROR!</v>
      </c>
      <c r="E269" s="355" t="str">
        <f>IFERROR(INDEX(Stock!E:E,MATCH(A269,Stock!A:A,0)),"")</f>
        <v>#ERROR!</v>
      </c>
      <c r="F269" s="356" t="str">
        <f>IFERROR(IF(D269="","",D269-E269),"")</f>
        <v>#ERROR!</v>
      </c>
      <c r="G269" s="357" t="str">
        <f>IFERROR(IF(D269="","",IF(F269&lt;=0,"OK","MANQUE")),"")</f>
        <v>#ERROR!</v>
      </c>
      <c r="H269" s="207"/>
    </row>
    <row r="270" ht="15.0" customHeight="1">
      <c r="A270" s="351" t="s">
        <v>322</v>
      </c>
      <c r="B270" s="138" t="s">
        <v>323</v>
      </c>
      <c r="C270" s="37" t="s">
        <v>239</v>
      </c>
      <c r="D270" s="354" t="str">
        <f>IFERROR(SUMPRODUCT((Planning!A4:A303=TODAY())*(Planning!I4:I303&gt;0)*IFERROR(INDEX('Detail Recettes'!D:D,MATCH(Planning!C4:C303&amp;A270,'Detail Recettes'!A:A&amp;'Detail Recettes'!B:B,0)),0)*Planning!I4:I303/IFERROR(INDEX(Recettes!F:F,MATCH(Planning!C4:C303,Recettes!B:B,0)),1)),"")</f>
        <v>#ERROR!</v>
      </c>
      <c r="E270" s="358" t="str">
        <f>IFERROR(INDEX(Stock!E:E,MATCH(A270,Stock!A:A,0)),"")</f>
        <v>#ERROR!</v>
      </c>
      <c r="F270" s="356" t="str">
        <f>IFERROR(IF(D270="","",D270-E270),"")</f>
        <v>#ERROR!</v>
      </c>
      <c r="G270" s="357" t="str">
        <f>IFERROR(IF(D270="","",IF(F270&lt;=0,"OK","MANQUE")),"")</f>
        <v>#ERROR!</v>
      </c>
      <c r="H270" s="207"/>
    </row>
    <row r="271" ht="15.0" customHeight="1">
      <c r="A271" s="351" t="s">
        <v>325</v>
      </c>
      <c r="B271" s="352" t="s">
        <v>326</v>
      </c>
      <c r="C271" s="353" t="s">
        <v>239</v>
      </c>
      <c r="D271" s="354" t="str">
        <f>IFERROR(SUMPRODUCT((Planning!A4:A303=TODAY())*(Planning!I4:I303&gt;0)*IFERROR(INDEX('Detail Recettes'!D:D,MATCH(Planning!C4:C303&amp;A271,'Detail Recettes'!A:A&amp;'Detail Recettes'!B:B,0)),0)*Planning!I4:I303/IFERROR(INDEX(Recettes!F:F,MATCH(Planning!C4:C303,Recettes!B:B,0)),1)),"")</f>
        <v>#ERROR!</v>
      </c>
      <c r="E271" s="355" t="str">
        <f>IFERROR(INDEX(Stock!E:E,MATCH(A271,Stock!A:A,0)),"")</f>
        <v>#ERROR!</v>
      </c>
      <c r="F271" s="356" t="str">
        <f>IFERROR(IF(D271="","",D271-E271),"")</f>
        <v>#ERROR!</v>
      </c>
      <c r="G271" s="357" t="str">
        <f>IFERROR(IF(D271="","",IF(F271&lt;=0,"OK","MANQUE")),"")</f>
        <v>#ERROR!</v>
      </c>
      <c r="H271" s="207"/>
    </row>
    <row r="272" ht="15.0" customHeight="1">
      <c r="A272" s="351" t="s">
        <v>327</v>
      </c>
      <c r="B272" s="138" t="s">
        <v>328</v>
      </c>
      <c r="C272" s="37" t="s">
        <v>239</v>
      </c>
      <c r="D272" s="354" t="str">
        <f>IFERROR(SUMPRODUCT((Planning!A4:A303=TODAY())*(Planning!I4:I303&gt;0)*IFERROR(INDEX('Detail Recettes'!D:D,MATCH(Planning!C4:C303&amp;A272,'Detail Recettes'!A:A&amp;'Detail Recettes'!B:B,0)),0)*Planning!I4:I303/IFERROR(INDEX(Recettes!F:F,MATCH(Planning!C4:C303,Recettes!B:B,0)),1)),"")</f>
        <v>#ERROR!</v>
      </c>
      <c r="E272" s="358" t="str">
        <f>IFERROR(INDEX(Stock!E:E,MATCH(A272,Stock!A:A,0)),"")</f>
        <v>#ERROR!</v>
      </c>
      <c r="F272" s="356" t="str">
        <f>IFERROR(IF(D272="","",D272-E272),"")</f>
        <v>#ERROR!</v>
      </c>
      <c r="G272" s="357" t="str">
        <f>IFERROR(IF(D272="","",IF(F272&lt;=0,"OK","MANQUE")),"")</f>
        <v>#ERROR!</v>
      </c>
      <c r="H272" s="207"/>
    </row>
    <row r="273" ht="15.0" customHeight="1">
      <c r="A273" s="351" t="s">
        <v>329</v>
      </c>
      <c r="B273" s="352" t="s">
        <v>330</v>
      </c>
      <c r="C273" s="353" t="s">
        <v>239</v>
      </c>
      <c r="D273" s="354" t="str">
        <f>IFERROR(SUMPRODUCT((Planning!A4:A303=TODAY())*(Planning!I4:I303&gt;0)*IFERROR(INDEX('Detail Recettes'!D:D,MATCH(Planning!C4:C303&amp;A273,'Detail Recettes'!A:A&amp;'Detail Recettes'!B:B,0)),0)*Planning!I4:I303/IFERROR(INDEX(Recettes!F:F,MATCH(Planning!C4:C303,Recettes!B:B,0)),1)),"")</f>
        <v>#ERROR!</v>
      </c>
      <c r="E273" s="355" t="str">
        <f>IFERROR(INDEX(Stock!E:E,MATCH(A273,Stock!A:A,0)),"")</f>
        <v>#ERROR!</v>
      </c>
      <c r="F273" s="356" t="str">
        <f>IFERROR(IF(D273="","",D273-E273),"")</f>
        <v>#ERROR!</v>
      </c>
      <c r="G273" s="357" t="str">
        <f>IFERROR(IF(D273="","",IF(F273&lt;=0,"OK","MANQUE")),"")</f>
        <v>#ERROR!</v>
      </c>
      <c r="H273" s="207"/>
    </row>
    <row r="274" ht="15.0" customHeight="1">
      <c r="A274" s="351" t="s">
        <v>331</v>
      </c>
      <c r="B274" s="138" t="s">
        <v>332</v>
      </c>
      <c r="C274" s="37" t="s">
        <v>239</v>
      </c>
      <c r="D274" s="354" t="str">
        <f>IFERROR(SUMPRODUCT((Planning!A4:A303=TODAY())*(Planning!I4:I303&gt;0)*IFERROR(INDEX('Detail Recettes'!D:D,MATCH(Planning!C4:C303&amp;A274,'Detail Recettes'!A:A&amp;'Detail Recettes'!B:B,0)),0)*Planning!I4:I303/IFERROR(INDEX(Recettes!F:F,MATCH(Planning!C4:C303,Recettes!B:B,0)),1)),"")</f>
        <v>#ERROR!</v>
      </c>
      <c r="E274" s="358" t="str">
        <f>IFERROR(INDEX(Stock!E:E,MATCH(A274,Stock!A:A,0)),"")</f>
        <v>#ERROR!</v>
      </c>
      <c r="F274" s="356" t="str">
        <f>IFERROR(IF(D274="","",D274-E274),"")</f>
        <v>#ERROR!</v>
      </c>
      <c r="G274" s="357" t="str">
        <f>IFERROR(IF(D274="","",IF(F274&lt;=0,"OK","MANQUE")),"")</f>
        <v>#ERROR!</v>
      </c>
      <c r="H274" s="207"/>
    </row>
    <row r="275" ht="15.0" customHeight="1">
      <c r="A275" s="351" t="s">
        <v>333</v>
      </c>
      <c r="B275" s="352" t="s">
        <v>334</v>
      </c>
      <c r="C275" s="353" t="s">
        <v>239</v>
      </c>
      <c r="D275" s="354" t="str">
        <f>IFERROR(SUMPRODUCT((Planning!A4:A303=TODAY())*(Planning!I4:I303&gt;0)*IFERROR(INDEX('Detail Recettes'!D:D,MATCH(Planning!C4:C303&amp;A275,'Detail Recettes'!A:A&amp;'Detail Recettes'!B:B,0)),0)*Planning!I4:I303/IFERROR(INDEX(Recettes!F:F,MATCH(Planning!C4:C303,Recettes!B:B,0)),1)),"")</f>
        <v>#ERROR!</v>
      </c>
      <c r="E275" s="355" t="str">
        <f>IFERROR(INDEX(Stock!E:E,MATCH(A275,Stock!A:A,0)),"")</f>
        <v>#ERROR!</v>
      </c>
      <c r="F275" s="356" t="str">
        <f>IFERROR(IF(D275="","",D275-E275),"")</f>
        <v>#ERROR!</v>
      </c>
      <c r="G275" s="357" t="str">
        <f>IFERROR(IF(D275="","",IF(F275&lt;=0,"OK","MANQUE")),"")</f>
        <v>#ERROR!</v>
      </c>
      <c r="H275" s="207"/>
    </row>
    <row r="276" ht="15.0" customHeight="1">
      <c r="A276" s="351" t="s">
        <v>336</v>
      </c>
      <c r="B276" s="138" t="s">
        <v>337</v>
      </c>
      <c r="C276" s="37" t="s">
        <v>239</v>
      </c>
      <c r="D276" s="354" t="str">
        <f>IFERROR(SUMPRODUCT((Planning!A4:A303=TODAY())*(Planning!I4:I303&gt;0)*IFERROR(INDEX('Detail Recettes'!D:D,MATCH(Planning!C4:C303&amp;A276,'Detail Recettes'!A:A&amp;'Detail Recettes'!B:B,0)),0)*Planning!I4:I303/IFERROR(INDEX(Recettes!F:F,MATCH(Planning!C4:C303,Recettes!B:B,0)),1)),"")</f>
        <v>#ERROR!</v>
      </c>
      <c r="E276" s="358" t="str">
        <f>IFERROR(INDEX(Stock!E:E,MATCH(A276,Stock!A:A,0)),"")</f>
        <v>#ERROR!</v>
      </c>
      <c r="F276" s="356" t="str">
        <f>IFERROR(IF(D276="","",D276-E276),"")</f>
        <v>#ERROR!</v>
      </c>
      <c r="G276" s="357" t="str">
        <f>IFERROR(IF(D276="","",IF(F276&lt;=0,"OK","MANQUE")),"")</f>
        <v>#ERROR!</v>
      </c>
      <c r="H276" s="207"/>
    </row>
    <row r="277" ht="15.0" customHeight="1">
      <c r="A277" s="351" t="s">
        <v>338</v>
      </c>
      <c r="B277" s="352" t="s">
        <v>339</v>
      </c>
      <c r="C277" s="353" t="s">
        <v>239</v>
      </c>
      <c r="D277" s="354" t="str">
        <f>IFERROR(SUMPRODUCT((Planning!A4:A303=TODAY())*(Planning!I4:I303&gt;0)*IFERROR(INDEX('Detail Recettes'!D:D,MATCH(Planning!C4:C303&amp;A277,'Detail Recettes'!A:A&amp;'Detail Recettes'!B:B,0)),0)*Planning!I4:I303/IFERROR(INDEX(Recettes!F:F,MATCH(Planning!C4:C303,Recettes!B:B,0)),1)),"")</f>
        <v>#ERROR!</v>
      </c>
      <c r="E277" s="355" t="str">
        <f>IFERROR(INDEX(Stock!E:E,MATCH(A277,Stock!A:A,0)),"")</f>
        <v>#ERROR!</v>
      </c>
      <c r="F277" s="356" t="str">
        <f>IFERROR(IF(D277="","",D277-E277),"")</f>
        <v>#ERROR!</v>
      </c>
      <c r="G277" s="357" t="str">
        <f>IFERROR(IF(D277="","",IF(F277&lt;=0,"OK","MANQUE")),"")</f>
        <v>#ERROR!</v>
      </c>
      <c r="H277" s="207"/>
    </row>
    <row r="278" ht="15.0" customHeight="1">
      <c r="A278" s="351" t="s">
        <v>340</v>
      </c>
      <c r="B278" s="138" t="s">
        <v>341</v>
      </c>
      <c r="C278" s="37" t="s">
        <v>239</v>
      </c>
      <c r="D278" s="354" t="str">
        <f>IFERROR(SUMPRODUCT((Planning!A4:A303=TODAY())*(Planning!I4:I303&gt;0)*IFERROR(INDEX('Detail Recettes'!D:D,MATCH(Planning!C4:C303&amp;A278,'Detail Recettes'!A:A&amp;'Detail Recettes'!B:B,0)),0)*Planning!I4:I303/IFERROR(INDEX(Recettes!F:F,MATCH(Planning!C4:C303,Recettes!B:B,0)),1)),"")</f>
        <v>#ERROR!</v>
      </c>
      <c r="E278" s="358" t="str">
        <f>IFERROR(INDEX(Stock!E:E,MATCH(A278,Stock!A:A,0)),"")</f>
        <v>#ERROR!</v>
      </c>
      <c r="F278" s="356" t="str">
        <f>IFERROR(IF(D278="","",D278-E278),"")</f>
        <v>#ERROR!</v>
      </c>
      <c r="G278" s="357" t="str">
        <f>IFERROR(IF(D278="","",IF(F278&lt;=0,"OK","MANQUE")),"")</f>
        <v>#ERROR!</v>
      </c>
      <c r="H278" s="207"/>
    </row>
    <row r="279" ht="15.0" customHeight="1">
      <c r="A279" s="351" t="s">
        <v>342</v>
      </c>
      <c r="B279" s="352" t="s">
        <v>343</v>
      </c>
      <c r="C279" s="353" t="s">
        <v>239</v>
      </c>
      <c r="D279" s="354" t="str">
        <f>IFERROR(SUMPRODUCT((Planning!A4:A303=TODAY())*(Planning!I4:I303&gt;0)*IFERROR(INDEX('Detail Recettes'!D:D,MATCH(Planning!C4:C303&amp;A279,'Detail Recettes'!A:A&amp;'Detail Recettes'!B:B,0)),0)*Planning!I4:I303/IFERROR(INDEX(Recettes!F:F,MATCH(Planning!C4:C303,Recettes!B:B,0)),1)),"")</f>
        <v>#ERROR!</v>
      </c>
      <c r="E279" s="355" t="str">
        <f>IFERROR(INDEX(Stock!E:E,MATCH(A279,Stock!A:A,0)),"")</f>
        <v>#ERROR!</v>
      </c>
      <c r="F279" s="356" t="str">
        <f>IFERROR(IF(D279="","",D279-E279),"")</f>
        <v>#ERROR!</v>
      </c>
      <c r="G279" s="357" t="str">
        <f>IFERROR(IF(D279="","",IF(F279&lt;=0,"OK","MANQUE")),"")</f>
        <v>#ERROR!</v>
      </c>
      <c r="H279" s="207"/>
    </row>
    <row r="280" ht="15.0" customHeight="1">
      <c r="A280" s="351" t="s">
        <v>344</v>
      </c>
      <c r="B280" s="138" t="s">
        <v>345</v>
      </c>
      <c r="C280" s="37" t="s">
        <v>239</v>
      </c>
      <c r="D280" s="354" t="str">
        <f>IFERROR(SUMPRODUCT((Planning!A4:A303=TODAY())*(Planning!I4:I303&gt;0)*IFERROR(INDEX('Detail Recettes'!D:D,MATCH(Planning!C4:C303&amp;A280,'Detail Recettes'!A:A&amp;'Detail Recettes'!B:B,0)),0)*Planning!I4:I303/IFERROR(INDEX(Recettes!F:F,MATCH(Planning!C4:C303,Recettes!B:B,0)),1)),"")</f>
        <v>#ERROR!</v>
      </c>
      <c r="E280" s="358" t="str">
        <f>IFERROR(INDEX(Stock!E:E,MATCH(A280,Stock!A:A,0)),"")</f>
        <v>#ERROR!</v>
      </c>
      <c r="F280" s="356" t="str">
        <f>IFERROR(IF(D280="","",D280-E280),"")</f>
        <v>#ERROR!</v>
      </c>
      <c r="G280" s="357" t="str">
        <f>IFERROR(IF(D280="","",IF(F280&lt;=0,"OK","MANQUE")),"")</f>
        <v>#ERROR!</v>
      </c>
      <c r="H280" s="207"/>
    </row>
    <row r="281" ht="15.0" customHeight="1">
      <c r="A281" s="351" t="s">
        <v>346</v>
      </c>
      <c r="B281" s="352" t="s">
        <v>347</v>
      </c>
      <c r="C281" s="353" t="s">
        <v>239</v>
      </c>
      <c r="D281" s="354" t="str">
        <f>IFERROR(SUMPRODUCT((Planning!A4:A303=TODAY())*(Planning!I4:I303&gt;0)*IFERROR(INDEX('Detail Recettes'!D:D,MATCH(Planning!C4:C303&amp;A281,'Detail Recettes'!A:A&amp;'Detail Recettes'!B:B,0)),0)*Planning!I4:I303/IFERROR(INDEX(Recettes!F:F,MATCH(Planning!C4:C303,Recettes!B:B,0)),1)),"")</f>
        <v>#ERROR!</v>
      </c>
      <c r="E281" s="355" t="str">
        <f>IFERROR(INDEX(Stock!E:E,MATCH(A281,Stock!A:A,0)),"")</f>
        <v>#ERROR!</v>
      </c>
      <c r="F281" s="356" t="str">
        <f>IFERROR(IF(D281="","",D281-E281),"")</f>
        <v>#ERROR!</v>
      </c>
      <c r="G281" s="357" t="str">
        <f>IFERROR(IF(D281="","",IF(F281&lt;=0,"OK","MANQUE")),"")</f>
        <v>#ERROR!</v>
      </c>
      <c r="H281" s="207"/>
    </row>
    <row r="282" ht="15.0" customHeight="1">
      <c r="A282" s="351" t="s">
        <v>348</v>
      </c>
      <c r="B282" s="138" t="s">
        <v>349</v>
      </c>
      <c r="C282" s="37" t="s">
        <v>239</v>
      </c>
      <c r="D282" s="354" t="str">
        <f>IFERROR(SUMPRODUCT((Planning!A4:A303=TODAY())*(Planning!I4:I303&gt;0)*IFERROR(INDEX('Detail Recettes'!D:D,MATCH(Planning!C4:C303&amp;A282,'Detail Recettes'!A:A&amp;'Detail Recettes'!B:B,0)),0)*Planning!I4:I303/IFERROR(INDEX(Recettes!F:F,MATCH(Planning!C4:C303,Recettes!B:B,0)),1)),"")</f>
        <v>#ERROR!</v>
      </c>
      <c r="E282" s="358" t="str">
        <f>IFERROR(INDEX(Stock!E:E,MATCH(A282,Stock!A:A,0)),"")</f>
        <v>#ERROR!</v>
      </c>
      <c r="F282" s="356" t="str">
        <f>IFERROR(IF(D282="","",D282-E282),"")</f>
        <v>#ERROR!</v>
      </c>
      <c r="G282" s="357" t="str">
        <f>IFERROR(IF(D282="","",IF(F282&lt;=0,"OK","MANQUE")),"")</f>
        <v>#ERROR!</v>
      </c>
      <c r="H282" s="207"/>
    </row>
    <row r="283" ht="15.0" customHeight="1">
      <c r="A283" s="351" t="s">
        <v>350</v>
      </c>
      <c r="B283" s="352" t="s">
        <v>351</v>
      </c>
      <c r="C283" s="353" t="s">
        <v>239</v>
      </c>
      <c r="D283" s="354" t="str">
        <f>IFERROR(SUMPRODUCT((Planning!A4:A303=TODAY())*(Planning!I4:I303&gt;0)*IFERROR(INDEX('Detail Recettes'!D:D,MATCH(Planning!C4:C303&amp;A283,'Detail Recettes'!A:A&amp;'Detail Recettes'!B:B,0)),0)*Planning!I4:I303/IFERROR(INDEX(Recettes!F:F,MATCH(Planning!C4:C303,Recettes!B:B,0)),1)),"")</f>
        <v>#ERROR!</v>
      </c>
      <c r="E283" s="355" t="str">
        <f>IFERROR(INDEX(Stock!E:E,MATCH(A283,Stock!A:A,0)),"")</f>
        <v>#ERROR!</v>
      </c>
      <c r="F283" s="356" t="str">
        <f>IFERROR(IF(D283="","",D283-E283),"")</f>
        <v>#ERROR!</v>
      </c>
      <c r="G283" s="357" t="str">
        <f>IFERROR(IF(D283="","",IF(F283&lt;=0,"OK","MANQUE")),"")</f>
        <v>#ERROR!</v>
      </c>
      <c r="H283" s="207"/>
    </row>
    <row r="284" ht="15.0" customHeight="1">
      <c r="A284" s="351" t="s">
        <v>352</v>
      </c>
      <c r="B284" s="138" t="s">
        <v>353</v>
      </c>
      <c r="C284" s="37" t="s">
        <v>239</v>
      </c>
      <c r="D284" s="354" t="str">
        <f>IFERROR(SUMPRODUCT((Planning!A4:A303=TODAY())*(Planning!I4:I303&gt;0)*IFERROR(INDEX('Detail Recettes'!D:D,MATCH(Planning!C4:C303&amp;A284,'Detail Recettes'!A:A&amp;'Detail Recettes'!B:B,0)),0)*Planning!I4:I303/IFERROR(INDEX(Recettes!F:F,MATCH(Planning!C4:C303,Recettes!B:B,0)),1)),"")</f>
        <v>#ERROR!</v>
      </c>
      <c r="E284" s="358" t="str">
        <f>IFERROR(INDEX(Stock!E:E,MATCH(A284,Stock!A:A,0)),"")</f>
        <v>#ERROR!</v>
      </c>
      <c r="F284" s="356" t="str">
        <f>IFERROR(IF(D284="","",D284-E284),"")</f>
        <v>#ERROR!</v>
      </c>
      <c r="G284" s="357" t="str">
        <f>IFERROR(IF(D284="","",IF(F284&lt;=0,"OK","MANQUE")),"")</f>
        <v>#ERROR!</v>
      </c>
      <c r="H284" s="207"/>
    </row>
    <row r="285" ht="15.0" customHeight="1">
      <c r="A285" s="351" t="s">
        <v>354</v>
      </c>
      <c r="B285" s="352" t="s">
        <v>355</v>
      </c>
      <c r="C285" s="353" t="s">
        <v>239</v>
      </c>
      <c r="D285" s="354" t="str">
        <f>IFERROR(SUMPRODUCT((Planning!A4:A303=TODAY())*(Planning!I4:I303&gt;0)*IFERROR(INDEX('Detail Recettes'!D:D,MATCH(Planning!C4:C303&amp;A285,'Detail Recettes'!A:A&amp;'Detail Recettes'!B:B,0)),0)*Planning!I4:I303/IFERROR(INDEX(Recettes!F:F,MATCH(Planning!C4:C303,Recettes!B:B,0)),1)),"")</f>
        <v>#ERROR!</v>
      </c>
      <c r="E285" s="355" t="str">
        <f>IFERROR(INDEX(Stock!E:E,MATCH(A285,Stock!A:A,0)),"")</f>
        <v>#ERROR!</v>
      </c>
      <c r="F285" s="356" t="str">
        <f>IFERROR(IF(D285="","",D285-E285),"")</f>
        <v>#ERROR!</v>
      </c>
      <c r="G285" s="357" t="str">
        <f>IFERROR(IF(D285="","",IF(F285&lt;=0,"OK","MANQUE")),"")</f>
        <v>#ERROR!</v>
      </c>
      <c r="H285" s="207"/>
    </row>
    <row r="286" ht="15.0" customHeight="1">
      <c r="A286" s="351" t="s">
        <v>356</v>
      </c>
      <c r="B286" s="138" t="s">
        <v>357</v>
      </c>
      <c r="C286" s="37" t="s">
        <v>239</v>
      </c>
      <c r="D286" s="354" t="str">
        <f>IFERROR(SUMPRODUCT((Planning!A4:A303=TODAY())*(Planning!I4:I303&gt;0)*IFERROR(INDEX('Detail Recettes'!D:D,MATCH(Planning!C4:C303&amp;A286,'Detail Recettes'!A:A&amp;'Detail Recettes'!B:B,0)),0)*Planning!I4:I303/IFERROR(INDEX(Recettes!F:F,MATCH(Planning!C4:C303,Recettes!B:B,0)),1)),"")</f>
        <v>#ERROR!</v>
      </c>
      <c r="E286" s="358" t="str">
        <f>IFERROR(INDEX(Stock!E:E,MATCH(A286,Stock!A:A,0)),"")</f>
        <v>#ERROR!</v>
      </c>
      <c r="F286" s="356" t="str">
        <f>IFERROR(IF(D286="","",D286-E286),"")</f>
        <v>#ERROR!</v>
      </c>
      <c r="G286" s="357" t="str">
        <f>IFERROR(IF(D286="","",IF(F286&lt;=0,"OK","MANQUE")),"")</f>
        <v>#ERROR!</v>
      </c>
      <c r="H286" s="207"/>
    </row>
    <row r="287" ht="15.0" customHeight="1">
      <c r="A287" s="351" t="s">
        <v>359</v>
      </c>
      <c r="B287" s="352" t="s">
        <v>360</v>
      </c>
      <c r="C287" s="353" t="s">
        <v>239</v>
      </c>
      <c r="D287" s="354" t="str">
        <f>IFERROR(SUMPRODUCT((Planning!A4:A303=TODAY())*(Planning!I4:I303&gt;0)*IFERROR(INDEX('Detail Recettes'!D:D,MATCH(Planning!C4:C303&amp;A287,'Detail Recettes'!A:A&amp;'Detail Recettes'!B:B,0)),0)*Planning!I4:I303/IFERROR(INDEX(Recettes!F:F,MATCH(Planning!C4:C303,Recettes!B:B,0)),1)),"")</f>
        <v>#ERROR!</v>
      </c>
      <c r="E287" s="355" t="str">
        <f>IFERROR(INDEX(Stock!E:E,MATCH(A287,Stock!A:A,0)),"")</f>
        <v>#ERROR!</v>
      </c>
      <c r="F287" s="356" t="str">
        <f>IFERROR(IF(D287="","",D287-E287),"")</f>
        <v>#ERROR!</v>
      </c>
      <c r="G287" s="357" t="str">
        <f>IFERROR(IF(D287="","",IF(F287&lt;=0,"OK","MANQUE")),"")</f>
        <v>#ERROR!</v>
      </c>
      <c r="H287" s="207"/>
    </row>
    <row r="288" ht="15.0" customHeight="1">
      <c r="A288" s="351" t="s">
        <v>362</v>
      </c>
      <c r="B288" s="138" t="s">
        <v>363</v>
      </c>
      <c r="C288" s="37" t="s">
        <v>239</v>
      </c>
      <c r="D288" s="354" t="str">
        <f>IFERROR(SUMPRODUCT((Planning!A4:A303=TODAY())*(Planning!I4:I303&gt;0)*IFERROR(INDEX('Detail Recettes'!D:D,MATCH(Planning!C4:C303&amp;A288,'Detail Recettes'!A:A&amp;'Detail Recettes'!B:B,0)),0)*Planning!I4:I303/IFERROR(INDEX(Recettes!F:F,MATCH(Planning!C4:C303,Recettes!B:B,0)),1)),"")</f>
        <v>#ERROR!</v>
      </c>
      <c r="E288" s="358" t="str">
        <f>IFERROR(INDEX(Stock!E:E,MATCH(A288,Stock!A:A,0)),"")</f>
        <v>#ERROR!</v>
      </c>
      <c r="F288" s="356" t="str">
        <f>IFERROR(IF(D288="","",D288-E288),"")</f>
        <v>#ERROR!</v>
      </c>
      <c r="G288" s="357" t="str">
        <f>IFERROR(IF(D288="","",IF(F288&lt;=0,"OK","MANQUE")),"")</f>
        <v>#ERROR!</v>
      </c>
      <c r="H288" s="207"/>
    </row>
    <row r="289" ht="15.0" customHeight="1">
      <c r="A289" s="351" t="s">
        <v>364</v>
      </c>
      <c r="B289" s="352" t="s">
        <v>365</v>
      </c>
      <c r="C289" s="353" t="s">
        <v>239</v>
      </c>
      <c r="D289" s="354" t="str">
        <f>IFERROR(SUMPRODUCT((Planning!A4:A303=TODAY())*(Planning!I4:I303&gt;0)*IFERROR(INDEX('Detail Recettes'!D:D,MATCH(Planning!C4:C303&amp;A289,'Detail Recettes'!A:A&amp;'Detail Recettes'!B:B,0)),0)*Planning!I4:I303/IFERROR(INDEX(Recettes!F:F,MATCH(Planning!C4:C303,Recettes!B:B,0)),1)),"")</f>
        <v>#ERROR!</v>
      </c>
      <c r="E289" s="355" t="str">
        <f>IFERROR(INDEX(Stock!E:E,MATCH(A289,Stock!A:A,0)),"")</f>
        <v>#ERROR!</v>
      </c>
      <c r="F289" s="356" t="str">
        <f>IFERROR(IF(D289="","",D289-E289),"")</f>
        <v>#ERROR!</v>
      </c>
      <c r="G289" s="357" t="str">
        <f>IFERROR(IF(D289="","",IF(F289&lt;=0,"OK","MANQUE")),"")</f>
        <v>#ERROR!</v>
      </c>
      <c r="H289" s="207"/>
    </row>
    <row r="290" ht="15.0" customHeight="1">
      <c r="A290" s="351" t="s">
        <v>366</v>
      </c>
      <c r="B290" s="138" t="s">
        <v>367</v>
      </c>
      <c r="C290" s="37" t="s">
        <v>239</v>
      </c>
      <c r="D290" s="354" t="str">
        <f>IFERROR(SUMPRODUCT((Planning!A4:A303=TODAY())*(Planning!I4:I303&gt;0)*IFERROR(INDEX('Detail Recettes'!D:D,MATCH(Planning!C4:C303&amp;A290,'Detail Recettes'!A:A&amp;'Detail Recettes'!B:B,0)),0)*Planning!I4:I303/IFERROR(INDEX(Recettes!F:F,MATCH(Planning!C4:C303,Recettes!B:B,0)),1)),"")</f>
        <v>#ERROR!</v>
      </c>
      <c r="E290" s="358" t="str">
        <f>IFERROR(INDEX(Stock!E:E,MATCH(A290,Stock!A:A,0)),"")</f>
        <v>#ERROR!</v>
      </c>
      <c r="F290" s="356" t="str">
        <f>IFERROR(IF(D290="","",D290-E290),"")</f>
        <v>#ERROR!</v>
      </c>
      <c r="G290" s="357" t="str">
        <f>IFERROR(IF(D290="","",IF(F290&lt;=0,"OK","MANQUE")),"")</f>
        <v>#ERROR!</v>
      </c>
      <c r="H290" s="207"/>
    </row>
    <row r="291" ht="15.0" customHeight="1">
      <c r="A291" s="351" t="s">
        <v>368</v>
      </c>
      <c r="B291" s="352" t="s">
        <v>369</v>
      </c>
      <c r="C291" s="353" t="s">
        <v>308</v>
      </c>
      <c r="D291" s="354" t="str">
        <f>IFERROR(SUMPRODUCT((Planning!A4:A303=TODAY())*(Planning!I4:I303&gt;0)*IFERROR(INDEX('Detail Recettes'!D:D,MATCH(Planning!C4:C303&amp;A291,'Detail Recettes'!A:A&amp;'Detail Recettes'!B:B,0)),0)*Planning!I4:I303/IFERROR(INDEX(Recettes!F:F,MATCH(Planning!C4:C303,Recettes!B:B,0)),1)),"")</f>
        <v>#ERROR!</v>
      </c>
      <c r="E291" s="355" t="str">
        <f>IFERROR(INDEX(Stock!E:E,MATCH(A291,Stock!A:A,0)),"")</f>
        <v>#ERROR!</v>
      </c>
      <c r="F291" s="356" t="str">
        <f>IFERROR(IF(D291="","",D291-E291),"")</f>
        <v>#ERROR!</v>
      </c>
      <c r="G291" s="357" t="str">
        <f>IFERROR(IF(D291="","",IF(F291&lt;=0,"OK","MANQUE")),"")</f>
        <v>#ERROR!</v>
      </c>
      <c r="H291" s="207"/>
    </row>
    <row r="292" ht="15.0" customHeight="1">
      <c r="A292" s="351" t="s">
        <v>371</v>
      </c>
      <c r="B292" s="138" t="s">
        <v>372</v>
      </c>
      <c r="C292" s="37" t="s">
        <v>308</v>
      </c>
      <c r="D292" s="354" t="str">
        <f>IFERROR(SUMPRODUCT((Planning!A4:A303=TODAY())*(Planning!I4:I303&gt;0)*IFERROR(INDEX('Detail Recettes'!D:D,MATCH(Planning!C4:C303&amp;A292,'Detail Recettes'!A:A&amp;'Detail Recettes'!B:B,0)),0)*Planning!I4:I303/IFERROR(INDEX(Recettes!F:F,MATCH(Planning!C4:C303,Recettes!B:B,0)),1)),"")</f>
        <v>#ERROR!</v>
      </c>
      <c r="E292" s="358" t="str">
        <f>IFERROR(INDEX(Stock!E:E,MATCH(A292,Stock!A:A,0)),"")</f>
        <v>#ERROR!</v>
      </c>
      <c r="F292" s="356" t="str">
        <f>IFERROR(IF(D292="","",D292-E292),"")</f>
        <v>#ERROR!</v>
      </c>
      <c r="G292" s="357" t="str">
        <f>IFERROR(IF(D292="","",IF(F292&lt;=0,"OK","MANQUE")),"")</f>
        <v>#ERROR!</v>
      </c>
      <c r="H292" s="207"/>
    </row>
    <row r="293" ht="15.0" customHeight="1">
      <c r="A293" s="351" t="s">
        <v>374</v>
      </c>
      <c r="B293" s="352" t="s">
        <v>375</v>
      </c>
      <c r="C293" s="353" t="s">
        <v>308</v>
      </c>
      <c r="D293" s="354" t="str">
        <f>IFERROR(SUMPRODUCT((Planning!A4:A303=TODAY())*(Planning!I4:I303&gt;0)*IFERROR(INDEX('Detail Recettes'!D:D,MATCH(Planning!C4:C303&amp;A293,'Detail Recettes'!A:A&amp;'Detail Recettes'!B:B,0)),0)*Planning!I4:I303/IFERROR(INDEX(Recettes!F:F,MATCH(Planning!C4:C303,Recettes!B:B,0)),1)),"")</f>
        <v>#ERROR!</v>
      </c>
      <c r="E293" s="355" t="str">
        <f>IFERROR(INDEX(Stock!E:E,MATCH(A293,Stock!A:A,0)),"")</f>
        <v>#ERROR!</v>
      </c>
      <c r="F293" s="356" t="str">
        <f>IFERROR(IF(D293="","",D293-E293),"")</f>
        <v>#ERROR!</v>
      </c>
      <c r="G293" s="357" t="str">
        <f>IFERROR(IF(D293="","",IF(F293&lt;=0,"OK","MANQUE")),"")</f>
        <v>#ERROR!</v>
      </c>
      <c r="H293" s="207"/>
    </row>
    <row r="294" ht="15.0" customHeight="1">
      <c r="A294" s="351" t="s">
        <v>376</v>
      </c>
      <c r="B294" s="138" t="s">
        <v>377</v>
      </c>
      <c r="C294" s="37" t="s">
        <v>308</v>
      </c>
      <c r="D294" s="354" t="str">
        <f>IFERROR(SUMPRODUCT((Planning!A4:A303=TODAY())*(Planning!I4:I303&gt;0)*IFERROR(INDEX('Detail Recettes'!D:D,MATCH(Planning!C4:C303&amp;A294,'Detail Recettes'!A:A&amp;'Detail Recettes'!B:B,0)),0)*Planning!I4:I303/IFERROR(INDEX(Recettes!F:F,MATCH(Planning!C4:C303,Recettes!B:B,0)),1)),"")</f>
        <v>#ERROR!</v>
      </c>
      <c r="E294" s="358" t="str">
        <f>IFERROR(INDEX(Stock!E:E,MATCH(A294,Stock!A:A,0)),"")</f>
        <v>#ERROR!</v>
      </c>
      <c r="F294" s="356" t="str">
        <f>IFERROR(IF(D294="","",D294-E294),"")</f>
        <v>#ERROR!</v>
      </c>
      <c r="G294" s="357" t="str">
        <f>IFERROR(IF(D294="","",IF(F294&lt;=0,"OK","MANQUE")),"")</f>
        <v>#ERROR!</v>
      </c>
      <c r="H294" s="207"/>
    </row>
    <row r="295" ht="15.0" customHeight="1">
      <c r="A295" s="351" t="s">
        <v>378</v>
      </c>
      <c r="B295" s="352" t="s">
        <v>379</v>
      </c>
      <c r="C295" s="353" t="s">
        <v>308</v>
      </c>
      <c r="D295" s="354" t="str">
        <f>IFERROR(SUMPRODUCT((Planning!A4:A303=TODAY())*(Planning!I4:I303&gt;0)*IFERROR(INDEX('Detail Recettes'!D:D,MATCH(Planning!C4:C303&amp;A295,'Detail Recettes'!A:A&amp;'Detail Recettes'!B:B,0)),0)*Planning!I4:I303/IFERROR(INDEX(Recettes!F:F,MATCH(Planning!C4:C303,Recettes!B:B,0)),1)),"")</f>
        <v>#ERROR!</v>
      </c>
      <c r="E295" s="355" t="str">
        <f>IFERROR(INDEX(Stock!E:E,MATCH(A295,Stock!A:A,0)),"")</f>
        <v>#ERROR!</v>
      </c>
      <c r="F295" s="356" t="str">
        <f>IFERROR(IF(D295="","",D295-E295),"")</f>
        <v>#ERROR!</v>
      </c>
      <c r="G295" s="357" t="str">
        <f>IFERROR(IF(D295="","",IF(F295&lt;=0,"OK","MANQUE")),"")</f>
        <v>#ERROR!</v>
      </c>
      <c r="H295" s="207"/>
    </row>
    <row r="296" ht="15.0" customHeight="1">
      <c r="A296" s="351" t="s">
        <v>381</v>
      </c>
      <c r="B296" s="138" t="s">
        <v>382</v>
      </c>
      <c r="C296" s="37" t="s">
        <v>308</v>
      </c>
      <c r="D296" s="354" t="str">
        <f>IFERROR(SUMPRODUCT((Planning!A4:A303=TODAY())*(Planning!I4:I303&gt;0)*IFERROR(INDEX('Detail Recettes'!D:D,MATCH(Planning!C4:C303&amp;A296,'Detail Recettes'!A:A&amp;'Detail Recettes'!B:B,0)),0)*Planning!I4:I303/IFERROR(INDEX(Recettes!F:F,MATCH(Planning!C4:C303,Recettes!B:B,0)),1)),"")</f>
        <v>#ERROR!</v>
      </c>
      <c r="E296" s="358" t="str">
        <f>IFERROR(INDEX(Stock!E:E,MATCH(A296,Stock!A:A,0)),"")</f>
        <v>#ERROR!</v>
      </c>
      <c r="F296" s="356" t="str">
        <f>IFERROR(IF(D296="","",D296-E296),"")</f>
        <v>#ERROR!</v>
      </c>
      <c r="G296" s="357" t="str">
        <f>IFERROR(IF(D296="","",IF(F296&lt;=0,"OK","MANQUE")),"")</f>
        <v>#ERROR!</v>
      </c>
      <c r="H296" s="207"/>
    </row>
    <row r="297" ht="15.0" customHeight="1">
      <c r="A297" s="351" t="s">
        <v>383</v>
      </c>
      <c r="B297" s="352" t="s">
        <v>384</v>
      </c>
      <c r="C297" s="353" t="s">
        <v>386</v>
      </c>
      <c r="D297" s="354" t="str">
        <f>IFERROR(SUMPRODUCT((Planning!A4:A303=TODAY())*(Planning!I4:I303&gt;0)*IFERROR(INDEX('Detail Recettes'!D:D,MATCH(Planning!C4:C303&amp;A297,'Detail Recettes'!A:A&amp;'Detail Recettes'!B:B,0)),0)*Planning!I4:I303/IFERROR(INDEX(Recettes!F:F,MATCH(Planning!C4:C303,Recettes!B:B,0)),1)),"")</f>
        <v>#ERROR!</v>
      </c>
      <c r="E297" s="355" t="str">
        <f>IFERROR(INDEX(Stock!E:E,MATCH(A297,Stock!A:A,0)),"")</f>
        <v>#ERROR!</v>
      </c>
      <c r="F297" s="356" t="str">
        <f>IFERROR(IF(D297="","",D297-E297),"")</f>
        <v>#ERROR!</v>
      </c>
      <c r="G297" s="357" t="str">
        <f>IFERROR(IF(D297="","",IF(F297&lt;=0,"OK","MANQUE")),"")</f>
        <v>#ERROR!</v>
      </c>
      <c r="H297" s="207"/>
    </row>
    <row r="298" ht="15.0" customHeight="1">
      <c r="A298" s="351" t="s">
        <v>387</v>
      </c>
      <c r="B298" s="138" t="s">
        <v>388</v>
      </c>
      <c r="C298" s="37" t="s">
        <v>386</v>
      </c>
      <c r="D298" s="354" t="str">
        <f>IFERROR(SUMPRODUCT((Planning!A4:A303=TODAY())*(Planning!I4:I303&gt;0)*IFERROR(INDEX('Detail Recettes'!D:D,MATCH(Planning!C4:C303&amp;A298,'Detail Recettes'!A:A&amp;'Detail Recettes'!B:B,0)),0)*Planning!I4:I303/IFERROR(INDEX(Recettes!F:F,MATCH(Planning!C4:C303,Recettes!B:B,0)),1)),"")</f>
        <v>#ERROR!</v>
      </c>
      <c r="E298" s="358" t="str">
        <f>IFERROR(INDEX(Stock!E:E,MATCH(A298,Stock!A:A,0)),"")</f>
        <v>#ERROR!</v>
      </c>
      <c r="F298" s="356" t="str">
        <f>IFERROR(IF(D298="","",D298-E298),"")</f>
        <v>#ERROR!</v>
      </c>
      <c r="G298" s="357" t="str">
        <f>IFERROR(IF(D298="","",IF(F298&lt;=0,"OK","MANQUE")),"")</f>
        <v>#ERROR!</v>
      </c>
      <c r="H298" s="207"/>
    </row>
    <row r="299" ht="15.0" customHeight="1">
      <c r="A299" s="351" t="s">
        <v>389</v>
      </c>
      <c r="B299" s="352" t="s">
        <v>390</v>
      </c>
      <c r="C299" s="353" t="s">
        <v>386</v>
      </c>
      <c r="D299" s="354" t="str">
        <f>IFERROR(SUMPRODUCT((Planning!A4:A303=TODAY())*(Planning!I4:I303&gt;0)*IFERROR(INDEX('Detail Recettes'!D:D,MATCH(Planning!C4:C303&amp;A299,'Detail Recettes'!A:A&amp;'Detail Recettes'!B:B,0)),0)*Planning!I4:I303/IFERROR(INDEX(Recettes!F:F,MATCH(Planning!C4:C303,Recettes!B:B,0)),1)),"")</f>
        <v>#ERROR!</v>
      </c>
      <c r="E299" s="355" t="str">
        <f>IFERROR(INDEX(Stock!E:E,MATCH(A299,Stock!A:A,0)),"")</f>
        <v>#ERROR!</v>
      </c>
      <c r="F299" s="356" t="str">
        <f>IFERROR(IF(D299="","",D299-E299),"")</f>
        <v>#ERROR!</v>
      </c>
      <c r="G299" s="357" t="str">
        <f>IFERROR(IF(D299="","",IF(F299&lt;=0,"OK","MANQUE")),"")</f>
        <v>#ERROR!</v>
      </c>
      <c r="H299" s="207"/>
    </row>
    <row r="300" ht="15.0" customHeight="1">
      <c r="A300" s="351" t="s">
        <v>391</v>
      </c>
      <c r="B300" s="138" t="s">
        <v>392</v>
      </c>
      <c r="C300" s="37" t="s">
        <v>386</v>
      </c>
      <c r="D300" s="354" t="str">
        <f>IFERROR(SUMPRODUCT((Planning!A4:A303=TODAY())*(Planning!I4:I303&gt;0)*IFERROR(INDEX('Detail Recettes'!D:D,MATCH(Planning!C4:C303&amp;A300,'Detail Recettes'!A:A&amp;'Detail Recettes'!B:B,0)),0)*Planning!I4:I303/IFERROR(INDEX(Recettes!F:F,MATCH(Planning!C4:C303,Recettes!B:B,0)),1)),"")</f>
        <v>#ERROR!</v>
      </c>
      <c r="E300" s="358" t="str">
        <f>IFERROR(INDEX(Stock!E:E,MATCH(A300,Stock!A:A,0)),"")</f>
        <v>#ERROR!</v>
      </c>
      <c r="F300" s="356" t="str">
        <f>IFERROR(IF(D300="","",D300-E300),"")</f>
        <v>#ERROR!</v>
      </c>
      <c r="G300" s="357" t="str">
        <f>IFERROR(IF(D300="","",IF(F300&lt;=0,"OK","MANQUE")),"")</f>
        <v>#ERROR!</v>
      </c>
      <c r="H300" s="207"/>
    </row>
    <row r="301" ht="15.0" customHeight="1">
      <c r="A301" s="351" t="s">
        <v>393</v>
      </c>
      <c r="B301" s="352" t="s">
        <v>394</v>
      </c>
      <c r="C301" s="353" t="s">
        <v>386</v>
      </c>
      <c r="D301" s="354" t="str">
        <f>IFERROR(SUMPRODUCT((Planning!A4:A303=TODAY())*(Planning!I4:I303&gt;0)*IFERROR(INDEX('Detail Recettes'!D:D,MATCH(Planning!C4:C303&amp;A301,'Detail Recettes'!A:A&amp;'Detail Recettes'!B:B,0)),0)*Planning!I4:I303/IFERROR(INDEX(Recettes!F:F,MATCH(Planning!C4:C303,Recettes!B:B,0)),1)),"")</f>
        <v>#ERROR!</v>
      </c>
      <c r="E301" s="355" t="str">
        <f>IFERROR(INDEX(Stock!E:E,MATCH(A301,Stock!A:A,0)),"")</f>
        <v>#ERROR!</v>
      </c>
      <c r="F301" s="356" t="str">
        <f>IFERROR(IF(D301="","",D301-E301),"")</f>
        <v>#ERROR!</v>
      </c>
      <c r="G301" s="357" t="str">
        <f>IFERROR(IF(D301="","",IF(F301&lt;=0,"OK","MANQUE")),"")</f>
        <v>#ERROR!</v>
      </c>
      <c r="H301" s="207"/>
    </row>
    <row r="302" ht="15.0" customHeight="1">
      <c r="A302" s="351" t="s">
        <v>395</v>
      </c>
      <c r="B302" s="138" t="s">
        <v>396</v>
      </c>
      <c r="C302" s="37" t="s">
        <v>386</v>
      </c>
      <c r="D302" s="354" t="str">
        <f>IFERROR(SUMPRODUCT((Planning!A4:A303=TODAY())*(Planning!I4:I303&gt;0)*IFERROR(INDEX('Detail Recettes'!D:D,MATCH(Planning!C4:C303&amp;A302,'Detail Recettes'!A:A&amp;'Detail Recettes'!B:B,0)),0)*Planning!I4:I303/IFERROR(INDEX(Recettes!F:F,MATCH(Planning!C4:C303,Recettes!B:B,0)),1)),"")</f>
        <v>#ERROR!</v>
      </c>
      <c r="E302" s="358" t="str">
        <f>IFERROR(INDEX(Stock!E:E,MATCH(A302,Stock!A:A,0)),"")</f>
        <v>#ERROR!</v>
      </c>
      <c r="F302" s="356" t="str">
        <f>IFERROR(IF(D302="","",D302-E302),"")</f>
        <v>#ERROR!</v>
      </c>
      <c r="G302" s="357" t="str">
        <f>IFERROR(IF(D302="","",IF(F302&lt;=0,"OK","MANQUE")),"")</f>
        <v>#ERROR!</v>
      </c>
      <c r="H302" s="207"/>
    </row>
    <row r="303" ht="15.0" customHeight="1">
      <c r="A303" s="351" t="s">
        <v>397</v>
      </c>
      <c r="B303" s="352" t="s">
        <v>398</v>
      </c>
      <c r="C303" s="353" t="s">
        <v>386</v>
      </c>
      <c r="D303" s="354" t="str">
        <f>IFERROR(SUMPRODUCT((Planning!A4:A303=TODAY())*(Planning!I4:I303&gt;0)*IFERROR(INDEX('Detail Recettes'!D:D,MATCH(Planning!C4:C303&amp;A303,'Detail Recettes'!A:A&amp;'Detail Recettes'!B:B,0)),0)*Planning!I4:I303/IFERROR(INDEX(Recettes!F:F,MATCH(Planning!C4:C303,Recettes!B:B,0)),1)),"")</f>
        <v>#ERROR!</v>
      </c>
      <c r="E303" s="355" t="str">
        <f>IFERROR(INDEX(Stock!E:E,MATCH(A303,Stock!A:A,0)),"")</f>
        <v>#ERROR!</v>
      </c>
      <c r="F303" s="356" t="str">
        <f>IFERROR(IF(D303="","",D303-E303),"")</f>
        <v>#ERROR!</v>
      </c>
      <c r="G303" s="357" t="str">
        <f>IFERROR(IF(D303="","",IF(F303&lt;=0,"OK","MANQUE")),"")</f>
        <v>#ERROR!</v>
      </c>
      <c r="H303" s="207"/>
    </row>
    <row r="304" ht="15.0" customHeight="1">
      <c r="A304" s="351" t="s">
        <v>399</v>
      </c>
      <c r="B304" s="138" t="s">
        <v>400</v>
      </c>
      <c r="C304" s="37" t="s">
        <v>386</v>
      </c>
      <c r="D304" s="354" t="str">
        <f>IFERROR(SUMPRODUCT((Planning!A4:A303=TODAY())*(Planning!I4:I303&gt;0)*IFERROR(INDEX('Detail Recettes'!D:D,MATCH(Planning!C4:C303&amp;A304,'Detail Recettes'!A:A&amp;'Detail Recettes'!B:B,0)),0)*Planning!I4:I303/IFERROR(INDEX(Recettes!F:F,MATCH(Planning!C4:C303,Recettes!B:B,0)),1)),"")</f>
        <v>#ERROR!</v>
      </c>
      <c r="E304" s="358" t="str">
        <f>IFERROR(INDEX(Stock!E:E,MATCH(A304,Stock!A:A,0)),"")</f>
        <v>#ERROR!</v>
      </c>
      <c r="F304" s="356" t="str">
        <f>IFERROR(IF(D304="","",D304-E304),"")</f>
        <v>#ERROR!</v>
      </c>
      <c r="G304" s="357" t="str">
        <f>IFERROR(IF(D304="","",IF(F304&lt;=0,"OK","MANQUE")),"")</f>
        <v>#ERROR!</v>
      </c>
      <c r="H304" s="207"/>
    </row>
    <row r="305" ht="15.0" customHeight="1">
      <c r="A305" s="351" t="s">
        <v>401</v>
      </c>
      <c r="B305" s="352" t="s">
        <v>402</v>
      </c>
      <c r="C305" s="353" t="s">
        <v>386</v>
      </c>
      <c r="D305" s="354" t="str">
        <f>IFERROR(SUMPRODUCT((Planning!A4:A303=TODAY())*(Planning!I4:I303&gt;0)*IFERROR(INDEX('Detail Recettes'!D:D,MATCH(Planning!C4:C303&amp;A305,'Detail Recettes'!A:A&amp;'Detail Recettes'!B:B,0)),0)*Planning!I4:I303/IFERROR(INDEX(Recettes!F:F,MATCH(Planning!C4:C303,Recettes!B:B,0)),1)),"")</f>
        <v>#ERROR!</v>
      </c>
      <c r="E305" s="355" t="str">
        <f>IFERROR(INDEX(Stock!E:E,MATCH(A305,Stock!A:A,0)),"")</f>
        <v>#ERROR!</v>
      </c>
      <c r="F305" s="356" t="str">
        <f>IFERROR(IF(D305="","",D305-E305),"")</f>
        <v>#ERROR!</v>
      </c>
      <c r="G305" s="357" t="str">
        <f>IFERROR(IF(D305="","",IF(F305&lt;=0,"OK","MANQUE")),"")</f>
        <v>#ERROR!</v>
      </c>
      <c r="H305" s="207"/>
    </row>
  </sheetData>
  <mergeCells count="5">
    <mergeCell ref="A1:L1"/>
    <mergeCell ref="A2:L2"/>
    <mergeCell ref="A206:H206"/>
    <mergeCell ref="A230:J230"/>
    <mergeCell ref="A231:J231"/>
  </mergeCells>
  <conditionalFormatting sqref="J4:J203">
    <cfRule type="cellIs" dxfId="2" priority="1" stopIfTrue="1" operator="equal">
      <formula>"Rupture"</formula>
    </cfRule>
  </conditionalFormatting>
  <conditionalFormatting sqref="J4:J203">
    <cfRule type="cellIs" dxfId="2" priority="2" stopIfTrue="1" operator="equal">
      <formula>"NC"</formula>
    </cfRule>
  </conditionalFormatting>
  <conditionalFormatting sqref="J4:J203">
    <cfRule type="cellIs" dxfId="2" priority="3" stopIfTrue="1" operator="equal">
      <formula>"Expire"</formula>
    </cfRule>
  </conditionalFormatting>
  <conditionalFormatting sqref="J4:J203">
    <cfRule type="cellIs" dxfId="2" priority="4" stopIfTrue="1" operator="equal">
      <formula>"URGENT"</formula>
    </cfRule>
  </conditionalFormatting>
  <conditionalFormatting sqref="J4:J203">
    <cfRule type="cellIs" dxfId="2" priority="5" stopIfTrue="1" operator="equal">
      <formula>"Bloque"</formula>
    </cfRule>
  </conditionalFormatting>
  <conditionalFormatting sqref="J4:J203">
    <cfRule type="cellIs" dxfId="3" priority="6" stopIfTrue="1" operator="equal">
      <formula>"Proche"</formula>
    </cfRule>
  </conditionalFormatting>
  <conditionalFormatting sqref="J4:J203">
    <cfRule type="cellIs" dxfId="3" priority="7" stopIfTrue="1" operator="equal">
      <formula>"A PRODUIRE"</formula>
    </cfRule>
  </conditionalFormatting>
  <conditionalFormatting sqref="J4:J203">
    <cfRule type="cellIs" dxfId="3" priority="8" stopIfTrue="1" operator="equal">
      <formula>"Sous-temperature"</formula>
    </cfRule>
  </conditionalFormatting>
  <conditionalFormatting sqref="J4:J203">
    <cfRule type="cellIs" dxfId="4" priority="9" stopIfTrue="1" operator="equal">
      <formula>"OK"</formula>
    </cfRule>
  </conditionalFormatting>
  <conditionalFormatting sqref="J4:J203">
    <cfRule type="cellIs" dxfId="4" priority="10" stopIfTrue="1" operator="equal">
      <formula>"Valide"</formula>
    </cfRule>
  </conditionalFormatting>
  <conditionalFormatting sqref="J4:J203">
    <cfRule type="cellIs" dxfId="4" priority="11" stopIfTrue="1" operator="equal">
      <formula>"Termine"</formula>
    </cfRule>
  </conditionalFormatting>
  <conditionalFormatting sqref="J4:J203">
    <cfRule type="cellIs" dxfId="4" priority="12" stopIfTrue="1" operator="equal">
      <formula>"Actif"</formula>
    </cfRule>
  </conditionalFormatting>
  <conditionalFormatting sqref="F233:F305">
    <cfRule type="cellIs" dxfId="5" priority="13" stopIfTrue="1" operator="greaterThan">
      <formula>0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2" width="17.0"/>
  </cols>
  <sheetData>
    <row r="1" ht="25.5" customHeight="1">
      <c r="A1" s="30" t="s">
        <v>932</v>
      </c>
    </row>
    <row r="2" ht="25.5" customHeight="1">
      <c r="A2" s="359" t="s">
        <v>933</v>
      </c>
    </row>
    <row r="3" ht="21.0" customHeight="1">
      <c r="A3" s="31" t="s">
        <v>934</v>
      </c>
      <c r="B3" s="31" t="s">
        <v>77</v>
      </c>
      <c r="C3" s="31" t="s">
        <v>78</v>
      </c>
      <c r="D3" s="31" t="s">
        <v>684</v>
      </c>
      <c r="E3" s="31" t="s">
        <v>935</v>
      </c>
      <c r="F3" s="31" t="s">
        <v>914</v>
      </c>
      <c r="G3" s="31" t="s">
        <v>936</v>
      </c>
      <c r="H3" s="31" t="s">
        <v>937</v>
      </c>
      <c r="I3" s="31" t="s">
        <v>938</v>
      </c>
      <c r="J3" s="31" t="s">
        <v>939</v>
      </c>
      <c r="K3" s="31" t="s">
        <v>940</v>
      </c>
      <c r="L3" s="31" t="s">
        <v>61</v>
      </c>
    </row>
    <row r="4">
      <c r="A4" s="257"/>
      <c r="B4" s="257"/>
      <c r="C4" s="257"/>
      <c r="D4" s="257"/>
      <c r="E4" s="257" t="str">
        <f>IFERROR(SUMPRODUCT((Ventes!E5:E504=A4)*(TODAY()-Ventes!A5:A504&lt;=7)*Ventes!H5:H504),0)</f>
        <v>#ERROR!</v>
      </c>
      <c r="F4" s="257" t="str">
        <f>IFERROR(SUMPRODUCT((Ventes!E5:E504=A4)*(TODAY()-Ventes!A5:A504&lt;=30)*Ventes!H5:H504),0)</f>
        <v>#ERROR!</v>
      </c>
      <c r="G4" s="257"/>
      <c r="H4" s="257"/>
      <c r="I4" s="257" t="str">
        <f>IFERROR(D4+G4-E4,"")</f>
        <v>#ERROR!</v>
      </c>
      <c r="J4" s="257" t="str">
        <f>IFERROR(D4+H4-F4,"")</f>
        <v>#ERROR!</v>
      </c>
      <c r="K4" s="360" t="str">
        <f>IF(I4="","",IF(I4&lt;0,"Rupture 7j",IF(J4&lt;0,"Rupture 30j","OK")))</f>
        <v>#ERROR!</v>
      </c>
      <c r="L4" s="257"/>
    </row>
    <row r="5">
      <c r="A5" s="259"/>
      <c r="B5" s="259"/>
      <c r="C5" s="259"/>
      <c r="D5" s="259"/>
      <c r="E5" s="259" t="str">
        <f>IFERROR(SUMPRODUCT((Ventes!E5:E504=A5)*(TODAY()-Ventes!A5:A504&lt;=7)*Ventes!H5:H504),0)</f>
        <v>#ERROR!</v>
      </c>
      <c r="F5" s="259" t="str">
        <f>IFERROR(SUMPRODUCT((Ventes!E5:E504=A5)*(TODAY()-Ventes!A5:A504&lt;=30)*Ventes!H5:H504),0)</f>
        <v>#ERROR!</v>
      </c>
      <c r="G5" s="259"/>
      <c r="H5" s="259"/>
      <c r="I5" s="259" t="str">
        <f>IFERROR(D5+G5-E5,"")</f>
        <v>#ERROR!</v>
      </c>
      <c r="J5" s="259" t="str">
        <f>IFERROR(D5+H5-F5,"")</f>
        <v>#ERROR!</v>
      </c>
      <c r="K5" s="76" t="str">
        <f>IF(I5="","",IF(I5&lt;0,"Rupture 7j",IF(J5&lt;0,"Rupture 30j","OK")))</f>
        <v>#ERROR!</v>
      </c>
      <c r="L5" s="259"/>
    </row>
    <row r="6">
      <c r="A6" s="257"/>
      <c r="B6" s="257"/>
      <c r="C6" s="257"/>
      <c r="D6" s="257"/>
      <c r="E6" s="257" t="str">
        <f>IFERROR(SUMPRODUCT((Ventes!E5:E504=A6)*(TODAY()-Ventes!A5:A504&lt;=7)*Ventes!H5:H504),0)</f>
        <v>#ERROR!</v>
      </c>
      <c r="F6" s="257" t="str">
        <f>IFERROR(SUMPRODUCT((Ventes!E5:E504=A6)*(TODAY()-Ventes!A5:A504&lt;=30)*Ventes!H5:H504),0)</f>
        <v>#ERROR!</v>
      </c>
      <c r="G6" s="257"/>
      <c r="H6" s="257"/>
      <c r="I6" s="257" t="str">
        <f>IFERROR(D6+G6-E6,"")</f>
        <v>#ERROR!</v>
      </c>
      <c r="J6" s="257" t="str">
        <f>IFERROR(D6+H6-F6,"")</f>
        <v>#ERROR!</v>
      </c>
      <c r="K6" s="360" t="str">
        <f>IF(I6="","",IF(I6&lt;0,"Rupture 7j",IF(J6&lt;0,"Rupture 30j","OK")))</f>
        <v>#ERROR!</v>
      </c>
      <c r="L6" s="257"/>
    </row>
    <row r="7">
      <c r="A7" s="259"/>
      <c r="B7" s="259"/>
      <c r="C7" s="259"/>
      <c r="D7" s="259"/>
      <c r="E7" s="259" t="str">
        <f>IFERROR(SUMPRODUCT((Ventes!E5:E504=A7)*(TODAY()-Ventes!A5:A504&lt;=7)*Ventes!H5:H504),0)</f>
        <v>#ERROR!</v>
      </c>
      <c r="F7" s="259" t="str">
        <f>IFERROR(SUMPRODUCT((Ventes!E5:E504=A7)*(TODAY()-Ventes!A5:A504&lt;=30)*Ventes!H5:H504),0)</f>
        <v>#ERROR!</v>
      </c>
      <c r="G7" s="259"/>
      <c r="H7" s="259"/>
      <c r="I7" s="259" t="str">
        <f>IFERROR(D7+G7-E7,"")</f>
        <v>#ERROR!</v>
      </c>
      <c r="J7" s="259" t="str">
        <f>IFERROR(D7+H7-F7,"")</f>
        <v>#ERROR!</v>
      </c>
      <c r="K7" s="76" t="str">
        <f>IF(I7="","",IF(I7&lt;0,"Rupture 7j",IF(J7&lt;0,"Rupture 30j","OK")))</f>
        <v>#ERROR!</v>
      </c>
      <c r="L7" s="259"/>
    </row>
    <row r="8">
      <c r="A8" s="257"/>
      <c r="B8" s="257"/>
      <c r="C8" s="257"/>
      <c r="D8" s="257"/>
      <c r="E8" s="257" t="str">
        <f>IFERROR(SUMPRODUCT((Ventes!E5:E504=A8)*(TODAY()-Ventes!A5:A504&lt;=7)*Ventes!H5:H504),0)</f>
        <v>#ERROR!</v>
      </c>
      <c r="F8" s="257" t="str">
        <f>IFERROR(SUMPRODUCT((Ventes!E5:E504=A8)*(TODAY()-Ventes!A5:A504&lt;=30)*Ventes!H5:H504),0)</f>
        <v>#ERROR!</v>
      </c>
      <c r="G8" s="257"/>
      <c r="H8" s="257"/>
      <c r="I8" s="257" t="str">
        <f>IFERROR(D8+G8-E8,"")</f>
        <v>#ERROR!</v>
      </c>
      <c r="J8" s="257" t="str">
        <f>IFERROR(D8+H8-F8,"")</f>
        <v>#ERROR!</v>
      </c>
      <c r="K8" s="360" t="str">
        <f>IF(I8="","",IF(I8&lt;0,"Rupture 7j",IF(J8&lt;0,"Rupture 30j","OK")))</f>
        <v>#ERROR!</v>
      </c>
      <c r="L8" s="257"/>
    </row>
    <row r="9">
      <c r="A9" s="259"/>
      <c r="B9" s="259"/>
      <c r="C9" s="259"/>
      <c r="D9" s="259"/>
      <c r="E9" s="259" t="str">
        <f>IFERROR(SUMPRODUCT((Ventes!E5:E504=A9)*(TODAY()-Ventes!A5:A504&lt;=7)*Ventes!H5:H504),0)</f>
        <v>#ERROR!</v>
      </c>
      <c r="F9" s="259" t="str">
        <f>IFERROR(SUMPRODUCT((Ventes!E5:E504=A9)*(TODAY()-Ventes!A5:A504&lt;=30)*Ventes!H5:H504),0)</f>
        <v>#ERROR!</v>
      </c>
      <c r="G9" s="259"/>
      <c r="H9" s="259"/>
      <c r="I9" s="259" t="str">
        <f>IFERROR(D9+G9-E9,"")</f>
        <v>#ERROR!</v>
      </c>
      <c r="J9" s="259" t="str">
        <f>IFERROR(D9+H9-F9,"")</f>
        <v>#ERROR!</v>
      </c>
      <c r="K9" s="76" t="str">
        <f>IF(I9="","",IF(I9&lt;0,"Rupture 7j",IF(J9&lt;0,"Rupture 30j","OK")))</f>
        <v>#ERROR!</v>
      </c>
      <c r="L9" s="259"/>
    </row>
    <row r="10">
      <c r="A10" s="257"/>
      <c r="B10" s="257"/>
      <c r="C10" s="257"/>
      <c r="D10" s="257"/>
      <c r="E10" s="257" t="str">
        <f>IFERROR(SUMPRODUCT((Ventes!E5:E504=A10)*(TODAY()-Ventes!A5:A504&lt;=7)*Ventes!H5:H504),0)</f>
        <v>#ERROR!</v>
      </c>
      <c r="F10" s="257" t="str">
        <f>IFERROR(SUMPRODUCT((Ventes!E5:E504=A10)*(TODAY()-Ventes!A5:A504&lt;=30)*Ventes!H5:H504),0)</f>
        <v>#ERROR!</v>
      </c>
      <c r="G10" s="257"/>
      <c r="H10" s="257"/>
      <c r="I10" s="257" t="str">
        <f>IFERROR(D10+G10-E10,"")</f>
        <v>#ERROR!</v>
      </c>
      <c r="J10" s="257" t="str">
        <f>IFERROR(D10+H10-F10,"")</f>
        <v>#ERROR!</v>
      </c>
      <c r="K10" s="360" t="str">
        <f>IF(I10="","",IF(I10&lt;0,"Rupture 7j",IF(J10&lt;0,"Rupture 30j","OK")))</f>
        <v>#ERROR!</v>
      </c>
      <c r="L10" s="257"/>
    </row>
    <row r="11">
      <c r="A11" s="259"/>
      <c r="B11" s="259"/>
      <c r="C11" s="259"/>
      <c r="D11" s="259"/>
      <c r="E11" s="259" t="str">
        <f>IFERROR(SUMPRODUCT((Ventes!E5:E504=A11)*(TODAY()-Ventes!A5:A504&lt;=7)*Ventes!H5:H504),0)</f>
        <v>#ERROR!</v>
      </c>
      <c r="F11" s="259" t="str">
        <f>IFERROR(SUMPRODUCT((Ventes!E5:E504=A11)*(TODAY()-Ventes!A5:A504&lt;=30)*Ventes!H5:H504),0)</f>
        <v>#ERROR!</v>
      </c>
      <c r="G11" s="259"/>
      <c r="H11" s="259"/>
      <c r="I11" s="259" t="str">
        <f>IFERROR(D11+G11-E11,"")</f>
        <v>#ERROR!</v>
      </c>
      <c r="J11" s="259" t="str">
        <f>IFERROR(D11+H11-F11,"")</f>
        <v>#ERROR!</v>
      </c>
      <c r="K11" s="76" t="str">
        <f>IF(I11="","",IF(I11&lt;0,"Rupture 7j",IF(J11&lt;0,"Rupture 30j","OK")))</f>
        <v>#ERROR!</v>
      </c>
      <c r="L11" s="259"/>
    </row>
    <row r="12">
      <c r="A12" s="257"/>
      <c r="B12" s="257"/>
      <c r="C12" s="257"/>
      <c r="D12" s="257"/>
      <c r="E12" s="257" t="str">
        <f>IFERROR(SUMPRODUCT((Ventes!E5:E504=A12)*(TODAY()-Ventes!A5:A504&lt;=7)*Ventes!H5:H504),0)</f>
        <v>#ERROR!</v>
      </c>
      <c r="F12" s="257" t="str">
        <f>IFERROR(SUMPRODUCT((Ventes!E5:E504=A12)*(TODAY()-Ventes!A5:A504&lt;=30)*Ventes!H5:H504),0)</f>
        <v>#ERROR!</v>
      </c>
      <c r="G12" s="257"/>
      <c r="H12" s="257"/>
      <c r="I12" s="257" t="str">
        <f>IFERROR(D12+G12-E12,"")</f>
        <v>#ERROR!</v>
      </c>
      <c r="J12" s="257" t="str">
        <f>IFERROR(D12+H12-F12,"")</f>
        <v>#ERROR!</v>
      </c>
      <c r="K12" s="360" t="str">
        <f>IF(I12="","",IF(I12&lt;0,"Rupture 7j",IF(J12&lt;0,"Rupture 30j","OK")))</f>
        <v>#ERROR!</v>
      </c>
      <c r="L12" s="257"/>
    </row>
    <row r="13">
      <c r="A13" s="259"/>
      <c r="B13" s="259"/>
      <c r="C13" s="259"/>
      <c r="D13" s="259"/>
      <c r="E13" s="259" t="str">
        <f>IFERROR(SUMPRODUCT((Ventes!E5:E504=A13)*(TODAY()-Ventes!A5:A504&lt;=7)*Ventes!H5:H504),0)</f>
        <v>#ERROR!</v>
      </c>
      <c r="F13" s="259" t="str">
        <f>IFERROR(SUMPRODUCT((Ventes!E5:E504=A13)*(TODAY()-Ventes!A5:A504&lt;=30)*Ventes!H5:H504),0)</f>
        <v>#ERROR!</v>
      </c>
      <c r="G13" s="259"/>
      <c r="H13" s="259"/>
      <c r="I13" s="259" t="str">
        <f>IFERROR(D13+G13-E13,"")</f>
        <v>#ERROR!</v>
      </c>
      <c r="J13" s="259" t="str">
        <f>IFERROR(D13+H13-F13,"")</f>
        <v>#ERROR!</v>
      </c>
      <c r="K13" s="76" t="str">
        <f>IF(I13="","",IF(I13&lt;0,"Rupture 7j",IF(J13&lt;0,"Rupture 30j","OK")))</f>
        <v>#ERROR!</v>
      </c>
      <c r="L13" s="259"/>
    </row>
    <row r="14">
      <c r="A14" s="257"/>
      <c r="B14" s="257"/>
      <c r="C14" s="257"/>
      <c r="D14" s="257"/>
      <c r="E14" s="257" t="str">
        <f>IFERROR(SUMPRODUCT((Ventes!E5:E504=A14)*(TODAY()-Ventes!A5:A504&lt;=7)*Ventes!H5:H504),0)</f>
        <v>#ERROR!</v>
      </c>
      <c r="F14" s="257" t="str">
        <f>IFERROR(SUMPRODUCT((Ventes!E5:E504=A14)*(TODAY()-Ventes!A5:A504&lt;=30)*Ventes!H5:H504),0)</f>
        <v>#ERROR!</v>
      </c>
      <c r="G14" s="257"/>
      <c r="H14" s="257"/>
      <c r="I14" s="257" t="str">
        <f>IFERROR(D14+G14-E14,"")</f>
        <v>#ERROR!</v>
      </c>
      <c r="J14" s="257" t="str">
        <f>IFERROR(D14+H14-F14,"")</f>
        <v>#ERROR!</v>
      </c>
      <c r="K14" s="360" t="str">
        <f>IF(I14="","",IF(I14&lt;0,"Rupture 7j",IF(J14&lt;0,"Rupture 30j","OK")))</f>
        <v>#ERROR!</v>
      </c>
      <c r="L14" s="257"/>
    </row>
    <row r="15">
      <c r="A15" s="259"/>
      <c r="B15" s="259"/>
      <c r="C15" s="259"/>
      <c r="D15" s="259"/>
      <c r="E15" s="259" t="str">
        <f>IFERROR(SUMPRODUCT((Ventes!E5:E504=A15)*(TODAY()-Ventes!A5:A504&lt;=7)*Ventes!H5:H504),0)</f>
        <v>#ERROR!</v>
      </c>
      <c r="F15" s="259" t="str">
        <f>IFERROR(SUMPRODUCT((Ventes!E5:E504=A15)*(TODAY()-Ventes!A5:A504&lt;=30)*Ventes!H5:H504),0)</f>
        <v>#ERROR!</v>
      </c>
      <c r="G15" s="259"/>
      <c r="H15" s="259"/>
      <c r="I15" s="259" t="str">
        <f>IFERROR(D15+G15-E15,"")</f>
        <v>#ERROR!</v>
      </c>
      <c r="J15" s="259" t="str">
        <f>IFERROR(D15+H15-F15,"")</f>
        <v>#ERROR!</v>
      </c>
      <c r="K15" s="76" t="str">
        <f>IF(I15="","",IF(I15&lt;0,"Rupture 7j",IF(J15&lt;0,"Rupture 30j","OK")))</f>
        <v>#ERROR!</v>
      </c>
      <c r="L15" s="259"/>
    </row>
    <row r="16">
      <c r="A16" s="257"/>
      <c r="B16" s="257"/>
      <c r="C16" s="257"/>
      <c r="D16" s="257"/>
      <c r="E16" s="257" t="str">
        <f>IFERROR(SUMPRODUCT((Ventes!E5:E504=A16)*(TODAY()-Ventes!A5:A504&lt;=7)*Ventes!H5:H504),0)</f>
        <v>#ERROR!</v>
      </c>
      <c r="F16" s="257" t="str">
        <f>IFERROR(SUMPRODUCT((Ventes!E5:E504=A16)*(TODAY()-Ventes!A5:A504&lt;=30)*Ventes!H5:H504),0)</f>
        <v>#ERROR!</v>
      </c>
      <c r="G16" s="257"/>
      <c r="H16" s="257"/>
      <c r="I16" s="257" t="str">
        <f>IFERROR(D16+G16-E16,"")</f>
        <v>#ERROR!</v>
      </c>
      <c r="J16" s="257" t="str">
        <f>IFERROR(D16+H16-F16,"")</f>
        <v>#ERROR!</v>
      </c>
      <c r="K16" s="360" t="str">
        <f>IF(I16="","",IF(I16&lt;0,"Rupture 7j",IF(J16&lt;0,"Rupture 30j","OK")))</f>
        <v>#ERROR!</v>
      </c>
      <c r="L16" s="257"/>
    </row>
    <row r="17">
      <c r="A17" s="259"/>
      <c r="B17" s="259"/>
      <c r="C17" s="259"/>
      <c r="D17" s="259"/>
      <c r="E17" s="259" t="str">
        <f>IFERROR(SUMPRODUCT((Ventes!E5:E504=A17)*(TODAY()-Ventes!A5:A504&lt;=7)*Ventes!H5:H504),0)</f>
        <v>#ERROR!</v>
      </c>
      <c r="F17" s="259" t="str">
        <f>IFERROR(SUMPRODUCT((Ventes!E5:E504=A17)*(TODAY()-Ventes!A5:A504&lt;=30)*Ventes!H5:H504),0)</f>
        <v>#ERROR!</v>
      </c>
      <c r="G17" s="259"/>
      <c r="H17" s="259"/>
      <c r="I17" s="259" t="str">
        <f>IFERROR(D17+G17-E17,"")</f>
        <v>#ERROR!</v>
      </c>
      <c r="J17" s="259" t="str">
        <f>IFERROR(D17+H17-F17,"")</f>
        <v>#ERROR!</v>
      </c>
      <c r="K17" s="76" t="str">
        <f>IF(I17="","",IF(I17&lt;0,"Rupture 7j",IF(J17&lt;0,"Rupture 30j","OK")))</f>
        <v>#ERROR!</v>
      </c>
      <c r="L17" s="259"/>
    </row>
    <row r="18">
      <c r="A18" s="257"/>
      <c r="B18" s="257"/>
      <c r="C18" s="257"/>
      <c r="D18" s="257"/>
      <c r="E18" s="257" t="str">
        <f>IFERROR(SUMPRODUCT((Ventes!E5:E504=A18)*(TODAY()-Ventes!A5:A504&lt;=7)*Ventes!H5:H504),0)</f>
        <v>#ERROR!</v>
      </c>
      <c r="F18" s="257" t="str">
        <f>IFERROR(SUMPRODUCT((Ventes!E5:E504=A18)*(TODAY()-Ventes!A5:A504&lt;=30)*Ventes!H5:H504),0)</f>
        <v>#ERROR!</v>
      </c>
      <c r="G18" s="257"/>
      <c r="H18" s="257"/>
      <c r="I18" s="257" t="str">
        <f>IFERROR(D18+G18-E18,"")</f>
        <v>#ERROR!</v>
      </c>
      <c r="J18" s="257" t="str">
        <f>IFERROR(D18+H18-F18,"")</f>
        <v>#ERROR!</v>
      </c>
      <c r="K18" s="360" t="str">
        <f>IF(I18="","",IF(I18&lt;0,"Rupture 7j",IF(J18&lt;0,"Rupture 30j","OK")))</f>
        <v>#ERROR!</v>
      </c>
      <c r="L18" s="257"/>
    </row>
    <row r="19">
      <c r="A19" s="259"/>
      <c r="B19" s="259"/>
      <c r="C19" s="259"/>
      <c r="D19" s="259"/>
      <c r="E19" s="259" t="str">
        <f>IFERROR(SUMPRODUCT((Ventes!E5:E504=A19)*(TODAY()-Ventes!A5:A504&lt;=7)*Ventes!H5:H504),0)</f>
        <v>#ERROR!</v>
      </c>
      <c r="F19" s="259" t="str">
        <f>IFERROR(SUMPRODUCT((Ventes!E5:E504=A19)*(TODAY()-Ventes!A5:A504&lt;=30)*Ventes!H5:H504),0)</f>
        <v>#ERROR!</v>
      </c>
      <c r="G19" s="259"/>
      <c r="H19" s="259"/>
      <c r="I19" s="259" t="str">
        <f>IFERROR(D19+G19-E19,"")</f>
        <v>#ERROR!</v>
      </c>
      <c r="J19" s="259" t="str">
        <f>IFERROR(D19+H19-F19,"")</f>
        <v>#ERROR!</v>
      </c>
      <c r="K19" s="76" t="str">
        <f>IF(I19="","",IF(I19&lt;0,"Rupture 7j",IF(J19&lt;0,"Rupture 30j","OK")))</f>
        <v>#ERROR!</v>
      </c>
      <c r="L19" s="259"/>
    </row>
    <row r="20">
      <c r="A20" s="257"/>
      <c r="B20" s="257"/>
      <c r="C20" s="257"/>
      <c r="D20" s="257"/>
      <c r="E20" s="257" t="str">
        <f>IFERROR(SUMPRODUCT((Ventes!E5:E504=A20)*(TODAY()-Ventes!A5:A504&lt;=7)*Ventes!H5:H504),0)</f>
        <v>#ERROR!</v>
      </c>
      <c r="F20" s="257" t="str">
        <f>IFERROR(SUMPRODUCT((Ventes!E5:E504=A20)*(TODAY()-Ventes!A5:A504&lt;=30)*Ventes!H5:H504),0)</f>
        <v>#ERROR!</v>
      </c>
      <c r="G20" s="257"/>
      <c r="H20" s="257"/>
      <c r="I20" s="257" t="str">
        <f>IFERROR(D20+G20-E20,"")</f>
        <v>#ERROR!</v>
      </c>
      <c r="J20" s="257" t="str">
        <f>IFERROR(D20+H20-F20,"")</f>
        <v>#ERROR!</v>
      </c>
      <c r="K20" s="360" t="str">
        <f>IF(I20="","",IF(I20&lt;0,"Rupture 7j",IF(J20&lt;0,"Rupture 30j","OK")))</f>
        <v>#ERROR!</v>
      </c>
      <c r="L20" s="257"/>
    </row>
    <row r="21">
      <c r="A21" s="259"/>
      <c r="B21" s="259"/>
      <c r="C21" s="259"/>
      <c r="D21" s="259"/>
      <c r="E21" s="259" t="str">
        <f>IFERROR(SUMPRODUCT((Ventes!E5:E504=A21)*(TODAY()-Ventes!A5:A504&lt;=7)*Ventes!H5:H504),0)</f>
        <v>#ERROR!</v>
      </c>
      <c r="F21" s="259" t="str">
        <f>IFERROR(SUMPRODUCT((Ventes!E5:E504=A21)*(TODAY()-Ventes!A5:A504&lt;=30)*Ventes!H5:H504),0)</f>
        <v>#ERROR!</v>
      </c>
      <c r="G21" s="259"/>
      <c r="H21" s="259"/>
      <c r="I21" s="259" t="str">
        <f>IFERROR(D21+G21-E21,"")</f>
        <v>#ERROR!</v>
      </c>
      <c r="J21" s="259" t="str">
        <f>IFERROR(D21+H21-F21,"")</f>
        <v>#ERROR!</v>
      </c>
      <c r="K21" s="76" t="str">
        <f>IF(I21="","",IF(I21&lt;0,"Rupture 7j",IF(J21&lt;0,"Rupture 30j","OK")))</f>
        <v>#ERROR!</v>
      </c>
      <c r="L21" s="259"/>
    </row>
    <row r="22">
      <c r="A22" s="257"/>
      <c r="B22" s="257"/>
      <c r="C22" s="257"/>
      <c r="D22" s="257"/>
      <c r="E22" s="257" t="str">
        <f>IFERROR(SUMPRODUCT((Ventes!E5:E504=A22)*(TODAY()-Ventes!A5:A504&lt;=7)*Ventes!H5:H504),0)</f>
        <v>#ERROR!</v>
      </c>
      <c r="F22" s="257" t="str">
        <f>IFERROR(SUMPRODUCT((Ventes!E5:E504=A22)*(TODAY()-Ventes!A5:A504&lt;=30)*Ventes!H5:H504),0)</f>
        <v>#ERROR!</v>
      </c>
      <c r="G22" s="257"/>
      <c r="H22" s="257"/>
      <c r="I22" s="257" t="str">
        <f>IFERROR(D22+G22-E22,"")</f>
        <v>#ERROR!</v>
      </c>
      <c r="J22" s="257" t="str">
        <f>IFERROR(D22+H22-F22,"")</f>
        <v>#ERROR!</v>
      </c>
      <c r="K22" s="360" t="str">
        <f>IF(I22="","",IF(I22&lt;0,"Rupture 7j",IF(J22&lt;0,"Rupture 30j","OK")))</f>
        <v>#ERROR!</v>
      </c>
      <c r="L22" s="257"/>
    </row>
    <row r="23">
      <c r="A23" s="259"/>
      <c r="B23" s="259"/>
      <c r="C23" s="259"/>
      <c r="D23" s="259"/>
      <c r="E23" s="259" t="str">
        <f>IFERROR(SUMPRODUCT((Ventes!E5:E504=A23)*(TODAY()-Ventes!A5:A504&lt;=7)*Ventes!H5:H504),0)</f>
        <v>#ERROR!</v>
      </c>
      <c r="F23" s="259" t="str">
        <f>IFERROR(SUMPRODUCT((Ventes!E5:E504=A23)*(TODAY()-Ventes!A5:A504&lt;=30)*Ventes!H5:H504),0)</f>
        <v>#ERROR!</v>
      </c>
      <c r="G23" s="259"/>
      <c r="H23" s="259"/>
      <c r="I23" s="259" t="str">
        <f>IFERROR(D23+G23-E23,"")</f>
        <v>#ERROR!</v>
      </c>
      <c r="J23" s="259" t="str">
        <f>IFERROR(D23+H23-F23,"")</f>
        <v>#ERROR!</v>
      </c>
      <c r="K23" s="76" t="str">
        <f>IF(I23="","",IF(I23&lt;0,"Rupture 7j",IF(J23&lt;0,"Rupture 30j","OK")))</f>
        <v>#ERROR!</v>
      </c>
      <c r="L23" s="259"/>
    </row>
    <row r="24">
      <c r="A24" s="257"/>
      <c r="B24" s="257"/>
      <c r="C24" s="257"/>
      <c r="D24" s="257"/>
      <c r="E24" s="257" t="str">
        <f>IFERROR(SUMPRODUCT((Ventes!E5:E504=A24)*(TODAY()-Ventes!A5:A504&lt;=7)*Ventes!H5:H504),0)</f>
        <v>#ERROR!</v>
      </c>
      <c r="F24" s="257" t="str">
        <f>IFERROR(SUMPRODUCT((Ventes!E5:E504=A24)*(TODAY()-Ventes!A5:A504&lt;=30)*Ventes!H5:H504),0)</f>
        <v>#ERROR!</v>
      </c>
      <c r="G24" s="257"/>
      <c r="H24" s="257"/>
      <c r="I24" s="257" t="str">
        <f>IFERROR(D24+G24-E24,"")</f>
        <v>#ERROR!</v>
      </c>
      <c r="J24" s="257" t="str">
        <f>IFERROR(D24+H24-F24,"")</f>
        <v>#ERROR!</v>
      </c>
      <c r="K24" s="360" t="str">
        <f>IF(I24="","",IF(I24&lt;0,"Rupture 7j",IF(J24&lt;0,"Rupture 30j","OK")))</f>
        <v>#ERROR!</v>
      </c>
      <c r="L24" s="257"/>
    </row>
    <row r="25">
      <c r="A25" s="259"/>
      <c r="B25" s="259"/>
      <c r="C25" s="259"/>
      <c r="D25" s="259"/>
      <c r="E25" s="259" t="str">
        <f>IFERROR(SUMPRODUCT((Ventes!E5:E504=A25)*(TODAY()-Ventes!A5:A504&lt;=7)*Ventes!H5:H504),0)</f>
        <v>#ERROR!</v>
      </c>
      <c r="F25" s="259" t="str">
        <f>IFERROR(SUMPRODUCT((Ventes!E5:E504=A25)*(TODAY()-Ventes!A5:A504&lt;=30)*Ventes!H5:H504),0)</f>
        <v>#ERROR!</v>
      </c>
      <c r="G25" s="259"/>
      <c r="H25" s="259"/>
      <c r="I25" s="259" t="str">
        <f>IFERROR(D25+G25-E25,"")</f>
        <v>#ERROR!</v>
      </c>
      <c r="J25" s="259" t="str">
        <f>IFERROR(D25+H25-F25,"")</f>
        <v>#ERROR!</v>
      </c>
      <c r="K25" s="76" t="str">
        <f>IF(I25="","",IF(I25&lt;0,"Rupture 7j",IF(J25&lt;0,"Rupture 30j","OK")))</f>
        <v>#ERROR!</v>
      </c>
      <c r="L25" s="259"/>
    </row>
    <row r="26">
      <c r="A26" s="257"/>
      <c r="B26" s="257"/>
      <c r="C26" s="257"/>
      <c r="D26" s="257"/>
      <c r="E26" s="257" t="str">
        <f>IFERROR(SUMPRODUCT((Ventes!E5:E504=A26)*(TODAY()-Ventes!A5:A504&lt;=7)*Ventes!H5:H504),0)</f>
        <v>#ERROR!</v>
      </c>
      <c r="F26" s="257" t="str">
        <f>IFERROR(SUMPRODUCT((Ventes!E5:E504=A26)*(TODAY()-Ventes!A5:A504&lt;=30)*Ventes!H5:H504),0)</f>
        <v>#ERROR!</v>
      </c>
      <c r="G26" s="257"/>
      <c r="H26" s="257"/>
      <c r="I26" s="257" t="str">
        <f>IFERROR(D26+G26-E26,"")</f>
        <v>#ERROR!</v>
      </c>
      <c r="J26" s="257" t="str">
        <f>IFERROR(D26+H26-F26,"")</f>
        <v>#ERROR!</v>
      </c>
      <c r="K26" s="360" t="str">
        <f>IF(I26="","",IF(I26&lt;0,"Rupture 7j",IF(J26&lt;0,"Rupture 30j","OK")))</f>
        <v>#ERROR!</v>
      </c>
      <c r="L26" s="257"/>
    </row>
    <row r="27">
      <c r="A27" s="259"/>
      <c r="B27" s="259"/>
      <c r="C27" s="259"/>
      <c r="D27" s="259"/>
      <c r="E27" s="259" t="str">
        <f>IFERROR(SUMPRODUCT((Ventes!E5:E504=A27)*(TODAY()-Ventes!A5:A504&lt;=7)*Ventes!H5:H504),0)</f>
        <v>#ERROR!</v>
      </c>
      <c r="F27" s="259" t="str">
        <f>IFERROR(SUMPRODUCT((Ventes!E5:E504=A27)*(TODAY()-Ventes!A5:A504&lt;=30)*Ventes!H5:H504),0)</f>
        <v>#ERROR!</v>
      </c>
      <c r="G27" s="259"/>
      <c r="H27" s="259"/>
      <c r="I27" s="259" t="str">
        <f>IFERROR(D27+G27-E27,"")</f>
        <v>#ERROR!</v>
      </c>
      <c r="J27" s="259" t="str">
        <f>IFERROR(D27+H27-F27,"")</f>
        <v>#ERROR!</v>
      </c>
      <c r="K27" s="76" t="str">
        <f>IF(I27="","",IF(I27&lt;0,"Rupture 7j",IF(J27&lt;0,"Rupture 30j","OK")))</f>
        <v>#ERROR!</v>
      </c>
      <c r="L27" s="259"/>
    </row>
    <row r="28">
      <c r="A28" s="257"/>
      <c r="B28" s="257"/>
      <c r="C28" s="257"/>
      <c r="D28" s="257"/>
      <c r="E28" s="257" t="str">
        <f>IFERROR(SUMPRODUCT((Ventes!E5:E504=A28)*(TODAY()-Ventes!A5:A504&lt;=7)*Ventes!H5:H504),0)</f>
        <v>#ERROR!</v>
      </c>
      <c r="F28" s="257" t="str">
        <f>IFERROR(SUMPRODUCT((Ventes!E5:E504=A28)*(TODAY()-Ventes!A5:A504&lt;=30)*Ventes!H5:H504),0)</f>
        <v>#ERROR!</v>
      </c>
      <c r="G28" s="257"/>
      <c r="H28" s="257"/>
      <c r="I28" s="257" t="str">
        <f>IFERROR(D28+G28-E28,"")</f>
        <v>#ERROR!</v>
      </c>
      <c r="J28" s="257" t="str">
        <f>IFERROR(D28+H28-F28,"")</f>
        <v>#ERROR!</v>
      </c>
      <c r="K28" s="360" t="str">
        <f>IF(I28="","",IF(I28&lt;0,"Rupture 7j",IF(J28&lt;0,"Rupture 30j","OK")))</f>
        <v>#ERROR!</v>
      </c>
      <c r="L28" s="257"/>
    </row>
    <row r="29">
      <c r="A29" s="259"/>
      <c r="B29" s="259"/>
      <c r="C29" s="259"/>
      <c r="D29" s="259"/>
      <c r="E29" s="259" t="str">
        <f>IFERROR(SUMPRODUCT((Ventes!E5:E504=A29)*(TODAY()-Ventes!A5:A504&lt;=7)*Ventes!H5:H504),0)</f>
        <v>#ERROR!</v>
      </c>
      <c r="F29" s="259" t="str">
        <f>IFERROR(SUMPRODUCT((Ventes!E5:E504=A29)*(TODAY()-Ventes!A5:A504&lt;=30)*Ventes!H5:H504),0)</f>
        <v>#ERROR!</v>
      </c>
      <c r="G29" s="259"/>
      <c r="H29" s="259"/>
      <c r="I29" s="259" t="str">
        <f>IFERROR(D29+G29-E29,"")</f>
        <v>#ERROR!</v>
      </c>
      <c r="J29" s="259" t="str">
        <f>IFERROR(D29+H29-F29,"")</f>
        <v>#ERROR!</v>
      </c>
      <c r="K29" s="76" t="str">
        <f>IF(I29="","",IF(I29&lt;0,"Rupture 7j",IF(J29&lt;0,"Rupture 30j","OK")))</f>
        <v>#ERROR!</v>
      </c>
      <c r="L29" s="259"/>
    </row>
    <row r="30">
      <c r="A30" s="257"/>
      <c r="B30" s="257"/>
      <c r="C30" s="257"/>
      <c r="D30" s="257"/>
      <c r="E30" s="257" t="str">
        <f>IFERROR(SUMPRODUCT((Ventes!E5:E504=A30)*(TODAY()-Ventes!A5:A504&lt;=7)*Ventes!H5:H504),0)</f>
        <v>#ERROR!</v>
      </c>
      <c r="F30" s="257" t="str">
        <f>IFERROR(SUMPRODUCT((Ventes!E5:E504=A30)*(TODAY()-Ventes!A5:A504&lt;=30)*Ventes!H5:H504),0)</f>
        <v>#ERROR!</v>
      </c>
      <c r="G30" s="257"/>
      <c r="H30" s="257"/>
      <c r="I30" s="257" t="str">
        <f>IFERROR(D30+G30-E30,"")</f>
        <v>#ERROR!</v>
      </c>
      <c r="J30" s="257" t="str">
        <f>IFERROR(D30+H30-F30,"")</f>
        <v>#ERROR!</v>
      </c>
      <c r="K30" s="360" t="str">
        <f>IF(I30="","",IF(I30&lt;0,"Rupture 7j",IF(J30&lt;0,"Rupture 30j","OK")))</f>
        <v>#ERROR!</v>
      </c>
      <c r="L30" s="257"/>
    </row>
    <row r="31">
      <c r="A31" s="259"/>
      <c r="B31" s="259"/>
      <c r="C31" s="259"/>
      <c r="D31" s="259"/>
      <c r="E31" s="259" t="str">
        <f>IFERROR(SUMPRODUCT((Ventes!E5:E504=A31)*(TODAY()-Ventes!A5:A504&lt;=7)*Ventes!H5:H504),0)</f>
        <v>#ERROR!</v>
      </c>
      <c r="F31" s="259" t="str">
        <f>IFERROR(SUMPRODUCT((Ventes!E5:E504=A31)*(TODAY()-Ventes!A5:A504&lt;=30)*Ventes!H5:H504),0)</f>
        <v>#ERROR!</v>
      </c>
      <c r="G31" s="259"/>
      <c r="H31" s="259"/>
      <c r="I31" s="259" t="str">
        <f>IFERROR(D31+G31-E31,"")</f>
        <v>#ERROR!</v>
      </c>
      <c r="J31" s="259" t="str">
        <f>IFERROR(D31+H31-F31,"")</f>
        <v>#ERROR!</v>
      </c>
      <c r="K31" s="76" t="str">
        <f>IF(I31="","",IF(I31&lt;0,"Rupture 7j",IF(J31&lt;0,"Rupture 30j","OK")))</f>
        <v>#ERROR!</v>
      </c>
      <c r="L31" s="259"/>
    </row>
    <row r="32">
      <c r="A32" s="257"/>
      <c r="B32" s="257"/>
      <c r="C32" s="257"/>
      <c r="D32" s="257"/>
      <c r="E32" s="257" t="str">
        <f>IFERROR(SUMPRODUCT((Ventes!E5:E504=A32)*(TODAY()-Ventes!A5:A504&lt;=7)*Ventes!H5:H504),0)</f>
        <v>#ERROR!</v>
      </c>
      <c r="F32" s="257" t="str">
        <f>IFERROR(SUMPRODUCT((Ventes!E5:E504=A32)*(TODAY()-Ventes!A5:A504&lt;=30)*Ventes!H5:H504),0)</f>
        <v>#ERROR!</v>
      </c>
      <c r="G32" s="257"/>
      <c r="H32" s="257"/>
      <c r="I32" s="257" t="str">
        <f>IFERROR(D32+G32-E32,"")</f>
        <v>#ERROR!</v>
      </c>
      <c r="J32" s="257" t="str">
        <f>IFERROR(D32+H32-F32,"")</f>
        <v>#ERROR!</v>
      </c>
      <c r="K32" s="360" t="str">
        <f>IF(I32="","",IF(I32&lt;0,"Rupture 7j",IF(J32&lt;0,"Rupture 30j","OK")))</f>
        <v>#ERROR!</v>
      </c>
      <c r="L32" s="257"/>
    </row>
    <row r="33">
      <c r="A33" s="259"/>
      <c r="B33" s="259"/>
      <c r="C33" s="259"/>
      <c r="D33" s="259"/>
      <c r="E33" s="259" t="str">
        <f>IFERROR(SUMPRODUCT((Ventes!E5:E504=A33)*(TODAY()-Ventes!A5:A504&lt;=7)*Ventes!H5:H504),0)</f>
        <v>#ERROR!</v>
      </c>
      <c r="F33" s="259" t="str">
        <f>IFERROR(SUMPRODUCT((Ventes!E5:E504=A33)*(TODAY()-Ventes!A5:A504&lt;=30)*Ventes!H5:H504),0)</f>
        <v>#ERROR!</v>
      </c>
      <c r="G33" s="259"/>
      <c r="H33" s="259"/>
      <c r="I33" s="259" t="str">
        <f>IFERROR(D33+G33-E33,"")</f>
        <v>#ERROR!</v>
      </c>
      <c r="J33" s="259" t="str">
        <f>IFERROR(D33+H33-F33,"")</f>
        <v>#ERROR!</v>
      </c>
      <c r="K33" s="76" t="str">
        <f>IF(I33="","",IF(I33&lt;0,"Rupture 7j",IF(J33&lt;0,"Rupture 30j","OK")))</f>
        <v>#ERROR!</v>
      </c>
      <c r="L33" s="259"/>
    </row>
    <row r="34">
      <c r="A34" s="257"/>
      <c r="B34" s="257"/>
      <c r="C34" s="257"/>
      <c r="D34" s="257"/>
      <c r="E34" s="257" t="str">
        <f>IFERROR(SUMPRODUCT((Ventes!E5:E504=A34)*(TODAY()-Ventes!A5:A504&lt;=7)*Ventes!H5:H504),0)</f>
        <v>#ERROR!</v>
      </c>
      <c r="F34" s="257" t="str">
        <f>IFERROR(SUMPRODUCT((Ventes!E5:E504=A34)*(TODAY()-Ventes!A5:A504&lt;=30)*Ventes!H5:H504),0)</f>
        <v>#ERROR!</v>
      </c>
      <c r="G34" s="257"/>
      <c r="H34" s="257"/>
      <c r="I34" s="257" t="str">
        <f>IFERROR(D34+G34-E34,"")</f>
        <v>#ERROR!</v>
      </c>
      <c r="J34" s="257" t="str">
        <f>IFERROR(D34+H34-F34,"")</f>
        <v>#ERROR!</v>
      </c>
      <c r="K34" s="360" t="str">
        <f>IF(I34="","",IF(I34&lt;0,"Rupture 7j",IF(J34&lt;0,"Rupture 30j","OK")))</f>
        <v>#ERROR!</v>
      </c>
      <c r="L34" s="257"/>
    </row>
    <row r="35">
      <c r="A35" s="259"/>
      <c r="B35" s="259"/>
      <c r="C35" s="259"/>
      <c r="D35" s="259"/>
      <c r="E35" s="259" t="str">
        <f>IFERROR(SUMPRODUCT((Ventes!E5:E504=A35)*(TODAY()-Ventes!A5:A504&lt;=7)*Ventes!H5:H504),0)</f>
        <v>#ERROR!</v>
      </c>
      <c r="F35" s="259" t="str">
        <f>IFERROR(SUMPRODUCT((Ventes!E5:E504=A35)*(TODAY()-Ventes!A5:A504&lt;=30)*Ventes!H5:H504),0)</f>
        <v>#ERROR!</v>
      </c>
      <c r="G35" s="259"/>
      <c r="H35" s="259"/>
      <c r="I35" s="259" t="str">
        <f>IFERROR(D35+G35-E35,"")</f>
        <v>#ERROR!</v>
      </c>
      <c r="J35" s="259" t="str">
        <f>IFERROR(D35+H35-F35,"")</f>
        <v>#ERROR!</v>
      </c>
      <c r="K35" s="76" t="str">
        <f>IF(I35="","",IF(I35&lt;0,"Rupture 7j",IF(J35&lt;0,"Rupture 30j","OK")))</f>
        <v>#ERROR!</v>
      </c>
      <c r="L35" s="259"/>
    </row>
    <row r="36">
      <c r="A36" s="257"/>
      <c r="B36" s="257"/>
      <c r="C36" s="257"/>
      <c r="D36" s="257"/>
      <c r="E36" s="257" t="str">
        <f>IFERROR(SUMPRODUCT((Ventes!E5:E504=A36)*(TODAY()-Ventes!A5:A504&lt;=7)*Ventes!H5:H504),0)</f>
        <v>#ERROR!</v>
      </c>
      <c r="F36" s="257" t="str">
        <f>IFERROR(SUMPRODUCT((Ventes!E5:E504=A36)*(TODAY()-Ventes!A5:A504&lt;=30)*Ventes!H5:H504),0)</f>
        <v>#ERROR!</v>
      </c>
      <c r="G36" s="257"/>
      <c r="H36" s="257"/>
      <c r="I36" s="257" t="str">
        <f>IFERROR(D36+G36-E36,"")</f>
        <v>#ERROR!</v>
      </c>
      <c r="J36" s="257" t="str">
        <f>IFERROR(D36+H36-F36,"")</f>
        <v>#ERROR!</v>
      </c>
      <c r="K36" s="360" t="str">
        <f>IF(I36="","",IF(I36&lt;0,"Rupture 7j",IF(J36&lt;0,"Rupture 30j","OK")))</f>
        <v>#ERROR!</v>
      </c>
      <c r="L36" s="257"/>
    </row>
    <row r="37">
      <c r="A37" s="259"/>
      <c r="B37" s="259"/>
      <c r="C37" s="259"/>
      <c r="D37" s="259"/>
      <c r="E37" s="259" t="str">
        <f>IFERROR(SUMPRODUCT((Ventes!E5:E504=A37)*(TODAY()-Ventes!A5:A504&lt;=7)*Ventes!H5:H504),0)</f>
        <v>#ERROR!</v>
      </c>
      <c r="F37" s="259" t="str">
        <f>IFERROR(SUMPRODUCT((Ventes!E5:E504=A37)*(TODAY()-Ventes!A5:A504&lt;=30)*Ventes!H5:H504),0)</f>
        <v>#ERROR!</v>
      </c>
      <c r="G37" s="259"/>
      <c r="H37" s="259"/>
      <c r="I37" s="259" t="str">
        <f>IFERROR(D37+G37-E37,"")</f>
        <v>#ERROR!</v>
      </c>
      <c r="J37" s="259" t="str">
        <f>IFERROR(D37+H37-F37,"")</f>
        <v>#ERROR!</v>
      </c>
      <c r="K37" s="76" t="str">
        <f>IF(I37="","",IF(I37&lt;0,"Rupture 7j",IF(J37&lt;0,"Rupture 30j","OK")))</f>
        <v>#ERROR!</v>
      </c>
      <c r="L37" s="259"/>
    </row>
    <row r="38">
      <c r="A38" s="257"/>
      <c r="B38" s="257"/>
      <c r="C38" s="257"/>
      <c r="D38" s="257"/>
      <c r="E38" s="257" t="str">
        <f>IFERROR(SUMPRODUCT((Ventes!E5:E504=A38)*(TODAY()-Ventes!A5:A504&lt;=7)*Ventes!H5:H504),0)</f>
        <v>#ERROR!</v>
      </c>
      <c r="F38" s="257" t="str">
        <f>IFERROR(SUMPRODUCT((Ventes!E5:E504=A38)*(TODAY()-Ventes!A5:A504&lt;=30)*Ventes!H5:H504),0)</f>
        <v>#ERROR!</v>
      </c>
      <c r="G38" s="257"/>
      <c r="H38" s="257"/>
      <c r="I38" s="257" t="str">
        <f>IFERROR(D38+G38-E38,"")</f>
        <v>#ERROR!</v>
      </c>
      <c r="J38" s="257" t="str">
        <f>IFERROR(D38+H38-F38,"")</f>
        <v>#ERROR!</v>
      </c>
      <c r="K38" s="360" t="str">
        <f>IF(I38="","",IF(I38&lt;0,"Rupture 7j",IF(J38&lt;0,"Rupture 30j","OK")))</f>
        <v>#ERROR!</v>
      </c>
      <c r="L38" s="257"/>
    </row>
    <row r="39">
      <c r="A39" s="259"/>
      <c r="B39" s="259"/>
      <c r="C39" s="259"/>
      <c r="D39" s="259"/>
      <c r="E39" s="259" t="str">
        <f>IFERROR(SUMPRODUCT((Ventes!E5:E504=A39)*(TODAY()-Ventes!A5:A504&lt;=7)*Ventes!H5:H504),0)</f>
        <v>#ERROR!</v>
      </c>
      <c r="F39" s="259" t="str">
        <f>IFERROR(SUMPRODUCT((Ventes!E5:E504=A39)*(TODAY()-Ventes!A5:A504&lt;=30)*Ventes!H5:H504),0)</f>
        <v>#ERROR!</v>
      </c>
      <c r="G39" s="259"/>
      <c r="H39" s="259"/>
      <c r="I39" s="259" t="str">
        <f>IFERROR(D39+G39-E39,"")</f>
        <v>#ERROR!</v>
      </c>
      <c r="J39" s="259" t="str">
        <f>IFERROR(D39+H39-F39,"")</f>
        <v>#ERROR!</v>
      </c>
      <c r="K39" s="76" t="str">
        <f>IF(I39="","",IF(I39&lt;0,"Rupture 7j",IF(J39&lt;0,"Rupture 30j","OK")))</f>
        <v>#ERROR!</v>
      </c>
      <c r="L39" s="259"/>
    </row>
    <row r="40">
      <c r="A40" s="257"/>
      <c r="B40" s="257"/>
      <c r="C40" s="257"/>
      <c r="D40" s="257"/>
      <c r="E40" s="257" t="str">
        <f>IFERROR(SUMPRODUCT((Ventes!E5:E504=A40)*(TODAY()-Ventes!A5:A504&lt;=7)*Ventes!H5:H504),0)</f>
        <v>#ERROR!</v>
      </c>
      <c r="F40" s="257" t="str">
        <f>IFERROR(SUMPRODUCT((Ventes!E5:E504=A40)*(TODAY()-Ventes!A5:A504&lt;=30)*Ventes!H5:H504),0)</f>
        <v>#ERROR!</v>
      </c>
      <c r="G40" s="257"/>
      <c r="H40" s="257"/>
      <c r="I40" s="257" t="str">
        <f>IFERROR(D40+G40-E40,"")</f>
        <v>#ERROR!</v>
      </c>
      <c r="J40" s="257" t="str">
        <f>IFERROR(D40+H40-F40,"")</f>
        <v>#ERROR!</v>
      </c>
      <c r="K40" s="360" t="str">
        <f>IF(I40="","",IF(I40&lt;0,"Rupture 7j",IF(J40&lt;0,"Rupture 30j","OK")))</f>
        <v>#ERROR!</v>
      </c>
      <c r="L40" s="257"/>
    </row>
    <row r="41">
      <c r="A41" s="259"/>
      <c r="B41" s="259"/>
      <c r="C41" s="259"/>
      <c r="D41" s="259"/>
      <c r="E41" s="259" t="str">
        <f>IFERROR(SUMPRODUCT((Ventes!E5:E504=A41)*(TODAY()-Ventes!A5:A504&lt;=7)*Ventes!H5:H504),0)</f>
        <v>#ERROR!</v>
      </c>
      <c r="F41" s="259" t="str">
        <f>IFERROR(SUMPRODUCT((Ventes!E5:E504=A41)*(TODAY()-Ventes!A5:A504&lt;=30)*Ventes!H5:H504),0)</f>
        <v>#ERROR!</v>
      </c>
      <c r="G41" s="259"/>
      <c r="H41" s="259"/>
      <c r="I41" s="259" t="str">
        <f>IFERROR(D41+G41-E41,"")</f>
        <v>#ERROR!</v>
      </c>
      <c r="J41" s="259" t="str">
        <f>IFERROR(D41+H41-F41,"")</f>
        <v>#ERROR!</v>
      </c>
      <c r="K41" s="76" t="str">
        <f>IF(I41="","",IF(I41&lt;0,"Rupture 7j",IF(J41&lt;0,"Rupture 30j","OK")))</f>
        <v>#ERROR!</v>
      </c>
      <c r="L41" s="259"/>
    </row>
    <row r="42">
      <c r="A42" s="257"/>
      <c r="B42" s="257"/>
      <c r="C42" s="257"/>
      <c r="D42" s="257"/>
      <c r="E42" s="257" t="str">
        <f>IFERROR(SUMPRODUCT((Ventes!E5:E504=A42)*(TODAY()-Ventes!A5:A504&lt;=7)*Ventes!H5:H504),0)</f>
        <v>#ERROR!</v>
      </c>
      <c r="F42" s="257" t="str">
        <f>IFERROR(SUMPRODUCT((Ventes!E5:E504=A42)*(TODAY()-Ventes!A5:A504&lt;=30)*Ventes!H5:H504),0)</f>
        <v>#ERROR!</v>
      </c>
      <c r="G42" s="257"/>
      <c r="H42" s="257"/>
      <c r="I42" s="257" t="str">
        <f>IFERROR(D42+G42-E42,"")</f>
        <v>#ERROR!</v>
      </c>
      <c r="J42" s="257" t="str">
        <f>IFERROR(D42+H42-F42,"")</f>
        <v>#ERROR!</v>
      </c>
      <c r="K42" s="360" t="str">
        <f>IF(I42="","",IF(I42&lt;0,"Rupture 7j",IF(J42&lt;0,"Rupture 30j","OK")))</f>
        <v>#ERROR!</v>
      </c>
      <c r="L42" s="257"/>
    </row>
    <row r="43">
      <c r="A43" s="259"/>
      <c r="B43" s="259"/>
      <c r="C43" s="259"/>
      <c r="D43" s="259"/>
      <c r="E43" s="259" t="str">
        <f>IFERROR(SUMPRODUCT((Ventes!E5:E504=A43)*(TODAY()-Ventes!A5:A504&lt;=7)*Ventes!H5:H504),0)</f>
        <v>#ERROR!</v>
      </c>
      <c r="F43" s="259" t="str">
        <f>IFERROR(SUMPRODUCT((Ventes!E5:E504=A43)*(TODAY()-Ventes!A5:A504&lt;=30)*Ventes!H5:H504),0)</f>
        <v>#ERROR!</v>
      </c>
      <c r="G43" s="259"/>
      <c r="H43" s="259"/>
      <c r="I43" s="259" t="str">
        <f>IFERROR(D43+G43-E43,"")</f>
        <v>#ERROR!</v>
      </c>
      <c r="J43" s="259" t="str">
        <f>IFERROR(D43+H43-F43,"")</f>
        <v>#ERROR!</v>
      </c>
      <c r="K43" s="76" t="str">
        <f>IF(I43="","",IF(I43&lt;0,"Rupture 7j",IF(J43&lt;0,"Rupture 30j","OK")))</f>
        <v>#ERROR!</v>
      </c>
      <c r="L43" s="259"/>
    </row>
    <row r="44">
      <c r="A44" s="257"/>
      <c r="B44" s="257"/>
      <c r="C44" s="257"/>
      <c r="D44" s="257"/>
      <c r="E44" s="257" t="str">
        <f>IFERROR(SUMPRODUCT((Ventes!E5:E504=A44)*(TODAY()-Ventes!A5:A504&lt;=7)*Ventes!H5:H504),0)</f>
        <v>#ERROR!</v>
      </c>
      <c r="F44" s="257" t="str">
        <f>IFERROR(SUMPRODUCT((Ventes!E5:E504=A44)*(TODAY()-Ventes!A5:A504&lt;=30)*Ventes!H5:H504),0)</f>
        <v>#ERROR!</v>
      </c>
      <c r="G44" s="257"/>
      <c r="H44" s="257"/>
      <c r="I44" s="257" t="str">
        <f>IFERROR(D44+G44-E44,"")</f>
        <v>#ERROR!</v>
      </c>
      <c r="J44" s="257" t="str">
        <f>IFERROR(D44+H44-F44,"")</f>
        <v>#ERROR!</v>
      </c>
      <c r="K44" s="360" t="str">
        <f>IF(I44="","",IF(I44&lt;0,"Rupture 7j",IF(J44&lt;0,"Rupture 30j","OK")))</f>
        <v>#ERROR!</v>
      </c>
      <c r="L44" s="257"/>
    </row>
    <row r="45">
      <c r="A45" s="259"/>
      <c r="B45" s="259"/>
      <c r="C45" s="259"/>
      <c r="D45" s="259"/>
      <c r="E45" s="259" t="str">
        <f>IFERROR(SUMPRODUCT((Ventes!E5:E504=A45)*(TODAY()-Ventes!A5:A504&lt;=7)*Ventes!H5:H504),0)</f>
        <v>#ERROR!</v>
      </c>
      <c r="F45" s="259" t="str">
        <f>IFERROR(SUMPRODUCT((Ventes!E5:E504=A45)*(TODAY()-Ventes!A5:A504&lt;=30)*Ventes!H5:H504),0)</f>
        <v>#ERROR!</v>
      </c>
      <c r="G45" s="259"/>
      <c r="H45" s="259"/>
      <c r="I45" s="259" t="str">
        <f>IFERROR(D45+G45-E45,"")</f>
        <v>#ERROR!</v>
      </c>
      <c r="J45" s="259" t="str">
        <f>IFERROR(D45+H45-F45,"")</f>
        <v>#ERROR!</v>
      </c>
      <c r="K45" s="76" t="str">
        <f>IF(I45="","",IF(I45&lt;0,"Rupture 7j",IF(J45&lt;0,"Rupture 30j","OK")))</f>
        <v>#ERROR!</v>
      </c>
      <c r="L45" s="259"/>
    </row>
    <row r="46">
      <c r="A46" s="257"/>
      <c r="B46" s="257"/>
      <c r="C46" s="257"/>
      <c r="D46" s="257"/>
      <c r="E46" s="257" t="str">
        <f>IFERROR(SUMPRODUCT((Ventes!E5:E504=A46)*(TODAY()-Ventes!A5:A504&lt;=7)*Ventes!H5:H504),0)</f>
        <v>#ERROR!</v>
      </c>
      <c r="F46" s="257" t="str">
        <f>IFERROR(SUMPRODUCT((Ventes!E5:E504=A46)*(TODAY()-Ventes!A5:A504&lt;=30)*Ventes!H5:H504),0)</f>
        <v>#ERROR!</v>
      </c>
      <c r="G46" s="257"/>
      <c r="H46" s="257"/>
      <c r="I46" s="257" t="str">
        <f>IFERROR(D46+G46-E46,"")</f>
        <v>#ERROR!</v>
      </c>
      <c r="J46" s="257" t="str">
        <f>IFERROR(D46+H46-F46,"")</f>
        <v>#ERROR!</v>
      </c>
      <c r="K46" s="360" t="str">
        <f>IF(I46="","",IF(I46&lt;0,"Rupture 7j",IF(J46&lt;0,"Rupture 30j","OK")))</f>
        <v>#ERROR!</v>
      </c>
      <c r="L46" s="257"/>
    </row>
    <row r="47">
      <c r="A47" s="259"/>
      <c r="B47" s="259"/>
      <c r="C47" s="259"/>
      <c r="D47" s="259"/>
      <c r="E47" s="259" t="str">
        <f>IFERROR(SUMPRODUCT((Ventes!E5:E504=A47)*(TODAY()-Ventes!A5:A504&lt;=7)*Ventes!H5:H504),0)</f>
        <v>#ERROR!</v>
      </c>
      <c r="F47" s="259" t="str">
        <f>IFERROR(SUMPRODUCT((Ventes!E5:E504=A47)*(TODAY()-Ventes!A5:A504&lt;=30)*Ventes!H5:H504),0)</f>
        <v>#ERROR!</v>
      </c>
      <c r="G47" s="259"/>
      <c r="H47" s="259"/>
      <c r="I47" s="259" t="str">
        <f>IFERROR(D47+G47-E47,"")</f>
        <v>#ERROR!</v>
      </c>
      <c r="J47" s="259" t="str">
        <f>IFERROR(D47+H47-F47,"")</f>
        <v>#ERROR!</v>
      </c>
      <c r="K47" s="76" t="str">
        <f>IF(I47="","",IF(I47&lt;0,"Rupture 7j",IF(J47&lt;0,"Rupture 30j","OK")))</f>
        <v>#ERROR!</v>
      </c>
      <c r="L47" s="259"/>
    </row>
    <row r="48">
      <c r="A48" s="257"/>
      <c r="B48" s="257"/>
      <c r="C48" s="257"/>
      <c r="D48" s="257"/>
      <c r="E48" s="257" t="str">
        <f>IFERROR(SUMPRODUCT((Ventes!E5:E504=A48)*(TODAY()-Ventes!A5:A504&lt;=7)*Ventes!H5:H504),0)</f>
        <v>#ERROR!</v>
      </c>
      <c r="F48" s="257" t="str">
        <f>IFERROR(SUMPRODUCT((Ventes!E5:E504=A48)*(TODAY()-Ventes!A5:A504&lt;=30)*Ventes!H5:H504),0)</f>
        <v>#ERROR!</v>
      </c>
      <c r="G48" s="257"/>
      <c r="H48" s="257"/>
      <c r="I48" s="257" t="str">
        <f>IFERROR(D48+G48-E48,"")</f>
        <v>#ERROR!</v>
      </c>
      <c r="J48" s="257" t="str">
        <f>IFERROR(D48+H48-F48,"")</f>
        <v>#ERROR!</v>
      </c>
      <c r="K48" s="360" t="str">
        <f>IF(I48="","",IF(I48&lt;0,"Rupture 7j",IF(J48&lt;0,"Rupture 30j","OK")))</f>
        <v>#ERROR!</v>
      </c>
      <c r="L48" s="257"/>
    </row>
    <row r="49">
      <c r="A49" s="259"/>
      <c r="B49" s="259"/>
      <c r="C49" s="259"/>
      <c r="D49" s="259"/>
      <c r="E49" s="259" t="str">
        <f>IFERROR(SUMPRODUCT((Ventes!E5:E504=A49)*(TODAY()-Ventes!A5:A504&lt;=7)*Ventes!H5:H504),0)</f>
        <v>#ERROR!</v>
      </c>
      <c r="F49" s="259" t="str">
        <f>IFERROR(SUMPRODUCT((Ventes!E5:E504=A49)*(TODAY()-Ventes!A5:A504&lt;=30)*Ventes!H5:H504),0)</f>
        <v>#ERROR!</v>
      </c>
      <c r="G49" s="259"/>
      <c r="H49" s="259"/>
      <c r="I49" s="259" t="str">
        <f>IFERROR(D49+G49-E49,"")</f>
        <v>#ERROR!</v>
      </c>
      <c r="J49" s="259" t="str">
        <f>IFERROR(D49+H49-F49,"")</f>
        <v>#ERROR!</v>
      </c>
      <c r="K49" s="76" t="str">
        <f>IF(I49="","",IF(I49&lt;0,"Rupture 7j",IF(J49&lt;0,"Rupture 30j","OK")))</f>
        <v>#ERROR!</v>
      </c>
      <c r="L49" s="259"/>
    </row>
    <row r="50">
      <c r="A50" s="257"/>
      <c r="B50" s="257"/>
      <c r="C50" s="257"/>
      <c r="D50" s="257"/>
      <c r="E50" s="257" t="str">
        <f>IFERROR(SUMPRODUCT((Ventes!E5:E504=A50)*(TODAY()-Ventes!A5:A504&lt;=7)*Ventes!H5:H504),0)</f>
        <v>#ERROR!</v>
      </c>
      <c r="F50" s="257" t="str">
        <f>IFERROR(SUMPRODUCT((Ventes!E5:E504=A50)*(TODAY()-Ventes!A5:A504&lt;=30)*Ventes!H5:H504),0)</f>
        <v>#ERROR!</v>
      </c>
      <c r="G50" s="257"/>
      <c r="H50" s="257"/>
      <c r="I50" s="257" t="str">
        <f>IFERROR(D50+G50-E50,"")</f>
        <v>#ERROR!</v>
      </c>
      <c r="J50" s="257" t="str">
        <f>IFERROR(D50+H50-F50,"")</f>
        <v>#ERROR!</v>
      </c>
      <c r="K50" s="360" t="str">
        <f>IF(I50="","",IF(I50&lt;0,"Rupture 7j",IF(J50&lt;0,"Rupture 30j","OK")))</f>
        <v>#ERROR!</v>
      </c>
      <c r="L50" s="257"/>
    </row>
    <row r="51">
      <c r="A51" s="259"/>
      <c r="B51" s="259"/>
      <c r="C51" s="259"/>
      <c r="D51" s="259"/>
      <c r="E51" s="259" t="str">
        <f>IFERROR(SUMPRODUCT((Ventes!E5:E504=A51)*(TODAY()-Ventes!A5:A504&lt;=7)*Ventes!H5:H504),0)</f>
        <v>#ERROR!</v>
      </c>
      <c r="F51" s="259" t="str">
        <f>IFERROR(SUMPRODUCT((Ventes!E5:E504=A51)*(TODAY()-Ventes!A5:A504&lt;=30)*Ventes!H5:H504),0)</f>
        <v>#ERROR!</v>
      </c>
      <c r="G51" s="259"/>
      <c r="H51" s="259"/>
      <c r="I51" s="259" t="str">
        <f>IFERROR(D51+G51-E51,"")</f>
        <v>#ERROR!</v>
      </c>
      <c r="J51" s="259" t="str">
        <f>IFERROR(D51+H51-F51,"")</f>
        <v>#ERROR!</v>
      </c>
      <c r="K51" s="76" t="str">
        <f>IF(I51="","",IF(I51&lt;0,"Rupture 7j",IF(J51&lt;0,"Rupture 30j","OK")))</f>
        <v>#ERROR!</v>
      </c>
      <c r="L51" s="259"/>
    </row>
    <row r="52">
      <c r="A52" s="257"/>
      <c r="B52" s="257"/>
      <c r="C52" s="257"/>
      <c r="D52" s="257"/>
      <c r="E52" s="257" t="str">
        <f>IFERROR(SUMPRODUCT((Ventes!E5:E504=A52)*(TODAY()-Ventes!A5:A504&lt;=7)*Ventes!H5:H504),0)</f>
        <v>#ERROR!</v>
      </c>
      <c r="F52" s="257" t="str">
        <f>IFERROR(SUMPRODUCT((Ventes!E5:E504=A52)*(TODAY()-Ventes!A5:A504&lt;=30)*Ventes!H5:H504),0)</f>
        <v>#ERROR!</v>
      </c>
      <c r="G52" s="257"/>
      <c r="H52" s="257"/>
      <c r="I52" s="257" t="str">
        <f>IFERROR(D52+G52-E52,"")</f>
        <v>#ERROR!</v>
      </c>
      <c r="J52" s="257" t="str">
        <f>IFERROR(D52+H52-F52,"")</f>
        <v>#ERROR!</v>
      </c>
      <c r="K52" s="360" t="str">
        <f>IF(I52="","",IF(I52&lt;0,"Rupture 7j",IF(J52&lt;0,"Rupture 30j","OK")))</f>
        <v>#ERROR!</v>
      </c>
      <c r="L52" s="257"/>
    </row>
    <row r="53">
      <c r="A53" s="259"/>
      <c r="B53" s="259"/>
      <c r="C53" s="259"/>
      <c r="D53" s="259"/>
      <c r="E53" s="259" t="str">
        <f>IFERROR(SUMPRODUCT((Ventes!E5:E504=A53)*(TODAY()-Ventes!A5:A504&lt;=7)*Ventes!H5:H504),0)</f>
        <v>#ERROR!</v>
      </c>
      <c r="F53" s="259" t="str">
        <f>IFERROR(SUMPRODUCT((Ventes!E5:E504=A53)*(TODAY()-Ventes!A5:A504&lt;=30)*Ventes!H5:H504),0)</f>
        <v>#ERROR!</v>
      </c>
      <c r="G53" s="259"/>
      <c r="H53" s="259"/>
      <c r="I53" s="259" t="str">
        <f>IFERROR(D53+G53-E53,"")</f>
        <v>#ERROR!</v>
      </c>
      <c r="J53" s="259" t="str">
        <f>IFERROR(D53+H53-F53,"")</f>
        <v>#ERROR!</v>
      </c>
      <c r="K53" s="76" t="str">
        <f>IF(I53="","",IF(I53&lt;0,"Rupture 7j",IF(J53&lt;0,"Rupture 30j","OK")))</f>
        <v>#ERROR!</v>
      </c>
      <c r="L53" s="259"/>
    </row>
    <row r="54">
      <c r="A54" s="257"/>
      <c r="B54" s="257"/>
      <c r="C54" s="257"/>
      <c r="D54" s="257"/>
      <c r="E54" s="257" t="str">
        <f>IFERROR(SUMPRODUCT((Ventes!E5:E504=A54)*(TODAY()-Ventes!A5:A504&lt;=7)*Ventes!H5:H504),0)</f>
        <v>#ERROR!</v>
      </c>
      <c r="F54" s="257" t="str">
        <f>IFERROR(SUMPRODUCT((Ventes!E5:E504=A54)*(TODAY()-Ventes!A5:A504&lt;=30)*Ventes!H5:H504),0)</f>
        <v>#ERROR!</v>
      </c>
      <c r="G54" s="257"/>
      <c r="H54" s="257"/>
      <c r="I54" s="257" t="str">
        <f>IFERROR(D54+G54-E54,"")</f>
        <v>#ERROR!</v>
      </c>
      <c r="J54" s="257" t="str">
        <f>IFERROR(D54+H54-F54,"")</f>
        <v>#ERROR!</v>
      </c>
      <c r="K54" s="360" t="str">
        <f>IF(I54="","",IF(I54&lt;0,"Rupture 7j",IF(J54&lt;0,"Rupture 30j","OK")))</f>
        <v>#ERROR!</v>
      </c>
      <c r="L54" s="257"/>
    </row>
    <row r="55">
      <c r="A55" s="259"/>
      <c r="B55" s="259"/>
      <c r="C55" s="259"/>
      <c r="D55" s="259"/>
      <c r="E55" s="259" t="str">
        <f>IFERROR(SUMPRODUCT((Ventes!E5:E504=A55)*(TODAY()-Ventes!A5:A504&lt;=7)*Ventes!H5:H504),0)</f>
        <v>#ERROR!</v>
      </c>
      <c r="F55" s="259" t="str">
        <f>IFERROR(SUMPRODUCT((Ventes!E5:E504=A55)*(TODAY()-Ventes!A5:A504&lt;=30)*Ventes!H5:H504),0)</f>
        <v>#ERROR!</v>
      </c>
      <c r="G55" s="259"/>
      <c r="H55" s="259"/>
      <c r="I55" s="259" t="str">
        <f>IFERROR(D55+G55-E55,"")</f>
        <v>#ERROR!</v>
      </c>
      <c r="J55" s="259" t="str">
        <f>IFERROR(D55+H55-F55,"")</f>
        <v>#ERROR!</v>
      </c>
      <c r="K55" s="76" t="str">
        <f>IF(I55="","",IF(I55&lt;0,"Rupture 7j",IF(J55&lt;0,"Rupture 30j","OK")))</f>
        <v>#ERROR!</v>
      </c>
      <c r="L55" s="259"/>
    </row>
    <row r="56">
      <c r="A56" s="257"/>
      <c r="B56" s="257"/>
      <c r="C56" s="257"/>
      <c r="D56" s="257"/>
      <c r="E56" s="257" t="str">
        <f>IFERROR(SUMPRODUCT((Ventes!E5:E504=A56)*(TODAY()-Ventes!A5:A504&lt;=7)*Ventes!H5:H504),0)</f>
        <v>#ERROR!</v>
      </c>
      <c r="F56" s="257" t="str">
        <f>IFERROR(SUMPRODUCT((Ventes!E5:E504=A56)*(TODAY()-Ventes!A5:A504&lt;=30)*Ventes!H5:H504),0)</f>
        <v>#ERROR!</v>
      </c>
      <c r="G56" s="257"/>
      <c r="H56" s="257"/>
      <c r="I56" s="257" t="str">
        <f>IFERROR(D56+G56-E56,"")</f>
        <v>#ERROR!</v>
      </c>
      <c r="J56" s="257" t="str">
        <f>IFERROR(D56+H56-F56,"")</f>
        <v>#ERROR!</v>
      </c>
      <c r="K56" s="360" t="str">
        <f>IF(I56="","",IF(I56&lt;0,"Rupture 7j",IF(J56&lt;0,"Rupture 30j","OK")))</f>
        <v>#ERROR!</v>
      </c>
      <c r="L56" s="257"/>
    </row>
    <row r="57">
      <c r="A57" s="259"/>
      <c r="B57" s="259"/>
      <c r="C57" s="259"/>
      <c r="D57" s="259"/>
      <c r="E57" s="259" t="str">
        <f>IFERROR(SUMPRODUCT((Ventes!E5:E504=A57)*(TODAY()-Ventes!A5:A504&lt;=7)*Ventes!H5:H504),0)</f>
        <v>#ERROR!</v>
      </c>
      <c r="F57" s="259" t="str">
        <f>IFERROR(SUMPRODUCT((Ventes!E5:E504=A57)*(TODAY()-Ventes!A5:A504&lt;=30)*Ventes!H5:H504),0)</f>
        <v>#ERROR!</v>
      </c>
      <c r="G57" s="259"/>
      <c r="H57" s="259"/>
      <c r="I57" s="259" t="str">
        <f>IFERROR(D57+G57-E57,"")</f>
        <v>#ERROR!</v>
      </c>
      <c r="J57" s="259" t="str">
        <f>IFERROR(D57+H57-F57,"")</f>
        <v>#ERROR!</v>
      </c>
      <c r="K57" s="76" t="str">
        <f>IF(I57="","",IF(I57&lt;0,"Rupture 7j",IF(J57&lt;0,"Rupture 30j","OK")))</f>
        <v>#ERROR!</v>
      </c>
      <c r="L57" s="259"/>
    </row>
    <row r="58">
      <c r="A58" s="257"/>
      <c r="B58" s="257"/>
      <c r="C58" s="257"/>
      <c r="D58" s="257"/>
      <c r="E58" s="257" t="str">
        <f>IFERROR(SUMPRODUCT((Ventes!E5:E504=A58)*(TODAY()-Ventes!A5:A504&lt;=7)*Ventes!H5:H504),0)</f>
        <v>#ERROR!</v>
      </c>
      <c r="F58" s="257" t="str">
        <f>IFERROR(SUMPRODUCT((Ventes!E5:E504=A58)*(TODAY()-Ventes!A5:A504&lt;=30)*Ventes!H5:H504),0)</f>
        <v>#ERROR!</v>
      </c>
      <c r="G58" s="257"/>
      <c r="H58" s="257"/>
      <c r="I58" s="257" t="str">
        <f>IFERROR(D58+G58-E58,"")</f>
        <v>#ERROR!</v>
      </c>
      <c r="J58" s="257" t="str">
        <f>IFERROR(D58+H58-F58,"")</f>
        <v>#ERROR!</v>
      </c>
      <c r="K58" s="360" t="str">
        <f>IF(I58="","",IF(I58&lt;0,"Rupture 7j",IF(J58&lt;0,"Rupture 30j","OK")))</f>
        <v>#ERROR!</v>
      </c>
      <c r="L58" s="257"/>
    </row>
    <row r="59">
      <c r="A59" s="259"/>
      <c r="B59" s="259"/>
      <c r="C59" s="259"/>
      <c r="D59" s="259"/>
      <c r="E59" s="259" t="str">
        <f>IFERROR(SUMPRODUCT((Ventes!E5:E504=A59)*(TODAY()-Ventes!A5:A504&lt;=7)*Ventes!H5:H504),0)</f>
        <v>#ERROR!</v>
      </c>
      <c r="F59" s="259" t="str">
        <f>IFERROR(SUMPRODUCT((Ventes!E5:E504=A59)*(TODAY()-Ventes!A5:A504&lt;=30)*Ventes!H5:H504),0)</f>
        <v>#ERROR!</v>
      </c>
      <c r="G59" s="259"/>
      <c r="H59" s="259"/>
      <c r="I59" s="259" t="str">
        <f>IFERROR(D59+G59-E59,"")</f>
        <v>#ERROR!</v>
      </c>
      <c r="J59" s="259" t="str">
        <f>IFERROR(D59+H59-F59,"")</f>
        <v>#ERROR!</v>
      </c>
      <c r="K59" s="76" t="str">
        <f>IF(I59="","",IF(I59&lt;0,"Rupture 7j",IF(J59&lt;0,"Rupture 30j","OK")))</f>
        <v>#ERROR!</v>
      </c>
      <c r="L59" s="259"/>
    </row>
    <row r="60">
      <c r="A60" s="257"/>
      <c r="B60" s="257"/>
      <c r="C60" s="257"/>
      <c r="D60" s="257"/>
      <c r="E60" s="257" t="str">
        <f>IFERROR(SUMPRODUCT((Ventes!E5:E504=A60)*(TODAY()-Ventes!A5:A504&lt;=7)*Ventes!H5:H504),0)</f>
        <v>#ERROR!</v>
      </c>
      <c r="F60" s="257" t="str">
        <f>IFERROR(SUMPRODUCT((Ventes!E5:E504=A60)*(TODAY()-Ventes!A5:A504&lt;=30)*Ventes!H5:H504),0)</f>
        <v>#ERROR!</v>
      </c>
      <c r="G60" s="257"/>
      <c r="H60" s="257"/>
      <c r="I60" s="257" t="str">
        <f>IFERROR(D60+G60-E60,"")</f>
        <v>#ERROR!</v>
      </c>
      <c r="J60" s="257" t="str">
        <f>IFERROR(D60+H60-F60,"")</f>
        <v>#ERROR!</v>
      </c>
      <c r="K60" s="360" t="str">
        <f>IF(I60="","",IF(I60&lt;0,"Rupture 7j",IF(J60&lt;0,"Rupture 30j","OK")))</f>
        <v>#ERROR!</v>
      </c>
      <c r="L60" s="257"/>
    </row>
    <row r="61">
      <c r="A61" s="259"/>
      <c r="B61" s="259"/>
      <c r="C61" s="259"/>
      <c r="D61" s="259"/>
      <c r="E61" s="259" t="str">
        <f>IFERROR(SUMPRODUCT((Ventes!E5:E504=A61)*(TODAY()-Ventes!A5:A504&lt;=7)*Ventes!H5:H504),0)</f>
        <v>#ERROR!</v>
      </c>
      <c r="F61" s="259" t="str">
        <f>IFERROR(SUMPRODUCT((Ventes!E5:E504=A61)*(TODAY()-Ventes!A5:A504&lt;=30)*Ventes!H5:H504),0)</f>
        <v>#ERROR!</v>
      </c>
      <c r="G61" s="259"/>
      <c r="H61" s="259"/>
      <c r="I61" s="259" t="str">
        <f>IFERROR(D61+G61-E61,"")</f>
        <v>#ERROR!</v>
      </c>
      <c r="J61" s="259" t="str">
        <f>IFERROR(D61+H61-F61,"")</f>
        <v>#ERROR!</v>
      </c>
      <c r="K61" s="76" t="str">
        <f>IF(I61="","",IF(I61&lt;0,"Rupture 7j",IF(J61&lt;0,"Rupture 30j","OK")))</f>
        <v>#ERROR!</v>
      </c>
      <c r="L61" s="259"/>
    </row>
    <row r="62">
      <c r="A62" s="257"/>
      <c r="B62" s="257"/>
      <c r="C62" s="257"/>
      <c r="D62" s="257"/>
      <c r="E62" s="257" t="str">
        <f>IFERROR(SUMPRODUCT((Ventes!E5:E504=A62)*(TODAY()-Ventes!A5:A504&lt;=7)*Ventes!H5:H504),0)</f>
        <v>#ERROR!</v>
      </c>
      <c r="F62" s="257" t="str">
        <f>IFERROR(SUMPRODUCT((Ventes!E5:E504=A62)*(TODAY()-Ventes!A5:A504&lt;=30)*Ventes!H5:H504),0)</f>
        <v>#ERROR!</v>
      </c>
      <c r="G62" s="257"/>
      <c r="H62" s="257"/>
      <c r="I62" s="257" t="str">
        <f>IFERROR(D62+G62-E62,"")</f>
        <v>#ERROR!</v>
      </c>
      <c r="J62" s="257" t="str">
        <f>IFERROR(D62+H62-F62,"")</f>
        <v>#ERROR!</v>
      </c>
      <c r="K62" s="360" t="str">
        <f>IF(I62="","",IF(I62&lt;0,"Rupture 7j",IF(J62&lt;0,"Rupture 30j","OK")))</f>
        <v>#ERROR!</v>
      </c>
      <c r="L62" s="257"/>
    </row>
    <row r="63">
      <c r="A63" s="259"/>
      <c r="B63" s="259"/>
      <c r="C63" s="259"/>
      <c r="D63" s="259"/>
      <c r="E63" s="259" t="str">
        <f>IFERROR(SUMPRODUCT((Ventes!E5:E504=A63)*(TODAY()-Ventes!A5:A504&lt;=7)*Ventes!H5:H504),0)</f>
        <v>#ERROR!</v>
      </c>
      <c r="F63" s="259" t="str">
        <f>IFERROR(SUMPRODUCT((Ventes!E5:E504=A63)*(TODAY()-Ventes!A5:A504&lt;=30)*Ventes!H5:H504),0)</f>
        <v>#ERROR!</v>
      </c>
      <c r="G63" s="259"/>
      <c r="H63" s="259"/>
      <c r="I63" s="259" t="str">
        <f>IFERROR(D63+G63-E63,"")</f>
        <v>#ERROR!</v>
      </c>
      <c r="J63" s="259" t="str">
        <f>IFERROR(D63+H63-F63,"")</f>
        <v>#ERROR!</v>
      </c>
      <c r="K63" s="76" t="str">
        <f>IF(I63="","",IF(I63&lt;0,"Rupture 7j",IF(J63&lt;0,"Rupture 30j","OK")))</f>
        <v>#ERROR!</v>
      </c>
      <c r="L63" s="259"/>
    </row>
    <row r="64">
      <c r="A64" s="257"/>
      <c r="B64" s="257"/>
      <c r="C64" s="257"/>
      <c r="D64" s="257"/>
      <c r="E64" s="257" t="str">
        <f>IFERROR(SUMPRODUCT((Ventes!E5:E504=A64)*(TODAY()-Ventes!A5:A504&lt;=7)*Ventes!H5:H504),0)</f>
        <v>#ERROR!</v>
      </c>
      <c r="F64" s="257" t="str">
        <f>IFERROR(SUMPRODUCT((Ventes!E5:E504=A64)*(TODAY()-Ventes!A5:A504&lt;=30)*Ventes!H5:H504),0)</f>
        <v>#ERROR!</v>
      </c>
      <c r="G64" s="257"/>
      <c r="H64" s="257"/>
      <c r="I64" s="257" t="str">
        <f>IFERROR(D64+G64-E64,"")</f>
        <v>#ERROR!</v>
      </c>
      <c r="J64" s="257" t="str">
        <f>IFERROR(D64+H64-F64,"")</f>
        <v>#ERROR!</v>
      </c>
      <c r="K64" s="360" t="str">
        <f>IF(I64="","",IF(I64&lt;0,"Rupture 7j",IF(J64&lt;0,"Rupture 30j","OK")))</f>
        <v>#ERROR!</v>
      </c>
      <c r="L64" s="257"/>
    </row>
    <row r="65">
      <c r="A65" s="259"/>
      <c r="B65" s="259"/>
      <c r="C65" s="259"/>
      <c r="D65" s="259"/>
      <c r="E65" s="259" t="str">
        <f>IFERROR(SUMPRODUCT((Ventes!E5:E504=A65)*(TODAY()-Ventes!A5:A504&lt;=7)*Ventes!H5:H504),0)</f>
        <v>#ERROR!</v>
      </c>
      <c r="F65" s="259" t="str">
        <f>IFERROR(SUMPRODUCT((Ventes!E5:E504=A65)*(TODAY()-Ventes!A5:A504&lt;=30)*Ventes!H5:H504),0)</f>
        <v>#ERROR!</v>
      </c>
      <c r="G65" s="259"/>
      <c r="H65" s="259"/>
      <c r="I65" s="259" t="str">
        <f>IFERROR(D65+G65-E65,"")</f>
        <v>#ERROR!</v>
      </c>
      <c r="J65" s="259" t="str">
        <f>IFERROR(D65+H65-F65,"")</f>
        <v>#ERROR!</v>
      </c>
      <c r="K65" s="76" t="str">
        <f>IF(I65="","",IF(I65&lt;0,"Rupture 7j",IF(J65&lt;0,"Rupture 30j","OK")))</f>
        <v>#ERROR!</v>
      </c>
      <c r="L65" s="259"/>
    </row>
    <row r="66">
      <c r="A66" s="257"/>
      <c r="B66" s="257"/>
      <c r="C66" s="257"/>
      <c r="D66" s="257"/>
      <c r="E66" s="257" t="str">
        <f>IFERROR(SUMPRODUCT((Ventes!E5:E504=A66)*(TODAY()-Ventes!A5:A504&lt;=7)*Ventes!H5:H504),0)</f>
        <v>#ERROR!</v>
      </c>
      <c r="F66" s="257" t="str">
        <f>IFERROR(SUMPRODUCT((Ventes!E5:E504=A66)*(TODAY()-Ventes!A5:A504&lt;=30)*Ventes!H5:H504),0)</f>
        <v>#ERROR!</v>
      </c>
      <c r="G66" s="257"/>
      <c r="H66" s="257"/>
      <c r="I66" s="257" t="str">
        <f>IFERROR(D66+G66-E66,"")</f>
        <v>#ERROR!</v>
      </c>
      <c r="J66" s="257" t="str">
        <f>IFERROR(D66+H66-F66,"")</f>
        <v>#ERROR!</v>
      </c>
      <c r="K66" s="360" t="str">
        <f>IF(I66="","",IF(I66&lt;0,"Rupture 7j",IF(J66&lt;0,"Rupture 30j","OK")))</f>
        <v>#ERROR!</v>
      </c>
      <c r="L66" s="257"/>
    </row>
    <row r="67">
      <c r="A67" s="259"/>
      <c r="B67" s="259"/>
      <c r="C67" s="259"/>
      <c r="D67" s="259"/>
      <c r="E67" s="259" t="str">
        <f>IFERROR(SUMPRODUCT((Ventes!E5:E504=A67)*(TODAY()-Ventes!A5:A504&lt;=7)*Ventes!H5:H504),0)</f>
        <v>#ERROR!</v>
      </c>
      <c r="F67" s="259" t="str">
        <f>IFERROR(SUMPRODUCT((Ventes!E5:E504=A67)*(TODAY()-Ventes!A5:A504&lt;=30)*Ventes!H5:H504),0)</f>
        <v>#ERROR!</v>
      </c>
      <c r="G67" s="259"/>
      <c r="H67" s="259"/>
      <c r="I67" s="259" t="str">
        <f>IFERROR(D67+G67-E67,"")</f>
        <v>#ERROR!</v>
      </c>
      <c r="J67" s="259" t="str">
        <f>IFERROR(D67+H67-F67,"")</f>
        <v>#ERROR!</v>
      </c>
      <c r="K67" s="76" t="str">
        <f>IF(I67="","",IF(I67&lt;0,"Rupture 7j",IF(J67&lt;0,"Rupture 30j","OK")))</f>
        <v>#ERROR!</v>
      </c>
      <c r="L67" s="259"/>
    </row>
    <row r="68">
      <c r="A68" s="257"/>
      <c r="B68" s="257"/>
      <c r="C68" s="257"/>
      <c r="D68" s="257"/>
      <c r="E68" s="257" t="str">
        <f>IFERROR(SUMPRODUCT((Ventes!E5:E504=A68)*(TODAY()-Ventes!A5:A504&lt;=7)*Ventes!H5:H504),0)</f>
        <v>#ERROR!</v>
      </c>
      <c r="F68" s="257" t="str">
        <f>IFERROR(SUMPRODUCT((Ventes!E5:E504=A68)*(TODAY()-Ventes!A5:A504&lt;=30)*Ventes!H5:H504),0)</f>
        <v>#ERROR!</v>
      </c>
      <c r="G68" s="257"/>
      <c r="H68" s="257"/>
      <c r="I68" s="257" t="str">
        <f>IFERROR(D68+G68-E68,"")</f>
        <v>#ERROR!</v>
      </c>
      <c r="J68" s="257" t="str">
        <f>IFERROR(D68+H68-F68,"")</f>
        <v>#ERROR!</v>
      </c>
      <c r="K68" s="360" t="str">
        <f>IF(I68="","",IF(I68&lt;0,"Rupture 7j",IF(J68&lt;0,"Rupture 30j","OK")))</f>
        <v>#ERROR!</v>
      </c>
      <c r="L68" s="257"/>
    </row>
    <row r="69">
      <c r="A69" s="259"/>
      <c r="B69" s="259"/>
      <c r="C69" s="259"/>
      <c r="D69" s="259"/>
      <c r="E69" s="259" t="str">
        <f>IFERROR(SUMPRODUCT((Ventes!E5:E504=A69)*(TODAY()-Ventes!A5:A504&lt;=7)*Ventes!H5:H504),0)</f>
        <v>#ERROR!</v>
      </c>
      <c r="F69" s="259" t="str">
        <f>IFERROR(SUMPRODUCT((Ventes!E5:E504=A69)*(TODAY()-Ventes!A5:A504&lt;=30)*Ventes!H5:H504),0)</f>
        <v>#ERROR!</v>
      </c>
      <c r="G69" s="259"/>
      <c r="H69" s="259"/>
      <c r="I69" s="259" t="str">
        <f>IFERROR(D69+G69-E69,"")</f>
        <v>#ERROR!</v>
      </c>
      <c r="J69" s="259" t="str">
        <f>IFERROR(D69+H69-F69,"")</f>
        <v>#ERROR!</v>
      </c>
      <c r="K69" s="76" t="str">
        <f>IF(I69="","",IF(I69&lt;0,"Rupture 7j",IF(J69&lt;0,"Rupture 30j","OK")))</f>
        <v>#ERROR!</v>
      </c>
      <c r="L69" s="259"/>
    </row>
    <row r="70">
      <c r="A70" s="257"/>
      <c r="B70" s="257"/>
      <c r="C70" s="257"/>
      <c r="D70" s="257"/>
      <c r="E70" s="257" t="str">
        <f>IFERROR(SUMPRODUCT((Ventes!E5:E504=A70)*(TODAY()-Ventes!A5:A504&lt;=7)*Ventes!H5:H504),0)</f>
        <v>#ERROR!</v>
      </c>
      <c r="F70" s="257" t="str">
        <f>IFERROR(SUMPRODUCT((Ventes!E5:E504=A70)*(TODAY()-Ventes!A5:A504&lt;=30)*Ventes!H5:H504),0)</f>
        <v>#ERROR!</v>
      </c>
      <c r="G70" s="257"/>
      <c r="H70" s="257"/>
      <c r="I70" s="257" t="str">
        <f>IFERROR(D70+G70-E70,"")</f>
        <v>#ERROR!</v>
      </c>
      <c r="J70" s="257" t="str">
        <f>IFERROR(D70+H70-F70,"")</f>
        <v>#ERROR!</v>
      </c>
      <c r="K70" s="360" t="str">
        <f>IF(I70="","",IF(I70&lt;0,"Rupture 7j",IF(J70&lt;0,"Rupture 30j","OK")))</f>
        <v>#ERROR!</v>
      </c>
      <c r="L70" s="257"/>
    </row>
    <row r="71">
      <c r="A71" s="259"/>
      <c r="B71" s="259"/>
      <c r="C71" s="259"/>
      <c r="D71" s="259"/>
      <c r="E71" s="259" t="str">
        <f>IFERROR(SUMPRODUCT((Ventes!E5:E504=A71)*(TODAY()-Ventes!A5:A504&lt;=7)*Ventes!H5:H504),0)</f>
        <v>#ERROR!</v>
      </c>
      <c r="F71" s="259" t="str">
        <f>IFERROR(SUMPRODUCT((Ventes!E5:E504=A71)*(TODAY()-Ventes!A5:A504&lt;=30)*Ventes!H5:H504),0)</f>
        <v>#ERROR!</v>
      </c>
      <c r="G71" s="259"/>
      <c r="H71" s="259"/>
      <c r="I71" s="259" t="str">
        <f>IFERROR(D71+G71-E71,"")</f>
        <v>#ERROR!</v>
      </c>
      <c r="J71" s="259" t="str">
        <f>IFERROR(D71+H71-F71,"")</f>
        <v>#ERROR!</v>
      </c>
      <c r="K71" s="76" t="str">
        <f>IF(I71="","",IF(I71&lt;0,"Rupture 7j",IF(J71&lt;0,"Rupture 30j","OK")))</f>
        <v>#ERROR!</v>
      </c>
      <c r="L71" s="259"/>
    </row>
    <row r="72">
      <c r="A72" s="257"/>
      <c r="B72" s="257"/>
      <c r="C72" s="257"/>
      <c r="D72" s="257"/>
      <c r="E72" s="257" t="str">
        <f>IFERROR(SUMPRODUCT((Ventes!E5:E504=A72)*(TODAY()-Ventes!A5:A504&lt;=7)*Ventes!H5:H504),0)</f>
        <v>#ERROR!</v>
      </c>
      <c r="F72" s="257" t="str">
        <f>IFERROR(SUMPRODUCT((Ventes!E5:E504=A72)*(TODAY()-Ventes!A5:A504&lt;=30)*Ventes!H5:H504),0)</f>
        <v>#ERROR!</v>
      </c>
      <c r="G72" s="257"/>
      <c r="H72" s="257"/>
      <c r="I72" s="257" t="str">
        <f>IFERROR(D72+G72-E72,"")</f>
        <v>#ERROR!</v>
      </c>
      <c r="J72" s="257" t="str">
        <f>IFERROR(D72+H72-F72,"")</f>
        <v>#ERROR!</v>
      </c>
      <c r="K72" s="360" t="str">
        <f>IF(I72="","",IF(I72&lt;0,"Rupture 7j",IF(J72&lt;0,"Rupture 30j","OK")))</f>
        <v>#ERROR!</v>
      </c>
      <c r="L72" s="257"/>
    </row>
    <row r="73">
      <c r="A73" s="259"/>
      <c r="B73" s="259"/>
      <c r="C73" s="259"/>
      <c r="D73" s="259"/>
      <c r="E73" s="259" t="str">
        <f>IFERROR(SUMPRODUCT((Ventes!E5:E504=A73)*(TODAY()-Ventes!A5:A504&lt;=7)*Ventes!H5:H504),0)</f>
        <v>#ERROR!</v>
      </c>
      <c r="F73" s="259" t="str">
        <f>IFERROR(SUMPRODUCT((Ventes!E5:E504=A73)*(TODAY()-Ventes!A5:A504&lt;=30)*Ventes!H5:H504),0)</f>
        <v>#ERROR!</v>
      </c>
      <c r="G73" s="259"/>
      <c r="H73" s="259"/>
      <c r="I73" s="259" t="str">
        <f>IFERROR(D73+G73-E73,"")</f>
        <v>#ERROR!</v>
      </c>
      <c r="J73" s="259" t="str">
        <f>IFERROR(D73+H73-F73,"")</f>
        <v>#ERROR!</v>
      </c>
      <c r="K73" s="76" t="str">
        <f>IF(I73="","",IF(I73&lt;0,"Rupture 7j",IF(J73&lt;0,"Rupture 30j","OK")))</f>
        <v>#ERROR!</v>
      </c>
      <c r="L73" s="259"/>
    </row>
    <row r="74">
      <c r="A74" s="257"/>
      <c r="B74" s="257"/>
      <c r="C74" s="257"/>
      <c r="D74" s="257"/>
      <c r="E74" s="257" t="str">
        <f>IFERROR(SUMPRODUCT((Ventes!E5:E504=A74)*(TODAY()-Ventes!A5:A504&lt;=7)*Ventes!H5:H504),0)</f>
        <v>#ERROR!</v>
      </c>
      <c r="F74" s="257" t="str">
        <f>IFERROR(SUMPRODUCT((Ventes!E5:E504=A74)*(TODAY()-Ventes!A5:A504&lt;=30)*Ventes!H5:H504),0)</f>
        <v>#ERROR!</v>
      </c>
      <c r="G74" s="257"/>
      <c r="H74" s="257"/>
      <c r="I74" s="257" t="str">
        <f>IFERROR(D74+G74-E74,"")</f>
        <v>#ERROR!</v>
      </c>
      <c r="J74" s="257" t="str">
        <f>IFERROR(D74+H74-F74,"")</f>
        <v>#ERROR!</v>
      </c>
      <c r="K74" s="360" t="str">
        <f>IF(I74="","",IF(I74&lt;0,"Rupture 7j",IF(J74&lt;0,"Rupture 30j","OK")))</f>
        <v>#ERROR!</v>
      </c>
      <c r="L74" s="257"/>
    </row>
    <row r="75">
      <c r="A75" s="259"/>
      <c r="B75" s="259"/>
      <c r="C75" s="259"/>
      <c r="D75" s="259"/>
      <c r="E75" s="259" t="str">
        <f>IFERROR(SUMPRODUCT((Ventes!E5:E504=A75)*(TODAY()-Ventes!A5:A504&lt;=7)*Ventes!H5:H504),0)</f>
        <v>#ERROR!</v>
      </c>
      <c r="F75" s="259" t="str">
        <f>IFERROR(SUMPRODUCT((Ventes!E5:E504=A75)*(TODAY()-Ventes!A5:A504&lt;=30)*Ventes!H5:H504),0)</f>
        <v>#ERROR!</v>
      </c>
      <c r="G75" s="259"/>
      <c r="H75" s="259"/>
      <c r="I75" s="259" t="str">
        <f>IFERROR(D75+G75-E75,"")</f>
        <v>#ERROR!</v>
      </c>
      <c r="J75" s="259" t="str">
        <f>IFERROR(D75+H75-F75,"")</f>
        <v>#ERROR!</v>
      </c>
      <c r="K75" s="76" t="str">
        <f>IF(I75="","",IF(I75&lt;0,"Rupture 7j",IF(J75&lt;0,"Rupture 30j","OK")))</f>
        <v>#ERROR!</v>
      </c>
      <c r="L75" s="259"/>
    </row>
    <row r="76">
      <c r="A76" s="257"/>
      <c r="B76" s="257"/>
      <c r="C76" s="257"/>
      <c r="D76" s="257"/>
      <c r="E76" s="257" t="str">
        <f>IFERROR(SUMPRODUCT((Ventes!E5:E504=A76)*(TODAY()-Ventes!A5:A504&lt;=7)*Ventes!H5:H504),0)</f>
        <v>#ERROR!</v>
      </c>
      <c r="F76" s="257" t="str">
        <f>IFERROR(SUMPRODUCT((Ventes!E5:E504=A76)*(TODAY()-Ventes!A5:A504&lt;=30)*Ventes!H5:H504),0)</f>
        <v>#ERROR!</v>
      </c>
      <c r="G76" s="257"/>
      <c r="H76" s="257"/>
      <c r="I76" s="257" t="str">
        <f>IFERROR(D76+G76-E76,"")</f>
        <v>#ERROR!</v>
      </c>
      <c r="J76" s="257" t="str">
        <f>IFERROR(D76+H76-F76,"")</f>
        <v>#ERROR!</v>
      </c>
      <c r="K76" s="360" t="str">
        <f>IF(I76="","",IF(I76&lt;0,"Rupture 7j",IF(J76&lt;0,"Rupture 30j","OK")))</f>
        <v>#ERROR!</v>
      </c>
      <c r="L76" s="257"/>
    </row>
    <row r="77">
      <c r="A77" s="259"/>
      <c r="B77" s="259"/>
      <c r="C77" s="259"/>
      <c r="D77" s="259"/>
      <c r="E77" s="259" t="str">
        <f>IFERROR(SUMPRODUCT((Ventes!E5:E504=A77)*(TODAY()-Ventes!A5:A504&lt;=7)*Ventes!H5:H504),0)</f>
        <v>#ERROR!</v>
      </c>
      <c r="F77" s="259" t="str">
        <f>IFERROR(SUMPRODUCT((Ventes!E5:E504=A77)*(TODAY()-Ventes!A5:A504&lt;=30)*Ventes!H5:H504),0)</f>
        <v>#ERROR!</v>
      </c>
      <c r="G77" s="259"/>
      <c r="H77" s="259"/>
      <c r="I77" s="259" t="str">
        <f>IFERROR(D77+G77-E77,"")</f>
        <v>#ERROR!</v>
      </c>
      <c r="J77" s="259" t="str">
        <f>IFERROR(D77+H77-F77,"")</f>
        <v>#ERROR!</v>
      </c>
      <c r="K77" s="76" t="str">
        <f>IF(I77="","",IF(I77&lt;0,"Rupture 7j",IF(J77&lt;0,"Rupture 30j","OK")))</f>
        <v>#ERROR!</v>
      </c>
      <c r="L77" s="259"/>
    </row>
    <row r="78">
      <c r="A78" s="257"/>
      <c r="B78" s="257"/>
      <c r="C78" s="257"/>
      <c r="D78" s="257"/>
      <c r="E78" s="257" t="str">
        <f>IFERROR(SUMPRODUCT((Ventes!E5:E504=A78)*(TODAY()-Ventes!A5:A504&lt;=7)*Ventes!H5:H504),0)</f>
        <v>#ERROR!</v>
      </c>
      <c r="F78" s="257" t="str">
        <f>IFERROR(SUMPRODUCT((Ventes!E5:E504=A78)*(TODAY()-Ventes!A5:A504&lt;=30)*Ventes!H5:H504),0)</f>
        <v>#ERROR!</v>
      </c>
      <c r="G78" s="257"/>
      <c r="H78" s="257"/>
      <c r="I78" s="257" t="str">
        <f>IFERROR(D78+G78-E78,"")</f>
        <v>#ERROR!</v>
      </c>
      <c r="J78" s="257" t="str">
        <f>IFERROR(D78+H78-F78,"")</f>
        <v>#ERROR!</v>
      </c>
      <c r="K78" s="360" t="str">
        <f>IF(I78="","",IF(I78&lt;0,"Rupture 7j",IF(J78&lt;0,"Rupture 30j","OK")))</f>
        <v>#ERROR!</v>
      </c>
      <c r="L78" s="257"/>
    </row>
    <row r="79">
      <c r="A79" s="259"/>
      <c r="B79" s="259"/>
      <c r="C79" s="259"/>
      <c r="D79" s="259"/>
      <c r="E79" s="259" t="str">
        <f>IFERROR(SUMPRODUCT((Ventes!E5:E504=A79)*(TODAY()-Ventes!A5:A504&lt;=7)*Ventes!H5:H504),0)</f>
        <v>#ERROR!</v>
      </c>
      <c r="F79" s="259" t="str">
        <f>IFERROR(SUMPRODUCT((Ventes!E5:E504=A79)*(TODAY()-Ventes!A5:A504&lt;=30)*Ventes!H5:H504),0)</f>
        <v>#ERROR!</v>
      </c>
      <c r="G79" s="259"/>
      <c r="H79" s="259"/>
      <c r="I79" s="259" t="str">
        <f>IFERROR(D79+G79-E79,"")</f>
        <v>#ERROR!</v>
      </c>
      <c r="J79" s="259" t="str">
        <f>IFERROR(D79+H79-F79,"")</f>
        <v>#ERROR!</v>
      </c>
      <c r="K79" s="76" t="str">
        <f>IF(I79="","",IF(I79&lt;0,"Rupture 7j",IF(J79&lt;0,"Rupture 30j","OK")))</f>
        <v>#ERROR!</v>
      </c>
      <c r="L79" s="259"/>
    </row>
    <row r="80">
      <c r="A80" s="257"/>
      <c r="B80" s="257"/>
      <c r="C80" s="257"/>
      <c r="D80" s="257"/>
      <c r="E80" s="257" t="str">
        <f>IFERROR(SUMPRODUCT((Ventes!E5:E504=A80)*(TODAY()-Ventes!A5:A504&lt;=7)*Ventes!H5:H504),0)</f>
        <v>#ERROR!</v>
      </c>
      <c r="F80" s="257" t="str">
        <f>IFERROR(SUMPRODUCT((Ventes!E5:E504=A80)*(TODAY()-Ventes!A5:A504&lt;=30)*Ventes!H5:H504),0)</f>
        <v>#ERROR!</v>
      </c>
      <c r="G80" s="257"/>
      <c r="H80" s="257"/>
      <c r="I80" s="257" t="str">
        <f>IFERROR(D80+G80-E80,"")</f>
        <v>#ERROR!</v>
      </c>
      <c r="J80" s="257" t="str">
        <f>IFERROR(D80+H80-F80,"")</f>
        <v>#ERROR!</v>
      </c>
      <c r="K80" s="360" t="str">
        <f>IF(I80="","",IF(I80&lt;0,"Rupture 7j",IF(J80&lt;0,"Rupture 30j","OK")))</f>
        <v>#ERROR!</v>
      </c>
      <c r="L80" s="257"/>
    </row>
    <row r="81">
      <c r="A81" s="259"/>
      <c r="B81" s="259"/>
      <c r="C81" s="259"/>
      <c r="D81" s="259"/>
      <c r="E81" s="259" t="str">
        <f>IFERROR(SUMPRODUCT((Ventes!E5:E504=A81)*(TODAY()-Ventes!A5:A504&lt;=7)*Ventes!H5:H504),0)</f>
        <v>#ERROR!</v>
      </c>
      <c r="F81" s="259" t="str">
        <f>IFERROR(SUMPRODUCT((Ventes!E5:E504=A81)*(TODAY()-Ventes!A5:A504&lt;=30)*Ventes!H5:H504),0)</f>
        <v>#ERROR!</v>
      </c>
      <c r="G81" s="259"/>
      <c r="H81" s="259"/>
      <c r="I81" s="259" t="str">
        <f>IFERROR(D81+G81-E81,"")</f>
        <v>#ERROR!</v>
      </c>
      <c r="J81" s="259" t="str">
        <f>IFERROR(D81+H81-F81,"")</f>
        <v>#ERROR!</v>
      </c>
      <c r="K81" s="76" t="str">
        <f>IF(I81="","",IF(I81&lt;0,"Rupture 7j",IF(J81&lt;0,"Rupture 30j","OK")))</f>
        <v>#ERROR!</v>
      </c>
      <c r="L81" s="259"/>
    </row>
    <row r="82">
      <c r="A82" s="257"/>
      <c r="B82" s="257"/>
      <c r="C82" s="257"/>
      <c r="D82" s="257"/>
      <c r="E82" s="257" t="str">
        <f>IFERROR(SUMPRODUCT((Ventes!E5:E504=A82)*(TODAY()-Ventes!A5:A504&lt;=7)*Ventes!H5:H504),0)</f>
        <v>#ERROR!</v>
      </c>
      <c r="F82" s="257" t="str">
        <f>IFERROR(SUMPRODUCT((Ventes!E5:E504=A82)*(TODAY()-Ventes!A5:A504&lt;=30)*Ventes!H5:H504),0)</f>
        <v>#ERROR!</v>
      </c>
      <c r="G82" s="257"/>
      <c r="H82" s="257"/>
      <c r="I82" s="257" t="str">
        <f>IFERROR(D82+G82-E82,"")</f>
        <v>#ERROR!</v>
      </c>
      <c r="J82" s="257" t="str">
        <f>IFERROR(D82+H82-F82,"")</f>
        <v>#ERROR!</v>
      </c>
      <c r="K82" s="360" t="str">
        <f>IF(I82="","",IF(I82&lt;0,"Rupture 7j",IF(J82&lt;0,"Rupture 30j","OK")))</f>
        <v>#ERROR!</v>
      </c>
      <c r="L82" s="257"/>
    </row>
    <row r="83">
      <c r="A83" s="259"/>
      <c r="B83" s="259"/>
      <c r="C83" s="259"/>
      <c r="D83" s="259"/>
      <c r="E83" s="259" t="str">
        <f>IFERROR(SUMPRODUCT((Ventes!E5:E504=A83)*(TODAY()-Ventes!A5:A504&lt;=7)*Ventes!H5:H504),0)</f>
        <v>#ERROR!</v>
      </c>
      <c r="F83" s="259" t="str">
        <f>IFERROR(SUMPRODUCT((Ventes!E5:E504=A83)*(TODAY()-Ventes!A5:A504&lt;=30)*Ventes!H5:H504),0)</f>
        <v>#ERROR!</v>
      </c>
      <c r="G83" s="259"/>
      <c r="H83" s="259"/>
      <c r="I83" s="259" t="str">
        <f>IFERROR(D83+G83-E83,"")</f>
        <v>#ERROR!</v>
      </c>
      <c r="J83" s="259" t="str">
        <f>IFERROR(D83+H83-F83,"")</f>
        <v>#ERROR!</v>
      </c>
      <c r="K83" s="76" t="str">
        <f>IF(I83="","",IF(I83&lt;0,"Rupture 7j",IF(J83&lt;0,"Rupture 30j","OK")))</f>
        <v>#ERROR!</v>
      </c>
      <c r="L83" s="259"/>
    </row>
    <row r="84">
      <c r="A84" s="257"/>
      <c r="B84" s="257"/>
      <c r="C84" s="257"/>
      <c r="D84" s="257"/>
      <c r="E84" s="257" t="str">
        <f>IFERROR(SUMPRODUCT((Ventes!E5:E504=A84)*(TODAY()-Ventes!A5:A504&lt;=7)*Ventes!H5:H504),0)</f>
        <v>#ERROR!</v>
      </c>
      <c r="F84" s="257" t="str">
        <f>IFERROR(SUMPRODUCT((Ventes!E5:E504=A84)*(TODAY()-Ventes!A5:A504&lt;=30)*Ventes!H5:H504),0)</f>
        <v>#ERROR!</v>
      </c>
      <c r="G84" s="257"/>
      <c r="H84" s="257"/>
      <c r="I84" s="257" t="str">
        <f>IFERROR(D84+G84-E84,"")</f>
        <v>#ERROR!</v>
      </c>
      <c r="J84" s="257" t="str">
        <f>IFERROR(D84+H84-F84,"")</f>
        <v>#ERROR!</v>
      </c>
      <c r="K84" s="360" t="str">
        <f>IF(I84="","",IF(I84&lt;0,"Rupture 7j",IF(J84&lt;0,"Rupture 30j","OK")))</f>
        <v>#ERROR!</v>
      </c>
      <c r="L84" s="257"/>
    </row>
    <row r="85">
      <c r="A85" s="259"/>
      <c r="B85" s="259"/>
      <c r="C85" s="259"/>
      <c r="D85" s="259"/>
      <c r="E85" s="259" t="str">
        <f>IFERROR(SUMPRODUCT((Ventes!E5:E504=A85)*(TODAY()-Ventes!A5:A504&lt;=7)*Ventes!H5:H504),0)</f>
        <v>#ERROR!</v>
      </c>
      <c r="F85" s="259" t="str">
        <f>IFERROR(SUMPRODUCT((Ventes!E5:E504=A85)*(TODAY()-Ventes!A5:A504&lt;=30)*Ventes!H5:H504),0)</f>
        <v>#ERROR!</v>
      </c>
      <c r="G85" s="259"/>
      <c r="H85" s="259"/>
      <c r="I85" s="259" t="str">
        <f>IFERROR(D85+G85-E85,"")</f>
        <v>#ERROR!</v>
      </c>
      <c r="J85" s="259" t="str">
        <f>IFERROR(D85+H85-F85,"")</f>
        <v>#ERROR!</v>
      </c>
      <c r="K85" s="76" t="str">
        <f>IF(I85="","",IF(I85&lt;0,"Rupture 7j",IF(J85&lt;0,"Rupture 30j","OK")))</f>
        <v>#ERROR!</v>
      </c>
      <c r="L85" s="259"/>
    </row>
    <row r="86">
      <c r="A86" s="257"/>
      <c r="B86" s="257"/>
      <c r="C86" s="257"/>
      <c r="D86" s="257"/>
      <c r="E86" s="257" t="str">
        <f>IFERROR(SUMPRODUCT((Ventes!E5:E504=A86)*(TODAY()-Ventes!A5:A504&lt;=7)*Ventes!H5:H504),0)</f>
        <v>#ERROR!</v>
      </c>
      <c r="F86" s="257" t="str">
        <f>IFERROR(SUMPRODUCT((Ventes!E5:E504=A86)*(TODAY()-Ventes!A5:A504&lt;=30)*Ventes!H5:H504),0)</f>
        <v>#ERROR!</v>
      </c>
      <c r="G86" s="257"/>
      <c r="H86" s="257"/>
      <c r="I86" s="257" t="str">
        <f>IFERROR(D86+G86-E86,"")</f>
        <v>#ERROR!</v>
      </c>
      <c r="J86" s="257" t="str">
        <f>IFERROR(D86+H86-F86,"")</f>
        <v>#ERROR!</v>
      </c>
      <c r="K86" s="360" t="str">
        <f>IF(I86="","",IF(I86&lt;0,"Rupture 7j",IF(J86&lt;0,"Rupture 30j","OK")))</f>
        <v>#ERROR!</v>
      </c>
      <c r="L86" s="257"/>
    </row>
    <row r="87">
      <c r="A87" s="259"/>
      <c r="B87" s="259"/>
      <c r="C87" s="259"/>
      <c r="D87" s="259"/>
      <c r="E87" s="259" t="str">
        <f>IFERROR(SUMPRODUCT((Ventes!E5:E504=A87)*(TODAY()-Ventes!A5:A504&lt;=7)*Ventes!H5:H504),0)</f>
        <v>#ERROR!</v>
      </c>
      <c r="F87" s="259" t="str">
        <f>IFERROR(SUMPRODUCT((Ventes!E5:E504=A87)*(TODAY()-Ventes!A5:A504&lt;=30)*Ventes!H5:H504),0)</f>
        <v>#ERROR!</v>
      </c>
      <c r="G87" s="259"/>
      <c r="H87" s="259"/>
      <c r="I87" s="259" t="str">
        <f>IFERROR(D87+G87-E87,"")</f>
        <v>#ERROR!</v>
      </c>
      <c r="J87" s="259" t="str">
        <f>IFERROR(D87+H87-F87,"")</f>
        <v>#ERROR!</v>
      </c>
      <c r="K87" s="76" t="str">
        <f>IF(I87="","",IF(I87&lt;0,"Rupture 7j",IF(J87&lt;0,"Rupture 30j","OK")))</f>
        <v>#ERROR!</v>
      </c>
      <c r="L87" s="259"/>
    </row>
    <row r="88">
      <c r="A88" s="257"/>
      <c r="B88" s="257"/>
      <c r="C88" s="257"/>
      <c r="D88" s="257"/>
      <c r="E88" s="257" t="str">
        <f>IFERROR(SUMPRODUCT((Ventes!E5:E504=A88)*(TODAY()-Ventes!A5:A504&lt;=7)*Ventes!H5:H504),0)</f>
        <v>#ERROR!</v>
      </c>
      <c r="F88" s="257" t="str">
        <f>IFERROR(SUMPRODUCT((Ventes!E5:E504=A88)*(TODAY()-Ventes!A5:A504&lt;=30)*Ventes!H5:H504),0)</f>
        <v>#ERROR!</v>
      </c>
      <c r="G88" s="257"/>
      <c r="H88" s="257"/>
      <c r="I88" s="257" t="str">
        <f>IFERROR(D88+G88-E88,"")</f>
        <v>#ERROR!</v>
      </c>
      <c r="J88" s="257" t="str">
        <f>IFERROR(D88+H88-F88,"")</f>
        <v>#ERROR!</v>
      </c>
      <c r="K88" s="360" t="str">
        <f>IF(I88="","",IF(I88&lt;0,"Rupture 7j",IF(J88&lt;0,"Rupture 30j","OK")))</f>
        <v>#ERROR!</v>
      </c>
      <c r="L88" s="257"/>
    </row>
    <row r="89">
      <c r="A89" s="259"/>
      <c r="B89" s="259"/>
      <c r="C89" s="259"/>
      <c r="D89" s="259"/>
      <c r="E89" s="259" t="str">
        <f>IFERROR(SUMPRODUCT((Ventes!E5:E504=A89)*(TODAY()-Ventes!A5:A504&lt;=7)*Ventes!H5:H504),0)</f>
        <v>#ERROR!</v>
      </c>
      <c r="F89" s="259" t="str">
        <f>IFERROR(SUMPRODUCT((Ventes!E5:E504=A89)*(TODAY()-Ventes!A5:A504&lt;=30)*Ventes!H5:H504),0)</f>
        <v>#ERROR!</v>
      </c>
      <c r="G89" s="259"/>
      <c r="H89" s="259"/>
      <c r="I89" s="259" t="str">
        <f>IFERROR(D89+G89-E89,"")</f>
        <v>#ERROR!</v>
      </c>
      <c r="J89" s="259" t="str">
        <f>IFERROR(D89+H89-F89,"")</f>
        <v>#ERROR!</v>
      </c>
      <c r="K89" s="76" t="str">
        <f>IF(I89="","",IF(I89&lt;0,"Rupture 7j",IF(J89&lt;0,"Rupture 30j","OK")))</f>
        <v>#ERROR!</v>
      </c>
      <c r="L89" s="259"/>
    </row>
    <row r="90">
      <c r="A90" s="257"/>
      <c r="B90" s="257"/>
      <c r="C90" s="257"/>
      <c r="D90" s="257"/>
      <c r="E90" s="257" t="str">
        <f>IFERROR(SUMPRODUCT((Ventes!E5:E504=A90)*(TODAY()-Ventes!A5:A504&lt;=7)*Ventes!H5:H504),0)</f>
        <v>#ERROR!</v>
      </c>
      <c r="F90" s="257" t="str">
        <f>IFERROR(SUMPRODUCT((Ventes!E5:E504=A90)*(TODAY()-Ventes!A5:A504&lt;=30)*Ventes!H5:H504),0)</f>
        <v>#ERROR!</v>
      </c>
      <c r="G90" s="257"/>
      <c r="H90" s="257"/>
      <c r="I90" s="257" t="str">
        <f>IFERROR(D90+G90-E90,"")</f>
        <v>#ERROR!</v>
      </c>
      <c r="J90" s="257" t="str">
        <f>IFERROR(D90+H90-F90,"")</f>
        <v>#ERROR!</v>
      </c>
      <c r="K90" s="360" t="str">
        <f>IF(I90="","",IF(I90&lt;0,"Rupture 7j",IF(J90&lt;0,"Rupture 30j","OK")))</f>
        <v>#ERROR!</v>
      </c>
      <c r="L90" s="257"/>
    </row>
    <row r="91">
      <c r="A91" s="259"/>
      <c r="B91" s="259"/>
      <c r="C91" s="259"/>
      <c r="D91" s="259"/>
      <c r="E91" s="259" t="str">
        <f>IFERROR(SUMPRODUCT((Ventes!E5:E504=A91)*(TODAY()-Ventes!A5:A504&lt;=7)*Ventes!H5:H504),0)</f>
        <v>#ERROR!</v>
      </c>
      <c r="F91" s="259" t="str">
        <f>IFERROR(SUMPRODUCT((Ventes!E5:E504=A91)*(TODAY()-Ventes!A5:A504&lt;=30)*Ventes!H5:H504),0)</f>
        <v>#ERROR!</v>
      </c>
      <c r="G91" s="259"/>
      <c r="H91" s="259"/>
      <c r="I91" s="259" t="str">
        <f>IFERROR(D91+G91-E91,"")</f>
        <v>#ERROR!</v>
      </c>
      <c r="J91" s="259" t="str">
        <f>IFERROR(D91+H91-F91,"")</f>
        <v>#ERROR!</v>
      </c>
      <c r="K91" s="76" t="str">
        <f>IF(I91="","",IF(I91&lt;0,"Rupture 7j",IF(J91&lt;0,"Rupture 30j","OK")))</f>
        <v>#ERROR!</v>
      </c>
      <c r="L91" s="259"/>
    </row>
    <row r="92">
      <c r="A92" s="257"/>
      <c r="B92" s="257"/>
      <c r="C92" s="257"/>
      <c r="D92" s="257"/>
      <c r="E92" s="257" t="str">
        <f>IFERROR(SUMPRODUCT((Ventes!E5:E504=A92)*(TODAY()-Ventes!A5:A504&lt;=7)*Ventes!H5:H504),0)</f>
        <v>#ERROR!</v>
      </c>
      <c r="F92" s="257" t="str">
        <f>IFERROR(SUMPRODUCT((Ventes!E5:E504=A92)*(TODAY()-Ventes!A5:A504&lt;=30)*Ventes!H5:H504),0)</f>
        <v>#ERROR!</v>
      </c>
      <c r="G92" s="257"/>
      <c r="H92" s="257"/>
      <c r="I92" s="257" t="str">
        <f>IFERROR(D92+G92-E92,"")</f>
        <v>#ERROR!</v>
      </c>
      <c r="J92" s="257" t="str">
        <f>IFERROR(D92+H92-F92,"")</f>
        <v>#ERROR!</v>
      </c>
      <c r="K92" s="360" t="str">
        <f>IF(I92="","",IF(I92&lt;0,"Rupture 7j",IF(J92&lt;0,"Rupture 30j","OK")))</f>
        <v>#ERROR!</v>
      </c>
      <c r="L92" s="257"/>
    </row>
    <row r="93">
      <c r="A93" s="259"/>
      <c r="B93" s="259"/>
      <c r="C93" s="259"/>
      <c r="D93" s="259"/>
      <c r="E93" s="259" t="str">
        <f>IFERROR(SUMPRODUCT((Ventes!E5:E504=A93)*(TODAY()-Ventes!A5:A504&lt;=7)*Ventes!H5:H504),0)</f>
        <v>#ERROR!</v>
      </c>
      <c r="F93" s="259" t="str">
        <f>IFERROR(SUMPRODUCT((Ventes!E5:E504=A93)*(TODAY()-Ventes!A5:A504&lt;=30)*Ventes!H5:H504),0)</f>
        <v>#ERROR!</v>
      </c>
      <c r="G93" s="259"/>
      <c r="H93" s="259"/>
      <c r="I93" s="259" t="str">
        <f>IFERROR(D93+G93-E93,"")</f>
        <v>#ERROR!</v>
      </c>
      <c r="J93" s="259" t="str">
        <f>IFERROR(D93+H93-F93,"")</f>
        <v>#ERROR!</v>
      </c>
      <c r="K93" s="76" t="str">
        <f>IF(I93="","",IF(I93&lt;0,"Rupture 7j",IF(J93&lt;0,"Rupture 30j","OK")))</f>
        <v>#ERROR!</v>
      </c>
      <c r="L93" s="259"/>
    </row>
    <row r="94">
      <c r="A94" s="257"/>
      <c r="B94" s="257"/>
      <c r="C94" s="257"/>
      <c r="D94" s="257"/>
      <c r="E94" s="257" t="str">
        <f>IFERROR(SUMPRODUCT((Ventes!E5:E504=A94)*(TODAY()-Ventes!A5:A504&lt;=7)*Ventes!H5:H504),0)</f>
        <v>#ERROR!</v>
      </c>
      <c r="F94" s="257" t="str">
        <f>IFERROR(SUMPRODUCT((Ventes!E5:E504=A94)*(TODAY()-Ventes!A5:A504&lt;=30)*Ventes!H5:H504),0)</f>
        <v>#ERROR!</v>
      </c>
      <c r="G94" s="257"/>
      <c r="H94" s="257"/>
      <c r="I94" s="257" t="str">
        <f>IFERROR(D94+G94-E94,"")</f>
        <v>#ERROR!</v>
      </c>
      <c r="J94" s="257" t="str">
        <f>IFERROR(D94+H94-F94,"")</f>
        <v>#ERROR!</v>
      </c>
      <c r="K94" s="360" t="str">
        <f>IF(I94="","",IF(I94&lt;0,"Rupture 7j",IF(J94&lt;0,"Rupture 30j","OK")))</f>
        <v>#ERROR!</v>
      </c>
      <c r="L94" s="257"/>
    </row>
    <row r="95">
      <c r="A95" s="259"/>
      <c r="B95" s="259"/>
      <c r="C95" s="259"/>
      <c r="D95" s="259"/>
      <c r="E95" s="259" t="str">
        <f>IFERROR(SUMPRODUCT((Ventes!E5:E504=A95)*(TODAY()-Ventes!A5:A504&lt;=7)*Ventes!H5:H504),0)</f>
        <v>#ERROR!</v>
      </c>
      <c r="F95" s="259" t="str">
        <f>IFERROR(SUMPRODUCT((Ventes!E5:E504=A95)*(TODAY()-Ventes!A5:A504&lt;=30)*Ventes!H5:H504),0)</f>
        <v>#ERROR!</v>
      </c>
      <c r="G95" s="259"/>
      <c r="H95" s="259"/>
      <c r="I95" s="259" t="str">
        <f>IFERROR(D95+G95-E95,"")</f>
        <v>#ERROR!</v>
      </c>
      <c r="J95" s="259" t="str">
        <f>IFERROR(D95+H95-F95,"")</f>
        <v>#ERROR!</v>
      </c>
      <c r="K95" s="76" t="str">
        <f>IF(I95="","",IF(I95&lt;0,"Rupture 7j",IF(J95&lt;0,"Rupture 30j","OK")))</f>
        <v>#ERROR!</v>
      </c>
      <c r="L95" s="259"/>
    </row>
    <row r="96">
      <c r="A96" s="257"/>
      <c r="B96" s="257"/>
      <c r="C96" s="257"/>
      <c r="D96" s="257"/>
      <c r="E96" s="257" t="str">
        <f>IFERROR(SUMPRODUCT((Ventes!E5:E504=A96)*(TODAY()-Ventes!A5:A504&lt;=7)*Ventes!H5:H504),0)</f>
        <v>#ERROR!</v>
      </c>
      <c r="F96" s="257" t="str">
        <f>IFERROR(SUMPRODUCT((Ventes!E5:E504=A96)*(TODAY()-Ventes!A5:A504&lt;=30)*Ventes!H5:H504),0)</f>
        <v>#ERROR!</v>
      </c>
      <c r="G96" s="257"/>
      <c r="H96" s="257"/>
      <c r="I96" s="257" t="str">
        <f>IFERROR(D96+G96-E96,"")</f>
        <v>#ERROR!</v>
      </c>
      <c r="J96" s="257" t="str">
        <f>IFERROR(D96+H96-F96,"")</f>
        <v>#ERROR!</v>
      </c>
      <c r="K96" s="360" t="str">
        <f>IF(I96="","",IF(I96&lt;0,"Rupture 7j",IF(J96&lt;0,"Rupture 30j","OK")))</f>
        <v>#ERROR!</v>
      </c>
      <c r="L96" s="257"/>
    </row>
    <row r="97">
      <c r="A97" s="259"/>
      <c r="B97" s="259"/>
      <c r="C97" s="259"/>
      <c r="D97" s="259"/>
      <c r="E97" s="259" t="str">
        <f>IFERROR(SUMPRODUCT((Ventes!E5:E504=A97)*(TODAY()-Ventes!A5:A504&lt;=7)*Ventes!H5:H504),0)</f>
        <v>#ERROR!</v>
      </c>
      <c r="F97" s="259" t="str">
        <f>IFERROR(SUMPRODUCT((Ventes!E5:E504=A97)*(TODAY()-Ventes!A5:A504&lt;=30)*Ventes!H5:H504),0)</f>
        <v>#ERROR!</v>
      </c>
      <c r="G97" s="259"/>
      <c r="H97" s="259"/>
      <c r="I97" s="259" t="str">
        <f>IFERROR(D97+G97-E97,"")</f>
        <v>#ERROR!</v>
      </c>
      <c r="J97" s="259" t="str">
        <f>IFERROR(D97+H97-F97,"")</f>
        <v>#ERROR!</v>
      </c>
      <c r="K97" s="76" t="str">
        <f>IF(I97="","",IF(I97&lt;0,"Rupture 7j",IF(J97&lt;0,"Rupture 30j","OK")))</f>
        <v>#ERROR!</v>
      </c>
      <c r="L97" s="259"/>
    </row>
    <row r="98">
      <c r="A98" s="257"/>
      <c r="B98" s="257"/>
      <c r="C98" s="257"/>
      <c r="D98" s="257"/>
      <c r="E98" s="257" t="str">
        <f>IFERROR(SUMPRODUCT((Ventes!E5:E504=A98)*(TODAY()-Ventes!A5:A504&lt;=7)*Ventes!H5:H504),0)</f>
        <v>#ERROR!</v>
      </c>
      <c r="F98" s="257" t="str">
        <f>IFERROR(SUMPRODUCT((Ventes!E5:E504=A98)*(TODAY()-Ventes!A5:A504&lt;=30)*Ventes!H5:H504),0)</f>
        <v>#ERROR!</v>
      </c>
      <c r="G98" s="257"/>
      <c r="H98" s="257"/>
      <c r="I98" s="257" t="str">
        <f>IFERROR(D98+G98-E98,"")</f>
        <v>#ERROR!</v>
      </c>
      <c r="J98" s="257" t="str">
        <f>IFERROR(D98+H98-F98,"")</f>
        <v>#ERROR!</v>
      </c>
      <c r="K98" s="360" t="str">
        <f>IF(I98="","",IF(I98&lt;0,"Rupture 7j",IF(J98&lt;0,"Rupture 30j","OK")))</f>
        <v>#ERROR!</v>
      </c>
      <c r="L98" s="257"/>
    </row>
    <row r="99">
      <c r="A99" s="259"/>
      <c r="B99" s="259"/>
      <c r="C99" s="259"/>
      <c r="D99" s="259"/>
      <c r="E99" s="259" t="str">
        <f>IFERROR(SUMPRODUCT((Ventes!E5:E504=A99)*(TODAY()-Ventes!A5:A504&lt;=7)*Ventes!H5:H504),0)</f>
        <v>#ERROR!</v>
      </c>
      <c r="F99" s="259" t="str">
        <f>IFERROR(SUMPRODUCT((Ventes!E5:E504=A99)*(TODAY()-Ventes!A5:A504&lt;=30)*Ventes!H5:H504),0)</f>
        <v>#ERROR!</v>
      </c>
      <c r="G99" s="259"/>
      <c r="H99" s="259"/>
      <c r="I99" s="259" t="str">
        <f>IFERROR(D99+G99-E99,"")</f>
        <v>#ERROR!</v>
      </c>
      <c r="J99" s="259" t="str">
        <f>IFERROR(D99+H99-F99,"")</f>
        <v>#ERROR!</v>
      </c>
      <c r="K99" s="76" t="str">
        <f>IF(I99="","",IF(I99&lt;0,"Rupture 7j",IF(J99&lt;0,"Rupture 30j","OK")))</f>
        <v>#ERROR!</v>
      </c>
      <c r="L99" s="259"/>
    </row>
    <row r="100">
      <c r="A100" s="257"/>
      <c r="B100" s="257"/>
      <c r="C100" s="257"/>
      <c r="D100" s="257"/>
      <c r="E100" s="257" t="str">
        <f>IFERROR(SUMPRODUCT((Ventes!E5:E504=A100)*(TODAY()-Ventes!A5:A504&lt;=7)*Ventes!H5:H504),0)</f>
        <v>#ERROR!</v>
      </c>
      <c r="F100" s="257" t="str">
        <f>IFERROR(SUMPRODUCT((Ventes!E5:E504=A100)*(TODAY()-Ventes!A5:A504&lt;=30)*Ventes!H5:H504),0)</f>
        <v>#ERROR!</v>
      </c>
      <c r="G100" s="257"/>
      <c r="H100" s="257"/>
      <c r="I100" s="257" t="str">
        <f>IFERROR(D100+G100-E100,"")</f>
        <v>#ERROR!</v>
      </c>
      <c r="J100" s="257" t="str">
        <f>IFERROR(D100+H100-F100,"")</f>
        <v>#ERROR!</v>
      </c>
      <c r="K100" s="360" t="str">
        <f>IF(I100="","",IF(I100&lt;0,"Rupture 7j",IF(J100&lt;0,"Rupture 30j","OK")))</f>
        <v>#ERROR!</v>
      </c>
      <c r="L100" s="257"/>
    </row>
    <row r="101">
      <c r="A101" s="259"/>
      <c r="B101" s="259"/>
      <c r="C101" s="259"/>
      <c r="D101" s="259"/>
      <c r="E101" s="259" t="str">
        <f>IFERROR(SUMPRODUCT((Ventes!E5:E504=A101)*(TODAY()-Ventes!A5:A504&lt;=7)*Ventes!H5:H504),0)</f>
        <v>#ERROR!</v>
      </c>
      <c r="F101" s="259" t="str">
        <f>IFERROR(SUMPRODUCT((Ventes!E5:E504=A101)*(TODAY()-Ventes!A5:A504&lt;=30)*Ventes!H5:H504),0)</f>
        <v>#ERROR!</v>
      </c>
      <c r="G101" s="259"/>
      <c r="H101" s="259"/>
      <c r="I101" s="259" t="str">
        <f>IFERROR(D101+G101-E101,"")</f>
        <v>#ERROR!</v>
      </c>
      <c r="J101" s="259" t="str">
        <f>IFERROR(D101+H101-F101,"")</f>
        <v>#ERROR!</v>
      </c>
      <c r="K101" s="76" t="str">
        <f>IF(I101="","",IF(I101&lt;0,"Rupture 7j",IF(J101&lt;0,"Rupture 30j","OK")))</f>
        <v>#ERROR!</v>
      </c>
      <c r="L101" s="259"/>
    </row>
    <row r="102">
      <c r="A102" s="257"/>
      <c r="B102" s="257"/>
      <c r="C102" s="257"/>
      <c r="D102" s="257"/>
      <c r="E102" s="257" t="str">
        <f>IFERROR(SUMPRODUCT((Ventes!E5:E504=A102)*(TODAY()-Ventes!A5:A504&lt;=7)*Ventes!H5:H504),0)</f>
        <v>#ERROR!</v>
      </c>
      <c r="F102" s="257" t="str">
        <f>IFERROR(SUMPRODUCT((Ventes!E5:E504=A102)*(TODAY()-Ventes!A5:A504&lt;=30)*Ventes!H5:H504),0)</f>
        <v>#ERROR!</v>
      </c>
      <c r="G102" s="257"/>
      <c r="H102" s="257"/>
      <c r="I102" s="257" t="str">
        <f>IFERROR(D102+G102-E102,"")</f>
        <v>#ERROR!</v>
      </c>
      <c r="J102" s="257" t="str">
        <f>IFERROR(D102+H102-F102,"")</f>
        <v>#ERROR!</v>
      </c>
      <c r="K102" s="360" t="str">
        <f>IF(I102="","",IF(I102&lt;0,"Rupture 7j",IF(J102&lt;0,"Rupture 30j","OK")))</f>
        <v>#ERROR!</v>
      </c>
      <c r="L102" s="257"/>
    </row>
    <row r="103">
      <c r="A103" s="259"/>
      <c r="B103" s="259"/>
      <c r="C103" s="259"/>
      <c r="D103" s="259"/>
      <c r="E103" s="259" t="str">
        <f>IFERROR(SUMPRODUCT((Ventes!E5:E504=A103)*(TODAY()-Ventes!A5:A504&lt;=7)*Ventes!H5:H504),0)</f>
        <v>#ERROR!</v>
      </c>
      <c r="F103" s="259" t="str">
        <f>IFERROR(SUMPRODUCT((Ventes!E5:E504=A103)*(TODAY()-Ventes!A5:A504&lt;=30)*Ventes!H5:H504),0)</f>
        <v>#ERROR!</v>
      </c>
      <c r="G103" s="259"/>
      <c r="H103" s="259"/>
      <c r="I103" s="259" t="str">
        <f>IFERROR(D103+G103-E103,"")</f>
        <v>#ERROR!</v>
      </c>
      <c r="J103" s="259" t="str">
        <f>IFERROR(D103+H103-F103,"")</f>
        <v>#ERROR!</v>
      </c>
      <c r="K103" s="76" t="str">
        <f>IF(I103="","",IF(I103&lt;0,"Rupture 7j",IF(J103&lt;0,"Rupture 30j","OK")))</f>
        <v>#ERROR!</v>
      </c>
      <c r="L103" s="259"/>
    </row>
    <row r="104">
      <c r="A104" s="257"/>
      <c r="B104" s="257"/>
      <c r="C104" s="257"/>
      <c r="D104" s="257"/>
      <c r="E104" s="257" t="str">
        <f>IFERROR(SUMPRODUCT((Ventes!E5:E504=A104)*(TODAY()-Ventes!A5:A504&lt;=7)*Ventes!H5:H504),0)</f>
        <v>#ERROR!</v>
      </c>
      <c r="F104" s="257" t="str">
        <f>IFERROR(SUMPRODUCT((Ventes!E5:E504=A104)*(TODAY()-Ventes!A5:A504&lt;=30)*Ventes!H5:H504),0)</f>
        <v>#ERROR!</v>
      </c>
      <c r="G104" s="257"/>
      <c r="H104" s="257"/>
      <c r="I104" s="257" t="str">
        <f>IFERROR(D104+G104-E104,"")</f>
        <v>#ERROR!</v>
      </c>
      <c r="J104" s="257" t="str">
        <f>IFERROR(D104+H104-F104,"")</f>
        <v>#ERROR!</v>
      </c>
      <c r="K104" s="360" t="str">
        <f>IF(I104="","",IF(I104&lt;0,"Rupture 7j",IF(J104&lt;0,"Rupture 30j","OK")))</f>
        <v>#ERROR!</v>
      </c>
      <c r="L104" s="257"/>
    </row>
    <row r="105">
      <c r="A105" s="259"/>
      <c r="B105" s="259"/>
      <c r="C105" s="259"/>
      <c r="D105" s="259"/>
      <c r="E105" s="259" t="str">
        <f>IFERROR(SUMPRODUCT((Ventes!E5:E504=A105)*(TODAY()-Ventes!A5:A504&lt;=7)*Ventes!H5:H504),0)</f>
        <v>#ERROR!</v>
      </c>
      <c r="F105" s="259" t="str">
        <f>IFERROR(SUMPRODUCT((Ventes!E5:E504=A105)*(TODAY()-Ventes!A5:A504&lt;=30)*Ventes!H5:H504),0)</f>
        <v>#ERROR!</v>
      </c>
      <c r="G105" s="259"/>
      <c r="H105" s="259"/>
      <c r="I105" s="259" t="str">
        <f>IFERROR(D105+G105-E105,"")</f>
        <v>#ERROR!</v>
      </c>
      <c r="J105" s="259" t="str">
        <f>IFERROR(D105+H105-F105,"")</f>
        <v>#ERROR!</v>
      </c>
      <c r="K105" s="76" t="str">
        <f>IF(I105="","",IF(I105&lt;0,"Rupture 7j",IF(J105&lt;0,"Rupture 30j","OK")))</f>
        <v>#ERROR!</v>
      </c>
      <c r="L105" s="259"/>
    </row>
    <row r="106">
      <c r="A106" s="257"/>
      <c r="B106" s="257"/>
      <c r="C106" s="257"/>
      <c r="D106" s="257"/>
      <c r="E106" s="257" t="str">
        <f>IFERROR(SUMPRODUCT((Ventes!E5:E504=A106)*(TODAY()-Ventes!A5:A504&lt;=7)*Ventes!H5:H504),0)</f>
        <v>#ERROR!</v>
      </c>
      <c r="F106" s="257" t="str">
        <f>IFERROR(SUMPRODUCT((Ventes!E5:E504=A106)*(TODAY()-Ventes!A5:A504&lt;=30)*Ventes!H5:H504),0)</f>
        <v>#ERROR!</v>
      </c>
      <c r="G106" s="257"/>
      <c r="H106" s="257"/>
      <c r="I106" s="257" t="str">
        <f>IFERROR(D106+G106-E106,"")</f>
        <v>#ERROR!</v>
      </c>
      <c r="J106" s="257" t="str">
        <f>IFERROR(D106+H106-F106,"")</f>
        <v>#ERROR!</v>
      </c>
      <c r="K106" s="360" t="str">
        <f>IF(I106="","",IF(I106&lt;0,"Rupture 7j",IF(J106&lt;0,"Rupture 30j","OK")))</f>
        <v>#ERROR!</v>
      </c>
      <c r="L106" s="257"/>
    </row>
    <row r="107">
      <c r="A107" s="259"/>
      <c r="B107" s="259"/>
      <c r="C107" s="259"/>
      <c r="D107" s="259"/>
      <c r="E107" s="259" t="str">
        <f>IFERROR(SUMPRODUCT((Ventes!E5:E504=A107)*(TODAY()-Ventes!A5:A504&lt;=7)*Ventes!H5:H504),0)</f>
        <v>#ERROR!</v>
      </c>
      <c r="F107" s="259" t="str">
        <f>IFERROR(SUMPRODUCT((Ventes!E5:E504=A107)*(TODAY()-Ventes!A5:A504&lt;=30)*Ventes!H5:H504),0)</f>
        <v>#ERROR!</v>
      </c>
      <c r="G107" s="259"/>
      <c r="H107" s="259"/>
      <c r="I107" s="259" t="str">
        <f>IFERROR(D107+G107-E107,"")</f>
        <v>#ERROR!</v>
      </c>
      <c r="J107" s="259" t="str">
        <f>IFERROR(D107+H107-F107,"")</f>
        <v>#ERROR!</v>
      </c>
      <c r="K107" s="76" t="str">
        <f>IF(I107="","",IF(I107&lt;0,"Rupture 7j",IF(J107&lt;0,"Rupture 30j","OK")))</f>
        <v>#ERROR!</v>
      </c>
      <c r="L107" s="259"/>
    </row>
    <row r="108">
      <c r="A108" s="257"/>
      <c r="B108" s="257"/>
      <c r="C108" s="257"/>
      <c r="D108" s="257"/>
      <c r="E108" s="257" t="str">
        <f>IFERROR(SUMPRODUCT((Ventes!E5:E504=A108)*(TODAY()-Ventes!A5:A504&lt;=7)*Ventes!H5:H504),0)</f>
        <v>#ERROR!</v>
      </c>
      <c r="F108" s="257" t="str">
        <f>IFERROR(SUMPRODUCT((Ventes!E5:E504=A108)*(TODAY()-Ventes!A5:A504&lt;=30)*Ventes!H5:H504),0)</f>
        <v>#ERROR!</v>
      </c>
      <c r="G108" s="257"/>
      <c r="H108" s="257"/>
      <c r="I108" s="257" t="str">
        <f>IFERROR(D108+G108-E108,"")</f>
        <v>#ERROR!</v>
      </c>
      <c r="J108" s="257" t="str">
        <f>IFERROR(D108+H108-F108,"")</f>
        <v>#ERROR!</v>
      </c>
      <c r="K108" s="360" t="str">
        <f>IF(I108="","",IF(I108&lt;0,"Rupture 7j",IF(J108&lt;0,"Rupture 30j","OK")))</f>
        <v>#ERROR!</v>
      </c>
      <c r="L108" s="257"/>
    </row>
    <row r="109">
      <c r="A109" s="259"/>
      <c r="B109" s="259"/>
      <c r="C109" s="259"/>
      <c r="D109" s="259"/>
      <c r="E109" s="259" t="str">
        <f>IFERROR(SUMPRODUCT((Ventes!E5:E504=A109)*(TODAY()-Ventes!A5:A504&lt;=7)*Ventes!H5:H504),0)</f>
        <v>#ERROR!</v>
      </c>
      <c r="F109" s="259" t="str">
        <f>IFERROR(SUMPRODUCT((Ventes!E5:E504=A109)*(TODAY()-Ventes!A5:A504&lt;=30)*Ventes!H5:H504),0)</f>
        <v>#ERROR!</v>
      </c>
      <c r="G109" s="259"/>
      <c r="H109" s="259"/>
      <c r="I109" s="259" t="str">
        <f>IFERROR(D109+G109-E109,"")</f>
        <v>#ERROR!</v>
      </c>
      <c r="J109" s="259" t="str">
        <f>IFERROR(D109+H109-F109,"")</f>
        <v>#ERROR!</v>
      </c>
      <c r="K109" s="76" t="str">
        <f>IF(I109="","",IF(I109&lt;0,"Rupture 7j",IF(J109&lt;0,"Rupture 30j","OK")))</f>
        <v>#ERROR!</v>
      </c>
      <c r="L109" s="259"/>
    </row>
    <row r="110">
      <c r="A110" s="257"/>
      <c r="B110" s="257"/>
      <c r="C110" s="257"/>
      <c r="D110" s="257"/>
      <c r="E110" s="257" t="str">
        <f>IFERROR(SUMPRODUCT((Ventes!E5:E504=A110)*(TODAY()-Ventes!A5:A504&lt;=7)*Ventes!H5:H504),0)</f>
        <v>#ERROR!</v>
      </c>
      <c r="F110" s="257" t="str">
        <f>IFERROR(SUMPRODUCT((Ventes!E5:E504=A110)*(TODAY()-Ventes!A5:A504&lt;=30)*Ventes!H5:H504),0)</f>
        <v>#ERROR!</v>
      </c>
      <c r="G110" s="257"/>
      <c r="H110" s="257"/>
      <c r="I110" s="257" t="str">
        <f>IFERROR(D110+G110-E110,"")</f>
        <v>#ERROR!</v>
      </c>
      <c r="J110" s="257" t="str">
        <f>IFERROR(D110+H110-F110,"")</f>
        <v>#ERROR!</v>
      </c>
      <c r="K110" s="360" t="str">
        <f>IF(I110="","",IF(I110&lt;0,"Rupture 7j",IF(J110&lt;0,"Rupture 30j","OK")))</f>
        <v>#ERROR!</v>
      </c>
      <c r="L110" s="257"/>
    </row>
    <row r="111">
      <c r="A111" s="259"/>
      <c r="B111" s="259"/>
      <c r="C111" s="259"/>
      <c r="D111" s="259"/>
      <c r="E111" s="259" t="str">
        <f>IFERROR(SUMPRODUCT((Ventes!E5:E504=A111)*(TODAY()-Ventes!A5:A504&lt;=7)*Ventes!H5:H504),0)</f>
        <v>#ERROR!</v>
      </c>
      <c r="F111" s="259" t="str">
        <f>IFERROR(SUMPRODUCT((Ventes!E5:E504=A111)*(TODAY()-Ventes!A5:A504&lt;=30)*Ventes!H5:H504),0)</f>
        <v>#ERROR!</v>
      </c>
      <c r="G111" s="259"/>
      <c r="H111" s="259"/>
      <c r="I111" s="259" t="str">
        <f>IFERROR(D111+G111-E111,"")</f>
        <v>#ERROR!</v>
      </c>
      <c r="J111" s="259" t="str">
        <f>IFERROR(D111+H111-F111,"")</f>
        <v>#ERROR!</v>
      </c>
      <c r="K111" s="76" t="str">
        <f>IF(I111="","",IF(I111&lt;0,"Rupture 7j",IF(J111&lt;0,"Rupture 30j","OK")))</f>
        <v>#ERROR!</v>
      </c>
      <c r="L111" s="259"/>
    </row>
    <row r="112">
      <c r="A112" s="257"/>
      <c r="B112" s="257"/>
      <c r="C112" s="257"/>
      <c r="D112" s="257"/>
      <c r="E112" s="257" t="str">
        <f>IFERROR(SUMPRODUCT((Ventes!E5:E504=A112)*(TODAY()-Ventes!A5:A504&lt;=7)*Ventes!H5:H504),0)</f>
        <v>#ERROR!</v>
      </c>
      <c r="F112" s="257" t="str">
        <f>IFERROR(SUMPRODUCT((Ventes!E5:E504=A112)*(TODAY()-Ventes!A5:A504&lt;=30)*Ventes!H5:H504),0)</f>
        <v>#ERROR!</v>
      </c>
      <c r="G112" s="257"/>
      <c r="H112" s="257"/>
      <c r="I112" s="257" t="str">
        <f>IFERROR(D112+G112-E112,"")</f>
        <v>#ERROR!</v>
      </c>
      <c r="J112" s="257" t="str">
        <f>IFERROR(D112+H112-F112,"")</f>
        <v>#ERROR!</v>
      </c>
      <c r="K112" s="360" t="str">
        <f>IF(I112="","",IF(I112&lt;0,"Rupture 7j",IF(J112&lt;0,"Rupture 30j","OK")))</f>
        <v>#ERROR!</v>
      </c>
      <c r="L112" s="257"/>
    </row>
    <row r="113">
      <c r="A113" s="259"/>
      <c r="B113" s="259"/>
      <c r="C113" s="259"/>
      <c r="D113" s="259"/>
      <c r="E113" s="259" t="str">
        <f>IFERROR(SUMPRODUCT((Ventes!E5:E504=A113)*(TODAY()-Ventes!A5:A504&lt;=7)*Ventes!H5:H504),0)</f>
        <v>#ERROR!</v>
      </c>
      <c r="F113" s="259" t="str">
        <f>IFERROR(SUMPRODUCT((Ventes!E5:E504=A113)*(TODAY()-Ventes!A5:A504&lt;=30)*Ventes!H5:H504),0)</f>
        <v>#ERROR!</v>
      </c>
      <c r="G113" s="259"/>
      <c r="H113" s="259"/>
      <c r="I113" s="259" t="str">
        <f>IFERROR(D113+G113-E113,"")</f>
        <v>#ERROR!</v>
      </c>
      <c r="J113" s="259" t="str">
        <f>IFERROR(D113+H113-F113,"")</f>
        <v>#ERROR!</v>
      </c>
      <c r="K113" s="76" t="str">
        <f>IF(I113="","",IF(I113&lt;0,"Rupture 7j",IF(J113&lt;0,"Rupture 30j","OK")))</f>
        <v>#ERROR!</v>
      </c>
      <c r="L113" s="259"/>
    </row>
    <row r="114">
      <c r="A114" s="257"/>
      <c r="B114" s="257"/>
      <c r="C114" s="257"/>
      <c r="D114" s="257"/>
      <c r="E114" s="257" t="str">
        <f>IFERROR(SUMPRODUCT((Ventes!E5:E504=A114)*(TODAY()-Ventes!A5:A504&lt;=7)*Ventes!H5:H504),0)</f>
        <v>#ERROR!</v>
      </c>
      <c r="F114" s="257" t="str">
        <f>IFERROR(SUMPRODUCT((Ventes!E5:E504=A114)*(TODAY()-Ventes!A5:A504&lt;=30)*Ventes!H5:H504),0)</f>
        <v>#ERROR!</v>
      </c>
      <c r="G114" s="257"/>
      <c r="H114" s="257"/>
      <c r="I114" s="257" t="str">
        <f>IFERROR(D114+G114-E114,"")</f>
        <v>#ERROR!</v>
      </c>
      <c r="J114" s="257" t="str">
        <f>IFERROR(D114+H114-F114,"")</f>
        <v>#ERROR!</v>
      </c>
      <c r="K114" s="360" t="str">
        <f>IF(I114="","",IF(I114&lt;0,"Rupture 7j",IF(J114&lt;0,"Rupture 30j","OK")))</f>
        <v>#ERROR!</v>
      </c>
      <c r="L114" s="257"/>
    </row>
    <row r="115">
      <c r="A115" s="259"/>
      <c r="B115" s="259"/>
      <c r="C115" s="259"/>
      <c r="D115" s="259"/>
      <c r="E115" s="259" t="str">
        <f>IFERROR(SUMPRODUCT((Ventes!E5:E504=A115)*(TODAY()-Ventes!A5:A504&lt;=7)*Ventes!H5:H504),0)</f>
        <v>#ERROR!</v>
      </c>
      <c r="F115" s="259" t="str">
        <f>IFERROR(SUMPRODUCT((Ventes!E5:E504=A115)*(TODAY()-Ventes!A5:A504&lt;=30)*Ventes!H5:H504),0)</f>
        <v>#ERROR!</v>
      </c>
      <c r="G115" s="259"/>
      <c r="H115" s="259"/>
      <c r="I115" s="259" t="str">
        <f>IFERROR(D115+G115-E115,"")</f>
        <v>#ERROR!</v>
      </c>
      <c r="J115" s="259" t="str">
        <f>IFERROR(D115+H115-F115,"")</f>
        <v>#ERROR!</v>
      </c>
      <c r="K115" s="76" t="str">
        <f>IF(I115="","",IF(I115&lt;0,"Rupture 7j",IF(J115&lt;0,"Rupture 30j","OK")))</f>
        <v>#ERROR!</v>
      </c>
      <c r="L115" s="259"/>
    </row>
    <row r="116">
      <c r="A116" s="257"/>
      <c r="B116" s="257"/>
      <c r="C116" s="257"/>
      <c r="D116" s="257"/>
      <c r="E116" s="257" t="str">
        <f>IFERROR(SUMPRODUCT((Ventes!E5:E504=A116)*(TODAY()-Ventes!A5:A504&lt;=7)*Ventes!H5:H504),0)</f>
        <v>#ERROR!</v>
      </c>
      <c r="F116" s="257" t="str">
        <f>IFERROR(SUMPRODUCT((Ventes!E5:E504=A116)*(TODAY()-Ventes!A5:A504&lt;=30)*Ventes!H5:H504),0)</f>
        <v>#ERROR!</v>
      </c>
      <c r="G116" s="257"/>
      <c r="H116" s="257"/>
      <c r="I116" s="257" t="str">
        <f>IFERROR(D116+G116-E116,"")</f>
        <v>#ERROR!</v>
      </c>
      <c r="J116" s="257" t="str">
        <f>IFERROR(D116+H116-F116,"")</f>
        <v>#ERROR!</v>
      </c>
      <c r="K116" s="360" t="str">
        <f>IF(I116="","",IF(I116&lt;0,"Rupture 7j",IF(J116&lt;0,"Rupture 30j","OK")))</f>
        <v>#ERROR!</v>
      </c>
      <c r="L116" s="257"/>
    </row>
    <row r="117">
      <c r="A117" s="259"/>
      <c r="B117" s="259"/>
      <c r="C117" s="259"/>
      <c r="D117" s="259"/>
      <c r="E117" s="259" t="str">
        <f>IFERROR(SUMPRODUCT((Ventes!E5:E504=A117)*(TODAY()-Ventes!A5:A504&lt;=7)*Ventes!H5:H504),0)</f>
        <v>#ERROR!</v>
      </c>
      <c r="F117" s="259" t="str">
        <f>IFERROR(SUMPRODUCT((Ventes!E5:E504=A117)*(TODAY()-Ventes!A5:A504&lt;=30)*Ventes!H5:H504),0)</f>
        <v>#ERROR!</v>
      </c>
      <c r="G117" s="259"/>
      <c r="H117" s="259"/>
      <c r="I117" s="259" t="str">
        <f>IFERROR(D117+G117-E117,"")</f>
        <v>#ERROR!</v>
      </c>
      <c r="J117" s="259" t="str">
        <f>IFERROR(D117+H117-F117,"")</f>
        <v>#ERROR!</v>
      </c>
      <c r="K117" s="76" t="str">
        <f>IF(I117="","",IF(I117&lt;0,"Rupture 7j",IF(J117&lt;0,"Rupture 30j","OK")))</f>
        <v>#ERROR!</v>
      </c>
      <c r="L117" s="259"/>
    </row>
    <row r="118">
      <c r="A118" s="257"/>
      <c r="B118" s="257"/>
      <c r="C118" s="257"/>
      <c r="D118" s="257"/>
      <c r="E118" s="257" t="str">
        <f>IFERROR(SUMPRODUCT((Ventes!E5:E504=A118)*(TODAY()-Ventes!A5:A504&lt;=7)*Ventes!H5:H504),0)</f>
        <v>#ERROR!</v>
      </c>
      <c r="F118" s="257" t="str">
        <f>IFERROR(SUMPRODUCT((Ventes!E5:E504=A118)*(TODAY()-Ventes!A5:A504&lt;=30)*Ventes!H5:H504),0)</f>
        <v>#ERROR!</v>
      </c>
      <c r="G118" s="257"/>
      <c r="H118" s="257"/>
      <c r="I118" s="257" t="str">
        <f>IFERROR(D118+G118-E118,"")</f>
        <v>#ERROR!</v>
      </c>
      <c r="J118" s="257" t="str">
        <f>IFERROR(D118+H118-F118,"")</f>
        <v>#ERROR!</v>
      </c>
      <c r="K118" s="360" t="str">
        <f>IF(I118="","",IF(I118&lt;0,"Rupture 7j",IF(J118&lt;0,"Rupture 30j","OK")))</f>
        <v>#ERROR!</v>
      </c>
      <c r="L118" s="257"/>
    </row>
    <row r="119">
      <c r="A119" s="259"/>
      <c r="B119" s="259"/>
      <c r="C119" s="259"/>
      <c r="D119" s="259"/>
      <c r="E119" s="259" t="str">
        <f>IFERROR(SUMPRODUCT((Ventes!E5:E504=A119)*(TODAY()-Ventes!A5:A504&lt;=7)*Ventes!H5:H504),0)</f>
        <v>#ERROR!</v>
      </c>
      <c r="F119" s="259" t="str">
        <f>IFERROR(SUMPRODUCT((Ventes!E5:E504=A119)*(TODAY()-Ventes!A5:A504&lt;=30)*Ventes!H5:H504),0)</f>
        <v>#ERROR!</v>
      </c>
      <c r="G119" s="259"/>
      <c r="H119" s="259"/>
      <c r="I119" s="259" t="str">
        <f>IFERROR(D119+G119-E119,"")</f>
        <v>#ERROR!</v>
      </c>
      <c r="J119" s="259" t="str">
        <f>IFERROR(D119+H119-F119,"")</f>
        <v>#ERROR!</v>
      </c>
      <c r="K119" s="76" t="str">
        <f>IF(I119="","",IF(I119&lt;0,"Rupture 7j",IF(J119&lt;0,"Rupture 30j","OK")))</f>
        <v>#ERROR!</v>
      </c>
      <c r="L119" s="259"/>
    </row>
    <row r="120">
      <c r="A120" s="257"/>
      <c r="B120" s="257"/>
      <c r="C120" s="257"/>
      <c r="D120" s="257"/>
      <c r="E120" s="257" t="str">
        <f>IFERROR(SUMPRODUCT((Ventes!E5:E504=A120)*(TODAY()-Ventes!A5:A504&lt;=7)*Ventes!H5:H504),0)</f>
        <v>#ERROR!</v>
      </c>
      <c r="F120" s="257" t="str">
        <f>IFERROR(SUMPRODUCT((Ventes!E5:E504=A120)*(TODAY()-Ventes!A5:A504&lt;=30)*Ventes!H5:H504),0)</f>
        <v>#ERROR!</v>
      </c>
      <c r="G120" s="257"/>
      <c r="H120" s="257"/>
      <c r="I120" s="257" t="str">
        <f>IFERROR(D120+G120-E120,"")</f>
        <v>#ERROR!</v>
      </c>
      <c r="J120" s="257" t="str">
        <f>IFERROR(D120+H120-F120,"")</f>
        <v>#ERROR!</v>
      </c>
      <c r="K120" s="360" t="str">
        <f>IF(I120="","",IF(I120&lt;0,"Rupture 7j",IF(J120&lt;0,"Rupture 30j","OK")))</f>
        <v>#ERROR!</v>
      </c>
      <c r="L120" s="257"/>
    </row>
    <row r="121">
      <c r="A121" s="259"/>
      <c r="B121" s="259"/>
      <c r="C121" s="259"/>
      <c r="D121" s="259"/>
      <c r="E121" s="259" t="str">
        <f>IFERROR(SUMPRODUCT((Ventes!E5:E504=A121)*(TODAY()-Ventes!A5:A504&lt;=7)*Ventes!H5:H504),0)</f>
        <v>#ERROR!</v>
      </c>
      <c r="F121" s="259" t="str">
        <f>IFERROR(SUMPRODUCT((Ventes!E5:E504=A121)*(TODAY()-Ventes!A5:A504&lt;=30)*Ventes!H5:H504),0)</f>
        <v>#ERROR!</v>
      </c>
      <c r="G121" s="259"/>
      <c r="H121" s="259"/>
      <c r="I121" s="259" t="str">
        <f>IFERROR(D121+G121-E121,"")</f>
        <v>#ERROR!</v>
      </c>
      <c r="J121" s="259" t="str">
        <f>IFERROR(D121+H121-F121,"")</f>
        <v>#ERROR!</v>
      </c>
      <c r="K121" s="76" t="str">
        <f>IF(I121="","",IF(I121&lt;0,"Rupture 7j",IF(J121&lt;0,"Rupture 30j","OK")))</f>
        <v>#ERROR!</v>
      </c>
      <c r="L121" s="259"/>
    </row>
    <row r="122">
      <c r="A122" s="257"/>
      <c r="B122" s="257"/>
      <c r="C122" s="257"/>
      <c r="D122" s="257"/>
      <c r="E122" s="257" t="str">
        <f>IFERROR(SUMPRODUCT((Ventes!E5:E504=A122)*(TODAY()-Ventes!A5:A504&lt;=7)*Ventes!H5:H504),0)</f>
        <v>#ERROR!</v>
      </c>
      <c r="F122" s="257" t="str">
        <f>IFERROR(SUMPRODUCT((Ventes!E5:E504=A122)*(TODAY()-Ventes!A5:A504&lt;=30)*Ventes!H5:H504),0)</f>
        <v>#ERROR!</v>
      </c>
      <c r="G122" s="257"/>
      <c r="H122" s="257"/>
      <c r="I122" s="257" t="str">
        <f>IFERROR(D122+G122-E122,"")</f>
        <v>#ERROR!</v>
      </c>
      <c r="J122" s="257" t="str">
        <f>IFERROR(D122+H122-F122,"")</f>
        <v>#ERROR!</v>
      </c>
      <c r="K122" s="360" t="str">
        <f>IF(I122="","",IF(I122&lt;0,"Rupture 7j",IF(J122&lt;0,"Rupture 30j","OK")))</f>
        <v>#ERROR!</v>
      </c>
      <c r="L122" s="257"/>
    </row>
    <row r="123">
      <c r="A123" s="259"/>
      <c r="B123" s="259"/>
      <c r="C123" s="259"/>
      <c r="D123" s="259"/>
      <c r="E123" s="259" t="str">
        <f>IFERROR(SUMPRODUCT((Ventes!E5:E504=A123)*(TODAY()-Ventes!A5:A504&lt;=7)*Ventes!H5:H504),0)</f>
        <v>#ERROR!</v>
      </c>
      <c r="F123" s="259" t="str">
        <f>IFERROR(SUMPRODUCT((Ventes!E5:E504=A123)*(TODAY()-Ventes!A5:A504&lt;=30)*Ventes!H5:H504),0)</f>
        <v>#ERROR!</v>
      </c>
      <c r="G123" s="259"/>
      <c r="H123" s="259"/>
      <c r="I123" s="259" t="str">
        <f>IFERROR(D123+G123-E123,"")</f>
        <v>#ERROR!</v>
      </c>
      <c r="J123" s="259" t="str">
        <f>IFERROR(D123+H123-F123,"")</f>
        <v>#ERROR!</v>
      </c>
      <c r="K123" s="76" t="str">
        <f>IF(I123="","",IF(I123&lt;0,"Rupture 7j",IF(J123&lt;0,"Rupture 30j","OK")))</f>
        <v>#ERROR!</v>
      </c>
      <c r="L123" s="259"/>
    </row>
    <row r="124">
      <c r="A124" s="257"/>
      <c r="B124" s="257"/>
      <c r="C124" s="257"/>
      <c r="D124" s="257"/>
      <c r="E124" s="257" t="str">
        <f>IFERROR(SUMPRODUCT((Ventes!E5:E504=A124)*(TODAY()-Ventes!A5:A504&lt;=7)*Ventes!H5:H504),0)</f>
        <v>#ERROR!</v>
      </c>
      <c r="F124" s="257" t="str">
        <f>IFERROR(SUMPRODUCT((Ventes!E5:E504=A124)*(TODAY()-Ventes!A5:A504&lt;=30)*Ventes!H5:H504),0)</f>
        <v>#ERROR!</v>
      </c>
      <c r="G124" s="257"/>
      <c r="H124" s="257"/>
      <c r="I124" s="257" t="str">
        <f>IFERROR(D124+G124-E124,"")</f>
        <v>#ERROR!</v>
      </c>
      <c r="J124" s="257" t="str">
        <f>IFERROR(D124+H124-F124,"")</f>
        <v>#ERROR!</v>
      </c>
      <c r="K124" s="360" t="str">
        <f>IF(I124="","",IF(I124&lt;0,"Rupture 7j",IF(J124&lt;0,"Rupture 30j","OK")))</f>
        <v>#ERROR!</v>
      </c>
      <c r="L124" s="257"/>
    </row>
    <row r="125">
      <c r="A125" s="259"/>
      <c r="B125" s="259"/>
      <c r="C125" s="259"/>
      <c r="D125" s="259"/>
      <c r="E125" s="259" t="str">
        <f>IFERROR(SUMPRODUCT((Ventes!E5:E504=A125)*(TODAY()-Ventes!A5:A504&lt;=7)*Ventes!H5:H504),0)</f>
        <v>#ERROR!</v>
      </c>
      <c r="F125" s="259" t="str">
        <f>IFERROR(SUMPRODUCT((Ventes!E5:E504=A125)*(TODAY()-Ventes!A5:A504&lt;=30)*Ventes!H5:H504),0)</f>
        <v>#ERROR!</v>
      </c>
      <c r="G125" s="259"/>
      <c r="H125" s="259"/>
      <c r="I125" s="259" t="str">
        <f>IFERROR(D125+G125-E125,"")</f>
        <v>#ERROR!</v>
      </c>
      <c r="J125" s="259" t="str">
        <f>IFERROR(D125+H125-F125,"")</f>
        <v>#ERROR!</v>
      </c>
      <c r="K125" s="76" t="str">
        <f>IF(I125="","",IF(I125&lt;0,"Rupture 7j",IF(J125&lt;0,"Rupture 30j","OK")))</f>
        <v>#ERROR!</v>
      </c>
      <c r="L125" s="259"/>
    </row>
    <row r="126">
      <c r="A126" s="257"/>
      <c r="B126" s="257"/>
      <c r="C126" s="257"/>
      <c r="D126" s="257"/>
      <c r="E126" s="257" t="str">
        <f>IFERROR(SUMPRODUCT((Ventes!E5:E504=A126)*(TODAY()-Ventes!A5:A504&lt;=7)*Ventes!H5:H504),0)</f>
        <v>#ERROR!</v>
      </c>
      <c r="F126" s="257" t="str">
        <f>IFERROR(SUMPRODUCT((Ventes!E5:E504=A126)*(TODAY()-Ventes!A5:A504&lt;=30)*Ventes!H5:H504),0)</f>
        <v>#ERROR!</v>
      </c>
      <c r="G126" s="257"/>
      <c r="H126" s="257"/>
      <c r="I126" s="257" t="str">
        <f>IFERROR(D126+G126-E126,"")</f>
        <v>#ERROR!</v>
      </c>
      <c r="J126" s="257" t="str">
        <f>IFERROR(D126+H126-F126,"")</f>
        <v>#ERROR!</v>
      </c>
      <c r="K126" s="360" t="str">
        <f>IF(I126="","",IF(I126&lt;0,"Rupture 7j",IF(J126&lt;0,"Rupture 30j","OK")))</f>
        <v>#ERROR!</v>
      </c>
      <c r="L126" s="257"/>
    </row>
    <row r="127">
      <c r="A127" s="259"/>
      <c r="B127" s="259"/>
      <c r="C127" s="259"/>
      <c r="D127" s="259"/>
      <c r="E127" s="259" t="str">
        <f>IFERROR(SUMPRODUCT((Ventes!E5:E504=A127)*(TODAY()-Ventes!A5:A504&lt;=7)*Ventes!H5:H504),0)</f>
        <v>#ERROR!</v>
      </c>
      <c r="F127" s="259" t="str">
        <f>IFERROR(SUMPRODUCT((Ventes!E5:E504=A127)*(TODAY()-Ventes!A5:A504&lt;=30)*Ventes!H5:H504),0)</f>
        <v>#ERROR!</v>
      </c>
      <c r="G127" s="259"/>
      <c r="H127" s="259"/>
      <c r="I127" s="259" t="str">
        <f>IFERROR(D127+G127-E127,"")</f>
        <v>#ERROR!</v>
      </c>
      <c r="J127" s="259" t="str">
        <f>IFERROR(D127+H127-F127,"")</f>
        <v>#ERROR!</v>
      </c>
      <c r="K127" s="76" t="str">
        <f>IF(I127="","",IF(I127&lt;0,"Rupture 7j",IF(J127&lt;0,"Rupture 30j","OK")))</f>
        <v>#ERROR!</v>
      </c>
      <c r="L127" s="259"/>
    </row>
    <row r="128">
      <c r="A128" s="257"/>
      <c r="B128" s="257"/>
      <c r="C128" s="257"/>
      <c r="D128" s="257"/>
      <c r="E128" s="257" t="str">
        <f>IFERROR(SUMPRODUCT((Ventes!E5:E504=A128)*(TODAY()-Ventes!A5:A504&lt;=7)*Ventes!H5:H504),0)</f>
        <v>#ERROR!</v>
      </c>
      <c r="F128" s="257" t="str">
        <f>IFERROR(SUMPRODUCT((Ventes!E5:E504=A128)*(TODAY()-Ventes!A5:A504&lt;=30)*Ventes!H5:H504),0)</f>
        <v>#ERROR!</v>
      </c>
      <c r="G128" s="257"/>
      <c r="H128" s="257"/>
      <c r="I128" s="257" t="str">
        <f>IFERROR(D128+G128-E128,"")</f>
        <v>#ERROR!</v>
      </c>
      <c r="J128" s="257" t="str">
        <f>IFERROR(D128+H128-F128,"")</f>
        <v>#ERROR!</v>
      </c>
      <c r="K128" s="360" t="str">
        <f>IF(I128="","",IF(I128&lt;0,"Rupture 7j",IF(J128&lt;0,"Rupture 30j","OK")))</f>
        <v>#ERROR!</v>
      </c>
      <c r="L128" s="257"/>
    </row>
    <row r="129">
      <c r="A129" s="259"/>
      <c r="B129" s="259"/>
      <c r="C129" s="259"/>
      <c r="D129" s="259"/>
      <c r="E129" s="259" t="str">
        <f>IFERROR(SUMPRODUCT((Ventes!E5:E504=A129)*(TODAY()-Ventes!A5:A504&lt;=7)*Ventes!H5:H504),0)</f>
        <v>#ERROR!</v>
      </c>
      <c r="F129" s="259" t="str">
        <f>IFERROR(SUMPRODUCT((Ventes!E5:E504=A129)*(TODAY()-Ventes!A5:A504&lt;=30)*Ventes!H5:H504),0)</f>
        <v>#ERROR!</v>
      </c>
      <c r="G129" s="259"/>
      <c r="H129" s="259"/>
      <c r="I129" s="259" t="str">
        <f>IFERROR(D129+G129-E129,"")</f>
        <v>#ERROR!</v>
      </c>
      <c r="J129" s="259" t="str">
        <f>IFERROR(D129+H129-F129,"")</f>
        <v>#ERROR!</v>
      </c>
      <c r="K129" s="76" t="str">
        <f>IF(I129="","",IF(I129&lt;0,"Rupture 7j",IF(J129&lt;0,"Rupture 30j","OK")))</f>
        <v>#ERROR!</v>
      </c>
      <c r="L129" s="259"/>
    </row>
    <row r="130">
      <c r="A130" s="257"/>
      <c r="B130" s="257"/>
      <c r="C130" s="257"/>
      <c r="D130" s="257"/>
      <c r="E130" s="257" t="str">
        <f>IFERROR(SUMPRODUCT((Ventes!E5:E504=A130)*(TODAY()-Ventes!A5:A504&lt;=7)*Ventes!H5:H504),0)</f>
        <v>#ERROR!</v>
      </c>
      <c r="F130" s="257" t="str">
        <f>IFERROR(SUMPRODUCT((Ventes!E5:E504=A130)*(TODAY()-Ventes!A5:A504&lt;=30)*Ventes!H5:H504),0)</f>
        <v>#ERROR!</v>
      </c>
      <c r="G130" s="257"/>
      <c r="H130" s="257"/>
      <c r="I130" s="257" t="str">
        <f>IFERROR(D130+G130-E130,"")</f>
        <v>#ERROR!</v>
      </c>
      <c r="J130" s="257" t="str">
        <f>IFERROR(D130+H130-F130,"")</f>
        <v>#ERROR!</v>
      </c>
      <c r="K130" s="360" t="str">
        <f>IF(I130="","",IF(I130&lt;0,"Rupture 7j",IF(J130&lt;0,"Rupture 30j","OK")))</f>
        <v>#ERROR!</v>
      </c>
      <c r="L130" s="257"/>
    </row>
    <row r="131">
      <c r="A131" s="259"/>
      <c r="B131" s="259"/>
      <c r="C131" s="259"/>
      <c r="D131" s="259"/>
      <c r="E131" s="259" t="str">
        <f>IFERROR(SUMPRODUCT((Ventes!E5:E504=A131)*(TODAY()-Ventes!A5:A504&lt;=7)*Ventes!H5:H504),0)</f>
        <v>#ERROR!</v>
      </c>
      <c r="F131" s="259" t="str">
        <f>IFERROR(SUMPRODUCT((Ventes!E5:E504=A131)*(TODAY()-Ventes!A5:A504&lt;=30)*Ventes!H5:H504),0)</f>
        <v>#ERROR!</v>
      </c>
      <c r="G131" s="259"/>
      <c r="H131" s="259"/>
      <c r="I131" s="259" t="str">
        <f>IFERROR(D131+G131-E131,"")</f>
        <v>#ERROR!</v>
      </c>
      <c r="J131" s="259" t="str">
        <f>IFERROR(D131+H131-F131,"")</f>
        <v>#ERROR!</v>
      </c>
      <c r="K131" s="76" t="str">
        <f>IF(I131="","",IF(I131&lt;0,"Rupture 7j",IF(J131&lt;0,"Rupture 30j","OK")))</f>
        <v>#ERROR!</v>
      </c>
      <c r="L131" s="259"/>
    </row>
    <row r="132">
      <c r="A132" s="257"/>
      <c r="B132" s="257"/>
      <c r="C132" s="257"/>
      <c r="D132" s="257"/>
      <c r="E132" s="257" t="str">
        <f>IFERROR(SUMPRODUCT((Ventes!E5:E504=A132)*(TODAY()-Ventes!A5:A504&lt;=7)*Ventes!H5:H504),0)</f>
        <v>#ERROR!</v>
      </c>
      <c r="F132" s="257" t="str">
        <f>IFERROR(SUMPRODUCT((Ventes!E5:E504=A132)*(TODAY()-Ventes!A5:A504&lt;=30)*Ventes!H5:H504),0)</f>
        <v>#ERROR!</v>
      </c>
      <c r="G132" s="257"/>
      <c r="H132" s="257"/>
      <c r="I132" s="257" t="str">
        <f>IFERROR(D132+G132-E132,"")</f>
        <v>#ERROR!</v>
      </c>
      <c r="J132" s="257" t="str">
        <f>IFERROR(D132+H132-F132,"")</f>
        <v>#ERROR!</v>
      </c>
      <c r="K132" s="360" t="str">
        <f>IF(I132="","",IF(I132&lt;0,"Rupture 7j",IF(J132&lt;0,"Rupture 30j","OK")))</f>
        <v>#ERROR!</v>
      </c>
      <c r="L132" s="257"/>
    </row>
    <row r="133">
      <c r="A133" s="259"/>
      <c r="B133" s="259"/>
      <c r="C133" s="259"/>
      <c r="D133" s="259"/>
      <c r="E133" s="259" t="str">
        <f>IFERROR(SUMPRODUCT((Ventes!E5:E504=A133)*(TODAY()-Ventes!A5:A504&lt;=7)*Ventes!H5:H504),0)</f>
        <v>#ERROR!</v>
      </c>
      <c r="F133" s="259" t="str">
        <f>IFERROR(SUMPRODUCT((Ventes!E5:E504=A133)*(TODAY()-Ventes!A5:A504&lt;=30)*Ventes!H5:H504),0)</f>
        <v>#ERROR!</v>
      </c>
      <c r="G133" s="259"/>
      <c r="H133" s="259"/>
      <c r="I133" s="259" t="str">
        <f>IFERROR(D133+G133-E133,"")</f>
        <v>#ERROR!</v>
      </c>
      <c r="J133" s="259" t="str">
        <f>IFERROR(D133+H133-F133,"")</f>
        <v>#ERROR!</v>
      </c>
      <c r="K133" s="76" t="str">
        <f>IF(I133="","",IF(I133&lt;0,"Rupture 7j",IF(J133&lt;0,"Rupture 30j","OK")))</f>
        <v>#ERROR!</v>
      </c>
      <c r="L133" s="259"/>
    </row>
    <row r="134">
      <c r="A134" s="257"/>
      <c r="B134" s="257"/>
      <c r="C134" s="257"/>
      <c r="D134" s="257"/>
      <c r="E134" s="257" t="str">
        <f>IFERROR(SUMPRODUCT((Ventes!E5:E504=A134)*(TODAY()-Ventes!A5:A504&lt;=7)*Ventes!H5:H504),0)</f>
        <v>#ERROR!</v>
      </c>
      <c r="F134" s="257" t="str">
        <f>IFERROR(SUMPRODUCT((Ventes!E5:E504=A134)*(TODAY()-Ventes!A5:A504&lt;=30)*Ventes!H5:H504),0)</f>
        <v>#ERROR!</v>
      </c>
      <c r="G134" s="257"/>
      <c r="H134" s="257"/>
      <c r="I134" s="257" t="str">
        <f>IFERROR(D134+G134-E134,"")</f>
        <v>#ERROR!</v>
      </c>
      <c r="J134" s="257" t="str">
        <f>IFERROR(D134+H134-F134,"")</f>
        <v>#ERROR!</v>
      </c>
      <c r="K134" s="360" t="str">
        <f>IF(I134="","",IF(I134&lt;0,"Rupture 7j",IF(J134&lt;0,"Rupture 30j","OK")))</f>
        <v>#ERROR!</v>
      </c>
      <c r="L134" s="257"/>
    </row>
    <row r="135">
      <c r="A135" s="259"/>
      <c r="B135" s="259"/>
      <c r="C135" s="259"/>
      <c r="D135" s="259"/>
      <c r="E135" s="259" t="str">
        <f>IFERROR(SUMPRODUCT((Ventes!E5:E504=A135)*(TODAY()-Ventes!A5:A504&lt;=7)*Ventes!H5:H504),0)</f>
        <v>#ERROR!</v>
      </c>
      <c r="F135" s="259" t="str">
        <f>IFERROR(SUMPRODUCT((Ventes!E5:E504=A135)*(TODAY()-Ventes!A5:A504&lt;=30)*Ventes!H5:H504),0)</f>
        <v>#ERROR!</v>
      </c>
      <c r="G135" s="259"/>
      <c r="H135" s="259"/>
      <c r="I135" s="259" t="str">
        <f>IFERROR(D135+G135-E135,"")</f>
        <v>#ERROR!</v>
      </c>
      <c r="J135" s="259" t="str">
        <f>IFERROR(D135+H135-F135,"")</f>
        <v>#ERROR!</v>
      </c>
      <c r="K135" s="76" t="str">
        <f>IF(I135="","",IF(I135&lt;0,"Rupture 7j",IF(J135&lt;0,"Rupture 30j","OK")))</f>
        <v>#ERROR!</v>
      </c>
      <c r="L135" s="259"/>
    </row>
    <row r="136">
      <c r="A136" s="257"/>
      <c r="B136" s="257"/>
      <c r="C136" s="257"/>
      <c r="D136" s="257"/>
      <c r="E136" s="257" t="str">
        <f>IFERROR(SUMPRODUCT((Ventes!E5:E504=A136)*(TODAY()-Ventes!A5:A504&lt;=7)*Ventes!H5:H504),0)</f>
        <v>#ERROR!</v>
      </c>
      <c r="F136" s="257" t="str">
        <f>IFERROR(SUMPRODUCT((Ventes!E5:E504=A136)*(TODAY()-Ventes!A5:A504&lt;=30)*Ventes!H5:H504),0)</f>
        <v>#ERROR!</v>
      </c>
      <c r="G136" s="257"/>
      <c r="H136" s="257"/>
      <c r="I136" s="257" t="str">
        <f>IFERROR(D136+G136-E136,"")</f>
        <v>#ERROR!</v>
      </c>
      <c r="J136" s="257" t="str">
        <f>IFERROR(D136+H136-F136,"")</f>
        <v>#ERROR!</v>
      </c>
      <c r="K136" s="360" t="str">
        <f>IF(I136="","",IF(I136&lt;0,"Rupture 7j",IF(J136&lt;0,"Rupture 30j","OK")))</f>
        <v>#ERROR!</v>
      </c>
      <c r="L136" s="257"/>
    </row>
    <row r="137">
      <c r="A137" s="259"/>
      <c r="B137" s="259"/>
      <c r="C137" s="259"/>
      <c r="D137" s="259"/>
      <c r="E137" s="259" t="str">
        <f>IFERROR(SUMPRODUCT((Ventes!E5:E504=A137)*(TODAY()-Ventes!A5:A504&lt;=7)*Ventes!H5:H504),0)</f>
        <v>#ERROR!</v>
      </c>
      <c r="F137" s="259" t="str">
        <f>IFERROR(SUMPRODUCT((Ventes!E5:E504=A137)*(TODAY()-Ventes!A5:A504&lt;=30)*Ventes!H5:H504),0)</f>
        <v>#ERROR!</v>
      </c>
      <c r="G137" s="259"/>
      <c r="H137" s="259"/>
      <c r="I137" s="259" t="str">
        <f>IFERROR(D137+G137-E137,"")</f>
        <v>#ERROR!</v>
      </c>
      <c r="J137" s="259" t="str">
        <f>IFERROR(D137+H137-F137,"")</f>
        <v>#ERROR!</v>
      </c>
      <c r="K137" s="76" t="str">
        <f>IF(I137="","",IF(I137&lt;0,"Rupture 7j",IF(J137&lt;0,"Rupture 30j","OK")))</f>
        <v>#ERROR!</v>
      </c>
      <c r="L137" s="259"/>
    </row>
    <row r="138">
      <c r="A138" s="257"/>
      <c r="B138" s="257"/>
      <c r="C138" s="257"/>
      <c r="D138" s="257"/>
      <c r="E138" s="257" t="str">
        <f>IFERROR(SUMPRODUCT((Ventes!E5:E504=A138)*(TODAY()-Ventes!A5:A504&lt;=7)*Ventes!H5:H504),0)</f>
        <v>#ERROR!</v>
      </c>
      <c r="F138" s="257" t="str">
        <f>IFERROR(SUMPRODUCT((Ventes!E5:E504=A138)*(TODAY()-Ventes!A5:A504&lt;=30)*Ventes!H5:H504),0)</f>
        <v>#ERROR!</v>
      </c>
      <c r="G138" s="257"/>
      <c r="H138" s="257"/>
      <c r="I138" s="257" t="str">
        <f>IFERROR(D138+G138-E138,"")</f>
        <v>#ERROR!</v>
      </c>
      <c r="J138" s="257" t="str">
        <f>IFERROR(D138+H138-F138,"")</f>
        <v>#ERROR!</v>
      </c>
      <c r="K138" s="360" t="str">
        <f>IF(I138="","",IF(I138&lt;0,"Rupture 7j",IF(J138&lt;0,"Rupture 30j","OK")))</f>
        <v>#ERROR!</v>
      </c>
      <c r="L138" s="257"/>
    </row>
    <row r="139">
      <c r="A139" s="259"/>
      <c r="B139" s="259"/>
      <c r="C139" s="259"/>
      <c r="D139" s="259"/>
      <c r="E139" s="259" t="str">
        <f>IFERROR(SUMPRODUCT((Ventes!E5:E504=A139)*(TODAY()-Ventes!A5:A504&lt;=7)*Ventes!H5:H504),0)</f>
        <v>#ERROR!</v>
      </c>
      <c r="F139" s="259" t="str">
        <f>IFERROR(SUMPRODUCT((Ventes!E5:E504=A139)*(TODAY()-Ventes!A5:A504&lt;=30)*Ventes!H5:H504),0)</f>
        <v>#ERROR!</v>
      </c>
      <c r="G139" s="259"/>
      <c r="H139" s="259"/>
      <c r="I139" s="259" t="str">
        <f>IFERROR(D139+G139-E139,"")</f>
        <v>#ERROR!</v>
      </c>
      <c r="J139" s="259" t="str">
        <f>IFERROR(D139+H139-F139,"")</f>
        <v>#ERROR!</v>
      </c>
      <c r="K139" s="76" t="str">
        <f>IF(I139="","",IF(I139&lt;0,"Rupture 7j",IF(J139&lt;0,"Rupture 30j","OK")))</f>
        <v>#ERROR!</v>
      </c>
      <c r="L139" s="259"/>
    </row>
    <row r="140">
      <c r="A140" s="257"/>
      <c r="B140" s="257"/>
      <c r="C140" s="257"/>
      <c r="D140" s="257"/>
      <c r="E140" s="257" t="str">
        <f>IFERROR(SUMPRODUCT((Ventes!E5:E504=A140)*(TODAY()-Ventes!A5:A504&lt;=7)*Ventes!H5:H504),0)</f>
        <v>#ERROR!</v>
      </c>
      <c r="F140" s="257" t="str">
        <f>IFERROR(SUMPRODUCT((Ventes!E5:E504=A140)*(TODAY()-Ventes!A5:A504&lt;=30)*Ventes!H5:H504),0)</f>
        <v>#ERROR!</v>
      </c>
      <c r="G140" s="257"/>
      <c r="H140" s="257"/>
      <c r="I140" s="257" t="str">
        <f>IFERROR(D140+G140-E140,"")</f>
        <v>#ERROR!</v>
      </c>
      <c r="J140" s="257" t="str">
        <f>IFERROR(D140+H140-F140,"")</f>
        <v>#ERROR!</v>
      </c>
      <c r="K140" s="360" t="str">
        <f>IF(I140="","",IF(I140&lt;0,"Rupture 7j",IF(J140&lt;0,"Rupture 30j","OK")))</f>
        <v>#ERROR!</v>
      </c>
      <c r="L140" s="257"/>
    </row>
    <row r="141">
      <c r="A141" s="259"/>
      <c r="B141" s="259"/>
      <c r="C141" s="259"/>
      <c r="D141" s="259"/>
      <c r="E141" s="259" t="str">
        <f>IFERROR(SUMPRODUCT((Ventes!E5:E504=A141)*(TODAY()-Ventes!A5:A504&lt;=7)*Ventes!H5:H504),0)</f>
        <v>#ERROR!</v>
      </c>
      <c r="F141" s="259" t="str">
        <f>IFERROR(SUMPRODUCT((Ventes!E5:E504=A141)*(TODAY()-Ventes!A5:A504&lt;=30)*Ventes!H5:H504),0)</f>
        <v>#ERROR!</v>
      </c>
      <c r="G141" s="259"/>
      <c r="H141" s="259"/>
      <c r="I141" s="259" t="str">
        <f>IFERROR(D141+G141-E141,"")</f>
        <v>#ERROR!</v>
      </c>
      <c r="J141" s="259" t="str">
        <f>IFERROR(D141+H141-F141,"")</f>
        <v>#ERROR!</v>
      </c>
      <c r="K141" s="76" t="str">
        <f>IF(I141="","",IF(I141&lt;0,"Rupture 7j",IF(J141&lt;0,"Rupture 30j","OK")))</f>
        <v>#ERROR!</v>
      </c>
      <c r="L141" s="259"/>
    </row>
    <row r="142">
      <c r="A142" s="257"/>
      <c r="B142" s="257"/>
      <c r="C142" s="257"/>
      <c r="D142" s="257"/>
      <c r="E142" s="257" t="str">
        <f>IFERROR(SUMPRODUCT((Ventes!E5:E504=A142)*(TODAY()-Ventes!A5:A504&lt;=7)*Ventes!H5:H504),0)</f>
        <v>#ERROR!</v>
      </c>
      <c r="F142" s="257" t="str">
        <f>IFERROR(SUMPRODUCT((Ventes!E5:E504=A142)*(TODAY()-Ventes!A5:A504&lt;=30)*Ventes!H5:H504),0)</f>
        <v>#ERROR!</v>
      </c>
      <c r="G142" s="257"/>
      <c r="H142" s="257"/>
      <c r="I142" s="257" t="str">
        <f>IFERROR(D142+G142-E142,"")</f>
        <v>#ERROR!</v>
      </c>
      <c r="J142" s="257" t="str">
        <f>IFERROR(D142+H142-F142,"")</f>
        <v>#ERROR!</v>
      </c>
      <c r="K142" s="360" t="str">
        <f>IF(I142="","",IF(I142&lt;0,"Rupture 7j",IF(J142&lt;0,"Rupture 30j","OK")))</f>
        <v>#ERROR!</v>
      </c>
      <c r="L142" s="257"/>
    </row>
    <row r="143">
      <c r="A143" s="259"/>
      <c r="B143" s="259"/>
      <c r="C143" s="259"/>
      <c r="D143" s="259"/>
      <c r="E143" s="259" t="str">
        <f>IFERROR(SUMPRODUCT((Ventes!E5:E504=A143)*(TODAY()-Ventes!A5:A504&lt;=7)*Ventes!H5:H504),0)</f>
        <v>#ERROR!</v>
      </c>
      <c r="F143" s="259" t="str">
        <f>IFERROR(SUMPRODUCT((Ventes!E5:E504=A143)*(TODAY()-Ventes!A5:A504&lt;=30)*Ventes!H5:H504),0)</f>
        <v>#ERROR!</v>
      </c>
      <c r="G143" s="259"/>
      <c r="H143" s="259"/>
      <c r="I143" s="259" t="str">
        <f>IFERROR(D143+G143-E143,"")</f>
        <v>#ERROR!</v>
      </c>
      <c r="J143" s="259" t="str">
        <f>IFERROR(D143+H143-F143,"")</f>
        <v>#ERROR!</v>
      </c>
      <c r="K143" s="76" t="str">
        <f>IF(I143="","",IF(I143&lt;0,"Rupture 7j",IF(J143&lt;0,"Rupture 30j","OK")))</f>
        <v>#ERROR!</v>
      </c>
      <c r="L143" s="259"/>
    </row>
    <row r="144">
      <c r="A144" s="257"/>
      <c r="B144" s="257"/>
      <c r="C144" s="257"/>
      <c r="D144" s="257"/>
      <c r="E144" s="257" t="str">
        <f>IFERROR(SUMPRODUCT((Ventes!E5:E504=A144)*(TODAY()-Ventes!A5:A504&lt;=7)*Ventes!H5:H504),0)</f>
        <v>#ERROR!</v>
      </c>
      <c r="F144" s="257" t="str">
        <f>IFERROR(SUMPRODUCT((Ventes!E5:E504=A144)*(TODAY()-Ventes!A5:A504&lt;=30)*Ventes!H5:H504),0)</f>
        <v>#ERROR!</v>
      </c>
      <c r="G144" s="257"/>
      <c r="H144" s="257"/>
      <c r="I144" s="257" t="str">
        <f>IFERROR(D144+G144-E144,"")</f>
        <v>#ERROR!</v>
      </c>
      <c r="J144" s="257" t="str">
        <f>IFERROR(D144+H144-F144,"")</f>
        <v>#ERROR!</v>
      </c>
      <c r="K144" s="360" t="str">
        <f>IF(I144="","",IF(I144&lt;0,"Rupture 7j",IF(J144&lt;0,"Rupture 30j","OK")))</f>
        <v>#ERROR!</v>
      </c>
      <c r="L144" s="257"/>
    </row>
    <row r="145">
      <c r="A145" s="259"/>
      <c r="B145" s="259"/>
      <c r="C145" s="259"/>
      <c r="D145" s="259"/>
      <c r="E145" s="259" t="str">
        <f>IFERROR(SUMPRODUCT((Ventes!E5:E504=A145)*(TODAY()-Ventes!A5:A504&lt;=7)*Ventes!H5:H504),0)</f>
        <v>#ERROR!</v>
      </c>
      <c r="F145" s="259" t="str">
        <f>IFERROR(SUMPRODUCT((Ventes!E5:E504=A145)*(TODAY()-Ventes!A5:A504&lt;=30)*Ventes!H5:H504),0)</f>
        <v>#ERROR!</v>
      </c>
      <c r="G145" s="259"/>
      <c r="H145" s="259"/>
      <c r="I145" s="259" t="str">
        <f>IFERROR(D145+G145-E145,"")</f>
        <v>#ERROR!</v>
      </c>
      <c r="J145" s="259" t="str">
        <f>IFERROR(D145+H145-F145,"")</f>
        <v>#ERROR!</v>
      </c>
      <c r="K145" s="76" t="str">
        <f>IF(I145="","",IF(I145&lt;0,"Rupture 7j",IF(J145&lt;0,"Rupture 30j","OK")))</f>
        <v>#ERROR!</v>
      </c>
      <c r="L145" s="259"/>
    </row>
    <row r="146">
      <c r="A146" s="257"/>
      <c r="B146" s="257"/>
      <c r="C146" s="257"/>
      <c r="D146" s="257"/>
      <c r="E146" s="257" t="str">
        <f>IFERROR(SUMPRODUCT((Ventes!E5:E504=A146)*(TODAY()-Ventes!A5:A504&lt;=7)*Ventes!H5:H504),0)</f>
        <v>#ERROR!</v>
      </c>
      <c r="F146" s="257" t="str">
        <f>IFERROR(SUMPRODUCT((Ventes!E5:E504=A146)*(TODAY()-Ventes!A5:A504&lt;=30)*Ventes!H5:H504),0)</f>
        <v>#ERROR!</v>
      </c>
      <c r="G146" s="257"/>
      <c r="H146" s="257"/>
      <c r="I146" s="257" t="str">
        <f>IFERROR(D146+G146-E146,"")</f>
        <v>#ERROR!</v>
      </c>
      <c r="J146" s="257" t="str">
        <f>IFERROR(D146+H146-F146,"")</f>
        <v>#ERROR!</v>
      </c>
      <c r="K146" s="360" t="str">
        <f>IF(I146="","",IF(I146&lt;0,"Rupture 7j",IF(J146&lt;0,"Rupture 30j","OK")))</f>
        <v>#ERROR!</v>
      </c>
      <c r="L146" s="257"/>
    </row>
    <row r="147">
      <c r="A147" s="259"/>
      <c r="B147" s="259"/>
      <c r="C147" s="259"/>
      <c r="D147" s="259"/>
      <c r="E147" s="259" t="str">
        <f>IFERROR(SUMPRODUCT((Ventes!E5:E504=A147)*(TODAY()-Ventes!A5:A504&lt;=7)*Ventes!H5:H504),0)</f>
        <v>#ERROR!</v>
      </c>
      <c r="F147" s="259" t="str">
        <f>IFERROR(SUMPRODUCT((Ventes!E5:E504=A147)*(TODAY()-Ventes!A5:A504&lt;=30)*Ventes!H5:H504),0)</f>
        <v>#ERROR!</v>
      </c>
      <c r="G147" s="259"/>
      <c r="H147" s="259"/>
      <c r="I147" s="259" t="str">
        <f>IFERROR(D147+G147-E147,"")</f>
        <v>#ERROR!</v>
      </c>
      <c r="J147" s="259" t="str">
        <f>IFERROR(D147+H147-F147,"")</f>
        <v>#ERROR!</v>
      </c>
      <c r="K147" s="76" t="str">
        <f>IF(I147="","",IF(I147&lt;0,"Rupture 7j",IF(J147&lt;0,"Rupture 30j","OK")))</f>
        <v>#ERROR!</v>
      </c>
      <c r="L147" s="259"/>
    </row>
    <row r="148">
      <c r="A148" s="257"/>
      <c r="B148" s="257"/>
      <c r="C148" s="257"/>
      <c r="D148" s="257"/>
      <c r="E148" s="257" t="str">
        <f>IFERROR(SUMPRODUCT((Ventes!E5:E504=A148)*(TODAY()-Ventes!A5:A504&lt;=7)*Ventes!H5:H504),0)</f>
        <v>#ERROR!</v>
      </c>
      <c r="F148" s="257" t="str">
        <f>IFERROR(SUMPRODUCT((Ventes!E5:E504=A148)*(TODAY()-Ventes!A5:A504&lt;=30)*Ventes!H5:H504),0)</f>
        <v>#ERROR!</v>
      </c>
      <c r="G148" s="257"/>
      <c r="H148" s="257"/>
      <c r="I148" s="257" t="str">
        <f>IFERROR(D148+G148-E148,"")</f>
        <v>#ERROR!</v>
      </c>
      <c r="J148" s="257" t="str">
        <f>IFERROR(D148+H148-F148,"")</f>
        <v>#ERROR!</v>
      </c>
      <c r="K148" s="360" t="str">
        <f>IF(I148="","",IF(I148&lt;0,"Rupture 7j",IF(J148&lt;0,"Rupture 30j","OK")))</f>
        <v>#ERROR!</v>
      </c>
      <c r="L148" s="257"/>
    </row>
    <row r="149">
      <c r="A149" s="259"/>
      <c r="B149" s="259"/>
      <c r="C149" s="259"/>
      <c r="D149" s="259"/>
      <c r="E149" s="259" t="str">
        <f>IFERROR(SUMPRODUCT((Ventes!E5:E504=A149)*(TODAY()-Ventes!A5:A504&lt;=7)*Ventes!H5:H504),0)</f>
        <v>#ERROR!</v>
      </c>
      <c r="F149" s="259" t="str">
        <f>IFERROR(SUMPRODUCT((Ventes!E5:E504=A149)*(TODAY()-Ventes!A5:A504&lt;=30)*Ventes!H5:H504),0)</f>
        <v>#ERROR!</v>
      </c>
      <c r="G149" s="259"/>
      <c r="H149" s="259"/>
      <c r="I149" s="259" t="str">
        <f>IFERROR(D149+G149-E149,"")</f>
        <v>#ERROR!</v>
      </c>
      <c r="J149" s="259" t="str">
        <f>IFERROR(D149+H149-F149,"")</f>
        <v>#ERROR!</v>
      </c>
      <c r="K149" s="76" t="str">
        <f>IF(I149="","",IF(I149&lt;0,"Rupture 7j",IF(J149&lt;0,"Rupture 30j","OK")))</f>
        <v>#ERROR!</v>
      </c>
      <c r="L149" s="259"/>
    </row>
    <row r="150">
      <c r="A150" s="257"/>
      <c r="B150" s="257"/>
      <c r="C150" s="257"/>
      <c r="D150" s="257"/>
      <c r="E150" s="257" t="str">
        <f>IFERROR(SUMPRODUCT((Ventes!E5:E504=A150)*(TODAY()-Ventes!A5:A504&lt;=7)*Ventes!H5:H504),0)</f>
        <v>#ERROR!</v>
      </c>
      <c r="F150" s="257" t="str">
        <f>IFERROR(SUMPRODUCT((Ventes!E5:E504=A150)*(TODAY()-Ventes!A5:A504&lt;=30)*Ventes!H5:H504),0)</f>
        <v>#ERROR!</v>
      </c>
      <c r="G150" s="257"/>
      <c r="H150" s="257"/>
      <c r="I150" s="257" t="str">
        <f>IFERROR(D150+G150-E150,"")</f>
        <v>#ERROR!</v>
      </c>
      <c r="J150" s="257" t="str">
        <f>IFERROR(D150+H150-F150,"")</f>
        <v>#ERROR!</v>
      </c>
      <c r="K150" s="360" t="str">
        <f>IF(I150="","",IF(I150&lt;0,"Rupture 7j",IF(J150&lt;0,"Rupture 30j","OK")))</f>
        <v>#ERROR!</v>
      </c>
      <c r="L150" s="257"/>
    </row>
    <row r="151">
      <c r="A151" s="259"/>
      <c r="B151" s="259"/>
      <c r="C151" s="259"/>
      <c r="D151" s="259"/>
      <c r="E151" s="259" t="str">
        <f>IFERROR(SUMPRODUCT((Ventes!E5:E504=A151)*(TODAY()-Ventes!A5:A504&lt;=7)*Ventes!H5:H504),0)</f>
        <v>#ERROR!</v>
      </c>
      <c r="F151" s="259" t="str">
        <f>IFERROR(SUMPRODUCT((Ventes!E5:E504=A151)*(TODAY()-Ventes!A5:A504&lt;=30)*Ventes!H5:H504),0)</f>
        <v>#ERROR!</v>
      </c>
      <c r="G151" s="259"/>
      <c r="H151" s="259"/>
      <c r="I151" s="259" t="str">
        <f>IFERROR(D151+G151-E151,"")</f>
        <v>#ERROR!</v>
      </c>
      <c r="J151" s="259" t="str">
        <f>IFERROR(D151+H151-F151,"")</f>
        <v>#ERROR!</v>
      </c>
      <c r="K151" s="76" t="str">
        <f>IF(I151="","",IF(I151&lt;0,"Rupture 7j",IF(J151&lt;0,"Rupture 30j","OK")))</f>
        <v>#ERROR!</v>
      </c>
      <c r="L151" s="259"/>
    </row>
    <row r="152">
      <c r="A152" s="257"/>
      <c r="B152" s="257"/>
      <c r="C152" s="257"/>
      <c r="D152" s="257"/>
      <c r="E152" s="257" t="str">
        <f>IFERROR(SUMPRODUCT((Ventes!E5:E504=A152)*(TODAY()-Ventes!A5:A504&lt;=7)*Ventes!H5:H504),0)</f>
        <v>#ERROR!</v>
      </c>
      <c r="F152" s="257" t="str">
        <f>IFERROR(SUMPRODUCT((Ventes!E5:E504=A152)*(TODAY()-Ventes!A5:A504&lt;=30)*Ventes!H5:H504),0)</f>
        <v>#ERROR!</v>
      </c>
      <c r="G152" s="257"/>
      <c r="H152" s="257"/>
      <c r="I152" s="257" t="str">
        <f>IFERROR(D152+G152-E152,"")</f>
        <v>#ERROR!</v>
      </c>
      <c r="J152" s="257" t="str">
        <f>IFERROR(D152+H152-F152,"")</f>
        <v>#ERROR!</v>
      </c>
      <c r="K152" s="360" t="str">
        <f>IF(I152="","",IF(I152&lt;0,"Rupture 7j",IF(J152&lt;0,"Rupture 30j","OK")))</f>
        <v>#ERROR!</v>
      </c>
      <c r="L152" s="257"/>
    </row>
    <row r="153">
      <c r="A153" s="259"/>
      <c r="B153" s="259"/>
      <c r="C153" s="259"/>
      <c r="D153" s="259"/>
      <c r="E153" s="259" t="str">
        <f>IFERROR(SUMPRODUCT((Ventes!E5:E504=A153)*(TODAY()-Ventes!A5:A504&lt;=7)*Ventes!H5:H504),0)</f>
        <v>#ERROR!</v>
      </c>
      <c r="F153" s="259" t="str">
        <f>IFERROR(SUMPRODUCT((Ventes!E5:E504=A153)*(TODAY()-Ventes!A5:A504&lt;=30)*Ventes!H5:H504),0)</f>
        <v>#ERROR!</v>
      </c>
      <c r="G153" s="259"/>
      <c r="H153" s="259"/>
      <c r="I153" s="259" t="str">
        <f>IFERROR(D153+G153-E153,"")</f>
        <v>#ERROR!</v>
      </c>
      <c r="J153" s="259" t="str">
        <f>IFERROR(D153+H153-F153,"")</f>
        <v>#ERROR!</v>
      </c>
      <c r="K153" s="76" t="str">
        <f>IF(I153="","",IF(I153&lt;0,"Rupture 7j",IF(J153&lt;0,"Rupture 30j","OK")))</f>
        <v>#ERROR!</v>
      </c>
      <c r="L153" s="259"/>
    </row>
    <row r="154">
      <c r="A154" s="257"/>
      <c r="B154" s="257"/>
      <c r="C154" s="257"/>
      <c r="D154" s="257"/>
      <c r="E154" s="257" t="str">
        <f>IFERROR(SUMPRODUCT((Ventes!E5:E504=A154)*(TODAY()-Ventes!A5:A504&lt;=7)*Ventes!H5:H504),0)</f>
        <v>#ERROR!</v>
      </c>
      <c r="F154" s="257" t="str">
        <f>IFERROR(SUMPRODUCT((Ventes!E5:E504=A154)*(TODAY()-Ventes!A5:A504&lt;=30)*Ventes!H5:H504),0)</f>
        <v>#ERROR!</v>
      </c>
      <c r="G154" s="257"/>
      <c r="H154" s="257"/>
      <c r="I154" s="257" t="str">
        <f>IFERROR(D154+G154-E154,"")</f>
        <v>#ERROR!</v>
      </c>
      <c r="J154" s="257" t="str">
        <f>IFERROR(D154+H154-F154,"")</f>
        <v>#ERROR!</v>
      </c>
      <c r="K154" s="360" t="str">
        <f>IF(I154="","",IF(I154&lt;0,"Rupture 7j",IF(J154&lt;0,"Rupture 30j","OK")))</f>
        <v>#ERROR!</v>
      </c>
      <c r="L154" s="257"/>
    </row>
    <row r="155">
      <c r="A155" s="259"/>
      <c r="B155" s="259"/>
      <c r="C155" s="259"/>
      <c r="D155" s="259"/>
      <c r="E155" s="259" t="str">
        <f>IFERROR(SUMPRODUCT((Ventes!E5:E504=A155)*(TODAY()-Ventes!A5:A504&lt;=7)*Ventes!H5:H504),0)</f>
        <v>#ERROR!</v>
      </c>
      <c r="F155" s="259" t="str">
        <f>IFERROR(SUMPRODUCT((Ventes!E5:E504=A155)*(TODAY()-Ventes!A5:A504&lt;=30)*Ventes!H5:H504),0)</f>
        <v>#ERROR!</v>
      </c>
      <c r="G155" s="259"/>
      <c r="H155" s="259"/>
      <c r="I155" s="259" t="str">
        <f>IFERROR(D155+G155-E155,"")</f>
        <v>#ERROR!</v>
      </c>
      <c r="J155" s="259" t="str">
        <f>IFERROR(D155+H155-F155,"")</f>
        <v>#ERROR!</v>
      </c>
      <c r="K155" s="76" t="str">
        <f>IF(I155="","",IF(I155&lt;0,"Rupture 7j",IF(J155&lt;0,"Rupture 30j","OK")))</f>
        <v>#ERROR!</v>
      </c>
      <c r="L155" s="259"/>
    </row>
    <row r="156">
      <c r="A156" s="257"/>
      <c r="B156" s="257"/>
      <c r="C156" s="257"/>
      <c r="D156" s="257"/>
      <c r="E156" s="257" t="str">
        <f>IFERROR(SUMPRODUCT((Ventes!E5:E504=A156)*(TODAY()-Ventes!A5:A504&lt;=7)*Ventes!H5:H504),0)</f>
        <v>#ERROR!</v>
      </c>
      <c r="F156" s="257" t="str">
        <f>IFERROR(SUMPRODUCT((Ventes!E5:E504=A156)*(TODAY()-Ventes!A5:A504&lt;=30)*Ventes!H5:H504),0)</f>
        <v>#ERROR!</v>
      </c>
      <c r="G156" s="257"/>
      <c r="H156" s="257"/>
      <c r="I156" s="257" t="str">
        <f>IFERROR(D156+G156-E156,"")</f>
        <v>#ERROR!</v>
      </c>
      <c r="J156" s="257" t="str">
        <f>IFERROR(D156+H156-F156,"")</f>
        <v>#ERROR!</v>
      </c>
      <c r="K156" s="360" t="str">
        <f>IF(I156="","",IF(I156&lt;0,"Rupture 7j",IF(J156&lt;0,"Rupture 30j","OK")))</f>
        <v>#ERROR!</v>
      </c>
      <c r="L156" s="257"/>
    </row>
    <row r="157">
      <c r="A157" s="259"/>
      <c r="B157" s="259"/>
      <c r="C157" s="259"/>
      <c r="D157" s="259"/>
      <c r="E157" s="259" t="str">
        <f>IFERROR(SUMPRODUCT((Ventes!E5:E504=A157)*(TODAY()-Ventes!A5:A504&lt;=7)*Ventes!H5:H504),0)</f>
        <v>#ERROR!</v>
      </c>
      <c r="F157" s="259" t="str">
        <f>IFERROR(SUMPRODUCT((Ventes!E5:E504=A157)*(TODAY()-Ventes!A5:A504&lt;=30)*Ventes!H5:H504),0)</f>
        <v>#ERROR!</v>
      </c>
      <c r="G157" s="259"/>
      <c r="H157" s="259"/>
      <c r="I157" s="259" t="str">
        <f>IFERROR(D157+G157-E157,"")</f>
        <v>#ERROR!</v>
      </c>
      <c r="J157" s="259" t="str">
        <f>IFERROR(D157+H157-F157,"")</f>
        <v>#ERROR!</v>
      </c>
      <c r="K157" s="76" t="str">
        <f>IF(I157="","",IF(I157&lt;0,"Rupture 7j",IF(J157&lt;0,"Rupture 30j","OK")))</f>
        <v>#ERROR!</v>
      </c>
      <c r="L157" s="259"/>
    </row>
    <row r="158">
      <c r="A158" s="257"/>
      <c r="B158" s="257"/>
      <c r="C158" s="257"/>
      <c r="D158" s="257"/>
      <c r="E158" s="257" t="str">
        <f>IFERROR(SUMPRODUCT((Ventes!E5:E504=A158)*(TODAY()-Ventes!A5:A504&lt;=7)*Ventes!H5:H504),0)</f>
        <v>#ERROR!</v>
      </c>
      <c r="F158" s="257" t="str">
        <f>IFERROR(SUMPRODUCT((Ventes!E5:E504=A158)*(TODAY()-Ventes!A5:A504&lt;=30)*Ventes!H5:H504),0)</f>
        <v>#ERROR!</v>
      </c>
      <c r="G158" s="257"/>
      <c r="H158" s="257"/>
      <c r="I158" s="257" t="str">
        <f>IFERROR(D158+G158-E158,"")</f>
        <v>#ERROR!</v>
      </c>
      <c r="J158" s="257" t="str">
        <f>IFERROR(D158+H158-F158,"")</f>
        <v>#ERROR!</v>
      </c>
      <c r="K158" s="360" t="str">
        <f>IF(I158="","",IF(I158&lt;0,"Rupture 7j",IF(J158&lt;0,"Rupture 30j","OK")))</f>
        <v>#ERROR!</v>
      </c>
      <c r="L158" s="257"/>
    </row>
    <row r="159">
      <c r="A159" s="259"/>
      <c r="B159" s="259"/>
      <c r="C159" s="259"/>
      <c r="D159" s="259"/>
      <c r="E159" s="259" t="str">
        <f>IFERROR(SUMPRODUCT((Ventes!E5:E504=A159)*(TODAY()-Ventes!A5:A504&lt;=7)*Ventes!H5:H504),0)</f>
        <v>#ERROR!</v>
      </c>
      <c r="F159" s="259" t="str">
        <f>IFERROR(SUMPRODUCT((Ventes!E5:E504=A159)*(TODAY()-Ventes!A5:A504&lt;=30)*Ventes!H5:H504),0)</f>
        <v>#ERROR!</v>
      </c>
      <c r="G159" s="259"/>
      <c r="H159" s="259"/>
      <c r="I159" s="259" t="str">
        <f>IFERROR(D159+G159-E159,"")</f>
        <v>#ERROR!</v>
      </c>
      <c r="J159" s="259" t="str">
        <f>IFERROR(D159+H159-F159,"")</f>
        <v>#ERROR!</v>
      </c>
      <c r="K159" s="76" t="str">
        <f>IF(I159="","",IF(I159&lt;0,"Rupture 7j",IF(J159&lt;0,"Rupture 30j","OK")))</f>
        <v>#ERROR!</v>
      </c>
      <c r="L159" s="259"/>
    </row>
    <row r="160">
      <c r="A160" s="257"/>
      <c r="B160" s="257"/>
      <c r="C160" s="257"/>
      <c r="D160" s="257"/>
      <c r="E160" s="257" t="str">
        <f>IFERROR(SUMPRODUCT((Ventes!E5:E504=A160)*(TODAY()-Ventes!A5:A504&lt;=7)*Ventes!H5:H504),0)</f>
        <v>#ERROR!</v>
      </c>
      <c r="F160" s="257" t="str">
        <f>IFERROR(SUMPRODUCT((Ventes!E5:E504=A160)*(TODAY()-Ventes!A5:A504&lt;=30)*Ventes!H5:H504),0)</f>
        <v>#ERROR!</v>
      </c>
      <c r="G160" s="257"/>
      <c r="H160" s="257"/>
      <c r="I160" s="257" t="str">
        <f>IFERROR(D160+G160-E160,"")</f>
        <v>#ERROR!</v>
      </c>
      <c r="J160" s="257" t="str">
        <f>IFERROR(D160+H160-F160,"")</f>
        <v>#ERROR!</v>
      </c>
      <c r="K160" s="360" t="str">
        <f>IF(I160="","",IF(I160&lt;0,"Rupture 7j",IF(J160&lt;0,"Rupture 30j","OK")))</f>
        <v>#ERROR!</v>
      </c>
      <c r="L160" s="257"/>
    </row>
    <row r="161">
      <c r="A161" s="259"/>
      <c r="B161" s="259"/>
      <c r="C161" s="259"/>
      <c r="D161" s="259"/>
      <c r="E161" s="259" t="str">
        <f>IFERROR(SUMPRODUCT((Ventes!E5:E504=A161)*(TODAY()-Ventes!A5:A504&lt;=7)*Ventes!H5:H504),0)</f>
        <v>#ERROR!</v>
      </c>
      <c r="F161" s="259" t="str">
        <f>IFERROR(SUMPRODUCT((Ventes!E5:E504=A161)*(TODAY()-Ventes!A5:A504&lt;=30)*Ventes!H5:H504),0)</f>
        <v>#ERROR!</v>
      </c>
      <c r="G161" s="259"/>
      <c r="H161" s="259"/>
      <c r="I161" s="259" t="str">
        <f>IFERROR(D161+G161-E161,"")</f>
        <v>#ERROR!</v>
      </c>
      <c r="J161" s="259" t="str">
        <f>IFERROR(D161+H161-F161,"")</f>
        <v>#ERROR!</v>
      </c>
      <c r="K161" s="76" t="str">
        <f>IF(I161="","",IF(I161&lt;0,"Rupture 7j",IF(J161&lt;0,"Rupture 30j","OK")))</f>
        <v>#ERROR!</v>
      </c>
      <c r="L161" s="259"/>
    </row>
    <row r="162">
      <c r="A162" s="257"/>
      <c r="B162" s="257"/>
      <c r="C162" s="257"/>
      <c r="D162" s="257"/>
      <c r="E162" s="257" t="str">
        <f>IFERROR(SUMPRODUCT((Ventes!E5:E504=A162)*(TODAY()-Ventes!A5:A504&lt;=7)*Ventes!H5:H504),0)</f>
        <v>#ERROR!</v>
      </c>
      <c r="F162" s="257" t="str">
        <f>IFERROR(SUMPRODUCT((Ventes!E5:E504=A162)*(TODAY()-Ventes!A5:A504&lt;=30)*Ventes!H5:H504),0)</f>
        <v>#ERROR!</v>
      </c>
      <c r="G162" s="257"/>
      <c r="H162" s="257"/>
      <c r="I162" s="257" t="str">
        <f>IFERROR(D162+G162-E162,"")</f>
        <v>#ERROR!</v>
      </c>
      <c r="J162" s="257" t="str">
        <f>IFERROR(D162+H162-F162,"")</f>
        <v>#ERROR!</v>
      </c>
      <c r="K162" s="360" t="str">
        <f>IF(I162="","",IF(I162&lt;0,"Rupture 7j",IF(J162&lt;0,"Rupture 30j","OK")))</f>
        <v>#ERROR!</v>
      </c>
      <c r="L162" s="257"/>
    </row>
    <row r="163">
      <c r="A163" s="259"/>
      <c r="B163" s="259"/>
      <c r="C163" s="259"/>
      <c r="D163" s="259"/>
      <c r="E163" s="259" t="str">
        <f>IFERROR(SUMPRODUCT((Ventes!E5:E504=A163)*(TODAY()-Ventes!A5:A504&lt;=7)*Ventes!H5:H504),0)</f>
        <v>#ERROR!</v>
      </c>
      <c r="F163" s="259" t="str">
        <f>IFERROR(SUMPRODUCT((Ventes!E5:E504=A163)*(TODAY()-Ventes!A5:A504&lt;=30)*Ventes!H5:H504),0)</f>
        <v>#ERROR!</v>
      </c>
      <c r="G163" s="259"/>
      <c r="H163" s="259"/>
      <c r="I163" s="259" t="str">
        <f>IFERROR(D163+G163-E163,"")</f>
        <v>#ERROR!</v>
      </c>
      <c r="J163" s="259" t="str">
        <f>IFERROR(D163+H163-F163,"")</f>
        <v>#ERROR!</v>
      </c>
      <c r="K163" s="76" t="str">
        <f>IF(I163="","",IF(I163&lt;0,"Rupture 7j",IF(J163&lt;0,"Rupture 30j","OK")))</f>
        <v>#ERROR!</v>
      </c>
      <c r="L163" s="259"/>
    </row>
    <row r="164">
      <c r="A164" s="257"/>
      <c r="B164" s="257"/>
      <c r="C164" s="257"/>
      <c r="D164" s="257"/>
      <c r="E164" s="257" t="str">
        <f>IFERROR(SUMPRODUCT((Ventes!E5:E504=A164)*(TODAY()-Ventes!A5:A504&lt;=7)*Ventes!H5:H504),0)</f>
        <v>#ERROR!</v>
      </c>
      <c r="F164" s="257" t="str">
        <f>IFERROR(SUMPRODUCT((Ventes!E5:E504=A164)*(TODAY()-Ventes!A5:A504&lt;=30)*Ventes!H5:H504),0)</f>
        <v>#ERROR!</v>
      </c>
      <c r="G164" s="257"/>
      <c r="H164" s="257"/>
      <c r="I164" s="257" t="str">
        <f>IFERROR(D164+G164-E164,"")</f>
        <v>#ERROR!</v>
      </c>
      <c r="J164" s="257" t="str">
        <f>IFERROR(D164+H164-F164,"")</f>
        <v>#ERROR!</v>
      </c>
      <c r="K164" s="360" t="str">
        <f>IF(I164="","",IF(I164&lt;0,"Rupture 7j",IF(J164&lt;0,"Rupture 30j","OK")))</f>
        <v>#ERROR!</v>
      </c>
      <c r="L164" s="257"/>
    </row>
    <row r="165">
      <c r="A165" s="259"/>
      <c r="B165" s="259"/>
      <c r="C165" s="259"/>
      <c r="D165" s="259"/>
      <c r="E165" s="259" t="str">
        <f>IFERROR(SUMPRODUCT((Ventes!E5:E504=A165)*(TODAY()-Ventes!A5:A504&lt;=7)*Ventes!H5:H504),0)</f>
        <v>#ERROR!</v>
      </c>
      <c r="F165" s="259" t="str">
        <f>IFERROR(SUMPRODUCT((Ventes!E5:E504=A165)*(TODAY()-Ventes!A5:A504&lt;=30)*Ventes!H5:H504),0)</f>
        <v>#ERROR!</v>
      </c>
      <c r="G165" s="259"/>
      <c r="H165" s="259"/>
      <c r="I165" s="259" t="str">
        <f>IFERROR(D165+G165-E165,"")</f>
        <v>#ERROR!</v>
      </c>
      <c r="J165" s="259" t="str">
        <f>IFERROR(D165+H165-F165,"")</f>
        <v>#ERROR!</v>
      </c>
      <c r="K165" s="76" t="str">
        <f>IF(I165="","",IF(I165&lt;0,"Rupture 7j",IF(J165&lt;0,"Rupture 30j","OK")))</f>
        <v>#ERROR!</v>
      </c>
      <c r="L165" s="259"/>
    </row>
    <row r="166">
      <c r="A166" s="257"/>
      <c r="B166" s="257"/>
      <c r="C166" s="257"/>
      <c r="D166" s="257"/>
      <c r="E166" s="257" t="str">
        <f>IFERROR(SUMPRODUCT((Ventes!E5:E504=A166)*(TODAY()-Ventes!A5:A504&lt;=7)*Ventes!H5:H504),0)</f>
        <v>#ERROR!</v>
      </c>
      <c r="F166" s="257" t="str">
        <f>IFERROR(SUMPRODUCT((Ventes!E5:E504=A166)*(TODAY()-Ventes!A5:A504&lt;=30)*Ventes!H5:H504),0)</f>
        <v>#ERROR!</v>
      </c>
      <c r="G166" s="257"/>
      <c r="H166" s="257"/>
      <c r="I166" s="257" t="str">
        <f>IFERROR(D166+G166-E166,"")</f>
        <v>#ERROR!</v>
      </c>
      <c r="J166" s="257" t="str">
        <f>IFERROR(D166+H166-F166,"")</f>
        <v>#ERROR!</v>
      </c>
      <c r="K166" s="360" t="str">
        <f>IF(I166="","",IF(I166&lt;0,"Rupture 7j",IF(J166&lt;0,"Rupture 30j","OK")))</f>
        <v>#ERROR!</v>
      </c>
      <c r="L166" s="257"/>
    </row>
    <row r="167">
      <c r="A167" s="259"/>
      <c r="B167" s="259"/>
      <c r="C167" s="259"/>
      <c r="D167" s="259"/>
      <c r="E167" s="259" t="str">
        <f>IFERROR(SUMPRODUCT((Ventes!E5:E504=A167)*(TODAY()-Ventes!A5:A504&lt;=7)*Ventes!H5:H504),0)</f>
        <v>#ERROR!</v>
      </c>
      <c r="F167" s="259" t="str">
        <f>IFERROR(SUMPRODUCT((Ventes!E5:E504=A167)*(TODAY()-Ventes!A5:A504&lt;=30)*Ventes!H5:H504),0)</f>
        <v>#ERROR!</v>
      </c>
      <c r="G167" s="259"/>
      <c r="H167" s="259"/>
      <c r="I167" s="259" t="str">
        <f>IFERROR(D167+G167-E167,"")</f>
        <v>#ERROR!</v>
      </c>
      <c r="J167" s="259" t="str">
        <f>IFERROR(D167+H167-F167,"")</f>
        <v>#ERROR!</v>
      </c>
      <c r="K167" s="76" t="str">
        <f>IF(I167="","",IF(I167&lt;0,"Rupture 7j",IF(J167&lt;0,"Rupture 30j","OK")))</f>
        <v>#ERROR!</v>
      </c>
      <c r="L167" s="259"/>
    </row>
    <row r="168">
      <c r="A168" s="257"/>
      <c r="B168" s="257"/>
      <c r="C168" s="257"/>
      <c r="D168" s="257"/>
      <c r="E168" s="257" t="str">
        <f>IFERROR(SUMPRODUCT((Ventes!E5:E504=A168)*(TODAY()-Ventes!A5:A504&lt;=7)*Ventes!H5:H504),0)</f>
        <v>#ERROR!</v>
      </c>
      <c r="F168" s="257" t="str">
        <f>IFERROR(SUMPRODUCT((Ventes!E5:E504=A168)*(TODAY()-Ventes!A5:A504&lt;=30)*Ventes!H5:H504),0)</f>
        <v>#ERROR!</v>
      </c>
      <c r="G168" s="257"/>
      <c r="H168" s="257"/>
      <c r="I168" s="257" t="str">
        <f>IFERROR(D168+G168-E168,"")</f>
        <v>#ERROR!</v>
      </c>
      <c r="J168" s="257" t="str">
        <f>IFERROR(D168+H168-F168,"")</f>
        <v>#ERROR!</v>
      </c>
      <c r="K168" s="360" t="str">
        <f>IF(I168="","",IF(I168&lt;0,"Rupture 7j",IF(J168&lt;0,"Rupture 30j","OK")))</f>
        <v>#ERROR!</v>
      </c>
      <c r="L168" s="257"/>
    </row>
    <row r="169">
      <c r="A169" s="259"/>
      <c r="B169" s="259"/>
      <c r="C169" s="259"/>
      <c r="D169" s="259"/>
      <c r="E169" s="259" t="str">
        <f>IFERROR(SUMPRODUCT((Ventes!E5:E504=A169)*(TODAY()-Ventes!A5:A504&lt;=7)*Ventes!H5:H504),0)</f>
        <v>#ERROR!</v>
      </c>
      <c r="F169" s="259" t="str">
        <f>IFERROR(SUMPRODUCT((Ventes!E5:E504=A169)*(TODAY()-Ventes!A5:A504&lt;=30)*Ventes!H5:H504),0)</f>
        <v>#ERROR!</v>
      </c>
      <c r="G169" s="259"/>
      <c r="H169" s="259"/>
      <c r="I169" s="259" t="str">
        <f>IFERROR(D169+G169-E169,"")</f>
        <v>#ERROR!</v>
      </c>
      <c r="J169" s="259" t="str">
        <f>IFERROR(D169+H169-F169,"")</f>
        <v>#ERROR!</v>
      </c>
      <c r="K169" s="76" t="str">
        <f>IF(I169="","",IF(I169&lt;0,"Rupture 7j",IF(J169&lt;0,"Rupture 30j","OK")))</f>
        <v>#ERROR!</v>
      </c>
      <c r="L169" s="259"/>
    </row>
    <row r="170">
      <c r="A170" s="257"/>
      <c r="B170" s="257"/>
      <c r="C170" s="257"/>
      <c r="D170" s="257"/>
      <c r="E170" s="257" t="str">
        <f>IFERROR(SUMPRODUCT((Ventes!E5:E504=A170)*(TODAY()-Ventes!A5:A504&lt;=7)*Ventes!H5:H504),0)</f>
        <v>#ERROR!</v>
      </c>
      <c r="F170" s="257" t="str">
        <f>IFERROR(SUMPRODUCT((Ventes!E5:E504=A170)*(TODAY()-Ventes!A5:A504&lt;=30)*Ventes!H5:H504),0)</f>
        <v>#ERROR!</v>
      </c>
      <c r="G170" s="257"/>
      <c r="H170" s="257"/>
      <c r="I170" s="257" t="str">
        <f>IFERROR(D170+G170-E170,"")</f>
        <v>#ERROR!</v>
      </c>
      <c r="J170" s="257" t="str">
        <f>IFERROR(D170+H170-F170,"")</f>
        <v>#ERROR!</v>
      </c>
      <c r="K170" s="360" t="str">
        <f>IF(I170="","",IF(I170&lt;0,"Rupture 7j",IF(J170&lt;0,"Rupture 30j","OK")))</f>
        <v>#ERROR!</v>
      </c>
      <c r="L170" s="257"/>
    </row>
    <row r="171">
      <c r="A171" s="259"/>
      <c r="B171" s="259"/>
      <c r="C171" s="259"/>
      <c r="D171" s="259"/>
      <c r="E171" s="259" t="str">
        <f>IFERROR(SUMPRODUCT((Ventes!E5:E504=A171)*(TODAY()-Ventes!A5:A504&lt;=7)*Ventes!H5:H504),0)</f>
        <v>#ERROR!</v>
      </c>
      <c r="F171" s="259" t="str">
        <f>IFERROR(SUMPRODUCT((Ventes!E5:E504=A171)*(TODAY()-Ventes!A5:A504&lt;=30)*Ventes!H5:H504),0)</f>
        <v>#ERROR!</v>
      </c>
      <c r="G171" s="259"/>
      <c r="H171" s="259"/>
      <c r="I171" s="259" t="str">
        <f>IFERROR(D171+G171-E171,"")</f>
        <v>#ERROR!</v>
      </c>
      <c r="J171" s="259" t="str">
        <f>IFERROR(D171+H171-F171,"")</f>
        <v>#ERROR!</v>
      </c>
      <c r="K171" s="76" t="str">
        <f>IF(I171="","",IF(I171&lt;0,"Rupture 7j",IF(J171&lt;0,"Rupture 30j","OK")))</f>
        <v>#ERROR!</v>
      </c>
      <c r="L171" s="259"/>
    </row>
    <row r="172">
      <c r="A172" s="257"/>
      <c r="B172" s="257"/>
      <c r="C172" s="257"/>
      <c r="D172" s="257"/>
      <c r="E172" s="257" t="str">
        <f>IFERROR(SUMPRODUCT((Ventes!E5:E504=A172)*(TODAY()-Ventes!A5:A504&lt;=7)*Ventes!H5:H504),0)</f>
        <v>#ERROR!</v>
      </c>
      <c r="F172" s="257" t="str">
        <f>IFERROR(SUMPRODUCT((Ventes!E5:E504=A172)*(TODAY()-Ventes!A5:A504&lt;=30)*Ventes!H5:H504),0)</f>
        <v>#ERROR!</v>
      </c>
      <c r="G172" s="257"/>
      <c r="H172" s="257"/>
      <c r="I172" s="257" t="str">
        <f>IFERROR(D172+G172-E172,"")</f>
        <v>#ERROR!</v>
      </c>
      <c r="J172" s="257" t="str">
        <f>IFERROR(D172+H172-F172,"")</f>
        <v>#ERROR!</v>
      </c>
      <c r="K172" s="360" t="str">
        <f>IF(I172="","",IF(I172&lt;0,"Rupture 7j",IF(J172&lt;0,"Rupture 30j","OK")))</f>
        <v>#ERROR!</v>
      </c>
      <c r="L172" s="257"/>
    </row>
    <row r="173">
      <c r="A173" s="259"/>
      <c r="B173" s="259"/>
      <c r="C173" s="259"/>
      <c r="D173" s="259"/>
      <c r="E173" s="259" t="str">
        <f>IFERROR(SUMPRODUCT((Ventes!E5:E504=A173)*(TODAY()-Ventes!A5:A504&lt;=7)*Ventes!H5:H504),0)</f>
        <v>#ERROR!</v>
      </c>
      <c r="F173" s="259" t="str">
        <f>IFERROR(SUMPRODUCT((Ventes!E5:E504=A173)*(TODAY()-Ventes!A5:A504&lt;=30)*Ventes!H5:H504),0)</f>
        <v>#ERROR!</v>
      </c>
      <c r="G173" s="259"/>
      <c r="H173" s="259"/>
      <c r="I173" s="259" t="str">
        <f>IFERROR(D173+G173-E173,"")</f>
        <v>#ERROR!</v>
      </c>
      <c r="J173" s="259" t="str">
        <f>IFERROR(D173+H173-F173,"")</f>
        <v>#ERROR!</v>
      </c>
      <c r="K173" s="76" t="str">
        <f>IF(I173="","",IF(I173&lt;0,"Rupture 7j",IF(J173&lt;0,"Rupture 30j","OK")))</f>
        <v>#ERROR!</v>
      </c>
      <c r="L173" s="259"/>
    </row>
    <row r="174">
      <c r="A174" s="257"/>
      <c r="B174" s="257"/>
      <c r="C174" s="257"/>
      <c r="D174" s="257"/>
      <c r="E174" s="257" t="str">
        <f>IFERROR(SUMPRODUCT((Ventes!E5:E504=A174)*(TODAY()-Ventes!A5:A504&lt;=7)*Ventes!H5:H504),0)</f>
        <v>#ERROR!</v>
      </c>
      <c r="F174" s="257" t="str">
        <f>IFERROR(SUMPRODUCT((Ventes!E5:E504=A174)*(TODAY()-Ventes!A5:A504&lt;=30)*Ventes!H5:H504),0)</f>
        <v>#ERROR!</v>
      </c>
      <c r="G174" s="257"/>
      <c r="H174" s="257"/>
      <c r="I174" s="257" t="str">
        <f>IFERROR(D174+G174-E174,"")</f>
        <v>#ERROR!</v>
      </c>
      <c r="J174" s="257" t="str">
        <f>IFERROR(D174+H174-F174,"")</f>
        <v>#ERROR!</v>
      </c>
      <c r="K174" s="360" t="str">
        <f>IF(I174="","",IF(I174&lt;0,"Rupture 7j",IF(J174&lt;0,"Rupture 30j","OK")))</f>
        <v>#ERROR!</v>
      </c>
      <c r="L174" s="257"/>
    </row>
    <row r="175">
      <c r="A175" s="259"/>
      <c r="B175" s="259"/>
      <c r="C175" s="259"/>
      <c r="D175" s="259"/>
      <c r="E175" s="259" t="str">
        <f>IFERROR(SUMPRODUCT((Ventes!E5:E504=A175)*(TODAY()-Ventes!A5:A504&lt;=7)*Ventes!H5:H504),0)</f>
        <v>#ERROR!</v>
      </c>
      <c r="F175" s="259" t="str">
        <f>IFERROR(SUMPRODUCT((Ventes!E5:E504=A175)*(TODAY()-Ventes!A5:A504&lt;=30)*Ventes!H5:H504),0)</f>
        <v>#ERROR!</v>
      </c>
      <c r="G175" s="259"/>
      <c r="H175" s="259"/>
      <c r="I175" s="259" t="str">
        <f>IFERROR(D175+G175-E175,"")</f>
        <v>#ERROR!</v>
      </c>
      <c r="J175" s="259" t="str">
        <f>IFERROR(D175+H175-F175,"")</f>
        <v>#ERROR!</v>
      </c>
      <c r="K175" s="76" t="str">
        <f>IF(I175="","",IF(I175&lt;0,"Rupture 7j",IF(J175&lt;0,"Rupture 30j","OK")))</f>
        <v>#ERROR!</v>
      </c>
      <c r="L175" s="259"/>
    </row>
    <row r="176">
      <c r="A176" s="257"/>
      <c r="B176" s="257"/>
      <c r="C176" s="257"/>
      <c r="D176" s="257"/>
      <c r="E176" s="257" t="str">
        <f>IFERROR(SUMPRODUCT((Ventes!E5:E504=A176)*(TODAY()-Ventes!A5:A504&lt;=7)*Ventes!H5:H504),0)</f>
        <v>#ERROR!</v>
      </c>
      <c r="F176" s="257" t="str">
        <f>IFERROR(SUMPRODUCT((Ventes!E5:E504=A176)*(TODAY()-Ventes!A5:A504&lt;=30)*Ventes!H5:H504),0)</f>
        <v>#ERROR!</v>
      </c>
      <c r="G176" s="257"/>
      <c r="H176" s="257"/>
      <c r="I176" s="257" t="str">
        <f>IFERROR(D176+G176-E176,"")</f>
        <v>#ERROR!</v>
      </c>
      <c r="J176" s="257" t="str">
        <f>IFERROR(D176+H176-F176,"")</f>
        <v>#ERROR!</v>
      </c>
      <c r="K176" s="360" t="str">
        <f>IF(I176="","",IF(I176&lt;0,"Rupture 7j",IF(J176&lt;0,"Rupture 30j","OK")))</f>
        <v>#ERROR!</v>
      </c>
      <c r="L176" s="257"/>
    </row>
    <row r="177">
      <c r="A177" s="259"/>
      <c r="B177" s="259"/>
      <c r="C177" s="259"/>
      <c r="D177" s="259"/>
      <c r="E177" s="259" t="str">
        <f>IFERROR(SUMPRODUCT((Ventes!E5:E504=A177)*(TODAY()-Ventes!A5:A504&lt;=7)*Ventes!H5:H504),0)</f>
        <v>#ERROR!</v>
      </c>
      <c r="F177" s="259" t="str">
        <f>IFERROR(SUMPRODUCT((Ventes!E5:E504=A177)*(TODAY()-Ventes!A5:A504&lt;=30)*Ventes!H5:H504),0)</f>
        <v>#ERROR!</v>
      </c>
      <c r="G177" s="259"/>
      <c r="H177" s="259"/>
      <c r="I177" s="259" t="str">
        <f>IFERROR(D177+G177-E177,"")</f>
        <v>#ERROR!</v>
      </c>
      <c r="J177" s="259" t="str">
        <f>IFERROR(D177+H177-F177,"")</f>
        <v>#ERROR!</v>
      </c>
      <c r="K177" s="76" t="str">
        <f>IF(I177="","",IF(I177&lt;0,"Rupture 7j",IF(J177&lt;0,"Rupture 30j","OK")))</f>
        <v>#ERROR!</v>
      </c>
      <c r="L177" s="259"/>
    </row>
    <row r="178">
      <c r="A178" s="257"/>
      <c r="B178" s="257"/>
      <c r="C178" s="257"/>
      <c r="D178" s="257"/>
      <c r="E178" s="257" t="str">
        <f>IFERROR(SUMPRODUCT((Ventes!E5:E504=A178)*(TODAY()-Ventes!A5:A504&lt;=7)*Ventes!H5:H504),0)</f>
        <v>#ERROR!</v>
      </c>
      <c r="F178" s="257" t="str">
        <f>IFERROR(SUMPRODUCT((Ventes!E5:E504=A178)*(TODAY()-Ventes!A5:A504&lt;=30)*Ventes!H5:H504),0)</f>
        <v>#ERROR!</v>
      </c>
      <c r="G178" s="257"/>
      <c r="H178" s="257"/>
      <c r="I178" s="257" t="str">
        <f>IFERROR(D178+G178-E178,"")</f>
        <v>#ERROR!</v>
      </c>
      <c r="J178" s="257" t="str">
        <f>IFERROR(D178+H178-F178,"")</f>
        <v>#ERROR!</v>
      </c>
      <c r="K178" s="360" t="str">
        <f>IF(I178="","",IF(I178&lt;0,"Rupture 7j",IF(J178&lt;0,"Rupture 30j","OK")))</f>
        <v>#ERROR!</v>
      </c>
      <c r="L178" s="257"/>
    </row>
    <row r="179">
      <c r="A179" s="259"/>
      <c r="B179" s="259"/>
      <c r="C179" s="259"/>
      <c r="D179" s="259"/>
      <c r="E179" s="259" t="str">
        <f>IFERROR(SUMPRODUCT((Ventes!E5:E504=A179)*(TODAY()-Ventes!A5:A504&lt;=7)*Ventes!H5:H504),0)</f>
        <v>#ERROR!</v>
      </c>
      <c r="F179" s="259" t="str">
        <f>IFERROR(SUMPRODUCT((Ventes!E5:E504=A179)*(TODAY()-Ventes!A5:A504&lt;=30)*Ventes!H5:H504),0)</f>
        <v>#ERROR!</v>
      </c>
      <c r="G179" s="259"/>
      <c r="H179" s="259"/>
      <c r="I179" s="259" t="str">
        <f>IFERROR(D179+G179-E179,"")</f>
        <v>#ERROR!</v>
      </c>
      <c r="J179" s="259" t="str">
        <f>IFERROR(D179+H179-F179,"")</f>
        <v>#ERROR!</v>
      </c>
      <c r="K179" s="76" t="str">
        <f>IF(I179="","",IF(I179&lt;0,"Rupture 7j",IF(J179&lt;0,"Rupture 30j","OK")))</f>
        <v>#ERROR!</v>
      </c>
      <c r="L179" s="259"/>
    </row>
    <row r="180">
      <c r="A180" s="257"/>
      <c r="B180" s="257"/>
      <c r="C180" s="257"/>
      <c r="D180" s="257"/>
      <c r="E180" s="257" t="str">
        <f>IFERROR(SUMPRODUCT((Ventes!E5:E504=A180)*(TODAY()-Ventes!A5:A504&lt;=7)*Ventes!H5:H504),0)</f>
        <v>#ERROR!</v>
      </c>
      <c r="F180" s="257" t="str">
        <f>IFERROR(SUMPRODUCT((Ventes!E5:E504=A180)*(TODAY()-Ventes!A5:A504&lt;=30)*Ventes!H5:H504),0)</f>
        <v>#ERROR!</v>
      </c>
      <c r="G180" s="257"/>
      <c r="H180" s="257"/>
      <c r="I180" s="257" t="str">
        <f>IFERROR(D180+G180-E180,"")</f>
        <v>#ERROR!</v>
      </c>
      <c r="J180" s="257" t="str">
        <f>IFERROR(D180+H180-F180,"")</f>
        <v>#ERROR!</v>
      </c>
      <c r="K180" s="360" t="str">
        <f>IF(I180="","",IF(I180&lt;0,"Rupture 7j",IF(J180&lt;0,"Rupture 30j","OK")))</f>
        <v>#ERROR!</v>
      </c>
      <c r="L180" s="257"/>
    </row>
    <row r="181">
      <c r="A181" s="259"/>
      <c r="B181" s="259"/>
      <c r="C181" s="259"/>
      <c r="D181" s="259"/>
      <c r="E181" s="259" t="str">
        <f>IFERROR(SUMPRODUCT((Ventes!E5:E504=A181)*(TODAY()-Ventes!A5:A504&lt;=7)*Ventes!H5:H504),0)</f>
        <v>#ERROR!</v>
      </c>
      <c r="F181" s="259" t="str">
        <f>IFERROR(SUMPRODUCT((Ventes!E5:E504=A181)*(TODAY()-Ventes!A5:A504&lt;=30)*Ventes!H5:H504),0)</f>
        <v>#ERROR!</v>
      </c>
      <c r="G181" s="259"/>
      <c r="H181" s="259"/>
      <c r="I181" s="259" t="str">
        <f>IFERROR(D181+G181-E181,"")</f>
        <v>#ERROR!</v>
      </c>
      <c r="J181" s="259" t="str">
        <f>IFERROR(D181+H181-F181,"")</f>
        <v>#ERROR!</v>
      </c>
      <c r="K181" s="76" t="str">
        <f>IF(I181="","",IF(I181&lt;0,"Rupture 7j",IF(J181&lt;0,"Rupture 30j","OK")))</f>
        <v>#ERROR!</v>
      </c>
      <c r="L181" s="259"/>
    </row>
    <row r="182">
      <c r="A182" s="257"/>
      <c r="B182" s="257"/>
      <c r="C182" s="257"/>
      <c r="D182" s="257"/>
      <c r="E182" s="257" t="str">
        <f>IFERROR(SUMPRODUCT((Ventes!E5:E504=A182)*(TODAY()-Ventes!A5:A504&lt;=7)*Ventes!H5:H504),0)</f>
        <v>#ERROR!</v>
      </c>
      <c r="F182" s="257" t="str">
        <f>IFERROR(SUMPRODUCT((Ventes!E5:E504=A182)*(TODAY()-Ventes!A5:A504&lt;=30)*Ventes!H5:H504),0)</f>
        <v>#ERROR!</v>
      </c>
      <c r="G182" s="257"/>
      <c r="H182" s="257"/>
      <c r="I182" s="257" t="str">
        <f>IFERROR(D182+G182-E182,"")</f>
        <v>#ERROR!</v>
      </c>
      <c r="J182" s="257" t="str">
        <f>IFERROR(D182+H182-F182,"")</f>
        <v>#ERROR!</v>
      </c>
      <c r="K182" s="360" t="str">
        <f>IF(I182="","",IF(I182&lt;0,"Rupture 7j",IF(J182&lt;0,"Rupture 30j","OK")))</f>
        <v>#ERROR!</v>
      </c>
      <c r="L182" s="257"/>
    </row>
    <row r="183">
      <c r="A183" s="259"/>
      <c r="B183" s="259"/>
      <c r="C183" s="259"/>
      <c r="D183" s="259"/>
      <c r="E183" s="259" t="str">
        <f>IFERROR(SUMPRODUCT((Ventes!E5:E504=A183)*(TODAY()-Ventes!A5:A504&lt;=7)*Ventes!H5:H504),0)</f>
        <v>#ERROR!</v>
      </c>
      <c r="F183" s="259" t="str">
        <f>IFERROR(SUMPRODUCT((Ventes!E5:E504=A183)*(TODAY()-Ventes!A5:A504&lt;=30)*Ventes!H5:H504),0)</f>
        <v>#ERROR!</v>
      </c>
      <c r="G183" s="259"/>
      <c r="H183" s="259"/>
      <c r="I183" s="259" t="str">
        <f>IFERROR(D183+G183-E183,"")</f>
        <v>#ERROR!</v>
      </c>
      <c r="J183" s="259" t="str">
        <f>IFERROR(D183+H183-F183,"")</f>
        <v>#ERROR!</v>
      </c>
      <c r="K183" s="76" t="str">
        <f>IF(I183="","",IF(I183&lt;0,"Rupture 7j",IF(J183&lt;0,"Rupture 30j","OK")))</f>
        <v>#ERROR!</v>
      </c>
      <c r="L183" s="259"/>
    </row>
    <row r="184">
      <c r="A184" s="257"/>
      <c r="B184" s="257"/>
      <c r="C184" s="257"/>
      <c r="D184" s="257"/>
      <c r="E184" s="257" t="str">
        <f>IFERROR(SUMPRODUCT((Ventes!E5:E504=A184)*(TODAY()-Ventes!A5:A504&lt;=7)*Ventes!H5:H504),0)</f>
        <v>#ERROR!</v>
      </c>
      <c r="F184" s="257" t="str">
        <f>IFERROR(SUMPRODUCT((Ventes!E5:E504=A184)*(TODAY()-Ventes!A5:A504&lt;=30)*Ventes!H5:H504),0)</f>
        <v>#ERROR!</v>
      </c>
      <c r="G184" s="257"/>
      <c r="H184" s="257"/>
      <c r="I184" s="257" t="str">
        <f>IFERROR(D184+G184-E184,"")</f>
        <v>#ERROR!</v>
      </c>
      <c r="J184" s="257" t="str">
        <f>IFERROR(D184+H184-F184,"")</f>
        <v>#ERROR!</v>
      </c>
      <c r="K184" s="360" t="str">
        <f>IF(I184="","",IF(I184&lt;0,"Rupture 7j",IF(J184&lt;0,"Rupture 30j","OK")))</f>
        <v>#ERROR!</v>
      </c>
      <c r="L184" s="257"/>
    </row>
    <row r="185">
      <c r="A185" s="259"/>
      <c r="B185" s="259"/>
      <c r="C185" s="259"/>
      <c r="D185" s="259"/>
      <c r="E185" s="259" t="str">
        <f>IFERROR(SUMPRODUCT((Ventes!E5:E504=A185)*(TODAY()-Ventes!A5:A504&lt;=7)*Ventes!H5:H504),0)</f>
        <v>#ERROR!</v>
      </c>
      <c r="F185" s="259" t="str">
        <f>IFERROR(SUMPRODUCT((Ventes!E5:E504=A185)*(TODAY()-Ventes!A5:A504&lt;=30)*Ventes!H5:H504),0)</f>
        <v>#ERROR!</v>
      </c>
      <c r="G185" s="259"/>
      <c r="H185" s="259"/>
      <c r="I185" s="259" t="str">
        <f>IFERROR(D185+G185-E185,"")</f>
        <v>#ERROR!</v>
      </c>
      <c r="J185" s="259" t="str">
        <f>IFERROR(D185+H185-F185,"")</f>
        <v>#ERROR!</v>
      </c>
      <c r="K185" s="76" t="str">
        <f>IF(I185="","",IF(I185&lt;0,"Rupture 7j",IF(J185&lt;0,"Rupture 30j","OK")))</f>
        <v>#ERROR!</v>
      </c>
      <c r="L185" s="259"/>
    </row>
    <row r="186">
      <c r="A186" s="257"/>
      <c r="B186" s="257"/>
      <c r="C186" s="257"/>
      <c r="D186" s="257"/>
      <c r="E186" s="257" t="str">
        <f>IFERROR(SUMPRODUCT((Ventes!E5:E504=A186)*(TODAY()-Ventes!A5:A504&lt;=7)*Ventes!H5:H504),0)</f>
        <v>#ERROR!</v>
      </c>
      <c r="F186" s="257" t="str">
        <f>IFERROR(SUMPRODUCT((Ventes!E5:E504=A186)*(TODAY()-Ventes!A5:A504&lt;=30)*Ventes!H5:H504),0)</f>
        <v>#ERROR!</v>
      </c>
      <c r="G186" s="257"/>
      <c r="H186" s="257"/>
      <c r="I186" s="257" t="str">
        <f>IFERROR(D186+G186-E186,"")</f>
        <v>#ERROR!</v>
      </c>
      <c r="J186" s="257" t="str">
        <f>IFERROR(D186+H186-F186,"")</f>
        <v>#ERROR!</v>
      </c>
      <c r="K186" s="360" t="str">
        <f>IF(I186="","",IF(I186&lt;0,"Rupture 7j",IF(J186&lt;0,"Rupture 30j","OK")))</f>
        <v>#ERROR!</v>
      </c>
      <c r="L186" s="257"/>
    </row>
    <row r="187">
      <c r="A187" s="259"/>
      <c r="B187" s="259"/>
      <c r="C187" s="259"/>
      <c r="D187" s="259"/>
      <c r="E187" s="259" t="str">
        <f>IFERROR(SUMPRODUCT((Ventes!E5:E504=A187)*(TODAY()-Ventes!A5:A504&lt;=7)*Ventes!H5:H504),0)</f>
        <v>#ERROR!</v>
      </c>
      <c r="F187" s="259" t="str">
        <f>IFERROR(SUMPRODUCT((Ventes!E5:E504=A187)*(TODAY()-Ventes!A5:A504&lt;=30)*Ventes!H5:H504),0)</f>
        <v>#ERROR!</v>
      </c>
      <c r="G187" s="259"/>
      <c r="H187" s="259"/>
      <c r="I187" s="259" t="str">
        <f>IFERROR(D187+G187-E187,"")</f>
        <v>#ERROR!</v>
      </c>
      <c r="J187" s="259" t="str">
        <f>IFERROR(D187+H187-F187,"")</f>
        <v>#ERROR!</v>
      </c>
      <c r="K187" s="76" t="str">
        <f>IF(I187="","",IF(I187&lt;0,"Rupture 7j",IF(J187&lt;0,"Rupture 30j","OK")))</f>
        <v>#ERROR!</v>
      </c>
      <c r="L187" s="259"/>
    </row>
    <row r="188">
      <c r="A188" s="257"/>
      <c r="B188" s="257"/>
      <c r="C188" s="257"/>
      <c r="D188" s="257"/>
      <c r="E188" s="257" t="str">
        <f>IFERROR(SUMPRODUCT((Ventes!E5:E504=A188)*(TODAY()-Ventes!A5:A504&lt;=7)*Ventes!H5:H504),0)</f>
        <v>#ERROR!</v>
      </c>
      <c r="F188" s="257" t="str">
        <f>IFERROR(SUMPRODUCT((Ventes!E5:E504=A188)*(TODAY()-Ventes!A5:A504&lt;=30)*Ventes!H5:H504),0)</f>
        <v>#ERROR!</v>
      </c>
      <c r="G188" s="257"/>
      <c r="H188" s="257"/>
      <c r="I188" s="257" t="str">
        <f>IFERROR(D188+G188-E188,"")</f>
        <v>#ERROR!</v>
      </c>
      <c r="J188" s="257" t="str">
        <f>IFERROR(D188+H188-F188,"")</f>
        <v>#ERROR!</v>
      </c>
      <c r="K188" s="360" t="str">
        <f>IF(I188="","",IF(I188&lt;0,"Rupture 7j",IF(J188&lt;0,"Rupture 30j","OK")))</f>
        <v>#ERROR!</v>
      </c>
      <c r="L188" s="257"/>
    </row>
    <row r="189">
      <c r="A189" s="259"/>
      <c r="B189" s="259"/>
      <c r="C189" s="259"/>
      <c r="D189" s="259"/>
      <c r="E189" s="259" t="str">
        <f>IFERROR(SUMPRODUCT((Ventes!E5:E504=A189)*(TODAY()-Ventes!A5:A504&lt;=7)*Ventes!H5:H504),0)</f>
        <v>#ERROR!</v>
      </c>
      <c r="F189" s="259" t="str">
        <f>IFERROR(SUMPRODUCT((Ventes!E5:E504=A189)*(TODAY()-Ventes!A5:A504&lt;=30)*Ventes!H5:H504),0)</f>
        <v>#ERROR!</v>
      </c>
      <c r="G189" s="259"/>
      <c r="H189" s="259"/>
      <c r="I189" s="259" t="str">
        <f>IFERROR(D189+G189-E189,"")</f>
        <v>#ERROR!</v>
      </c>
      <c r="J189" s="259" t="str">
        <f>IFERROR(D189+H189-F189,"")</f>
        <v>#ERROR!</v>
      </c>
      <c r="K189" s="76" t="str">
        <f>IF(I189="","",IF(I189&lt;0,"Rupture 7j",IF(J189&lt;0,"Rupture 30j","OK")))</f>
        <v>#ERROR!</v>
      </c>
      <c r="L189" s="259"/>
    </row>
    <row r="190">
      <c r="A190" s="257"/>
      <c r="B190" s="257"/>
      <c r="C190" s="257"/>
      <c r="D190" s="257"/>
      <c r="E190" s="257" t="str">
        <f>IFERROR(SUMPRODUCT((Ventes!E5:E504=A190)*(TODAY()-Ventes!A5:A504&lt;=7)*Ventes!H5:H504),0)</f>
        <v>#ERROR!</v>
      </c>
      <c r="F190" s="257" t="str">
        <f>IFERROR(SUMPRODUCT((Ventes!E5:E504=A190)*(TODAY()-Ventes!A5:A504&lt;=30)*Ventes!H5:H504),0)</f>
        <v>#ERROR!</v>
      </c>
      <c r="G190" s="257"/>
      <c r="H190" s="257"/>
      <c r="I190" s="257" t="str">
        <f>IFERROR(D190+G190-E190,"")</f>
        <v>#ERROR!</v>
      </c>
      <c r="J190" s="257" t="str">
        <f>IFERROR(D190+H190-F190,"")</f>
        <v>#ERROR!</v>
      </c>
      <c r="K190" s="360" t="str">
        <f>IF(I190="","",IF(I190&lt;0,"Rupture 7j",IF(J190&lt;0,"Rupture 30j","OK")))</f>
        <v>#ERROR!</v>
      </c>
      <c r="L190" s="257"/>
    </row>
    <row r="191">
      <c r="A191" s="259"/>
      <c r="B191" s="259"/>
      <c r="C191" s="259"/>
      <c r="D191" s="259"/>
      <c r="E191" s="259" t="str">
        <f>IFERROR(SUMPRODUCT((Ventes!E5:E504=A191)*(TODAY()-Ventes!A5:A504&lt;=7)*Ventes!H5:H504),0)</f>
        <v>#ERROR!</v>
      </c>
      <c r="F191" s="259" t="str">
        <f>IFERROR(SUMPRODUCT((Ventes!E5:E504=A191)*(TODAY()-Ventes!A5:A504&lt;=30)*Ventes!H5:H504),0)</f>
        <v>#ERROR!</v>
      </c>
      <c r="G191" s="259"/>
      <c r="H191" s="259"/>
      <c r="I191" s="259" t="str">
        <f>IFERROR(D191+G191-E191,"")</f>
        <v>#ERROR!</v>
      </c>
      <c r="J191" s="259" t="str">
        <f>IFERROR(D191+H191-F191,"")</f>
        <v>#ERROR!</v>
      </c>
      <c r="K191" s="76" t="str">
        <f>IF(I191="","",IF(I191&lt;0,"Rupture 7j",IF(J191&lt;0,"Rupture 30j","OK")))</f>
        <v>#ERROR!</v>
      </c>
      <c r="L191" s="259"/>
    </row>
    <row r="192">
      <c r="A192" s="257"/>
      <c r="B192" s="257"/>
      <c r="C192" s="257"/>
      <c r="D192" s="257"/>
      <c r="E192" s="257" t="str">
        <f>IFERROR(SUMPRODUCT((Ventes!E5:E504=A192)*(TODAY()-Ventes!A5:A504&lt;=7)*Ventes!H5:H504),0)</f>
        <v>#ERROR!</v>
      </c>
      <c r="F192" s="257" t="str">
        <f>IFERROR(SUMPRODUCT((Ventes!E5:E504=A192)*(TODAY()-Ventes!A5:A504&lt;=30)*Ventes!H5:H504),0)</f>
        <v>#ERROR!</v>
      </c>
      <c r="G192" s="257"/>
      <c r="H192" s="257"/>
      <c r="I192" s="257" t="str">
        <f>IFERROR(D192+G192-E192,"")</f>
        <v>#ERROR!</v>
      </c>
      <c r="J192" s="257" t="str">
        <f>IFERROR(D192+H192-F192,"")</f>
        <v>#ERROR!</v>
      </c>
      <c r="K192" s="360" t="str">
        <f>IF(I192="","",IF(I192&lt;0,"Rupture 7j",IF(J192&lt;0,"Rupture 30j","OK")))</f>
        <v>#ERROR!</v>
      </c>
      <c r="L192" s="257"/>
    </row>
    <row r="193">
      <c r="A193" s="259"/>
      <c r="B193" s="259"/>
      <c r="C193" s="259"/>
      <c r="D193" s="259"/>
      <c r="E193" s="259" t="str">
        <f>IFERROR(SUMPRODUCT((Ventes!E5:E504=A193)*(TODAY()-Ventes!A5:A504&lt;=7)*Ventes!H5:H504),0)</f>
        <v>#ERROR!</v>
      </c>
      <c r="F193" s="259" t="str">
        <f>IFERROR(SUMPRODUCT((Ventes!E5:E504=A193)*(TODAY()-Ventes!A5:A504&lt;=30)*Ventes!H5:H504),0)</f>
        <v>#ERROR!</v>
      </c>
      <c r="G193" s="259"/>
      <c r="H193" s="259"/>
      <c r="I193" s="259" t="str">
        <f>IFERROR(D193+G193-E193,"")</f>
        <v>#ERROR!</v>
      </c>
      <c r="J193" s="259" t="str">
        <f>IFERROR(D193+H193-F193,"")</f>
        <v>#ERROR!</v>
      </c>
      <c r="K193" s="76" t="str">
        <f>IF(I193="","",IF(I193&lt;0,"Rupture 7j",IF(J193&lt;0,"Rupture 30j","OK")))</f>
        <v>#ERROR!</v>
      </c>
      <c r="L193" s="259"/>
    </row>
    <row r="194">
      <c r="A194" s="257"/>
      <c r="B194" s="257"/>
      <c r="C194" s="257"/>
      <c r="D194" s="257"/>
      <c r="E194" s="257" t="str">
        <f>IFERROR(SUMPRODUCT((Ventes!E5:E504=A194)*(TODAY()-Ventes!A5:A504&lt;=7)*Ventes!H5:H504),0)</f>
        <v>#ERROR!</v>
      </c>
      <c r="F194" s="257" t="str">
        <f>IFERROR(SUMPRODUCT((Ventes!E5:E504=A194)*(TODAY()-Ventes!A5:A504&lt;=30)*Ventes!H5:H504),0)</f>
        <v>#ERROR!</v>
      </c>
      <c r="G194" s="257"/>
      <c r="H194" s="257"/>
      <c r="I194" s="257" t="str">
        <f>IFERROR(D194+G194-E194,"")</f>
        <v>#ERROR!</v>
      </c>
      <c r="J194" s="257" t="str">
        <f>IFERROR(D194+H194-F194,"")</f>
        <v>#ERROR!</v>
      </c>
      <c r="K194" s="360" t="str">
        <f>IF(I194="","",IF(I194&lt;0,"Rupture 7j",IF(J194&lt;0,"Rupture 30j","OK")))</f>
        <v>#ERROR!</v>
      </c>
      <c r="L194" s="257"/>
    </row>
    <row r="195">
      <c r="A195" s="259"/>
      <c r="B195" s="259"/>
      <c r="C195" s="259"/>
      <c r="D195" s="259"/>
      <c r="E195" s="259" t="str">
        <f>IFERROR(SUMPRODUCT((Ventes!E5:E504=A195)*(TODAY()-Ventes!A5:A504&lt;=7)*Ventes!H5:H504),0)</f>
        <v>#ERROR!</v>
      </c>
      <c r="F195" s="259" t="str">
        <f>IFERROR(SUMPRODUCT((Ventes!E5:E504=A195)*(TODAY()-Ventes!A5:A504&lt;=30)*Ventes!H5:H504),0)</f>
        <v>#ERROR!</v>
      </c>
      <c r="G195" s="259"/>
      <c r="H195" s="259"/>
      <c r="I195" s="259" t="str">
        <f>IFERROR(D195+G195-E195,"")</f>
        <v>#ERROR!</v>
      </c>
      <c r="J195" s="259" t="str">
        <f>IFERROR(D195+H195-F195,"")</f>
        <v>#ERROR!</v>
      </c>
      <c r="K195" s="76" t="str">
        <f>IF(I195="","",IF(I195&lt;0,"Rupture 7j",IF(J195&lt;0,"Rupture 30j","OK")))</f>
        <v>#ERROR!</v>
      </c>
      <c r="L195" s="259"/>
    </row>
    <row r="196">
      <c r="A196" s="257"/>
      <c r="B196" s="257"/>
      <c r="C196" s="257"/>
      <c r="D196" s="257"/>
      <c r="E196" s="257" t="str">
        <f>IFERROR(SUMPRODUCT((Ventes!E5:E504=A196)*(TODAY()-Ventes!A5:A504&lt;=7)*Ventes!H5:H504),0)</f>
        <v>#ERROR!</v>
      </c>
      <c r="F196" s="257" t="str">
        <f>IFERROR(SUMPRODUCT((Ventes!E5:E504=A196)*(TODAY()-Ventes!A5:A504&lt;=30)*Ventes!H5:H504),0)</f>
        <v>#ERROR!</v>
      </c>
      <c r="G196" s="257"/>
      <c r="H196" s="257"/>
      <c r="I196" s="257" t="str">
        <f>IFERROR(D196+G196-E196,"")</f>
        <v>#ERROR!</v>
      </c>
      <c r="J196" s="257" t="str">
        <f>IFERROR(D196+H196-F196,"")</f>
        <v>#ERROR!</v>
      </c>
      <c r="K196" s="360" t="str">
        <f>IF(I196="","",IF(I196&lt;0,"Rupture 7j",IF(J196&lt;0,"Rupture 30j","OK")))</f>
        <v>#ERROR!</v>
      </c>
      <c r="L196" s="257"/>
    </row>
    <row r="197">
      <c r="A197" s="259"/>
      <c r="B197" s="259"/>
      <c r="C197" s="259"/>
      <c r="D197" s="259"/>
      <c r="E197" s="259" t="str">
        <f>IFERROR(SUMPRODUCT((Ventes!E5:E504=A197)*(TODAY()-Ventes!A5:A504&lt;=7)*Ventes!H5:H504),0)</f>
        <v>#ERROR!</v>
      </c>
      <c r="F197" s="259" t="str">
        <f>IFERROR(SUMPRODUCT((Ventes!E5:E504=A197)*(TODAY()-Ventes!A5:A504&lt;=30)*Ventes!H5:H504),0)</f>
        <v>#ERROR!</v>
      </c>
      <c r="G197" s="259"/>
      <c r="H197" s="259"/>
      <c r="I197" s="259" t="str">
        <f>IFERROR(D197+G197-E197,"")</f>
        <v>#ERROR!</v>
      </c>
      <c r="J197" s="259" t="str">
        <f>IFERROR(D197+H197-F197,"")</f>
        <v>#ERROR!</v>
      </c>
      <c r="K197" s="76" t="str">
        <f>IF(I197="","",IF(I197&lt;0,"Rupture 7j",IF(J197&lt;0,"Rupture 30j","OK")))</f>
        <v>#ERROR!</v>
      </c>
      <c r="L197" s="259"/>
    </row>
    <row r="198">
      <c r="A198" s="257"/>
      <c r="B198" s="257"/>
      <c r="C198" s="257"/>
      <c r="D198" s="257"/>
      <c r="E198" s="257" t="str">
        <f>IFERROR(SUMPRODUCT((Ventes!E5:E504=A198)*(TODAY()-Ventes!A5:A504&lt;=7)*Ventes!H5:H504),0)</f>
        <v>#ERROR!</v>
      </c>
      <c r="F198" s="257" t="str">
        <f>IFERROR(SUMPRODUCT((Ventes!E5:E504=A198)*(TODAY()-Ventes!A5:A504&lt;=30)*Ventes!H5:H504),0)</f>
        <v>#ERROR!</v>
      </c>
      <c r="G198" s="257"/>
      <c r="H198" s="257"/>
      <c r="I198" s="257" t="str">
        <f>IFERROR(D198+G198-E198,"")</f>
        <v>#ERROR!</v>
      </c>
      <c r="J198" s="257" t="str">
        <f>IFERROR(D198+H198-F198,"")</f>
        <v>#ERROR!</v>
      </c>
      <c r="K198" s="360" t="str">
        <f>IF(I198="","",IF(I198&lt;0,"Rupture 7j",IF(J198&lt;0,"Rupture 30j","OK")))</f>
        <v>#ERROR!</v>
      </c>
      <c r="L198" s="257"/>
    </row>
    <row r="199">
      <c r="A199" s="259"/>
      <c r="B199" s="259"/>
      <c r="C199" s="259"/>
      <c r="D199" s="259"/>
      <c r="E199" s="259" t="str">
        <f>IFERROR(SUMPRODUCT((Ventes!E5:E504=A199)*(TODAY()-Ventes!A5:A504&lt;=7)*Ventes!H5:H504),0)</f>
        <v>#ERROR!</v>
      </c>
      <c r="F199" s="259" t="str">
        <f>IFERROR(SUMPRODUCT((Ventes!E5:E504=A199)*(TODAY()-Ventes!A5:A504&lt;=30)*Ventes!H5:H504),0)</f>
        <v>#ERROR!</v>
      </c>
      <c r="G199" s="259"/>
      <c r="H199" s="259"/>
      <c r="I199" s="259" t="str">
        <f>IFERROR(D199+G199-E199,"")</f>
        <v>#ERROR!</v>
      </c>
      <c r="J199" s="259" t="str">
        <f>IFERROR(D199+H199-F199,"")</f>
        <v>#ERROR!</v>
      </c>
      <c r="K199" s="76" t="str">
        <f>IF(I199="","",IF(I199&lt;0,"Rupture 7j",IF(J199&lt;0,"Rupture 30j","OK")))</f>
        <v>#ERROR!</v>
      </c>
      <c r="L199" s="259"/>
    </row>
    <row r="200">
      <c r="A200" s="257"/>
      <c r="B200" s="257"/>
      <c r="C200" s="257"/>
      <c r="D200" s="257"/>
      <c r="E200" s="257" t="str">
        <f>IFERROR(SUMPRODUCT((Ventes!E5:E504=A200)*(TODAY()-Ventes!A5:A504&lt;=7)*Ventes!H5:H504),0)</f>
        <v>#ERROR!</v>
      </c>
      <c r="F200" s="257" t="str">
        <f>IFERROR(SUMPRODUCT((Ventes!E5:E504=A200)*(TODAY()-Ventes!A5:A504&lt;=30)*Ventes!H5:H504),0)</f>
        <v>#ERROR!</v>
      </c>
      <c r="G200" s="257"/>
      <c r="H200" s="257"/>
      <c r="I200" s="257" t="str">
        <f>IFERROR(D200+G200-E200,"")</f>
        <v>#ERROR!</v>
      </c>
      <c r="J200" s="257" t="str">
        <f>IFERROR(D200+H200-F200,"")</f>
        <v>#ERROR!</v>
      </c>
      <c r="K200" s="360" t="str">
        <f>IF(I200="","",IF(I200&lt;0,"Rupture 7j",IF(J200&lt;0,"Rupture 30j","OK")))</f>
        <v>#ERROR!</v>
      </c>
      <c r="L200" s="257"/>
    </row>
    <row r="201">
      <c r="A201" s="259"/>
      <c r="B201" s="259"/>
      <c r="C201" s="259"/>
      <c r="D201" s="259"/>
      <c r="E201" s="259" t="str">
        <f>IFERROR(SUMPRODUCT((Ventes!E5:E504=A201)*(TODAY()-Ventes!A5:A504&lt;=7)*Ventes!H5:H504),0)</f>
        <v>#ERROR!</v>
      </c>
      <c r="F201" s="259" t="str">
        <f>IFERROR(SUMPRODUCT((Ventes!E5:E504=A201)*(TODAY()-Ventes!A5:A504&lt;=30)*Ventes!H5:H504),0)</f>
        <v>#ERROR!</v>
      </c>
      <c r="G201" s="259"/>
      <c r="H201" s="259"/>
      <c r="I201" s="259" t="str">
        <f>IFERROR(D201+G201-E201,"")</f>
        <v>#ERROR!</v>
      </c>
      <c r="J201" s="259" t="str">
        <f>IFERROR(D201+H201-F201,"")</f>
        <v>#ERROR!</v>
      </c>
      <c r="K201" s="76" t="str">
        <f>IF(I201="","",IF(I201&lt;0,"Rupture 7j",IF(J201&lt;0,"Rupture 30j","OK")))</f>
        <v>#ERROR!</v>
      </c>
      <c r="L201" s="259"/>
    </row>
    <row r="202">
      <c r="A202" s="257"/>
      <c r="B202" s="257"/>
      <c r="C202" s="257"/>
      <c r="D202" s="257"/>
      <c r="E202" s="257" t="str">
        <f>IFERROR(SUMPRODUCT((Ventes!E5:E504=A202)*(TODAY()-Ventes!A5:A504&lt;=7)*Ventes!H5:H504),0)</f>
        <v>#ERROR!</v>
      </c>
      <c r="F202" s="257" t="str">
        <f>IFERROR(SUMPRODUCT((Ventes!E5:E504=A202)*(TODAY()-Ventes!A5:A504&lt;=30)*Ventes!H5:H504),0)</f>
        <v>#ERROR!</v>
      </c>
      <c r="G202" s="257"/>
      <c r="H202" s="257"/>
      <c r="I202" s="257" t="str">
        <f>IFERROR(D202+G202-E202,"")</f>
        <v>#ERROR!</v>
      </c>
      <c r="J202" s="257" t="str">
        <f>IFERROR(D202+H202-F202,"")</f>
        <v>#ERROR!</v>
      </c>
      <c r="K202" s="360" t="str">
        <f>IF(I202="","",IF(I202&lt;0,"Rupture 7j",IF(J202&lt;0,"Rupture 30j","OK")))</f>
        <v>#ERROR!</v>
      </c>
      <c r="L202" s="257"/>
    </row>
    <row r="203">
      <c r="A203" s="259"/>
      <c r="B203" s="259"/>
      <c r="C203" s="259"/>
      <c r="D203" s="259"/>
      <c r="E203" s="259" t="str">
        <f>IFERROR(SUMPRODUCT((Ventes!E5:E504=A203)*(TODAY()-Ventes!A5:A504&lt;=7)*Ventes!H5:H504),0)</f>
        <v>#ERROR!</v>
      </c>
      <c r="F203" s="259" t="str">
        <f>IFERROR(SUMPRODUCT((Ventes!E5:E504=A203)*(TODAY()-Ventes!A5:A504&lt;=30)*Ventes!H5:H504),0)</f>
        <v>#ERROR!</v>
      </c>
      <c r="G203" s="259"/>
      <c r="H203" s="259"/>
      <c r="I203" s="259" t="str">
        <f>IFERROR(D203+G203-E203,"")</f>
        <v>#ERROR!</v>
      </c>
      <c r="J203" s="259" t="str">
        <f>IFERROR(D203+H203-F203,"")</f>
        <v>#ERROR!</v>
      </c>
      <c r="K203" s="76" t="str">
        <f>IF(I203="","",IF(I203&lt;0,"Rupture 7j",IF(J203&lt;0,"Rupture 30j","OK")))</f>
        <v>#ERROR!</v>
      </c>
      <c r="L203" s="259"/>
    </row>
    <row r="204">
      <c r="A204" s="257"/>
      <c r="B204" s="257"/>
      <c r="C204" s="257"/>
      <c r="D204" s="257"/>
      <c r="E204" s="257" t="str">
        <f>IFERROR(SUMPRODUCT((Ventes!E5:E504=A204)*(TODAY()-Ventes!A5:A504&lt;=7)*Ventes!H5:H504),0)</f>
        <v>#ERROR!</v>
      </c>
      <c r="F204" s="257" t="str">
        <f>IFERROR(SUMPRODUCT((Ventes!E5:E504=A204)*(TODAY()-Ventes!A5:A504&lt;=30)*Ventes!H5:H504),0)</f>
        <v>#ERROR!</v>
      </c>
      <c r="G204" s="257"/>
      <c r="H204" s="257"/>
      <c r="I204" s="257" t="str">
        <f>IFERROR(D204+G204-E204,"")</f>
        <v>#ERROR!</v>
      </c>
      <c r="J204" s="257" t="str">
        <f>IFERROR(D204+H204-F204,"")</f>
        <v>#ERROR!</v>
      </c>
      <c r="K204" s="360" t="str">
        <f>IF(I204="","",IF(I204&lt;0,"Rupture 7j",IF(J204&lt;0,"Rupture 30j","OK")))</f>
        <v>#ERROR!</v>
      </c>
      <c r="L204" s="257"/>
    </row>
    <row r="205">
      <c r="A205" s="259"/>
      <c r="B205" s="259"/>
      <c r="C205" s="259"/>
      <c r="D205" s="259"/>
      <c r="E205" s="259" t="str">
        <f>IFERROR(SUMPRODUCT((Ventes!E5:E504=A205)*(TODAY()-Ventes!A5:A504&lt;=7)*Ventes!H5:H504),0)</f>
        <v>#ERROR!</v>
      </c>
      <c r="F205" s="259" t="str">
        <f>IFERROR(SUMPRODUCT((Ventes!E5:E504=A205)*(TODAY()-Ventes!A5:A504&lt;=30)*Ventes!H5:H504),0)</f>
        <v>#ERROR!</v>
      </c>
      <c r="G205" s="259"/>
      <c r="H205" s="259"/>
      <c r="I205" s="259" t="str">
        <f>IFERROR(D205+G205-E205,"")</f>
        <v>#ERROR!</v>
      </c>
      <c r="J205" s="259" t="str">
        <f>IFERROR(D205+H205-F205,"")</f>
        <v>#ERROR!</v>
      </c>
      <c r="K205" s="76" t="str">
        <f>IF(I205="","",IF(I205&lt;0,"Rupture 7j",IF(J205&lt;0,"Rupture 30j","OK")))</f>
        <v>#ERROR!</v>
      </c>
      <c r="L205" s="259"/>
    </row>
    <row r="206">
      <c r="A206" s="257"/>
      <c r="B206" s="257"/>
      <c r="C206" s="257"/>
      <c r="D206" s="257"/>
      <c r="E206" s="257" t="str">
        <f>IFERROR(SUMPRODUCT((Ventes!E5:E504=A206)*(TODAY()-Ventes!A5:A504&lt;=7)*Ventes!H5:H504),0)</f>
        <v>#ERROR!</v>
      </c>
      <c r="F206" s="257" t="str">
        <f>IFERROR(SUMPRODUCT((Ventes!E5:E504=A206)*(TODAY()-Ventes!A5:A504&lt;=30)*Ventes!H5:H504),0)</f>
        <v>#ERROR!</v>
      </c>
      <c r="G206" s="257"/>
      <c r="H206" s="257"/>
      <c r="I206" s="257" t="str">
        <f>IFERROR(D206+G206-E206,"")</f>
        <v>#ERROR!</v>
      </c>
      <c r="J206" s="257" t="str">
        <f>IFERROR(D206+H206-F206,"")</f>
        <v>#ERROR!</v>
      </c>
      <c r="K206" s="360" t="str">
        <f>IF(I206="","",IF(I206&lt;0,"Rupture 7j",IF(J206&lt;0,"Rupture 30j","OK")))</f>
        <v>#ERROR!</v>
      </c>
      <c r="L206" s="257"/>
    </row>
    <row r="207">
      <c r="A207" s="259"/>
      <c r="B207" s="259"/>
      <c r="C207" s="259"/>
      <c r="D207" s="259"/>
      <c r="E207" s="259" t="str">
        <f>IFERROR(SUMPRODUCT((Ventes!E5:E504=A207)*(TODAY()-Ventes!A5:A504&lt;=7)*Ventes!H5:H504),0)</f>
        <v>#ERROR!</v>
      </c>
      <c r="F207" s="259" t="str">
        <f>IFERROR(SUMPRODUCT((Ventes!E5:E504=A207)*(TODAY()-Ventes!A5:A504&lt;=30)*Ventes!H5:H504),0)</f>
        <v>#ERROR!</v>
      </c>
      <c r="G207" s="259"/>
      <c r="H207" s="259"/>
      <c r="I207" s="259" t="str">
        <f>IFERROR(D207+G207-E207,"")</f>
        <v>#ERROR!</v>
      </c>
      <c r="J207" s="259" t="str">
        <f>IFERROR(D207+H207-F207,"")</f>
        <v>#ERROR!</v>
      </c>
      <c r="K207" s="76" t="str">
        <f>IF(I207="","",IF(I207&lt;0,"Rupture 7j",IF(J207&lt;0,"Rupture 30j","OK")))</f>
        <v>#ERROR!</v>
      </c>
      <c r="L207" s="259"/>
    </row>
    <row r="208">
      <c r="A208" s="257"/>
      <c r="B208" s="257"/>
      <c r="C208" s="257"/>
      <c r="D208" s="257"/>
      <c r="E208" s="257" t="str">
        <f>IFERROR(SUMPRODUCT((Ventes!E5:E504=A208)*(TODAY()-Ventes!A5:A504&lt;=7)*Ventes!H5:H504),0)</f>
        <v>#ERROR!</v>
      </c>
      <c r="F208" s="257" t="str">
        <f>IFERROR(SUMPRODUCT((Ventes!E5:E504=A208)*(TODAY()-Ventes!A5:A504&lt;=30)*Ventes!H5:H504),0)</f>
        <v>#ERROR!</v>
      </c>
      <c r="G208" s="257"/>
      <c r="H208" s="257"/>
      <c r="I208" s="257" t="str">
        <f>IFERROR(D208+G208-E208,"")</f>
        <v>#ERROR!</v>
      </c>
      <c r="J208" s="257" t="str">
        <f>IFERROR(D208+H208-F208,"")</f>
        <v>#ERROR!</v>
      </c>
      <c r="K208" s="360" t="str">
        <f>IF(I208="","",IF(I208&lt;0,"Rupture 7j",IF(J208&lt;0,"Rupture 30j","OK")))</f>
        <v>#ERROR!</v>
      </c>
      <c r="L208" s="257"/>
    </row>
    <row r="209">
      <c r="A209" s="259"/>
      <c r="B209" s="259"/>
      <c r="C209" s="259"/>
      <c r="D209" s="259"/>
      <c r="E209" s="259" t="str">
        <f>IFERROR(SUMPRODUCT((Ventes!E5:E504=A209)*(TODAY()-Ventes!A5:A504&lt;=7)*Ventes!H5:H504),0)</f>
        <v>#ERROR!</v>
      </c>
      <c r="F209" s="259" t="str">
        <f>IFERROR(SUMPRODUCT((Ventes!E5:E504=A209)*(TODAY()-Ventes!A5:A504&lt;=30)*Ventes!H5:H504),0)</f>
        <v>#ERROR!</v>
      </c>
      <c r="G209" s="259"/>
      <c r="H209" s="259"/>
      <c r="I209" s="259" t="str">
        <f>IFERROR(D209+G209-E209,"")</f>
        <v>#ERROR!</v>
      </c>
      <c r="J209" s="259" t="str">
        <f>IFERROR(D209+H209-F209,"")</f>
        <v>#ERROR!</v>
      </c>
      <c r="K209" s="76" t="str">
        <f>IF(I209="","",IF(I209&lt;0,"Rupture 7j",IF(J209&lt;0,"Rupture 30j","OK")))</f>
        <v>#ERROR!</v>
      </c>
      <c r="L209" s="259"/>
    </row>
    <row r="210">
      <c r="A210" s="257"/>
      <c r="B210" s="257"/>
      <c r="C210" s="257"/>
      <c r="D210" s="257"/>
      <c r="E210" s="257" t="str">
        <f>IFERROR(SUMPRODUCT((Ventes!E5:E504=A210)*(TODAY()-Ventes!A5:A504&lt;=7)*Ventes!H5:H504),0)</f>
        <v>#ERROR!</v>
      </c>
      <c r="F210" s="257" t="str">
        <f>IFERROR(SUMPRODUCT((Ventes!E5:E504=A210)*(TODAY()-Ventes!A5:A504&lt;=30)*Ventes!H5:H504),0)</f>
        <v>#ERROR!</v>
      </c>
      <c r="G210" s="257"/>
      <c r="H210" s="257"/>
      <c r="I210" s="257" t="str">
        <f>IFERROR(D210+G210-E210,"")</f>
        <v>#ERROR!</v>
      </c>
      <c r="J210" s="257" t="str">
        <f>IFERROR(D210+H210-F210,"")</f>
        <v>#ERROR!</v>
      </c>
      <c r="K210" s="360" t="str">
        <f>IF(I210="","",IF(I210&lt;0,"Rupture 7j",IF(J210&lt;0,"Rupture 30j","OK")))</f>
        <v>#ERROR!</v>
      </c>
      <c r="L210" s="257"/>
    </row>
    <row r="211">
      <c r="A211" s="259"/>
      <c r="B211" s="259"/>
      <c r="C211" s="259"/>
      <c r="D211" s="259"/>
      <c r="E211" s="259" t="str">
        <f>IFERROR(SUMPRODUCT((Ventes!E5:E504=A211)*(TODAY()-Ventes!A5:A504&lt;=7)*Ventes!H5:H504),0)</f>
        <v>#ERROR!</v>
      </c>
      <c r="F211" s="259" t="str">
        <f>IFERROR(SUMPRODUCT((Ventes!E5:E504=A211)*(TODAY()-Ventes!A5:A504&lt;=30)*Ventes!H5:H504),0)</f>
        <v>#ERROR!</v>
      </c>
      <c r="G211" s="259"/>
      <c r="H211" s="259"/>
      <c r="I211" s="259" t="str">
        <f>IFERROR(D211+G211-E211,"")</f>
        <v>#ERROR!</v>
      </c>
      <c r="J211" s="259" t="str">
        <f>IFERROR(D211+H211-F211,"")</f>
        <v>#ERROR!</v>
      </c>
      <c r="K211" s="76" t="str">
        <f>IF(I211="","",IF(I211&lt;0,"Rupture 7j",IF(J211&lt;0,"Rupture 30j","OK")))</f>
        <v>#ERROR!</v>
      </c>
      <c r="L211" s="259"/>
    </row>
    <row r="212">
      <c r="A212" s="257"/>
      <c r="B212" s="257"/>
      <c r="C212" s="257"/>
      <c r="D212" s="257"/>
      <c r="E212" s="257" t="str">
        <f>IFERROR(SUMPRODUCT((Ventes!E5:E504=A212)*(TODAY()-Ventes!A5:A504&lt;=7)*Ventes!H5:H504),0)</f>
        <v>#ERROR!</v>
      </c>
      <c r="F212" s="257" t="str">
        <f>IFERROR(SUMPRODUCT((Ventes!E5:E504=A212)*(TODAY()-Ventes!A5:A504&lt;=30)*Ventes!H5:H504),0)</f>
        <v>#ERROR!</v>
      </c>
      <c r="G212" s="257"/>
      <c r="H212" s="257"/>
      <c r="I212" s="257" t="str">
        <f>IFERROR(D212+G212-E212,"")</f>
        <v>#ERROR!</v>
      </c>
      <c r="J212" s="257" t="str">
        <f>IFERROR(D212+H212-F212,"")</f>
        <v>#ERROR!</v>
      </c>
      <c r="K212" s="360" t="str">
        <f>IF(I212="","",IF(I212&lt;0,"Rupture 7j",IF(J212&lt;0,"Rupture 30j","OK")))</f>
        <v>#ERROR!</v>
      </c>
      <c r="L212" s="257"/>
    </row>
    <row r="213">
      <c r="A213" s="259"/>
      <c r="B213" s="259"/>
      <c r="C213" s="259"/>
      <c r="D213" s="259"/>
      <c r="E213" s="259" t="str">
        <f>IFERROR(SUMPRODUCT((Ventes!E5:E504=A213)*(TODAY()-Ventes!A5:A504&lt;=7)*Ventes!H5:H504),0)</f>
        <v>#ERROR!</v>
      </c>
      <c r="F213" s="259" t="str">
        <f>IFERROR(SUMPRODUCT((Ventes!E5:E504=A213)*(TODAY()-Ventes!A5:A504&lt;=30)*Ventes!H5:H504),0)</f>
        <v>#ERROR!</v>
      </c>
      <c r="G213" s="259"/>
      <c r="H213" s="259"/>
      <c r="I213" s="259" t="str">
        <f>IFERROR(D213+G213-E213,"")</f>
        <v>#ERROR!</v>
      </c>
      <c r="J213" s="259" t="str">
        <f>IFERROR(D213+H213-F213,"")</f>
        <v>#ERROR!</v>
      </c>
      <c r="K213" s="76" t="str">
        <f>IF(I213="","",IF(I213&lt;0,"Rupture 7j",IF(J213&lt;0,"Rupture 30j","OK")))</f>
        <v>#ERROR!</v>
      </c>
      <c r="L213" s="259"/>
    </row>
    <row r="214">
      <c r="A214" s="257"/>
      <c r="B214" s="257"/>
      <c r="C214" s="257"/>
      <c r="D214" s="257"/>
      <c r="E214" s="257" t="str">
        <f>IFERROR(SUMPRODUCT((Ventes!E5:E504=A214)*(TODAY()-Ventes!A5:A504&lt;=7)*Ventes!H5:H504),0)</f>
        <v>#ERROR!</v>
      </c>
      <c r="F214" s="257" t="str">
        <f>IFERROR(SUMPRODUCT((Ventes!E5:E504=A214)*(TODAY()-Ventes!A5:A504&lt;=30)*Ventes!H5:H504),0)</f>
        <v>#ERROR!</v>
      </c>
      <c r="G214" s="257"/>
      <c r="H214" s="257"/>
      <c r="I214" s="257" t="str">
        <f>IFERROR(D214+G214-E214,"")</f>
        <v>#ERROR!</v>
      </c>
      <c r="J214" s="257" t="str">
        <f>IFERROR(D214+H214-F214,"")</f>
        <v>#ERROR!</v>
      </c>
      <c r="K214" s="360" t="str">
        <f>IF(I214="","",IF(I214&lt;0,"Rupture 7j",IF(J214&lt;0,"Rupture 30j","OK")))</f>
        <v>#ERROR!</v>
      </c>
      <c r="L214" s="257"/>
    </row>
    <row r="215">
      <c r="A215" s="259"/>
      <c r="B215" s="259"/>
      <c r="C215" s="259"/>
      <c r="D215" s="259"/>
      <c r="E215" s="259" t="str">
        <f>IFERROR(SUMPRODUCT((Ventes!E5:E504=A215)*(TODAY()-Ventes!A5:A504&lt;=7)*Ventes!H5:H504),0)</f>
        <v>#ERROR!</v>
      </c>
      <c r="F215" s="259" t="str">
        <f>IFERROR(SUMPRODUCT((Ventes!E5:E504=A215)*(TODAY()-Ventes!A5:A504&lt;=30)*Ventes!H5:H504),0)</f>
        <v>#ERROR!</v>
      </c>
      <c r="G215" s="259"/>
      <c r="H215" s="259"/>
      <c r="I215" s="259" t="str">
        <f>IFERROR(D215+G215-E215,"")</f>
        <v>#ERROR!</v>
      </c>
      <c r="J215" s="259" t="str">
        <f>IFERROR(D215+H215-F215,"")</f>
        <v>#ERROR!</v>
      </c>
      <c r="K215" s="76" t="str">
        <f>IF(I215="","",IF(I215&lt;0,"Rupture 7j",IF(J215&lt;0,"Rupture 30j","OK")))</f>
        <v>#ERROR!</v>
      </c>
      <c r="L215" s="259"/>
    </row>
    <row r="216">
      <c r="A216" s="257"/>
      <c r="B216" s="257"/>
      <c r="C216" s="257"/>
      <c r="D216" s="257"/>
      <c r="E216" s="257" t="str">
        <f>IFERROR(SUMPRODUCT((Ventes!E5:E504=A216)*(TODAY()-Ventes!A5:A504&lt;=7)*Ventes!H5:H504),0)</f>
        <v>#ERROR!</v>
      </c>
      <c r="F216" s="257" t="str">
        <f>IFERROR(SUMPRODUCT((Ventes!E5:E504=A216)*(TODAY()-Ventes!A5:A504&lt;=30)*Ventes!H5:H504),0)</f>
        <v>#ERROR!</v>
      </c>
      <c r="G216" s="257"/>
      <c r="H216" s="257"/>
      <c r="I216" s="257" t="str">
        <f>IFERROR(D216+G216-E216,"")</f>
        <v>#ERROR!</v>
      </c>
      <c r="J216" s="257" t="str">
        <f>IFERROR(D216+H216-F216,"")</f>
        <v>#ERROR!</v>
      </c>
      <c r="K216" s="360" t="str">
        <f>IF(I216="","",IF(I216&lt;0,"Rupture 7j",IF(J216&lt;0,"Rupture 30j","OK")))</f>
        <v>#ERROR!</v>
      </c>
      <c r="L216" s="257"/>
    </row>
    <row r="217">
      <c r="A217" s="259"/>
      <c r="B217" s="259"/>
      <c r="C217" s="259"/>
      <c r="D217" s="259"/>
      <c r="E217" s="259" t="str">
        <f>IFERROR(SUMPRODUCT((Ventes!E5:E504=A217)*(TODAY()-Ventes!A5:A504&lt;=7)*Ventes!H5:H504),0)</f>
        <v>#ERROR!</v>
      </c>
      <c r="F217" s="259" t="str">
        <f>IFERROR(SUMPRODUCT((Ventes!E5:E504=A217)*(TODAY()-Ventes!A5:A504&lt;=30)*Ventes!H5:H504),0)</f>
        <v>#ERROR!</v>
      </c>
      <c r="G217" s="259"/>
      <c r="H217" s="259"/>
      <c r="I217" s="259" t="str">
        <f>IFERROR(D217+G217-E217,"")</f>
        <v>#ERROR!</v>
      </c>
      <c r="J217" s="259" t="str">
        <f>IFERROR(D217+H217-F217,"")</f>
        <v>#ERROR!</v>
      </c>
      <c r="K217" s="76" t="str">
        <f>IF(I217="","",IF(I217&lt;0,"Rupture 7j",IF(J217&lt;0,"Rupture 30j","OK")))</f>
        <v>#ERROR!</v>
      </c>
      <c r="L217" s="259"/>
    </row>
    <row r="218">
      <c r="A218" s="257"/>
      <c r="B218" s="257"/>
      <c r="C218" s="257"/>
      <c r="D218" s="257"/>
      <c r="E218" s="257" t="str">
        <f>IFERROR(SUMPRODUCT((Ventes!E5:E504=A218)*(TODAY()-Ventes!A5:A504&lt;=7)*Ventes!H5:H504),0)</f>
        <v>#ERROR!</v>
      </c>
      <c r="F218" s="257" t="str">
        <f>IFERROR(SUMPRODUCT((Ventes!E5:E504=A218)*(TODAY()-Ventes!A5:A504&lt;=30)*Ventes!H5:H504),0)</f>
        <v>#ERROR!</v>
      </c>
      <c r="G218" s="257"/>
      <c r="H218" s="257"/>
      <c r="I218" s="257" t="str">
        <f>IFERROR(D218+G218-E218,"")</f>
        <v>#ERROR!</v>
      </c>
      <c r="J218" s="257" t="str">
        <f>IFERROR(D218+H218-F218,"")</f>
        <v>#ERROR!</v>
      </c>
      <c r="K218" s="360" t="str">
        <f>IF(I218="","",IF(I218&lt;0,"Rupture 7j",IF(J218&lt;0,"Rupture 30j","OK")))</f>
        <v>#ERROR!</v>
      </c>
      <c r="L218" s="257"/>
    </row>
    <row r="219">
      <c r="A219" s="259"/>
      <c r="B219" s="259"/>
      <c r="C219" s="259"/>
      <c r="D219" s="259"/>
      <c r="E219" s="259" t="str">
        <f>IFERROR(SUMPRODUCT((Ventes!E5:E504=A219)*(TODAY()-Ventes!A5:A504&lt;=7)*Ventes!H5:H504),0)</f>
        <v>#ERROR!</v>
      </c>
      <c r="F219" s="259" t="str">
        <f>IFERROR(SUMPRODUCT((Ventes!E5:E504=A219)*(TODAY()-Ventes!A5:A504&lt;=30)*Ventes!H5:H504),0)</f>
        <v>#ERROR!</v>
      </c>
      <c r="G219" s="259"/>
      <c r="H219" s="259"/>
      <c r="I219" s="259" t="str">
        <f>IFERROR(D219+G219-E219,"")</f>
        <v>#ERROR!</v>
      </c>
      <c r="J219" s="259" t="str">
        <f>IFERROR(D219+H219-F219,"")</f>
        <v>#ERROR!</v>
      </c>
      <c r="K219" s="76" t="str">
        <f>IF(I219="","",IF(I219&lt;0,"Rupture 7j",IF(J219&lt;0,"Rupture 30j","OK")))</f>
        <v>#ERROR!</v>
      </c>
      <c r="L219" s="259"/>
    </row>
    <row r="220">
      <c r="A220" s="257"/>
      <c r="B220" s="257"/>
      <c r="C220" s="257"/>
      <c r="D220" s="257"/>
      <c r="E220" s="257" t="str">
        <f>IFERROR(SUMPRODUCT((Ventes!E5:E504=A220)*(TODAY()-Ventes!A5:A504&lt;=7)*Ventes!H5:H504),0)</f>
        <v>#ERROR!</v>
      </c>
      <c r="F220" s="257" t="str">
        <f>IFERROR(SUMPRODUCT((Ventes!E5:E504=A220)*(TODAY()-Ventes!A5:A504&lt;=30)*Ventes!H5:H504),0)</f>
        <v>#ERROR!</v>
      </c>
      <c r="G220" s="257"/>
      <c r="H220" s="257"/>
      <c r="I220" s="257" t="str">
        <f>IFERROR(D220+G220-E220,"")</f>
        <v>#ERROR!</v>
      </c>
      <c r="J220" s="257" t="str">
        <f>IFERROR(D220+H220-F220,"")</f>
        <v>#ERROR!</v>
      </c>
      <c r="K220" s="360" t="str">
        <f>IF(I220="","",IF(I220&lt;0,"Rupture 7j",IF(J220&lt;0,"Rupture 30j","OK")))</f>
        <v>#ERROR!</v>
      </c>
      <c r="L220" s="257"/>
    </row>
    <row r="221">
      <c r="A221" s="259"/>
      <c r="B221" s="259"/>
      <c r="C221" s="259"/>
      <c r="D221" s="259"/>
      <c r="E221" s="259" t="str">
        <f>IFERROR(SUMPRODUCT((Ventes!E5:E504=A221)*(TODAY()-Ventes!A5:A504&lt;=7)*Ventes!H5:H504),0)</f>
        <v>#ERROR!</v>
      </c>
      <c r="F221" s="259" t="str">
        <f>IFERROR(SUMPRODUCT((Ventes!E5:E504=A221)*(TODAY()-Ventes!A5:A504&lt;=30)*Ventes!H5:H504),0)</f>
        <v>#ERROR!</v>
      </c>
      <c r="G221" s="259"/>
      <c r="H221" s="259"/>
      <c r="I221" s="259" t="str">
        <f>IFERROR(D221+G221-E221,"")</f>
        <v>#ERROR!</v>
      </c>
      <c r="J221" s="259" t="str">
        <f>IFERROR(D221+H221-F221,"")</f>
        <v>#ERROR!</v>
      </c>
      <c r="K221" s="76" t="str">
        <f>IF(I221="","",IF(I221&lt;0,"Rupture 7j",IF(J221&lt;0,"Rupture 30j","OK")))</f>
        <v>#ERROR!</v>
      </c>
      <c r="L221" s="259"/>
    </row>
    <row r="222">
      <c r="A222" s="257"/>
      <c r="B222" s="257"/>
      <c r="C222" s="257"/>
      <c r="D222" s="257"/>
      <c r="E222" s="257" t="str">
        <f>IFERROR(SUMPRODUCT((Ventes!E5:E504=A222)*(TODAY()-Ventes!A5:A504&lt;=7)*Ventes!H5:H504),0)</f>
        <v>#ERROR!</v>
      </c>
      <c r="F222" s="257" t="str">
        <f>IFERROR(SUMPRODUCT((Ventes!E5:E504=A222)*(TODAY()-Ventes!A5:A504&lt;=30)*Ventes!H5:H504),0)</f>
        <v>#ERROR!</v>
      </c>
      <c r="G222" s="257"/>
      <c r="H222" s="257"/>
      <c r="I222" s="257" t="str">
        <f>IFERROR(D222+G222-E222,"")</f>
        <v>#ERROR!</v>
      </c>
      <c r="J222" s="257" t="str">
        <f>IFERROR(D222+H222-F222,"")</f>
        <v>#ERROR!</v>
      </c>
      <c r="K222" s="360" t="str">
        <f>IF(I222="","",IF(I222&lt;0,"Rupture 7j",IF(J222&lt;0,"Rupture 30j","OK")))</f>
        <v>#ERROR!</v>
      </c>
      <c r="L222" s="257"/>
    </row>
    <row r="223">
      <c r="A223" s="259"/>
      <c r="B223" s="259"/>
      <c r="C223" s="259"/>
      <c r="D223" s="259"/>
      <c r="E223" s="259" t="str">
        <f>IFERROR(SUMPRODUCT((Ventes!E5:E504=A223)*(TODAY()-Ventes!A5:A504&lt;=7)*Ventes!H5:H504),0)</f>
        <v>#ERROR!</v>
      </c>
      <c r="F223" s="259" t="str">
        <f>IFERROR(SUMPRODUCT((Ventes!E5:E504=A223)*(TODAY()-Ventes!A5:A504&lt;=30)*Ventes!H5:H504),0)</f>
        <v>#ERROR!</v>
      </c>
      <c r="G223" s="259"/>
      <c r="H223" s="259"/>
      <c r="I223" s="259" t="str">
        <f>IFERROR(D223+G223-E223,"")</f>
        <v>#ERROR!</v>
      </c>
      <c r="J223" s="259" t="str">
        <f>IFERROR(D223+H223-F223,"")</f>
        <v>#ERROR!</v>
      </c>
      <c r="K223" s="76" t="str">
        <f>IF(I223="","",IF(I223&lt;0,"Rupture 7j",IF(J223&lt;0,"Rupture 30j","OK")))</f>
        <v>#ERROR!</v>
      </c>
      <c r="L223" s="259"/>
    </row>
    <row r="224">
      <c r="A224" s="257"/>
      <c r="B224" s="257"/>
      <c r="C224" s="257"/>
      <c r="D224" s="257"/>
      <c r="E224" s="257" t="str">
        <f>IFERROR(SUMPRODUCT((Ventes!E5:E504=A224)*(TODAY()-Ventes!A5:A504&lt;=7)*Ventes!H5:H504),0)</f>
        <v>#ERROR!</v>
      </c>
      <c r="F224" s="257" t="str">
        <f>IFERROR(SUMPRODUCT((Ventes!E5:E504=A224)*(TODAY()-Ventes!A5:A504&lt;=30)*Ventes!H5:H504),0)</f>
        <v>#ERROR!</v>
      </c>
      <c r="G224" s="257"/>
      <c r="H224" s="257"/>
      <c r="I224" s="257" t="str">
        <f>IFERROR(D224+G224-E224,"")</f>
        <v>#ERROR!</v>
      </c>
      <c r="J224" s="257" t="str">
        <f>IFERROR(D224+H224-F224,"")</f>
        <v>#ERROR!</v>
      </c>
      <c r="K224" s="360" t="str">
        <f>IF(I224="","",IF(I224&lt;0,"Rupture 7j",IF(J224&lt;0,"Rupture 30j","OK")))</f>
        <v>#ERROR!</v>
      </c>
      <c r="L224" s="257"/>
    </row>
    <row r="225">
      <c r="A225" s="259"/>
      <c r="B225" s="259"/>
      <c r="C225" s="259"/>
      <c r="D225" s="259"/>
      <c r="E225" s="259" t="str">
        <f>IFERROR(SUMPRODUCT((Ventes!E5:E504=A225)*(TODAY()-Ventes!A5:A504&lt;=7)*Ventes!H5:H504),0)</f>
        <v>#ERROR!</v>
      </c>
      <c r="F225" s="259" t="str">
        <f>IFERROR(SUMPRODUCT((Ventes!E5:E504=A225)*(TODAY()-Ventes!A5:A504&lt;=30)*Ventes!H5:H504),0)</f>
        <v>#ERROR!</v>
      </c>
      <c r="G225" s="259"/>
      <c r="H225" s="259"/>
      <c r="I225" s="259" t="str">
        <f>IFERROR(D225+G225-E225,"")</f>
        <v>#ERROR!</v>
      </c>
      <c r="J225" s="259" t="str">
        <f>IFERROR(D225+H225-F225,"")</f>
        <v>#ERROR!</v>
      </c>
      <c r="K225" s="76" t="str">
        <f>IF(I225="","",IF(I225&lt;0,"Rupture 7j",IF(J225&lt;0,"Rupture 30j","OK")))</f>
        <v>#ERROR!</v>
      </c>
      <c r="L225" s="259"/>
    </row>
    <row r="226">
      <c r="A226" s="257"/>
      <c r="B226" s="257"/>
      <c r="C226" s="257"/>
      <c r="D226" s="257"/>
      <c r="E226" s="257" t="str">
        <f>IFERROR(SUMPRODUCT((Ventes!E5:E504=A226)*(TODAY()-Ventes!A5:A504&lt;=7)*Ventes!H5:H504),0)</f>
        <v>#ERROR!</v>
      </c>
      <c r="F226" s="257" t="str">
        <f>IFERROR(SUMPRODUCT((Ventes!E5:E504=A226)*(TODAY()-Ventes!A5:A504&lt;=30)*Ventes!H5:H504),0)</f>
        <v>#ERROR!</v>
      </c>
      <c r="G226" s="257"/>
      <c r="H226" s="257"/>
      <c r="I226" s="257" t="str">
        <f>IFERROR(D226+G226-E226,"")</f>
        <v>#ERROR!</v>
      </c>
      <c r="J226" s="257" t="str">
        <f>IFERROR(D226+H226-F226,"")</f>
        <v>#ERROR!</v>
      </c>
      <c r="K226" s="360" t="str">
        <f>IF(I226="","",IF(I226&lt;0,"Rupture 7j",IF(J226&lt;0,"Rupture 30j","OK")))</f>
        <v>#ERROR!</v>
      </c>
      <c r="L226" s="257"/>
    </row>
    <row r="227">
      <c r="A227" s="259"/>
      <c r="B227" s="259"/>
      <c r="C227" s="259"/>
      <c r="D227" s="259"/>
      <c r="E227" s="259" t="str">
        <f>IFERROR(SUMPRODUCT((Ventes!E5:E504=A227)*(TODAY()-Ventes!A5:A504&lt;=7)*Ventes!H5:H504),0)</f>
        <v>#ERROR!</v>
      </c>
      <c r="F227" s="259" t="str">
        <f>IFERROR(SUMPRODUCT((Ventes!E5:E504=A227)*(TODAY()-Ventes!A5:A504&lt;=30)*Ventes!H5:H504),0)</f>
        <v>#ERROR!</v>
      </c>
      <c r="G227" s="259"/>
      <c r="H227" s="259"/>
      <c r="I227" s="259" t="str">
        <f>IFERROR(D227+G227-E227,"")</f>
        <v>#ERROR!</v>
      </c>
      <c r="J227" s="259" t="str">
        <f>IFERROR(D227+H227-F227,"")</f>
        <v>#ERROR!</v>
      </c>
      <c r="K227" s="76" t="str">
        <f>IF(I227="","",IF(I227&lt;0,"Rupture 7j",IF(J227&lt;0,"Rupture 30j","OK")))</f>
        <v>#ERROR!</v>
      </c>
      <c r="L227" s="259"/>
    </row>
    <row r="228">
      <c r="A228" s="257"/>
      <c r="B228" s="257"/>
      <c r="C228" s="257"/>
      <c r="D228" s="257"/>
      <c r="E228" s="257" t="str">
        <f>IFERROR(SUMPRODUCT((Ventes!E5:E504=A228)*(TODAY()-Ventes!A5:A504&lt;=7)*Ventes!H5:H504),0)</f>
        <v>#ERROR!</v>
      </c>
      <c r="F228" s="257" t="str">
        <f>IFERROR(SUMPRODUCT((Ventes!E5:E504=A228)*(TODAY()-Ventes!A5:A504&lt;=30)*Ventes!H5:H504),0)</f>
        <v>#ERROR!</v>
      </c>
      <c r="G228" s="257"/>
      <c r="H228" s="257"/>
      <c r="I228" s="257" t="str">
        <f>IFERROR(D228+G228-E228,"")</f>
        <v>#ERROR!</v>
      </c>
      <c r="J228" s="257" t="str">
        <f>IFERROR(D228+H228-F228,"")</f>
        <v>#ERROR!</v>
      </c>
      <c r="K228" s="360" t="str">
        <f>IF(I228="","",IF(I228&lt;0,"Rupture 7j",IF(J228&lt;0,"Rupture 30j","OK")))</f>
        <v>#ERROR!</v>
      </c>
      <c r="L228" s="257"/>
    </row>
    <row r="229">
      <c r="A229" s="259"/>
      <c r="B229" s="259"/>
      <c r="C229" s="259"/>
      <c r="D229" s="259"/>
      <c r="E229" s="259" t="str">
        <f>IFERROR(SUMPRODUCT((Ventes!E5:E504=A229)*(TODAY()-Ventes!A5:A504&lt;=7)*Ventes!H5:H504),0)</f>
        <v>#ERROR!</v>
      </c>
      <c r="F229" s="259" t="str">
        <f>IFERROR(SUMPRODUCT((Ventes!E5:E504=A229)*(TODAY()-Ventes!A5:A504&lt;=30)*Ventes!H5:H504),0)</f>
        <v>#ERROR!</v>
      </c>
      <c r="G229" s="259"/>
      <c r="H229" s="259"/>
      <c r="I229" s="259" t="str">
        <f>IFERROR(D229+G229-E229,"")</f>
        <v>#ERROR!</v>
      </c>
      <c r="J229" s="259" t="str">
        <f>IFERROR(D229+H229-F229,"")</f>
        <v>#ERROR!</v>
      </c>
      <c r="K229" s="76" t="str">
        <f>IF(I229="","",IF(I229&lt;0,"Rupture 7j",IF(J229&lt;0,"Rupture 30j","OK")))</f>
        <v>#ERROR!</v>
      </c>
      <c r="L229" s="259"/>
    </row>
    <row r="230">
      <c r="A230" s="257"/>
      <c r="B230" s="257"/>
      <c r="C230" s="257"/>
      <c r="D230" s="257"/>
      <c r="E230" s="257" t="str">
        <f>IFERROR(SUMPRODUCT((Ventes!E5:E504=A230)*(TODAY()-Ventes!A5:A504&lt;=7)*Ventes!H5:H504),0)</f>
        <v>#ERROR!</v>
      </c>
      <c r="F230" s="257" t="str">
        <f>IFERROR(SUMPRODUCT((Ventes!E5:E504=A230)*(TODAY()-Ventes!A5:A504&lt;=30)*Ventes!H5:H504),0)</f>
        <v>#ERROR!</v>
      </c>
      <c r="G230" s="257"/>
      <c r="H230" s="257"/>
      <c r="I230" s="257" t="str">
        <f>IFERROR(D230+G230-E230,"")</f>
        <v>#ERROR!</v>
      </c>
      <c r="J230" s="257" t="str">
        <f>IFERROR(D230+H230-F230,"")</f>
        <v>#ERROR!</v>
      </c>
      <c r="K230" s="360" t="str">
        <f>IF(I230="","",IF(I230&lt;0,"Rupture 7j",IF(J230&lt;0,"Rupture 30j","OK")))</f>
        <v>#ERROR!</v>
      </c>
      <c r="L230" s="257"/>
    </row>
    <row r="231">
      <c r="A231" s="259"/>
      <c r="B231" s="259"/>
      <c r="C231" s="259"/>
      <c r="D231" s="259"/>
      <c r="E231" s="259" t="str">
        <f>IFERROR(SUMPRODUCT((Ventes!E5:E504=A231)*(TODAY()-Ventes!A5:A504&lt;=7)*Ventes!H5:H504),0)</f>
        <v>#ERROR!</v>
      </c>
      <c r="F231" s="259" t="str">
        <f>IFERROR(SUMPRODUCT((Ventes!E5:E504=A231)*(TODAY()-Ventes!A5:A504&lt;=30)*Ventes!H5:H504),0)</f>
        <v>#ERROR!</v>
      </c>
      <c r="G231" s="259"/>
      <c r="H231" s="259"/>
      <c r="I231" s="259" t="str">
        <f>IFERROR(D231+G231-E231,"")</f>
        <v>#ERROR!</v>
      </c>
      <c r="J231" s="259" t="str">
        <f>IFERROR(D231+H231-F231,"")</f>
        <v>#ERROR!</v>
      </c>
      <c r="K231" s="76" t="str">
        <f>IF(I231="","",IF(I231&lt;0,"Rupture 7j",IF(J231&lt;0,"Rupture 30j","OK")))</f>
        <v>#ERROR!</v>
      </c>
      <c r="L231" s="259"/>
    </row>
    <row r="232">
      <c r="A232" s="257"/>
      <c r="B232" s="257"/>
      <c r="C232" s="257"/>
      <c r="D232" s="257"/>
      <c r="E232" s="257" t="str">
        <f>IFERROR(SUMPRODUCT((Ventes!E5:E504=A232)*(TODAY()-Ventes!A5:A504&lt;=7)*Ventes!H5:H504),0)</f>
        <v>#ERROR!</v>
      </c>
      <c r="F232" s="257" t="str">
        <f>IFERROR(SUMPRODUCT((Ventes!E5:E504=A232)*(TODAY()-Ventes!A5:A504&lt;=30)*Ventes!H5:H504),0)</f>
        <v>#ERROR!</v>
      </c>
      <c r="G232" s="257"/>
      <c r="H232" s="257"/>
      <c r="I232" s="257" t="str">
        <f>IFERROR(D232+G232-E232,"")</f>
        <v>#ERROR!</v>
      </c>
      <c r="J232" s="257" t="str">
        <f>IFERROR(D232+H232-F232,"")</f>
        <v>#ERROR!</v>
      </c>
      <c r="K232" s="360" t="str">
        <f>IF(I232="","",IF(I232&lt;0,"Rupture 7j",IF(J232&lt;0,"Rupture 30j","OK")))</f>
        <v>#ERROR!</v>
      </c>
      <c r="L232" s="257"/>
    </row>
    <row r="233">
      <c r="A233" s="259"/>
      <c r="B233" s="259"/>
      <c r="C233" s="259"/>
      <c r="D233" s="259"/>
      <c r="E233" s="259" t="str">
        <f>IFERROR(SUMPRODUCT((Ventes!E5:E504=A233)*(TODAY()-Ventes!A5:A504&lt;=7)*Ventes!H5:H504),0)</f>
        <v>#ERROR!</v>
      </c>
      <c r="F233" s="259" t="str">
        <f>IFERROR(SUMPRODUCT((Ventes!E5:E504=A233)*(TODAY()-Ventes!A5:A504&lt;=30)*Ventes!H5:H504),0)</f>
        <v>#ERROR!</v>
      </c>
      <c r="G233" s="259"/>
      <c r="H233" s="259"/>
      <c r="I233" s="259" t="str">
        <f>IFERROR(D233+G233-E233,"")</f>
        <v>#ERROR!</v>
      </c>
      <c r="J233" s="259" t="str">
        <f>IFERROR(D233+H233-F233,"")</f>
        <v>#ERROR!</v>
      </c>
      <c r="K233" s="76" t="str">
        <f>IF(I233="","",IF(I233&lt;0,"Rupture 7j",IF(J233&lt;0,"Rupture 30j","OK")))</f>
        <v>#ERROR!</v>
      </c>
      <c r="L233" s="259"/>
    </row>
    <row r="234">
      <c r="A234" s="257"/>
      <c r="B234" s="257"/>
      <c r="C234" s="257"/>
      <c r="D234" s="257"/>
      <c r="E234" s="257" t="str">
        <f>IFERROR(SUMPRODUCT((Ventes!E5:E504=A234)*(TODAY()-Ventes!A5:A504&lt;=7)*Ventes!H5:H504),0)</f>
        <v>#ERROR!</v>
      </c>
      <c r="F234" s="257" t="str">
        <f>IFERROR(SUMPRODUCT((Ventes!E5:E504=A234)*(TODAY()-Ventes!A5:A504&lt;=30)*Ventes!H5:H504),0)</f>
        <v>#ERROR!</v>
      </c>
      <c r="G234" s="257"/>
      <c r="H234" s="257"/>
      <c r="I234" s="257" t="str">
        <f>IFERROR(D234+G234-E234,"")</f>
        <v>#ERROR!</v>
      </c>
      <c r="J234" s="257" t="str">
        <f>IFERROR(D234+H234-F234,"")</f>
        <v>#ERROR!</v>
      </c>
      <c r="K234" s="360" t="str">
        <f>IF(I234="","",IF(I234&lt;0,"Rupture 7j",IF(J234&lt;0,"Rupture 30j","OK")))</f>
        <v>#ERROR!</v>
      </c>
      <c r="L234" s="257"/>
    </row>
    <row r="235">
      <c r="A235" s="259"/>
      <c r="B235" s="259"/>
      <c r="C235" s="259"/>
      <c r="D235" s="259"/>
      <c r="E235" s="259" t="str">
        <f>IFERROR(SUMPRODUCT((Ventes!E5:E504=A235)*(TODAY()-Ventes!A5:A504&lt;=7)*Ventes!H5:H504),0)</f>
        <v>#ERROR!</v>
      </c>
      <c r="F235" s="259" t="str">
        <f>IFERROR(SUMPRODUCT((Ventes!E5:E504=A235)*(TODAY()-Ventes!A5:A504&lt;=30)*Ventes!H5:H504),0)</f>
        <v>#ERROR!</v>
      </c>
      <c r="G235" s="259"/>
      <c r="H235" s="259"/>
      <c r="I235" s="259" t="str">
        <f>IFERROR(D235+G235-E235,"")</f>
        <v>#ERROR!</v>
      </c>
      <c r="J235" s="259" t="str">
        <f>IFERROR(D235+H235-F235,"")</f>
        <v>#ERROR!</v>
      </c>
      <c r="K235" s="76" t="str">
        <f>IF(I235="","",IF(I235&lt;0,"Rupture 7j",IF(J235&lt;0,"Rupture 30j","OK")))</f>
        <v>#ERROR!</v>
      </c>
      <c r="L235" s="259"/>
    </row>
    <row r="236">
      <c r="A236" s="257"/>
      <c r="B236" s="257"/>
      <c r="C236" s="257"/>
      <c r="D236" s="257"/>
      <c r="E236" s="257" t="str">
        <f>IFERROR(SUMPRODUCT((Ventes!E5:E504=A236)*(TODAY()-Ventes!A5:A504&lt;=7)*Ventes!H5:H504),0)</f>
        <v>#ERROR!</v>
      </c>
      <c r="F236" s="257" t="str">
        <f>IFERROR(SUMPRODUCT((Ventes!E5:E504=A236)*(TODAY()-Ventes!A5:A504&lt;=30)*Ventes!H5:H504),0)</f>
        <v>#ERROR!</v>
      </c>
      <c r="G236" s="257"/>
      <c r="H236" s="257"/>
      <c r="I236" s="257" t="str">
        <f>IFERROR(D236+G236-E236,"")</f>
        <v>#ERROR!</v>
      </c>
      <c r="J236" s="257" t="str">
        <f>IFERROR(D236+H236-F236,"")</f>
        <v>#ERROR!</v>
      </c>
      <c r="K236" s="360" t="str">
        <f>IF(I236="","",IF(I236&lt;0,"Rupture 7j",IF(J236&lt;0,"Rupture 30j","OK")))</f>
        <v>#ERROR!</v>
      </c>
      <c r="L236" s="257"/>
    </row>
    <row r="237">
      <c r="A237" s="259"/>
      <c r="B237" s="259"/>
      <c r="C237" s="259"/>
      <c r="D237" s="259"/>
      <c r="E237" s="259" t="str">
        <f>IFERROR(SUMPRODUCT((Ventes!E5:E504=A237)*(TODAY()-Ventes!A5:A504&lt;=7)*Ventes!H5:H504),0)</f>
        <v>#ERROR!</v>
      </c>
      <c r="F237" s="259" t="str">
        <f>IFERROR(SUMPRODUCT((Ventes!E5:E504=A237)*(TODAY()-Ventes!A5:A504&lt;=30)*Ventes!H5:H504),0)</f>
        <v>#ERROR!</v>
      </c>
      <c r="G237" s="259"/>
      <c r="H237" s="259"/>
      <c r="I237" s="259" t="str">
        <f>IFERROR(D237+G237-E237,"")</f>
        <v>#ERROR!</v>
      </c>
      <c r="J237" s="259" t="str">
        <f>IFERROR(D237+H237-F237,"")</f>
        <v>#ERROR!</v>
      </c>
      <c r="K237" s="76" t="str">
        <f>IF(I237="","",IF(I237&lt;0,"Rupture 7j",IF(J237&lt;0,"Rupture 30j","OK")))</f>
        <v>#ERROR!</v>
      </c>
      <c r="L237" s="259"/>
    </row>
    <row r="238">
      <c r="A238" s="257"/>
      <c r="B238" s="257"/>
      <c r="C238" s="257"/>
      <c r="D238" s="257"/>
      <c r="E238" s="257" t="str">
        <f>IFERROR(SUMPRODUCT((Ventes!E5:E504=A238)*(TODAY()-Ventes!A5:A504&lt;=7)*Ventes!H5:H504),0)</f>
        <v>#ERROR!</v>
      </c>
      <c r="F238" s="257" t="str">
        <f>IFERROR(SUMPRODUCT((Ventes!E5:E504=A238)*(TODAY()-Ventes!A5:A504&lt;=30)*Ventes!H5:H504),0)</f>
        <v>#ERROR!</v>
      </c>
      <c r="G238" s="257"/>
      <c r="H238" s="257"/>
      <c r="I238" s="257" t="str">
        <f>IFERROR(D238+G238-E238,"")</f>
        <v>#ERROR!</v>
      </c>
      <c r="J238" s="257" t="str">
        <f>IFERROR(D238+H238-F238,"")</f>
        <v>#ERROR!</v>
      </c>
      <c r="K238" s="360" t="str">
        <f>IF(I238="","",IF(I238&lt;0,"Rupture 7j",IF(J238&lt;0,"Rupture 30j","OK")))</f>
        <v>#ERROR!</v>
      </c>
      <c r="L238" s="257"/>
    </row>
    <row r="239">
      <c r="A239" s="259"/>
      <c r="B239" s="259"/>
      <c r="C239" s="259"/>
      <c r="D239" s="259"/>
      <c r="E239" s="259" t="str">
        <f>IFERROR(SUMPRODUCT((Ventes!E5:E504=A239)*(TODAY()-Ventes!A5:A504&lt;=7)*Ventes!H5:H504),0)</f>
        <v>#ERROR!</v>
      </c>
      <c r="F239" s="259" t="str">
        <f>IFERROR(SUMPRODUCT((Ventes!E5:E504=A239)*(TODAY()-Ventes!A5:A504&lt;=30)*Ventes!H5:H504),0)</f>
        <v>#ERROR!</v>
      </c>
      <c r="G239" s="259"/>
      <c r="H239" s="259"/>
      <c r="I239" s="259" t="str">
        <f>IFERROR(D239+G239-E239,"")</f>
        <v>#ERROR!</v>
      </c>
      <c r="J239" s="259" t="str">
        <f>IFERROR(D239+H239-F239,"")</f>
        <v>#ERROR!</v>
      </c>
      <c r="K239" s="76" t="str">
        <f>IF(I239="","",IF(I239&lt;0,"Rupture 7j",IF(J239&lt;0,"Rupture 30j","OK")))</f>
        <v>#ERROR!</v>
      </c>
      <c r="L239" s="259"/>
    </row>
    <row r="240">
      <c r="A240" s="257"/>
      <c r="B240" s="257"/>
      <c r="C240" s="257"/>
      <c r="D240" s="257"/>
      <c r="E240" s="257" t="str">
        <f>IFERROR(SUMPRODUCT((Ventes!E5:E504=A240)*(TODAY()-Ventes!A5:A504&lt;=7)*Ventes!H5:H504),0)</f>
        <v>#ERROR!</v>
      </c>
      <c r="F240" s="257" t="str">
        <f>IFERROR(SUMPRODUCT((Ventes!E5:E504=A240)*(TODAY()-Ventes!A5:A504&lt;=30)*Ventes!H5:H504),0)</f>
        <v>#ERROR!</v>
      </c>
      <c r="G240" s="257"/>
      <c r="H240" s="257"/>
      <c r="I240" s="257" t="str">
        <f>IFERROR(D240+G240-E240,"")</f>
        <v>#ERROR!</v>
      </c>
      <c r="J240" s="257" t="str">
        <f>IFERROR(D240+H240-F240,"")</f>
        <v>#ERROR!</v>
      </c>
      <c r="K240" s="360" t="str">
        <f>IF(I240="","",IF(I240&lt;0,"Rupture 7j",IF(J240&lt;0,"Rupture 30j","OK")))</f>
        <v>#ERROR!</v>
      </c>
      <c r="L240" s="257"/>
    </row>
    <row r="241">
      <c r="A241" s="259"/>
      <c r="B241" s="259"/>
      <c r="C241" s="259"/>
      <c r="D241" s="259"/>
      <c r="E241" s="259" t="str">
        <f>IFERROR(SUMPRODUCT((Ventes!E5:E504=A241)*(TODAY()-Ventes!A5:A504&lt;=7)*Ventes!H5:H504),0)</f>
        <v>#ERROR!</v>
      </c>
      <c r="F241" s="259" t="str">
        <f>IFERROR(SUMPRODUCT((Ventes!E5:E504=A241)*(TODAY()-Ventes!A5:A504&lt;=30)*Ventes!H5:H504),0)</f>
        <v>#ERROR!</v>
      </c>
      <c r="G241" s="259"/>
      <c r="H241" s="259"/>
      <c r="I241" s="259" t="str">
        <f>IFERROR(D241+G241-E241,"")</f>
        <v>#ERROR!</v>
      </c>
      <c r="J241" s="259" t="str">
        <f>IFERROR(D241+H241-F241,"")</f>
        <v>#ERROR!</v>
      </c>
      <c r="K241" s="76" t="str">
        <f>IF(I241="","",IF(I241&lt;0,"Rupture 7j",IF(J241&lt;0,"Rupture 30j","OK")))</f>
        <v>#ERROR!</v>
      </c>
      <c r="L241" s="259"/>
    </row>
    <row r="242">
      <c r="A242" s="257"/>
      <c r="B242" s="257"/>
      <c r="C242" s="257"/>
      <c r="D242" s="257"/>
      <c r="E242" s="257" t="str">
        <f>IFERROR(SUMPRODUCT((Ventes!E5:E504=A242)*(TODAY()-Ventes!A5:A504&lt;=7)*Ventes!H5:H504),0)</f>
        <v>#ERROR!</v>
      </c>
      <c r="F242" s="257" t="str">
        <f>IFERROR(SUMPRODUCT((Ventes!E5:E504=A242)*(TODAY()-Ventes!A5:A504&lt;=30)*Ventes!H5:H504),0)</f>
        <v>#ERROR!</v>
      </c>
      <c r="G242" s="257"/>
      <c r="H242" s="257"/>
      <c r="I242" s="257" t="str">
        <f>IFERROR(D242+G242-E242,"")</f>
        <v>#ERROR!</v>
      </c>
      <c r="J242" s="257" t="str">
        <f>IFERROR(D242+H242-F242,"")</f>
        <v>#ERROR!</v>
      </c>
      <c r="K242" s="360" t="str">
        <f>IF(I242="","",IF(I242&lt;0,"Rupture 7j",IF(J242&lt;0,"Rupture 30j","OK")))</f>
        <v>#ERROR!</v>
      </c>
      <c r="L242" s="257"/>
    </row>
    <row r="243">
      <c r="A243" s="259"/>
      <c r="B243" s="259"/>
      <c r="C243" s="259"/>
      <c r="D243" s="259"/>
      <c r="E243" s="259" t="str">
        <f>IFERROR(SUMPRODUCT((Ventes!E5:E504=A243)*(TODAY()-Ventes!A5:A504&lt;=7)*Ventes!H5:H504),0)</f>
        <v>#ERROR!</v>
      </c>
      <c r="F243" s="259" t="str">
        <f>IFERROR(SUMPRODUCT((Ventes!E5:E504=A243)*(TODAY()-Ventes!A5:A504&lt;=30)*Ventes!H5:H504),0)</f>
        <v>#ERROR!</v>
      </c>
      <c r="G243" s="259"/>
      <c r="H243" s="259"/>
      <c r="I243" s="259" t="str">
        <f>IFERROR(D243+G243-E243,"")</f>
        <v>#ERROR!</v>
      </c>
      <c r="J243" s="259" t="str">
        <f>IFERROR(D243+H243-F243,"")</f>
        <v>#ERROR!</v>
      </c>
      <c r="K243" s="76" t="str">
        <f>IF(I243="","",IF(I243&lt;0,"Rupture 7j",IF(J243&lt;0,"Rupture 30j","OK")))</f>
        <v>#ERROR!</v>
      </c>
      <c r="L243" s="259"/>
    </row>
    <row r="244">
      <c r="A244" s="257"/>
      <c r="B244" s="257"/>
      <c r="C244" s="257"/>
      <c r="D244" s="257"/>
      <c r="E244" s="257" t="str">
        <f>IFERROR(SUMPRODUCT((Ventes!E5:E504=A244)*(TODAY()-Ventes!A5:A504&lt;=7)*Ventes!H5:H504),0)</f>
        <v>#ERROR!</v>
      </c>
      <c r="F244" s="257" t="str">
        <f>IFERROR(SUMPRODUCT((Ventes!E5:E504=A244)*(TODAY()-Ventes!A5:A504&lt;=30)*Ventes!H5:H504),0)</f>
        <v>#ERROR!</v>
      </c>
      <c r="G244" s="257"/>
      <c r="H244" s="257"/>
      <c r="I244" s="257" t="str">
        <f>IFERROR(D244+G244-E244,"")</f>
        <v>#ERROR!</v>
      </c>
      <c r="J244" s="257" t="str">
        <f>IFERROR(D244+H244-F244,"")</f>
        <v>#ERROR!</v>
      </c>
      <c r="K244" s="360" t="str">
        <f>IF(I244="","",IF(I244&lt;0,"Rupture 7j",IF(J244&lt;0,"Rupture 30j","OK")))</f>
        <v>#ERROR!</v>
      </c>
      <c r="L244" s="257"/>
    </row>
    <row r="245">
      <c r="A245" s="259"/>
      <c r="B245" s="259"/>
      <c r="C245" s="259"/>
      <c r="D245" s="259"/>
      <c r="E245" s="259" t="str">
        <f>IFERROR(SUMPRODUCT((Ventes!E5:E504=A245)*(TODAY()-Ventes!A5:A504&lt;=7)*Ventes!H5:H504),0)</f>
        <v>#ERROR!</v>
      </c>
      <c r="F245" s="259" t="str">
        <f>IFERROR(SUMPRODUCT((Ventes!E5:E504=A245)*(TODAY()-Ventes!A5:A504&lt;=30)*Ventes!H5:H504),0)</f>
        <v>#ERROR!</v>
      </c>
      <c r="G245" s="259"/>
      <c r="H245" s="259"/>
      <c r="I245" s="259" t="str">
        <f>IFERROR(D245+G245-E245,"")</f>
        <v>#ERROR!</v>
      </c>
      <c r="J245" s="259" t="str">
        <f>IFERROR(D245+H245-F245,"")</f>
        <v>#ERROR!</v>
      </c>
      <c r="K245" s="76" t="str">
        <f>IF(I245="","",IF(I245&lt;0,"Rupture 7j",IF(J245&lt;0,"Rupture 30j","OK")))</f>
        <v>#ERROR!</v>
      </c>
      <c r="L245" s="259"/>
    </row>
    <row r="246">
      <c r="A246" s="257"/>
      <c r="B246" s="257"/>
      <c r="C246" s="257"/>
      <c r="D246" s="257"/>
      <c r="E246" s="257" t="str">
        <f>IFERROR(SUMPRODUCT((Ventes!E5:E504=A246)*(TODAY()-Ventes!A5:A504&lt;=7)*Ventes!H5:H504),0)</f>
        <v>#ERROR!</v>
      </c>
      <c r="F246" s="257" t="str">
        <f>IFERROR(SUMPRODUCT((Ventes!E5:E504=A246)*(TODAY()-Ventes!A5:A504&lt;=30)*Ventes!H5:H504),0)</f>
        <v>#ERROR!</v>
      </c>
      <c r="G246" s="257"/>
      <c r="H246" s="257"/>
      <c r="I246" s="257" t="str">
        <f>IFERROR(D246+G246-E246,"")</f>
        <v>#ERROR!</v>
      </c>
      <c r="J246" s="257" t="str">
        <f>IFERROR(D246+H246-F246,"")</f>
        <v>#ERROR!</v>
      </c>
      <c r="K246" s="360" t="str">
        <f>IF(I246="","",IF(I246&lt;0,"Rupture 7j",IF(J246&lt;0,"Rupture 30j","OK")))</f>
        <v>#ERROR!</v>
      </c>
      <c r="L246" s="257"/>
    </row>
    <row r="247">
      <c r="A247" s="259"/>
      <c r="B247" s="259"/>
      <c r="C247" s="259"/>
      <c r="D247" s="259"/>
      <c r="E247" s="259" t="str">
        <f>IFERROR(SUMPRODUCT((Ventes!E5:E504=A247)*(TODAY()-Ventes!A5:A504&lt;=7)*Ventes!H5:H504),0)</f>
        <v>#ERROR!</v>
      </c>
      <c r="F247" s="259" t="str">
        <f>IFERROR(SUMPRODUCT((Ventes!E5:E504=A247)*(TODAY()-Ventes!A5:A504&lt;=30)*Ventes!H5:H504),0)</f>
        <v>#ERROR!</v>
      </c>
      <c r="G247" s="259"/>
      <c r="H247" s="259"/>
      <c r="I247" s="259" t="str">
        <f>IFERROR(D247+G247-E247,"")</f>
        <v>#ERROR!</v>
      </c>
      <c r="J247" s="259" t="str">
        <f>IFERROR(D247+H247-F247,"")</f>
        <v>#ERROR!</v>
      </c>
      <c r="K247" s="76" t="str">
        <f>IF(I247="","",IF(I247&lt;0,"Rupture 7j",IF(J247&lt;0,"Rupture 30j","OK")))</f>
        <v>#ERROR!</v>
      </c>
      <c r="L247" s="259"/>
    </row>
    <row r="248">
      <c r="A248" s="257"/>
      <c r="B248" s="257"/>
      <c r="C248" s="257"/>
      <c r="D248" s="257"/>
      <c r="E248" s="257" t="str">
        <f>IFERROR(SUMPRODUCT((Ventes!E5:E504=A248)*(TODAY()-Ventes!A5:A504&lt;=7)*Ventes!H5:H504),0)</f>
        <v>#ERROR!</v>
      </c>
      <c r="F248" s="257" t="str">
        <f>IFERROR(SUMPRODUCT((Ventes!E5:E504=A248)*(TODAY()-Ventes!A5:A504&lt;=30)*Ventes!H5:H504),0)</f>
        <v>#ERROR!</v>
      </c>
      <c r="G248" s="257"/>
      <c r="H248" s="257"/>
      <c r="I248" s="257" t="str">
        <f>IFERROR(D248+G248-E248,"")</f>
        <v>#ERROR!</v>
      </c>
      <c r="J248" s="257" t="str">
        <f>IFERROR(D248+H248-F248,"")</f>
        <v>#ERROR!</v>
      </c>
      <c r="K248" s="360" t="str">
        <f>IF(I248="","",IF(I248&lt;0,"Rupture 7j",IF(J248&lt;0,"Rupture 30j","OK")))</f>
        <v>#ERROR!</v>
      </c>
      <c r="L248" s="257"/>
    </row>
    <row r="249">
      <c r="A249" s="259"/>
      <c r="B249" s="259"/>
      <c r="C249" s="259"/>
      <c r="D249" s="259"/>
      <c r="E249" s="259" t="str">
        <f>IFERROR(SUMPRODUCT((Ventes!E5:E504=A249)*(TODAY()-Ventes!A5:A504&lt;=7)*Ventes!H5:H504),0)</f>
        <v>#ERROR!</v>
      </c>
      <c r="F249" s="259" t="str">
        <f>IFERROR(SUMPRODUCT((Ventes!E5:E504=A249)*(TODAY()-Ventes!A5:A504&lt;=30)*Ventes!H5:H504),0)</f>
        <v>#ERROR!</v>
      </c>
      <c r="G249" s="259"/>
      <c r="H249" s="259"/>
      <c r="I249" s="259" t="str">
        <f>IFERROR(D249+G249-E249,"")</f>
        <v>#ERROR!</v>
      </c>
      <c r="J249" s="259" t="str">
        <f>IFERROR(D249+H249-F249,"")</f>
        <v>#ERROR!</v>
      </c>
      <c r="K249" s="76" t="str">
        <f>IF(I249="","",IF(I249&lt;0,"Rupture 7j",IF(J249&lt;0,"Rupture 30j","OK")))</f>
        <v>#ERROR!</v>
      </c>
      <c r="L249" s="259"/>
    </row>
    <row r="250">
      <c r="A250" s="257"/>
      <c r="B250" s="257"/>
      <c r="C250" s="257"/>
      <c r="D250" s="257"/>
      <c r="E250" s="257" t="str">
        <f>IFERROR(SUMPRODUCT((Ventes!E5:E504=A250)*(TODAY()-Ventes!A5:A504&lt;=7)*Ventes!H5:H504),0)</f>
        <v>#ERROR!</v>
      </c>
      <c r="F250" s="257" t="str">
        <f>IFERROR(SUMPRODUCT((Ventes!E5:E504=A250)*(TODAY()-Ventes!A5:A504&lt;=30)*Ventes!H5:H504),0)</f>
        <v>#ERROR!</v>
      </c>
      <c r="G250" s="257"/>
      <c r="H250" s="257"/>
      <c r="I250" s="257" t="str">
        <f>IFERROR(D250+G250-E250,"")</f>
        <v>#ERROR!</v>
      </c>
      <c r="J250" s="257" t="str">
        <f>IFERROR(D250+H250-F250,"")</f>
        <v>#ERROR!</v>
      </c>
      <c r="K250" s="360" t="str">
        <f>IF(I250="","",IF(I250&lt;0,"Rupture 7j",IF(J250&lt;0,"Rupture 30j","OK")))</f>
        <v>#ERROR!</v>
      </c>
      <c r="L250" s="257"/>
    </row>
    <row r="251">
      <c r="A251" s="259"/>
      <c r="B251" s="259"/>
      <c r="C251" s="259"/>
      <c r="D251" s="259"/>
      <c r="E251" s="259" t="str">
        <f>IFERROR(SUMPRODUCT((Ventes!E5:E504=A251)*(TODAY()-Ventes!A5:A504&lt;=7)*Ventes!H5:H504),0)</f>
        <v>#ERROR!</v>
      </c>
      <c r="F251" s="259" t="str">
        <f>IFERROR(SUMPRODUCT((Ventes!E5:E504=A251)*(TODAY()-Ventes!A5:A504&lt;=30)*Ventes!H5:H504),0)</f>
        <v>#ERROR!</v>
      </c>
      <c r="G251" s="259"/>
      <c r="H251" s="259"/>
      <c r="I251" s="259" t="str">
        <f>IFERROR(D251+G251-E251,"")</f>
        <v>#ERROR!</v>
      </c>
      <c r="J251" s="259" t="str">
        <f>IFERROR(D251+H251-F251,"")</f>
        <v>#ERROR!</v>
      </c>
      <c r="K251" s="76" t="str">
        <f>IF(I251="","",IF(I251&lt;0,"Rupture 7j",IF(J251&lt;0,"Rupture 30j","OK")))</f>
        <v>#ERROR!</v>
      </c>
      <c r="L251" s="259"/>
    </row>
    <row r="252">
      <c r="A252" s="257"/>
      <c r="B252" s="257"/>
      <c r="C252" s="257"/>
      <c r="D252" s="257"/>
      <c r="E252" s="257" t="str">
        <f>IFERROR(SUMPRODUCT((Ventes!E5:E504=A252)*(TODAY()-Ventes!A5:A504&lt;=7)*Ventes!H5:H504),0)</f>
        <v>#ERROR!</v>
      </c>
      <c r="F252" s="257" t="str">
        <f>IFERROR(SUMPRODUCT((Ventes!E5:E504=A252)*(TODAY()-Ventes!A5:A504&lt;=30)*Ventes!H5:H504),0)</f>
        <v>#ERROR!</v>
      </c>
      <c r="G252" s="257"/>
      <c r="H252" s="257"/>
      <c r="I252" s="257" t="str">
        <f>IFERROR(D252+G252-E252,"")</f>
        <v>#ERROR!</v>
      </c>
      <c r="J252" s="257" t="str">
        <f>IFERROR(D252+H252-F252,"")</f>
        <v>#ERROR!</v>
      </c>
      <c r="K252" s="360" t="str">
        <f>IF(I252="","",IF(I252&lt;0,"Rupture 7j",IF(J252&lt;0,"Rupture 30j","OK")))</f>
        <v>#ERROR!</v>
      </c>
      <c r="L252" s="257"/>
    </row>
    <row r="253">
      <c r="A253" s="259"/>
      <c r="B253" s="259"/>
      <c r="C253" s="259"/>
      <c r="D253" s="259"/>
      <c r="E253" s="259" t="str">
        <f>IFERROR(SUMPRODUCT((Ventes!E5:E504=A253)*(TODAY()-Ventes!A5:A504&lt;=7)*Ventes!H5:H504),0)</f>
        <v>#ERROR!</v>
      </c>
      <c r="F253" s="259" t="str">
        <f>IFERROR(SUMPRODUCT((Ventes!E5:E504=A253)*(TODAY()-Ventes!A5:A504&lt;=30)*Ventes!H5:H504),0)</f>
        <v>#ERROR!</v>
      </c>
      <c r="G253" s="259"/>
      <c r="H253" s="259"/>
      <c r="I253" s="259" t="str">
        <f>IFERROR(D253+G253-E253,"")</f>
        <v>#ERROR!</v>
      </c>
      <c r="J253" s="259" t="str">
        <f>IFERROR(D253+H253-F253,"")</f>
        <v>#ERROR!</v>
      </c>
      <c r="K253" s="76" t="str">
        <f>IF(I253="","",IF(I253&lt;0,"Rupture 7j",IF(J253&lt;0,"Rupture 30j","OK")))</f>
        <v>#ERROR!</v>
      </c>
      <c r="L253" s="259"/>
    </row>
    <row r="254">
      <c r="A254" s="257"/>
      <c r="B254" s="257"/>
      <c r="C254" s="257"/>
      <c r="D254" s="257"/>
      <c r="E254" s="257" t="str">
        <f>IFERROR(SUMPRODUCT((Ventes!E5:E504=A254)*(TODAY()-Ventes!A5:A504&lt;=7)*Ventes!H5:H504),0)</f>
        <v>#ERROR!</v>
      </c>
      <c r="F254" s="257" t="str">
        <f>IFERROR(SUMPRODUCT((Ventes!E5:E504=A254)*(TODAY()-Ventes!A5:A504&lt;=30)*Ventes!H5:H504),0)</f>
        <v>#ERROR!</v>
      </c>
      <c r="G254" s="257"/>
      <c r="H254" s="257"/>
      <c r="I254" s="257" t="str">
        <f>IFERROR(D254+G254-E254,"")</f>
        <v>#ERROR!</v>
      </c>
      <c r="J254" s="257" t="str">
        <f>IFERROR(D254+H254-F254,"")</f>
        <v>#ERROR!</v>
      </c>
      <c r="K254" s="360" t="str">
        <f>IF(I254="","",IF(I254&lt;0,"Rupture 7j",IF(J254&lt;0,"Rupture 30j","OK")))</f>
        <v>#ERROR!</v>
      </c>
      <c r="L254" s="257"/>
    </row>
    <row r="255">
      <c r="A255" s="259"/>
      <c r="B255" s="259"/>
      <c r="C255" s="259"/>
      <c r="D255" s="259"/>
      <c r="E255" s="259" t="str">
        <f>IFERROR(SUMPRODUCT((Ventes!E5:E504=A255)*(TODAY()-Ventes!A5:A504&lt;=7)*Ventes!H5:H504),0)</f>
        <v>#ERROR!</v>
      </c>
      <c r="F255" s="259" t="str">
        <f>IFERROR(SUMPRODUCT((Ventes!E5:E504=A255)*(TODAY()-Ventes!A5:A504&lt;=30)*Ventes!H5:H504),0)</f>
        <v>#ERROR!</v>
      </c>
      <c r="G255" s="259"/>
      <c r="H255" s="259"/>
      <c r="I255" s="259" t="str">
        <f>IFERROR(D255+G255-E255,"")</f>
        <v>#ERROR!</v>
      </c>
      <c r="J255" s="259" t="str">
        <f>IFERROR(D255+H255-F255,"")</f>
        <v>#ERROR!</v>
      </c>
      <c r="K255" s="76" t="str">
        <f>IF(I255="","",IF(I255&lt;0,"Rupture 7j",IF(J255&lt;0,"Rupture 30j","OK")))</f>
        <v>#ERROR!</v>
      </c>
      <c r="L255" s="259"/>
    </row>
    <row r="256">
      <c r="A256" s="257"/>
      <c r="B256" s="257"/>
      <c r="C256" s="257"/>
      <c r="D256" s="257"/>
      <c r="E256" s="257" t="str">
        <f>IFERROR(SUMPRODUCT((Ventes!E5:E504=A256)*(TODAY()-Ventes!A5:A504&lt;=7)*Ventes!H5:H504),0)</f>
        <v>#ERROR!</v>
      </c>
      <c r="F256" s="257" t="str">
        <f>IFERROR(SUMPRODUCT((Ventes!E5:E504=A256)*(TODAY()-Ventes!A5:A504&lt;=30)*Ventes!H5:H504),0)</f>
        <v>#ERROR!</v>
      </c>
      <c r="G256" s="257"/>
      <c r="H256" s="257"/>
      <c r="I256" s="257" t="str">
        <f>IFERROR(D256+G256-E256,"")</f>
        <v>#ERROR!</v>
      </c>
      <c r="J256" s="257" t="str">
        <f>IFERROR(D256+H256-F256,"")</f>
        <v>#ERROR!</v>
      </c>
      <c r="K256" s="360" t="str">
        <f>IF(I256="","",IF(I256&lt;0,"Rupture 7j",IF(J256&lt;0,"Rupture 30j","OK")))</f>
        <v>#ERROR!</v>
      </c>
      <c r="L256" s="257"/>
    </row>
    <row r="257">
      <c r="A257" s="259"/>
      <c r="B257" s="259"/>
      <c r="C257" s="259"/>
      <c r="D257" s="259"/>
      <c r="E257" s="259" t="str">
        <f>IFERROR(SUMPRODUCT((Ventes!E5:E504=A257)*(TODAY()-Ventes!A5:A504&lt;=7)*Ventes!H5:H504),0)</f>
        <v>#ERROR!</v>
      </c>
      <c r="F257" s="259" t="str">
        <f>IFERROR(SUMPRODUCT((Ventes!E5:E504=A257)*(TODAY()-Ventes!A5:A504&lt;=30)*Ventes!H5:H504),0)</f>
        <v>#ERROR!</v>
      </c>
      <c r="G257" s="259"/>
      <c r="H257" s="259"/>
      <c r="I257" s="259" t="str">
        <f>IFERROR(D257+G257-E257,"")</f>
        <v>#ERROR!</v>
      </c>
      <c r="J257" s="259" t="str">
        <f>IFERROR(D257+H257-F257,"")</f>
        <v>#ERROR!</v>
      </c>
      <c r="K257" s="76" t="str">
        <f>IF(I257="","",IF(I257&lt;0,"Rupture 7j",IF(J257&lt;0,"Rupture 30j","OK")))</f>
        <v>#ERROR!</v>
      </c>
      <c r="L257" s="259"/>
    </row>
    <row r="258">
      <c r="A258" s="257"/>
      <c r="B258" s="257"/>
      <c r="C258" s="257"/>
      <c r="D258" s="257"/>
      <c r="E258" s="257" t="str">
        <f>IFERROR(SUMPRODUCT((Ventes!E5:E504=A258)*(TODAY()-Ventes!A5:A504&lt;=7)*Ventes!H5:H504),0)</f>
        <v>#ERROR!</v>
      </c>
      <c r="F258" s="257" t="str">
        <f>IFERROR(SUMPRODUCT((Ventes!E5:E504=A258)*(TODAY()-Ventes!A5:A504&lt;=30)*Ventes!H5:H504),0)</f>
        <v>#ERROR!</v>
      </c>
      <c r="G258" s="257"/>
      <c r="H258" s="257"/>
      <c r="I258" s="257" t="str">
        <f>IFERROR(D258+G258-E258,"")</f>
        <v>#ERROR!</v>
      </c>
      <c r="J258" s="257" t="str">
        <f>IFERROR(D258+H258-F258,"")</f>
        <v>#ERROR!</v>
      </c>
      <c r="K258" s="360" t="str">
        <f>IF(I258="","",IF(I258&lt;0,"Rupture 7j",IF(J258&lt;0,"Rupture 30j","OK")))</f>
        <v>#ERROR!</v>
      </c>
      <c r="L258" s="257"/>
    </row>
    <row r="259">
      <c r="A259" s="259"/>
      <c r="B259" s="259"/>
      <c r="C259" s="259"/>
      <c r="D259" s="259"/>
      <c r="E259" s="259" t="str">
        <f>IFERROR(SUMPRODUCT((Ventes!E5:E504=A259)*(TODAY()-Ventes!A5:A504&lt;=7)*Ventes!H5:H504),0)</f>
        <v>#ERROR!</v>
      </c>
      <c r="F259" s="259" t="str">
        <f>IFERROR(SUMPRODUCT((Ventes!E5:E504=A259)*(TODAY()-Ventes!A5:A504&lt;=30)*Ventes!H5:H504),0)</f>
        <v>#ERROR!</v>
      </c>
      <c r="G259" s="259"/>
      <c r="H259" s="259"/>
      <c r="I259" s="259" t="str">
        <f>IFERROR(D259+G259-E259,"")</f>
        <v>#ERROR!</v>
      </c>
      <c r="J259" s="259" t="str">
        <f>IFERROR(D259+H259-F259,"")</f>
        <v>#ERROR!</v>
      </c>
      <c r="K259" s="76" t="str">
        <f>IF(I259="","",IF(I259&lt;0,"Rupture 7j",IF(J259&lt;0,"Rupture 30j","OK")))</f>
        <v>#ERROR!</v>
      </c>
      <c r="L259" s="259"/>
    </row>
    <row r="260">
      <c r="A260" s="257"/>
      <c r="B260" s="257"/>
      <c r="C260" s="257"/>
      <c r="D260" s="257"/>
      <c r="E260" s="257" t="str">
        <f>IFERROR(SUMPRODUCT((Ventes!E5:E504=A260)*(TODAY()-Ventes!A5:A504&lt;=7)*Ventes!H5:H504),0)</f>
        <v>#ERROR!</v>
      </c>
      <c r="F260" s="257" t="str">
        <f>IFERROR(SUMPRODUCT((Ventes!E5:E504=A260)*(TODAY()-Ventes!A5:A504&lt;=30)*Ventes!H5:H504),0)</f>
        <v>#ERROR!</v>
      </c>
      <c r="G260" s="257"/>
      <c r="H260" s="257"/>
      <c r="I260" s="257" t="str">
        <f>IFERROR(D260+G260-E260,"")</f>
        <v>#ERROR!</v>
      </c>
      <c r="J260" s="257" t="str">
        <f>IFERROR(D260+H260-F260,"")</f>
        <v>#ERROR!</v>
      </c>
      <c r="K260" s="360" t="str">
        <f>IF(I260="","",IF(I260&lt;0,"Rupture 7j",IF(J260&lt;0,"Rupture 30j","OK")))</f>
        <v>#ERROR!</v>
      </c>
      <c r="L260" s="257"/>
    </row>
    <row r="261">
      <c r="A261" s="259"/>
      <c r="B261" s="259"/>
      <c r="C261" s="259"/>
      <c r="D261" s="259"/>
      <c r="E261" s="259" t="str">
        <f>IFERROR(SUMPRODUCT((Ventes!E5:E504=A261)*(TODAY()-Ventes!A5:A504&lt;=7)*Ventes!H5:H504),0)</f>
        <v>#ERROR!</v>
      </c>
      <c r="F261" s="259" t="str">
        <f>IFERROR(SUMPRODUCT((Ventes!E5:E504=A261)*(TODAY()-Ventes!A5:A504&lt;=30)*Ventes!H5:H504),0)</f>
        <v>#ERROR!</v>
      </c>
      <c r="G261" s="259"/>
      <c r="H261" s="259"/>
      <c r="I261" s="259" t="str">
        <f>IFERROR(D261+G261-E261,"")</f>
        <v>#ERROR!</v>
      </c>
      <c r="J261" s="259" t="str">
        <f>IFERROR(D261+H261-F261,"")</f>
        <v>#ERROR!</v>
      </c>
      <c r="K261" s="76" t="str">
        <f>IF(I261="","",IF(I261&lt;0,"Rupture 7j",IF(J261&lt;0,"Rupture 30j","OK")))</f>
        <v>#ERROR!</v>
      </c>
      <c r="L261" s="259"/>
    </row>
    <row r="262">
      <c r="A262" s="257"/>
      <c r="B262" s="257"/>
      <c r="C262" s="257"/>
      <c r="D262" s="257"/>
      <c r="E262" s="257" t="str">
        <f>IFERROR(SUMPRODUCT((Ventes!E5:E504=A262)*(TODAY()-Ventes!A5:A504&lt;=7)*Ventes!H5:H504),0)</f>
        <v>#ERROR!</v>
      </c>
      <c r="F262" s="257" t="str">
        <f>IFERROR(SUMPRODUCT((Ventes!E5:E504=A262)*(TODAY()-Ventes!A5:A504&lt;=30)*Ventes!H5:H504),0)</f>
        <v>#ERROR!</v>
      </c>
      <c r="G262" s="257"/>
      <c r="H262" s="257"/>
      <c r="I262" s="257" t="str">
        <f>IFERROR(D262+G262-E262,"")</f>
        <v>#ERROR!</v>
      </c>
      <c r="J262" s="257" t="str">
        <f>IFERROR(D262+H262-F262,"")</f>
        <v>#ERROR!</v>
      </c>
      <c r="K262" s="360" t="str">
        <f>IF(I262="","",IF(I262&lt;0,"Rupture 7j",IF(J262&lt;0,"Rupture 30j","OK")))</f>
        <v>#ERROR!</v>
      </c>
      <c r="L262" s="257"/>
    </row>
    <row r="263">
      <c r="A263" s="259"/>
      <c r="B263" s="259"/>
      <c r="C263" s="259"/>
      <c r="D263" s="259"/>
      <c r="E263" s="259" t="str">
        <f>IFERROR(SUMPRODUCT((Ventes!E5:E504=A263)*(TODAY()-Ventes!A5:A504&lt;=7)*Ventes!H5:H504),0)</f>
        <v>#ERROR!</v>
      </c>
      <c r="F263" s="259" t="str">
        <f>IFERROR(SUMPRODUCT((Ventes!E5:E504=A263)*(TODAY()-Ventes!A5:A504&lt;=30)*Ventes!H5:H504),0)</f>
        <v>#ERROR!</v>
      </c>
      <c r="G263" s="259"/>
      <c r="H263" s="259"/>
      <c r="I263" s="259" t="str">
        <f>IFERROR(D263+G263-E263,"")</f>
        <v>#ERROR!</v>
      </c>
      <c r="J263" s="259" t="str">
        <f>IFERROR(D263+H263-F263,"")</f>
        <v>#ERROR!</v>
      </c>
      <c r="K263" s="76" t="str">
        <f>IF(I263="","",IF(I263&lt;0,"Rupture 7j",IF(J263&lt;0,"Rupture 30j","OK")))</f>
        <v>#ERROR!</v>
      </c>
      <c r="L263" s="259"/>
    </row>
    <row r="264">
      <c r="A264" s="257"/>
      <c r="B264" s="257"/>
      <c r="C264" s="257"/>
      <c r="D264" s="257"/>
      <c r="E264" s="257" t="str">
        <f>IFERROR(SUMPRODUCT((Ventes!E5:E504=A264)*(TODAY()-Ventes!A5:A504&lt;=7)*Ventes!H5:H504),0)</f>
        <v>#ERROR!</v>
      </c>
      <c r="F264" s="257" t="str">
        <f>IFERROR(SUMPRODUCT((Ventes!E5:E504=A264)*(TODAY()-Ventes!A5:A504&lt;=30)*Ventes!H5:H504),0)</f>
        <v>#ERROR!</v>
      </c>
      <c r="G264" s="257"/>
      <c r="H264" s="257"/>
      <c r="I264" s="257" t="str">
        <f>IFERROR(D264+G264-E264,"")</f>
        <v>#ERROR!</v>
      </c>
      <c r="J264" s="257" t="str">
        <f>IFERROR(D264+H264-F264,"")</f>
        <v>#ERROR!</v>
      </c>
      <c r="K264" s="360" t="str">
        <f>IF(I264="","",IF(I264&lt;0,"Rupture 7j",IF(J264&lt;0,"Rupture 30j","OK")))</f>
        <v>#ERROR!</v>
      </c>
      <c r="L264" s="257"/>
    </row>
    <row r="265">
      <c r="A265" s="259"/>
      <c r="B265" s="259"/>
      <c r="C265" s="259"/>
      <c r="D265" s="259"/>
      <c r="E265" s="259" t="str">
        <f>IFERROR(SUMPRODUCT((Ventes!E5:E504=A265)*(TODAY()-Ventes!A5:A504&lt;=7)*Ventes!H5:H504),0)</f>
        <v>#ERROR!</v>
      </c>
      <c r="F265" s="259" t="str">
        <f>IFERROR(SUMPRODUCT((Ventes!E5:E504=A265)*(TODAY()-Ventes!A5:A504&lt;=30)*Ventes!H5:H504),0)</f>
        <v>#ERROR!</v>
      </c>
      <c r="G265" s="259"/>
      <c r="H265" s="259"/>
      <c r="I265" s="259" t="str">
        <f>IFERROR(D265+G265-E265,"")</f>
        <v>#ERROR!</v>
      </c>
      <c r="J265" s="259" t="str">
        <f>IFERROR(D265+H265-F265,"")</f>
        <v>#ERROR!</v>
      </c>
      <c r="K265" s="76" t="str">
        <f>IF(I265="","",IF(I265&lt;0,"Rupture 7j",IF(J265&lt;0,"Rupture 30j","OK")))</f>
        <v>#ERROR!</v>
      </c>
      <c r="L265" s="259"/>
    </row>
    <row r="266">
      <c r="A266" s="257"/>
      <c r="B266" s="257"/>
      <c r="C266" s="257"/>
      <c r="D266" s="257"/>
      <c r="E266" s="257" t="str">
        <f>IFERROR(SUMPRODUCT((Ventes!E5:E504=A266)*(TODAY()-Ventes!A5:A504&lt;=7)*Ventes!H5:H504),0)</f>
        <v>#ERROR!</v>
      </c>
      <c r="F266" s="257" t="str">
        <f>IFERROR(SUMPRODUCT((Ventes!E5:E504=A266)*(TODAY()-Ventes!A5:A504&lt;=30)*Ventes!H5:H504),0)</f>
        <v>#ERROR!</v>
      </c>
      <c r="G266" s="257"/>
      <c r="H266" s="257"/>
      <c r="I266" s="257" t="str">
        <f>IFERROR(D266+G266-E266,"")</f>
        <v>#ERROR!</v>
      </c>
      <c r="J266" s="257" t="str">
        <f>IFERROR(D266+H266-F266,"")</f>
        <v>#ERROR!</v>
      </c>
      <c r="K266" s="360" t="str">
        <f>IF(I266="","",IF(I266&lt;0,"Rupture 7j",IF(J266&lt;0,"Rupture 30j","OK")))</f>
        <v>#ERROR!</v>
      </c>
      <c r="L266" s="257"/>
    </row>
    <row r="267">
      <c r="A267" s="259"/>
      <c r="B267" s="259"/>
      <c r="C267" s="259"/>
      <c r="D267" s="259"/>
      <c r="E267" s="259" t="str">
        <f>IFERROR(SUMPRODUCT((Ventes!E5:E504=A267)*(TODAY()-Ventes!A5:A504&lt;=7)*Ventes!H5:H504),0)</f>
        <v>#ERROR!</v>
      </c>
      <c r="F267" s="259" t="str">
        <f>IFERROR(SUMPRODUCT((Ventes!E5:E504=A267)*(TODAY()-Ventes!A5:A504&lt;=30)*Ventes!H5:H504),0)</f>
        <v>#ERROR!</v>
      </c>
      <c r="G267" s="259"/>
      <c r="H267" s="259"/>
      <c r="I267" s="259" t="str">
        <f>IFERROR(D267+G267-E267,"")</f>
        <v>#ERROR!</v>
      </c>
      <c r="J267" s="259" t="str">
        <f>IFERROR(D267+H267-F267,"")</f>
        <v>#ERROR!</v>
      </c>
      <c r="K267" s="76" t="str">
        <f>IF(I267="","",IF(I267&lt;0,"Rupture 7j",IF(J267&lt;0,"Rupture 30j","OK")))</f>
        <v>#ERROR!</v>
      </c>
      <c r="L267" s="259"/>
    </row>
    <row r="268">
      <c r="A268" s="257"/>
      <c r="B268" s="257"/>
      <c r="C268" s="257"/>
      <c r="D268" s="257"/>
      <c r="E268" s="257" t="str">
        <f>IFERROR(SUMPRODUCT((Ventes!E5:E504=A268)*(TODAY()-Ventes!A5:A504&lt;=7)*Ventes!H5:H504),0)</f>
        <v>#ERROR!</v>
      </c>
      <c r="F268" s="257" t="str">
        <f>IFERROR(SUMPRODUCT((Ventes!E5:E504=A268)*(TODAY()-Ventes!A5:A504&lt;=30)*Ventes!H5:H504),0)</f>
        <v>#ERROR!</v>
      </c>
      <c r="G268" s="257"/>
      <c r="H268" s="257"/>
      <c r="I268" s="257" t="str">
        <f>IFERROR(D268+G268-E268,"")</f>
        <v>#ERROR!</v>
      </c>
      <c r="J268" s="257" t="str">
        <f>IFERROR(D268+H268-F268,"")</f>
        <v>#ERROR!</v>
      </c>
      <c r="K268" s="360" t="str">
        <f>IF(I268="","",IF(I268&lt;0,"Rupture 7j",IF(J268&lt;0,"Rupture 30j","OK")))</f>
        <v>#ERROR!</v>
      </c>
      <c r="L268" s="257"/>
    </row>
    <row r="269">
      <c r="A269" s="259"/>
      <c r="B269" s="259"/>
      <c r="C269" s="259"/>
      <c r="D269" s="259"/>
      <c r="E269" s="259" t="str">
        <f>IFERROR(SUMPRODUCT((Ventes!E5:E504=A269)*(TODAY()-Ventes!A5:A504&lt;=7)*Ventes!H5:H504),0)</f>
        <v>#ERROR!</v>
      </c>
      <c r="F269" s="259" t="str">
        <f>IFERROR(SUMPRODUCT((Ventes!E5:E504=A269)*(TODAY()-Ventes!A5:A504&lt;=30)*Ventes!H5:H504),0)</f>
        <v>#ERROR!</v>
      </c>
      <c r="G269" s="259"/>
      <c r="H269" s="259"/>
      <c r="I269" s="259" t="str">
        <f>IFERROR(D269+G269-E269,"")</f>
        <v>#ERROR!</v>
      </c>
      <c r="J269" s="259" t="str">
        <f>IFERROR(D269+H269-F269,"")</f>
        <v>#ERROR!</v>
      </c>
      <c r="K269" s="76" t="str">
        <f>IF(I269="","",IF(I269&lt;0,"Rupture 7j",IF(J269&lt;0,"Rupture 30j","OK")))</f>
        <v>#ERROR!</v>
      </c>
      <c r="L269" s="259"/>
    </row>
    <row r="270">
      <c r="A270" s="257"/>
      <c r="B270" s="257"/>
      <c r="C270" s="257"/>
      <c r="D270" s="257"/>
      <c r="E270" s="257" t="str">
        <f>IFERROR(SUMPRODUCT((Ventes!E5:E504=A270)*(TODAY()-Ventes!A5:A504&lt;=7)*Ventes!H5:H504),0)</f>
        <v>#ERROR!</v>
      </c>
      <c r="F270" s="257" t="str">
        <f>IFERROR(SUMPRODUCT((Ventes!E5:E504=A270)*(TODAY()-Ventes!A5:A504&lt;=30)*Ventes!H5:H504),0)</f>
        <v>#ERROR!</v>
      </c>
      <c r="G270" s="257"/>
      <c r="H270" s="257"/>
      <c r="I270" s="257" t="str">
        <f>IFERROR(D270+G270-E270,"")</f>
        <v>#ERROR!</v>
      </c>
      <c r="J270" s="257" t="str">
        <f>IFERROR(D270+H270-F270,"")</f>
        <v>#ERROR!</v>
      </c>
      <c r="K270" s="360" t="str">
        <f>IF(I270="","",IF(I270&lt;0,"Rupture 7j",IF(J270&lt;0,"Rupture 30j","OK")))</f>
        <v>#ERROR!</v>
      </c>
      <c r="L270" s="257"/>
    </row>
    <row r="271">
      <c r="A271" s="259"/>
      <c r="B271" s="259"/>
      <c r="C271" s="259"/>
      <c r="D271" s="259"/>
      <c r="E271" s="259" t="str">
        <f>IFERROR(SUMPRODUCT((Ventes!E5:E504=A271)*(TODAY()-Ventes!A5:A504&lt;=7)*Ventes!H5:H504),0)</f>
        <v>#ERROR!</v>
      </c>
      <c r="F271" s="259" t="str">
        <f>IFERROR(SUMPRODUCT((Ventes!E5:E504=A271)*(TODAY()-Ventes!A5:A504&lt;=30)*Ventes!H5:H504),0)</f>
        <v>#ERROR!</v>
      </c>
      <c r="G271" s="259"/>
      <c r="H271" s="259"/>
      <c r="I271" s="259" t="str">
        <f>IFERROR(D271+G271-E271,"")</f>
        <v>#ERROR!</v>
      </c>
      <c r="J271" s="259" t="str">
        <f>IFERROR(D271+H271-F271,"")</f>
        <v>#ERROR!</v>
      </c>
      <c r="K271" s="76" t="str">
        <f>IF(I271="","",IF(I271&lt;0,"Rupture 7j",IF(J271&lt;0,"Rupture 30j","OK")))</f>
        <v>#ERROR!</v>
      </c>
      <c r="L271" s="259"/>
    </row>
    <row r="272">
      <c r="A272" s="257"/>
      <c r="B272" s="257"/>
      <c r="C272" s="257"/>
      <c r="D272" s="257"/>
      <c r="E272" s="257" t="str">
        <f>IFERROR(SUMPRODUCT((Ventes!E5:E504=A272)*(TODAY()-Ventes!A5:A504&lt;=7)*Ventes!H5:H504),0)</f>
        <v>#ERROR!</v>
      </c>
      <c r="F272" s="257" t="str">
        <f>IFERROR(SUMPRODUCT((Ventes!E5:E504=A272)*(TODAY()-Ventes!A5:A504&lt;=30)*Ventes!H5:H504),0)</f>
        <v>#ERROR!</v>
      </c>
      <c r="G272" s="257"/>
      <c r="H272" s="257"/>
      <c r="I272" s="257" t="str">
        <f>IFERROR(D272+G272-E272,"")</f>
        <v>#ERROR!</v>
      </c>
      <c r="J272" s="257" t="str">
        <f>IFERROR(D272+H272-F272,"")</f>
        <v>#ERROR!</v>
      </c>
      <c r="K272" s="360" t="str">
        <f>IF(I272="","",IF(I272&lt;0,"Rupture 7j",IF(J272&lt;0,"Rupture 30j","OK")))</f>
        <v>#ERROR!</v>
      </c>
      <c r="L272" s="257"/>
    </row>
    <row r="273">
      <c r="A273" s="259"/>
      <c r="B273" s="259"/>
      <c r="C273" s="259"/>
      <c r="D273" s="259"/>
      <c r="E273" s="259" t="str">
        <f>IFERROR(SUMPRODUCT((Ventes!E5:E504=A273)*(TODAY()-Ventes!A5:A504&lt;=7)*Ventes!H5:H504),0)</f>
        <v>#ERROR!</v>
      </c>
      <c r="F273" s="259" t="str">
        <f>IFERROR(SUMPRODUCT((Ventes!E5:E504=A273)*(TODAY()-Ventes!A5:A504&lt;=30)*Ventes!H5:H504),0)</f>
        <v>#ERROR!</v>
      </c>
      <c r="G273" s="259"/>
      <c r="H273" s="259"/>
      <c r="I273" s="259" t="str">
        <f>IFERROR(D273+G273-E273,"")</f>
        <v>#ERROR!</v>
      </c>
      <c r="J273" s="259" t="str">
        <f>IFERROR(D273+H273-F273,"")</f>
        <v>#ERROR!</v>
      </c>
      <c r="K273" s="76" t="str">
        <f>IF(I273="","",IF(I273&lt;0,"Rupture 7j",IF(J273&lt;0,"Rupture 30j","OK")))</f>
        <v>#ERROR!</v>
      </c>
      <c r="L273" s="259"/>
    </row>
    <row r="274">
      <c r="A274" s="257"/>
      <c r="B274" s="257"/>
      <c r="C274" s="257"/>
      <c r="D274" s="257"/>
      <c r="E274" s="257" t="str">
        <f>IFERROR(SUMPRODUCT((Ventes!E5:E504=A274)*(TODAY()-Ventes!A5:A504&lt;=7)*Ventes!H5:H504),0)</f>
        <v>#ERROR!</v>
      </c>
      <c r="F274" s="257" t="str">
        <f>IFERROR(SUMPRODUCT((Ventes!E5:E504=A274)*(TODAY()-Ventes!A5:A504&lt;=30)*Ventes!H5:H504),0)</f>
        <v>#ERROR!</v>
      </c>
      <c r="G274" s="257"/>
      <c r="H274" s="257"/>
      <c r="I274" s="257" t="str">
        <f>IFERROR(D274+G274-E274,"")</f>
        <v>#ERROR!</v>
      </c>
      <c r="J274" s="257" t="str">
        <f>IFERROR(D274+H274-F274,"")</f>
        <v>#ERROR!</v>
      </c>
      <c r="K274" s="360" t="str">
        <f>IF(I274="","",IF(I274&lt;0,"Rupture 7j",IF(J274&lt;0,"Rupture 30j","OK")))</f>
        <v>#ERROR!</v>
      </c>
      <c r="L274" s="257"/>
    </row>
    <row r="275">
      <c r="A275" s="259"/>
      <c r="B275" s="259"/>
      <c r="C275" s="259"/>
      <c r="D275" s="259"/>
      <c r="E275" s="259" t="str">
        <f>IFERROR(SUMPRODUCT((Ventes!E5:E504=A275)*(TODAY()-Ventes!A5:A504&lt;=7)*Ventes!H5:H504),0)</f>
        <v>#ERROR!</v>
      </c>
      <c r="F275" s="259" t="str">
        <f>IFERROR(SUMPRODUCT((Ventes!E5:E504=A275)*(TODAY()-Ventes!A5:A504&lt;=30)*Ventes!H5:H504),0)</f>
        <v>#ERROR!</v>
      </c>
      <c r="G275" s="259"/>
      <c r="H275" s="259"/>
      <c r="I275" s="259" t="str">
        <f>IFERROR(D275+G275-E275,"")</f>
        <v>#ERROR!</v>
      </c>
      <c r="J275" s="259" t="str">
        <f>IFERROR(D275+H275-F275,"")</f>
        <v>#ERROR!</v>
      </c>
      <c r="K275" s="76" t="str">
        <f>IF(I275="","",IF(I275&lt;0,"Rupture 7j",IF(J275&lt;0,"Rupture 30j","OK")))</f>
        <v>#ERROR!</v>
      </c>
      <c r="L275" s="259"/>
    </row>
    <row r="276">
      <c r="A276" s="257"/>
      <c r="B276" s="257"/>
      <c r="C276" s="257"/>
      <c r="D276" s="257"/>
      <c r="E276" s="257" t="str">
        <f>IFERROR(SUMPRODUCT((Ventes!E5:E504=A276)*(TODAY()-Ventes!A5:A504&lt;=7)*Ventes!H5:H504),0)</f>
        <v>#ERROR!</v>
      </c>
      <c r="F276" s="257" t="str">
        <f>IFERROR(SUMPRODUCT((Ventes!E5:E504=A276)*(TODAY()-Ventes!A5:A504&lt;=30)*Ventes!H5:H504),0)</f>
        <v>#ERROR!</v>
      </c>
      <c r="G276" s="257"/>
      <c r="H276" s="257"/>
      <c r="I276" s="257" t="str">
        <f>IFERROR(D276+G276-E276,"")</f>
        <v>#ERROR!</v>
      </c>
      <c r="J276" s="257" t="str">
        <f>IFERROR(D276+H276-F276,"")</f>
        <v>#ERROR!</v>
      </c>
      <c r="K276" s="360" t="str">
        <f>IF(I276="","",IF(I276&lt;0,"Rupture 7j",IF(J276&lt;0,"Rupture 30j","OK")))</f>
        <v>#ERROR!</v>
      </c>
      <c r="L276" s="257"/>
    </row>
    <row r="277">
      <c r="A277" s="259"/>
      <c r="B277" s="259"/>
      <c r="C277" s="259"/>
      <c r="D277" s="259"/>
      <c r="E277" s="259" t="str">
        <f>IFERROR(SUMPRODUCT((Ventes!E5:E504=A277)*(TODAY()-Ventes!A5:A504&lt;=7)*Ventes!H5:H504),0)</f>
        <v>#ERROR!</v>
      </c>
      <c r="F277" s="259" t="str">
        <f>IFERROR(SUMPRODUCT((Ventes!E5:E504=A277)*(TODAY()-Ventes!A5:A504&lt;=30)*Ventes!H5:H504),0)</f>
        <v>#ERROR!</v>
      </c>
      <c r="G277" s="259"/>
      <c r="H277" s="259"/>
      <c r="I277" s="259" t="str">
        <f>IFERROR(D277+G277-E277,"")</f>
        <v>#ERROR!</v>
      </c>
      <c r="J277" s="259" t="str">
        <f>IFERROR(D277+H277-F277,"")</f>
        <v>#ERROR!</v>
      </c>
      <c r="K277" s="76" t="str">
        <f>IF(I277="","",IF(I277&lt;0,"Rupture 7j",IF(J277&lt;0,"Rupture 30j","OK")))</f>
        <v>#ERROR!</v>
      </c>
      <c r="L277" s="259"/>
    </row>
    <row r="278">
      <c r="A278" s="257"/>
      <c r="B278" s="257"/>
      <c r="C278" s="257"/>
      <c r="D278" s="257"/>
      <c r="E278" s="257" t="str">
        <f>IFERROR(SUMPRODUCT((Ventes!E5:E504=A278)*(TODAY()-Ventes!A5:A504&lt;=7)*Ventes!H5:H504),0)</f>
        <v>#ERROR!</v>
      </c>
      <c r="F278" s="257" t="str">
        <f>IFERROR(SUMPRODUCT((Ventes!E5:E504=A278)*(TODAY()-Ventes!A5:A504&lt;=30)*Ventes!H5:H504),0)</f>
        <v>#ERROR!</v>
      </c>
      <c r="G278" s="257"/>
      <c r="H278" s="257"/>
      <c r="I278" s="257" t="str">
        <f>IFERROR(D278+G278-E278,"")</f>
        <v>#ERROR!</v>
      </c>
      <c r="J278" s="257" t="str">
        <f>IFERROR(D278+H278-F278,"")</f>
        <v>#ERROR!</v>
      </c>
      <c r="K278" s="360" t="str">
        <f>IF(I278="","",IF(I278&lt;0,"Rupture 7j",IF(J278&lt;0,"Rupture 30j","OK")))</f>
        <v>#ERROR!</v>
      </c>
      <c r="L278" s="257"/>
    </row>
    <row r="279">
      <c r="A279" s="259"/>
      <c r="B279" s="259"/>
      <c r="C279" s="259"/>
      <c r="D279" s="259"/>
      <c r="E279" s="259" t="str">
        <f>IFERROR(SUMPRODUCT((Ventes!E5:E504=A279)*(TODAY()-Ventes!A5:A504&lt;=7)*Ventes!H5:H504),0)</f>
        <v>#ERROR!</v>
      </c>
      <c r="F279" s="259" t="str">
        <f>IFERROR(SUMPRODUCT((Ventes!E5:E504=A279)*(TODAY()-Ventes!A5:A504&lt;=30)*Ventes!H5:H504),0)</f>
        <v>#ERROR!</v>
      </c>
      <c r="G279" s="259"/>
      <c r="H279" s="259"/>
      <c r="I279" s="259" t="str">
        <f>IFERROR(D279+G279-E279,"")</f>
        <v>#ERROR!</v>
      </c>
      <c r="J279" s="259" t="str">
        <f>IFERROR(D279+H279-F279,"")</f>
        <v>#ERROR!</v>
      </c>
      <c r="K279" s="76" t="str">
        <f>IF(I279="","",IF(I279&lt;0,"Rupture 7j",IF(J279&lt;0,"Rupture 30j","OK")))</f>
        <v>#ERROR!</v>
      </c>
      <c r="L279" s="259"/>
    </row>
    <row r="280">
      <c r="A280" s="257"/>
      <c r="B280" s="257"/>
      <c r="C280" s="257"/>
      <c r="D280" s="257"/>
      <c r="E280" s="257" t="str">
        <f>IFERROR(SUMPRODUCT((Ventes!E5:E504=A280)*(TODAY()-Ventes!A5:A504&lt;=7)*Ventes!H5:H504),0)</f>
        <v>#ERROR!</v>
      </c>
      <c r="F280" s="257" t="str">
        <f>IFERROR(SUMPRODUCT((Ventes!E5:E504=A280)*(TODAY()-Ventes!A5:A504&lt;=30)*Ventes!H5:H504),0)</f>
        <v>#ERROR!</v>
      </c>
      <c r="G280" s="257"/>
      <c r="H280" s="257"/>
      <c r="I280" s="257" t="str">
        <f>IFERROR(D280+G280-E280,"")</f>
        <v>#ERROR!</v>
      </c>
      <c r="J280" s="257" t="str">
        <f>IFERROR(D280+H280-F280,"")</f>
        <v>#ERROR!</v>
      </c>
      <c r="K280" s="360" t="str">
        <f>IF(I280="","",IF(I280&lt;0,"Rupture 7j",IF(J280&lt;0,"Rupture 30j","OK")))</f>
        <v>#ERROR!</v>
      </c>
      <c r="L280" s="257"/>
    </row>
    <row r="281">
      <c r="A281" s="259"/>
      <c r="B281" s="259"/>
      <c r="C281" s="259"/>
      <c r="D281" s="259"/>
      <c r="E281" s="259" t="str">
        <f>IFERROR(SUMPRODUCT((Ventes!E5:E504=A281)*(TODAY()-Ventes!A5:A504&lt;=7)*Ventes!H5:H504),0)</f>
        <v>#ERROR!</v>
      </c>
      <c r="F281" s="259" t="str">
        <f>IFERROR(SUMPRODUCT((Ventes!E5:E504=A281)*(TODAY()-Ventes!A5:A504&lt;=30)*Ventes!H5:H504),0)</f>
        <v>#ERROR!</v>
      </c>
      <c r="G281" s="259"/>
      <c r="H281" s="259"/>
      <c r="I281" s="259" t="str">
        <f>IFERROR(D281+G281-E281,"")</f>
        <v>#ERROR!</v>
      </c>
      <c r="J281" s="259" t="str">
        <f>IFERROR(D281+H281-F281,"")</f>
        <v>#ERROR!</v>
      </c>
      <c r="K281" s="76" t="str">
        <f>IF(I281="","",IF(I281&lt;0,"Rupture 7j",IF(J281&lt;0,"Rupture 30j","OK")))</f>
        <v>#ERROR!</v>
      </c>
      <c r="L281" s="259"/>
    </row>
    <row r="282">
      <c r="A282" s="257"/>
      <c r="B282" s="257"/>
      <c r="C282" s="257"/>
      <c r="D282" s="257"/>
      <c r="E282" s="257" t="str">
        <f>IFERROR(SUMPRODUCT((Ventes!E5:E504=A282)*(TODAY()-Ventes!A5:A504&lt;=7)*Ventes!H5:H504),0)</f>
        <v>#ERROR!</v>
      </c>
      <c r="F282" s="257" t="str">
        <f>IFERROR(SUMPRODUCT((Ventes!E5:E504=A282)*(TODAY()-Ventes!A5:A504&lt;=30)*Ventes!H5:H504),0)</f>
        <v>#ERROR!</v>
      </c>
      <c r="G282" s="257"/>
      <c r="H282" s="257"/>
      <c r="I282" s="257" t="str">
        <f>IFERROR(D282+G282-E282,"")</f>
        <v>#ERROR!</v>
      </c>
      <c r="J282" s="257" t="str">
        <f>IFERROR(D282+H282-F282,"")</f>
        <v>#ERROR!</v>
      </c>
      <c r="K282" s="360" t="str">
        <f>IF(I282="","",IF(I282&lt;0,"Rupture 7j",IF(J282&lt;0,"Rupture 30j","OK")))</f>
        <v>#ERROR!</v>
      </c>
      <c r="L282" s="257"/>
    </row>
    <row r="283">
      <c r="A283" s="259"/>
      <c r="B283" s="259"/>
      <c r="C283" s="259"/>
      <c r="D283" s="259"/>
      <c r="E283" s="259" t="str">
        <f>IFERROR(SUMPRODUCT((Ventes!E5:E504=A283)*(TODAY()-Ventes!A5:A504&lt;=7)*Ventes!H5:H504),0)</f>
        <v>#ERROR!</v>
      </c>
      <c r="F283" s="259" t="str">
        <f>IFERROR(SUMPRODUCT((Ventes!E5:E504=A283)*(TODAY()-Ventes!A5:A504&lt;=30)*Ventes!H5:H504),0)</f>
        <v>#ERROR!</v>
      </c>
      <c r="G283" s="259"/>
      <c r="H283" s="259"/>
      <c r="I283" s="259" t="str">
        <f>IFERROR(D283+G283-E283,"")</f>
        <v>#ERROR!</v>
      </c>
      <c r="J283" s="259" t="str">
        <f>IFERROR(D283+H283-F283,"")</f>
        <v>#ERROR!</v>
      </c>
      <c r="K283" s="76" t="str">
        <f>IF(I283="","",IF(I283&lt;0,"Rupture 7j",IF(J283&lt;0,"Rupture 30j","OK")))</f>
        <v>#ERROR!</v>
      </c>
      <c r="L283" s="259"/>
    </row>
    <row r="284">
      <c r="A284" s="257"/>
      <c r="B284" s="257"/>
      <c r="C284" s="257"/>
      <c r="D284" s="257"/>
      <c r="E284" s="257" t="str">
        <f>IFERROR(SUMPRODUCT((Ventes!E5:E504=A284)*(TODAY()-Ventes!A5:A504&lt;=7)*Ventes!H5:H504),0)</f>
        <v>#ERROR!</v>
      </c>
      <c r="F284" s="257" t="str">
        <f>IFERROR(SUMPRODUCT((Ventes!E5:E504=A284)*(TODAY()-Ventes!A5:A504&lt;=30)*Ventes!H5:H504),0)</f>
        <v>#ERROR!</v>
      </c>
      <c r="G284" s="257"/>
      <c r="H284" s="257"/>
      <c r="I284" s="257" t="str">
        <f>IFERROR(D284+G284-E284,"")</f>
        <v>#ERROR!</v>
      </c>
      <c r="J284" s="257" t="str">
        <f>IFERROR(D284+H284-F284,"")</f>
        <v>#ERROR!</v>
      </c>
      <c r="K284" s="360" t="str">
        <f>IF(I284="","",IF(I284&lt;0,"Rupture 7j",IF(J284&lt;0,"Rupture 30j","OK")))</f>
        <v>#ERROR!</v>
      </c>
      <c r="L284" s="257"/>
    </row>
    <row r="285">
      <c r="A285" s="259"/>
      <c r="B285" s="259"/>
      <c r="C285" s="259"/>
      <c r="D285" s="259"/>
      <c r="E285" s="259" t="str">
        <f>IFERROR(SUMPRODUCT((Ventes!E5:E504=A285)*(TODAY()-Ventes!A5:A504&lt;=7)*Ventes!H5:H504),0)</f>
        <v>#ERROR!</v>
      </c>
      <c r="F285" s="259" t="str">
        <f>IFERROR(SUMPRODUCT((Ventes!E5:E504=A285)*(TODAY()-Ventes!A5:A504&lt;=30)*Ventes!H5:H504),0)</f>
        <v>#ERROR!</v>
      </c>
      <c r="G285" s="259"/>
      <c r="H285" s="259"/>
      <c r="I285" s="259" t="str">
        <f>IFERROR(D285+G285-E285,"")</f>
        <v>#ERROR!</v>
      </c>
      <c r="J285" s="259" t="str">
        <f>IFERROR(D285+H285-F285,"")</f>
        <v>#ERROR!</v>
      </c>
      <c r="K285" s="76" t="str">
        <f>IF(I285="","",IF(I285&lt;0,"Rupture 7j",IF(J285&lt;0,"Rupture 30j","OK")))</f>
        <v>#ERROR!</v>
      </c>
      <c r="L285" s="259"/>
    </row>
    <row r="286">
      <c r="A286" s="257"/>
      <c r="B286" s="257"/>
      <c r="C286" s="257"/>
      <c r="D286" s="257"/>
      <c r="E286" s="257" t="str">
        <f>IFERROR(SUMPRODUCT((Ventes!E5:E504=A286)*(TODAY()-Ventes!A5:A504&lt;=7)*Ventes!H5:H504),0)</f>
        <v>#ERROR!</v>
      </c>
      <c r="F286" s="257" t="str">
        <f>IFERROR(SUMPRODUCT((Ventes!E5:E504=A286)*(TODAY()-Ventes!A5:A504&lt;=30)*Ventes!H5:H504),0)</f>
        <v>#ERROR!</v>
      </c>
      <c r="G286" s="257"/>
      <c r="H286" s="257"/>
      <c r="I286" s="257" t="str">
        <f>IFERROR(D286+G286-E286,"")</f>
        <v>#ERROR!</v>
      </c>
      <c r="J286" s="257" t="str">
        <f>IFERROR(D286+H286-F286,"")</f>
        <v>#ERROR!</v>
      </c>
      <c r="K286" s="360" t="str">
        <f>IF(I286="","",IF(I286&lt;0,"Rupture 7j",IF(J286&lt;0,"Rupture 30j","OK")))</f>
        <v>#ERROR!</v>
      </c>
      <c r="L286" s="257"/>
    </row>
    <row r="287">
      <c r="A287" s="259"/>
      <c r="B287" s="259"/>
      <c r="C287" s="259"/>
      <c r="D287" s="259"/>
      <c r="E287" s="259" t="str">
        <f>IFERROR(SUMPRODUCT((Ventes!E5:E504=A287)*(TODAY()-Ventes!A5:A504&lt;=7)*Ventes!H5:H504),0)</f>
        <v>#ERROR!</v>
      </c>
      <c r="F287" s="259" t="str">
        <f>IFERROR(SUMPRODUCT((Ventes!E5:E504=A287)*(TODAY()-Ventes!A5:A504&lt;=30)*Ventes!H5:H504),0)</f>
        <v>#ERROR!</v>
      </c>
      <c r="G287" s="259"/>
      <c r="H287" s="259"/>
      <c r="I287" s="259" t="str">
        <f>IFERROR(D287+G287-E287,"")</f>
        <v>#ERROR!</v>
      </c>
      <c r="J287" s="259" t="str">
        <f>IFERROR(D287+H287-F287,"")</f>
        <v>#ERROR!</v>
      </c>
      <c r="K287" s="76" t="str">
        <f>IF(I287="","",IF(I287&lt;0,"Rupture 7j",IF(J287&lt;0,"Rupture 30j","OK")))</f>
        <v>#ERROR!</v>
      </c>
      <c r="L287" s="259"/>
    </row>
    <row r="288">
      <c r="A288" s="257"/>
      <c r="B288" s="257"/>
      <c r="C288" s="257"/>
      <c r="D288" s="257"/>
      <c r="E288" s="257" t="str">
        <f>IFERROR(SUMPRODUCT((Ventes!E5:E504=A288)*(TODAY()-Ventes!A5:A504&lt;=7)*Ventes!H5:H504),0)</f>
        <v>#ERROR!</v>
      </c>
      <c r="F288" s="257" t="str">
        <f>IFERROR(SUMPRODUCT((Ventes!E5:E504=A288)*(TODAY()-Ventes!A5:A504&lt;=30)*Ventes!H5:H504),0)</f>
        <v>#ERROR!</v>
      </c>
      <c r="G288" s="257"/>
      <c r="H288" s="257"/>
      <c r="I288" s="257" t="str">
        <f>IFERROR(D288+G288-E288,"")</f>
        <v>#ERROR!</v>
      </c>
      <c r="J288" s="257" t="str">
        <f>IFERROR(D288+H288-F288,"")</f>
        <v>#ERROR!</v>
      </c>
      <c r="K288" s="360" t="str">
        <f>IF(I288="","",IF(I288&lt;0,"Rupture 7j",IF(J288&lt;0,"Rupture 30j","OK")))</f>
        <v>#ERROR!</v>
      </c>
      <c r="L288" s="257"/>
    </row>
    <row r="289">
      <c r="A289" s="259"/>
      <c r="B289" s="259"/>
      <c r="C289" s="259"/>
      <c r="D289" s="259"/>
      <c r="E289" s="259" t="str">
        <f>IFERROR(SUMPRODUCT((Ventes!E5:E504=A289)*(TODAY()-Ventes!A5:A504&lt;=7)*Ventes!H5:H504),0)</f>
        <v>#ERROR!</v>
      </c>
      <c r="F289" s="259" t="str">
        <f>IFERROR(SUMPRODUCT((Ventes!E5:E504=A289)*(TODAY()-Ventes!A5:A504&lt;=30)*Ventes!H5:H504),0)</f>
        <v>#ERROR!</v>
      </c>
      <c r="G289" s="259"/>
      <c r="H289" s="259"/>
      <c r="I289" s="259" t="str">
        <f>IFERROR(D289+G289-E289,"")</f>
        <v>#ERROR!</v>
      </c>
      <c r="J289" s="259" t="str">
        <f>IFERROR(D289+H289-F289,"")</f>
        <v>#ERROR!</v>
      </c>
      <c r="K289" s="76" t="str">
        <f>IF(I289="","",IF(I289&lt;0,"Rupture 7j",IF(J289&lt;0,"Rupture 30j","OK")))</f>
        <v>#ERROR!</v>
      </c>
      <c r="L289" s="259"/>
    </row>
    <row r="290">
      <c r="A290" s="257"/>
      <c r="B290" s="257"/>
      <c r="C290" s="257"/>
      <c r="D290" s="257"/>
      <c r="E290" s="257" t="str">
        <f>IFERROR(SUMPRODUCT((Ventes!E5:E504=A290)*(TODAY()-Ventes!A5:A504&lt;=7)*Ventes!H5:H504),0)</f>
        <v>#ERROR!</v>
      </c>
      <c r="F290" s="257" t="str">
        <f>IFERROR(SUMPRODUCT((Ventes!E5:E504=A290)*(TODAY()-Ventes!A5:A504&lt;=30)*Ventes!H5:H504),0)</f>
        <v>#ERROR!</v>
      </c>
      <c r="G290" s="257"/>
      <c r="H290" s="257"/>
      <c r="I290" s="257" t="str">
        <f>IFERROR(D290+G290-E290,"")</f>
        <v>#ERROR!</v>
      </c>
      <c r="J290" s="257" t="str">
        <f>IFERROR(D290+H290-F290,"")</f>
        <v>#ERROR!</v>
      </c>
      <c r="K290" s="360" t="str">
        <f>IF(I290="","",IF(I290&lt;0,"Rupture 7j",IF(J290&lt;0,"Rupture 30j","OK")))</f>
        <v>#ERROR!</v>
      </c>
      <c r="L290" s="257"/>
    </row>
    <row r="291">
      <c r="A291" s="259"/>
      <c r="B291" s="259"/>
      <c r="C291" s="259"/>
      <c r="D291" s="259"/>
      <c r="E291" s="259" t="str">
        <f>IFERROR(SUMPRODUCT((Ventes!E5:E504=A291)*(TODAY()-Ventes!A5:A504&lt;=7)*Ventes!H5:H504),0)</f>
        <v>#ERROR!</v>
      </c>
      <c r="F291" s="259" t="str">
        <f>IFERROR(SUMPRODUCT((Ventes!E5:E504=A291)*(TODAY()-Ventes!A5:A504&lt;=30)*Ventes!H5:H504),0)</f>
        <v>#ERROR!</v>
      </c>
      <c r="G291" s="259"/>
      <c r="H291" s="259"/>
      <c r="I291" s="259" t="str">
        <f>IFERROR(D291+G291-E291,"")</f>
        <v>#ERROR!</v>
      </c>
      <c r="J291" s="259" t="str">
        <f>IFERROR(D291+H291-F291,"")</f>
        <v>#ERROR!</v>
      </c>
      <c r="K291" s="76" t="str">
        <f>IF(I291="","",IF(I291&lt;0,"Rupture 7j",IF(J291&lt;0,"Rupture 30j","OK")))</f>
        <v>#ERROR!</v>
      </c>
      <c r="L291" s="259"/>
    </row>
    <row r="292">
      <c r="A292" s="257"/>
      <c r="B292" s="257"/>
      <c r="C292" s="257"/>
      <c r="D292" s="257"/>
      <c r="E292" s="257" t="str">
        <f>IFERROR(SUMPRODUCT((Ventes!E5:E504=A292)*(TODAY()-Ventes!A5:A504&lt;=7)*Ventes!H5:H504),0)</f>
        <v>#ERROR!</v>
      </c>
      <c r="F292" s="257" t="str">
        <f>IFERROR(SUMPRODUCT((Ventes!E5:E504=A292)*(TODAY()-Ventes!A5:A504&lt;=30)*Ventes!H5:H504),0)</f>
        <v>#ERROR!</v>
      </c>
      <c r="G292" s="257"/>
      <c r="H292" s="257"/>
      <c r="I292" s="257" t="str">
        <f>IFERROR(D292+G292-E292,"")</f>
        <v>#ERROR!</v>
      </c>
      <c r="J292" s="257" t="str">
        <f>IFERROR(D292+H292-F292,"")</f>
        <v>#ERROR!</v>
      </c>
      <c r="K292" s="360" t="str">
        <f>IF(I292="","",IF(I292&lt;0,"Rupture 7j",IF(J292&lt;0,"Rupture 30j","OK")))</f>
        <v>#ERROR!</v>
      </c>
      <c r="L292" s="257"/>
    </row>
    <row r="293">
      <c r="A293" s="259"/>
      <c r="B293" s="259"/>
      <c r="C293" s="259"/>
      <c r="D293" s="259"/>
      <c r="E293" s="259" t="str">
        <f>IFERROR(SUMPRODUCT((Ventes!E5:E504=A293)*(TODAY()-Ventes!A5:A504&lt;=7)*Ventes!H5:H504),0)</f>
        <v>#ERROR!</v>
      </c>
      <c r="F293" s="259" t="str">
        <f>IFERROR(SUMPRODUCT((Ventes!E5:E504=A293)*(TODAY()-Ventes!A5:A504&lt;=30)*Ventes!H5:H504),0)</f>
        <v>#ERROR!</v>
      </c>
      <c r="G293" s="259"/>
      <c r="H293" s="259"/>
      <c r="I293" s="259" t="str">
        <f>IFERROR(D293+G293-E293,"")</f>
        <v>#ERROR!</v>
      </c>
      <c r="J293" s="259" t="str">
        <f>IFERROR(D293+H293-F293,"")</f>
        <v>#ERROR!</v>
      </c>
      <c r="K293" s="76" t="str">
        <f>IF(I293="","",IF(I293&lt;0,"Rupture 7j",IF(J293&lt;0,"Rupture 30j","OK")))</f>
        <v>#ERROR!</v>
      </c>
      <c r="L293" s="259"/>
    </row>
    <row r="294">
      <c r="A294" s="257"/>
      <c r="B294" s="257"/>
      <c r="C294" s="257"/>
      <c r="D294" s="257"/>
      <c r="E294" s="257" t="str">
        <f>IFERROR(SUMPRODUCT((Ventes!E5:E504=A294)*(TODAY()-Ventes!A5:A504&lt;=7)*Ventes!H5:H504),0)</f>
        <v>#ERROR!</v>
      </c>
      <c r="F294" s="257" t="str">
        <f>IFERROR(SUMPRODUCT((Ventes!E5:E504=A294)*(TODAY()-Ventes!A5:A504&lt;=30)*Ventes!H5:H504),0)</f>
        <v>#ERROR!</v>
      </c>
      <c r="G294" s="257"/>
      <c r="H294" s="257"/>
      <c r="I294" s="257" t="str">
        <f>IFERROR(D294+G294-E294,"")</f>
        <v>#ERROR!</v>
      </c>
      <c r="J294" s="257" t="str">
        <f>IFERROR(D294+H294-F294,"")</f>
        <v>#ERROR!</v>
      </c>
      <c r="K294" s="360" t="str">
        <f>IF(I294="","",IF(I294&lt;0,"Rupture 7j",IF(J294&lt;0,"Rupture 30j","OK")))</f>
        <v>#ERROR!</v>
      </c>
      <c r="L294" s="257"/>
    </row>
    <row r="295">
      <c r="A295" s="259"/>
      <c r="B295" s="259"/>
      <c r="C295" s="259"/>
      <c r="D295" s="259"/>
      <c r="E295" s="259" t="str">
        <f>IFERROR(SUMPRODUCT((Ventes!E5:E504=A295)*(TODAY()-Ventes!A5:A504&lt;=7)*Ventes!H5:H504),0)</f>
        <v>#ERROR!</v>
      </c>
      <c r="F295" s="259" t="str">
        <f>IFERROR(SUMPRODUCT((Ventes!E5:E504=A295)*(TODAY()-Ventes!A5:A504&lt;=30)*Ventes!H5:H504),0)</f>
        <v>#ERROR!</v>
      </c>
      <c r="G295" s="259"/>
      <c r="H295" s="259"/>
      <c r="I295" s="259" t="str">
        <f>IFERROR(D295+G295-E295,"")</f>
        <v>#ERROR!</v>
      </c>
      <c r="J295" s="259" t="str">
        <f>IFERROR(D295+H295-F295,"")</f>
        <v>#ERROR!</v>
      </c>
      <c r="K295" s="76" t="str">
        <f>IF(I295="","",IF(I295&lt;0,"Rupture 7j",IF(J295&lt;0,"Rupture 30j","OK")))</f>
        <v>#ERROR!</v>
      </c>
      <c r="L295" s="259"/>
    </row>
    <row r="296">
      <c r="A296" s="257"/>
      <c r="B296" s="257"/>
      <c r="C296" s="257"/>
      <c r="D296" s="257"/>
      <c r="E296" s="257" t="str">
        <f>IFERROR(SUMPRODUCT((Ventes!E5:E504=A296)*(TODAY()-Ventes!A5:A504&lt;=7)*Ventes!H5:H504),0)</f>
        <v>#ERROR!</v>
      </c>
      <c r="F296" s="257" t="str">
        <f>IFERROR(SUMPRODUCT((Ventes!E5:E504=A296)*(TODAY()-Ventes!A5:A504&lt;=30)*Ventes!H5:H504),0)</f>
        <v>#ERROR!</v>
      </c>
      <c r="G296" s="257"/>
      <c r="H296" s="257"/>
      <c r="I296" s="257" t="str">
        <f>IFERROR(D296+G296-E296,"")</f>
        <v>#ERROR!</v>
      </c>
      <c r="J296" s="257" t="str">
        <f>IFERROR(D296+H296-F296,"")</f>
        <v>#ERROR!</v>
      </c>
      <c r="K296" s="360" t="str">
        <f>IF(I296="","",IF(I296&lt;0,"Rupture 7j",IF(J296&lt;0,"Rupture 30j","OK")))</f>
        <v>#ERROR!</v>
      </c>
      <c r="L296" s="257"/>
    </row>
    <row r="297">
      <c r="A297" s="259"/>
      <c r="B297" s="259"/>
      <c r="C297" s="259"/>
      <c r="D297" s="259"/>
      <c r="E297" s="259" t="str">
        <f>IFERROR(SUMPRODUCT((Ventes!E5:E504=A297)*(TODAY()-Ventes!A5:A504&lt;=7)*Ventes!H5:H504),0)</f>
        <v>#ERROR!</v>
      </c>
      <c r="F297" s="259" t="str">
        <f>IFERROR(SUMPRODUCT((Ventes!E5:E504=A297)*(TODAY()-Ventes!A5:A504&lt;=30)*Ventes!H5:H504),0)</f>
        <v>#ERROR!</v>
      </c>
      <c r="G297" s="259"/>
      <c r="H297" s="259"/>
      <c r="I297" s="259" t="str">
        <f>IFERROR(D297+G297-E297,"")</f>
        <v>#ERROR!</v>
      </c>
      <c r="J297" s="259" t="str">
        <f>IFERROR(D297+H297-F297,"")</f>
        <v>#ERROR!</v>
      </c>
      <c r="K297" s="76" t="str">
        <f>IF(I297="","",IF(I297&lt;0,"Rupture 7j",IF(J297&lt;0,"Rupture 30j","OK")))</f>
        <v>#ERROR!</v>
      </c>
      <c r="L297" s="259"/>
    </row>
    <row r="298">
      <c r="A298" s="257"/>
      <c r="B298" s="257"/>
      <c r="C298" s="257"/>
      <c r="D298" s="257"/>
      <c r="E298" s="257" t="str">
        <f>IFERROR(SUMPRODUCT((Ventes!E5:E504=A298)*(TODAY()-Ventes!A5:A504&lt;=7)*Ventes!H5:H504),0)</f>
        <v>#ERROR!</v>
      </c>
      <c r="F298" s="257" t="str">
        <f>IFERROR(SUMPRODUCT((Ventes!E5:E504=A298)*(TODAY()-Ventes!A5:A504&lt;=30)*Ventes!H5:H504),0)</f>
        <v>#ERROR!</v>
      </c>
      <c r="G298" s="257"/>
      <c r="H298" s="257"/>
      <c r="I298" s="257" t="str">
        <f>IFERROR(D298+G298-E298,"")</f>
        <v>#ERROR!</v>
      </c>
      <c r="J298" s="257" t="str">
        <f>IFERROR(D298+H298-F298,"")</f>
        <v>#ERROR!</v>
      </c>
      <c r="K298" s="360" t="str">
        <f>IF(I298="","",IF(I298&lt;0,"Rupture 7j",IF(J298&lt;0,"Rupture 30j","OK")))</f>
        <v>#ERROR!</v>
      </c>
      <c r="L298" s="257"/>
    </row>
    <row r="299">
      <c r="A299" s="259"/>
      <c r="B299" s="259"/>
      <c r="C299" s="259"/>
      <c r="D299" s="259"/>
      <c r="E299" s="259" t="str">
        <f>IFERROR(SUMPRODUCT((Ventes!E5:E504=A299)*(TODAY()-Ventes!A5:A504&lt;=7)*Ventes!H5:H504),0)</f>
        <v>#ERROR!</v>
      </c>
      <c r="F299" s="259" t="str">
        <f>IFERROR(SUMPRODUCT((Ventes!E5:E504=A299)*(TODAY()-Ventes!A5:A504&lt;=30)*Ventes!H5:H504),0)</f>
        <v>#ERROR!</v>
      </c>
      <c r="G299" s="259"/>
      <c r="H299" s="259"/>
      <c r="I299" s="259" t="str">
        <f>IFERROR(D299+G299-E299,"")</f>
        <v>#ERROR!</v>
      </c>
      <c r="J299" s="259" t="str">
        <f>IFERROR(D299+H299-F299,"")</f>
        <v>#ERROR!</v>
      </c>
      <c r="K299" s="76" t="str">
        <f>IF(I299="","",IF(I299&lt;0,"Rupture 7j",IF(J299&lt;0,"Rupture 30j","OK")))</f>
        <v>#ERROR!</v>
      </c>
      <c r="L299" s="259"/>
    </row>
    <row r="300">
      <c r="A300" s="257"/>
      <c r="B300" s="257"/>
      <c r="C300" s="257"/>
      <c r="D300" s="257"/>
      <c r="E300" s="257" t="str">
        <f>IFERROR(SUMPRODUCT((Ventes!E5:E504=A300)*(TODAY()-Ventes!A5:A504&lt;=7)*Ventes!H5:H504),0)</f>
        <v>#ERROR!</v>
      </c>
      <c r="F300" s="257" t="str">
        <f>IFERROR(SUMPRODUCT((Ventes!E5:E504=A300)*(TODAY()-Ventes!A5:A504&lt;=30)*Ventes!H5:H504),0)</f>
        <v>#ERROR!</v>
      </c>
      <c r="G300" s="257"/>
      <c r="H300" s="257"/>
      <c r="I300" s="257" t="str">
        <f>IFERROR(D300+G300-E300,"")</f>
        <v>#ERROR!</v>
      </c>
      <c r="J300" s="257" t="str">
        <f>IFERROR(D300+H300-F300,"")</f>
        <v>#ERROR!</v>
      </c>
      <c r="K300" s="360" t="str">
        <f>IF(I300="","",IF(I300&lt;0,"Rupture 7j",IF(J300&lt;0,"Rupture 30j","OK")))</f>
        <v>#ERROR!</v>
      </c>
      <c r="L300" s="257"/>
    </row>
    <row r="301">
      <c r="A301" s="259"/>
      <c r="B301" s="259"/>
      <c r="C301" s="259"/>
      <c r="D301" s="259"/>
      <c r="E301" s="259" t="str">
        <f>IFERROR(SUMPRODUCT((Ventes!E5:E504=A301)*(TODAY()-Ventes!A5:A504&lt;=7)*Ventes!H5:H504),0)</f>
        <v>#ERROR!</v>
      </c>
      <c r="F301" s="259" t="str">
        <f>IFERROR(SUMPRODUCT((Ventes!E5:E504=A301)*(TODAY()-Ventes!A5:A504&lt;=30)*Ventes!H5:H504),0)</f>
        <v>#ERROR!</v>
      </c>
      <c r="G301" s="259"/>
      <c r="H301" s="259"/>
      <c r="I301" s="259" t="str">
        <f>IFERROR(D301+G301-E301,"")</f>
        <v>#ERROR!</v>
      </c>
      <c r="J301" s="259" t="str">
        <f>IFERROR(D301+H301-F301,"")</f>
        <v>#ERROR!</v>
      </c>
      <c r="K301" s="76" t="str">
        <f>IF(I301="","",IF(I301&lt;0,"Rupture 7j",IF(J301&lt;0,"Rupture 30j","OK")))</f>
        <v>#ERROR!</v>
      </c>
      <c r="L301" s="259"/>
    </row>
    <row r="302">
      <c r="A302" s="257"/>
      <c r="B302" s="257"/>
      <c r="C302" s="257"/>
      <c r="D302" s="257"/>
      <c r="E302" s="257" t="str">
        <f>IFERROR(SUMPRODUCT((Ventes!E5:E504=A302)*(TODAY()-Ventes!A5:A504&lt;=7)*Ventes!H5:H504),0)</f>
        <v>#ERROR!</v>
      </c>
      <c r="F302" s="257" t="str">
        <f>IFERROR(SUMPRODUCT((Ventes!E5:E504=A302)*(TODAY()-Ventes!A5:A504&lt;=30)*Ventes!H5:H504),0)</f>
        <v>#ERROR!</v>
      </c>
      <c r="G302" s="257"/>
      <c r="H302" s="257"/>
      <c r="I302" s="257" t="str">
        <f>IFERROR(D302+G302-E302,"")</f>
        <v>#ERROR!</v>
      </c>
      <c r="J302" s="257" t="str">
        <f>IFERROR(D302+H302-F302,"")</f>
        <v>#ERROR!</v>
      </c>
      <c r="K302" s="360" t="str">
        <f>IF(I302="","",IF(I302&lt;0,"Rupture 7j",IF(J302&lt;0,"Rupture 30j","OK")))</f>
        <v>#ERROR!</v>
      </c>
      <c r="L302" s="257"/>
    </row>
    <row r="303">
      <c r="A303" s="259"/>
      <c r="B303" s="259"/>
      <c r="C303" s="259"/>
      <c r="D303" s="259"/>
      <c r="E303" s="259" t="str">
        <f>IFERROR(SUMPRODUCT((Ventes!E5:E504=A303)*(TODAY()-Ventes!A5:A504&lt;=7)*Ventes!H5:H504),0)</f>
        <v>#ERROR!</v>
      </c>
      <c r="F303" s="259" t="str">
        <f>IFERROR(SUMPRODUCT((Ventes!E5:E504=A303)*(TODAY()-Ventes!A5:A504&lt;=30)*Ventes!H5:H504),0)</f>
        <v>#ERROR!</v>
      </c>
      <c r="G303" s="259"/>
      <c r="H303" s="259"/>
      <c r="I303" s="259" t="str">
        <f>IFERROR(D303+G303-E303,"")</f>
        <v>#ERROR!</v>
      </c>
      <c r="J303" s="259" t="str">
        <f>IFERROR(D303+H303-F303,"")</f>
        <v>#ERROR!</v>
      </c>
      <c r="K303" s="76" t="str">
        <f>IF(I303="","",IF(I303&lt;0,"Rupture 7j",IF(J303&lt;0,"Rupture 30j","OK")))</f>
        <v>#ERROR!</v>
      </c>
      <c r="L303" s="259"/>
    </row>
  </sheetData>
  <mergeCells count="2">
    <mergeCell ref="A1:L1"/>
    <mergeCell ref="A2:L2"/>
  </mergeCells>
  <conditionalFormatting sqref="K4:K303">
    <cfRule type="cellIs" dxfId="2" priority="1" stopIfTrue="1" operator="equal">
      <formula>"Rupture"</formula>
    </cfRule>
  </conditionalFormatting>
  <conditionalFormatting sqref="K4:K303">
    <cfRule type="cellIs" dxfId="2" priority="2" stopIfTrue="1" operator="equal">
      <formula>"NC"</formula>
    </cfRule>
  </conditionalFormatting>
  <conditionalFormatting sqref="K4:K303">
    <cfRule type="cellIs" dxfId="2" priority="3" stopIfTrue="1" operator="equal">
      <formula>"Expire"</formula>
    </cfRule>
  </conditionalFormatting>
  <conditionalFormatting sqref="K4:K303">
    <cfRule type="cellIs" dxfId="2" priority="4" stopIfTrue="1" operator="equal">
      <formula>"URGENT"</formula>
    </cfRule>
  </conditionalFormatting>
  <conditionalFormatting sqref="K4:K303">
    <cfRule type="cellIs" dxfId="2" priority="5" stopIfTrue="1" operator="equal">
      <formula>"Bloque"</formula>
    </cfRule>
  </conditionalFormatting>
  <conditionalFormatting sqref="K4:K303">
    <cfRule type="cellIs" dxfId="3" priority="6" stopIfTrue="1" operator="equal">
      <formula>"Proche"</formula>
    </cfRule>
  </conditionalFormatting>
  <conditionalFormatting sqref="K4:K303">
    <cfRule type="cellIs" dxfId="3" priority="7" stopIfTrue="1" operator="equal">
      <formula>"A PRODUIRE"</formula>
    </cfRule>
  </conditionalFormatting>
  <conditionalFormatting sqref="K4:K303">
    <cfRule type="cellIs" dxfId="3" priority="8" stopIfTrue="1" operator="equal">
      <formula>"Sous-temperature"</formula>
    </cfRule>
  </conditionalFormatting>
  <conditionalFormatting sqref="K4:K303">
    <cfRule type="cellIs" dxfId="4" priority="9" stopIfTrue="1" operator="equal">
      <formula>"OK"</formula>
    </cfRule>
  </conditionalFormatting>
  <conditionalFormatting sqref="K4:K303">
    <cfRule type="cellIs" dxfId="4" priority="10" stopIfTrue="1" operator="equal">
      <formula>"Valide"</formula>
    </cfRule>
  </conditionalFormatting>
  <conditionalFormatting sqref="K4:K303">
    <cfRule type="cellIs" dxfId="4" priority="11" stopIfTrue="1" operator="equal">
      <formula>"Termine"</formula>
    </cfRule>
  </conditionalFormatting>
  <conditionalFormatting sqref="K4:K303">
    <cfRule type="cellIs" dxfId="4" priority="12" stopIfTrue="1" operator="equal">
      <formula>"Actif"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8449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0" width="18.88"/>
  </cols>
  <sheetData>
    <row r="1" ht="25.5" customHeight="1">
      <c r="A1" s="30" t="s">
        <v>941</v>
      </c>
    </row>
    <row r="2" ht="25.5" customHeight="1">
      <c r="A2" s="182" t="s">
        <v>942</v>
      </c>
    </row>
    <row r="3" ht="21.0" customHeight="1">
      <c r="A3" s="31" t="s">
        <v>52</v>
      </c>
      <c r="B3" s="31" t="s">
        <v>53</v>
      </c>
      <c r="C3" s="31" t="s">
        <v>56</v>
      </c>
      <c r="D3" s="31" t="s">
        <v>684</v>
      </c>
      <c r="E3" s="31" t="s">
        <v>685</v>
      </c>
      <c r="F3" s="31" t="s">
        <v>943</v>
      </c>
      <c r="G3" s="31" t="s">
        <v>916</v>
      </c>
      <c r="H3" s="31" t="s">
        <v>944</v>
      </c>
      <c r="I3" s="31" t="s">
        <v>945</v>
      </c>
      <c r="J3" s="31" t="s">
        <v>61</v>
      </c>
    </row>
    <row r="4">
      <c r="A4" s="277" t="s">
        <v>236</v>
      </c>
      <c r="B4" s="216" t="s">
        <v>237</v>
      </c>
      <c r="C4" s="217"/>
      <c r="D4" s="217" t="str">
        <f>IFERROR(INDEX(Stock!E:E,MATCH(A4,Stock!A:A,0)),0)</f>
        <v>#ERROR!</v>
      </c>
      <c r="E4" s="217" t="str">
        <f>IFERROR(INDEX(Stock!F:F,MATCH(A4,Stock!A:A,0)),1)</f>
        <v>#ERROR!</v>
      </c>
      <c r="F4" s="217" t="str">
        <f>IFERROR(IF(F4=0,"",D4/(F4/7)),"")</f>
        <v>#ERROR!</v>
      </c>
      <c r="G4" s="217" t="str">
        <f>IF(AND(D4&lt;&gt;"",E4&lt;&gt;""),IF(D4&lt;E4,E4-D4,""),"")</f>
        <v>#ERROR!</v>
      </c>
      <c r="H4" s="279" t="str">
        <f>IFERROR(G4*INDEX('MP Referentiel'!F:F,MATCH(A4,'MP Referentiel'!A:A,0)),"")</f>
        <v>#ERROR!</v>
      </c>
      <c r="I4" s="217"/>
      <c r="J4" s="223"/>
    </row>
    <row r="5">
      <c r="A5" s="280" t="s">
        <v>241</v>
      </c>
      <c r="B5" s="226" t="s">
        <v>242</v>
      </c>
      <c r="C5" s="227"/>
      <c r="D5" s="227" t="str">
        <f>IFERROR(INDEX(Stock!E:E,MATCH(A5,Stock!A:A,0)),0)</f>
        <v>#ERROR!</v>
      </c>
      <c r="E5" s="227" t="str">
        <f>IFERROR(INDEX(Stock!F:F,MATCH(A5,Stock!A:A,0)),1)</f>
        <v>#ERROR!</v>
      </c>
      <c r="F5" s="227" t="str">
        <f>IFERROR(IF(F5=0,"",D5/(F5/7)),"")</f>
        <v>#ERROR!</v>
      </c>
      <c r="G5" s="227" t="str">
        <f>IF(AND(D5&lt;&gt;"",E5&lt;&gt;""),IF(D5&lt;E5,E5-D5,""),"")</f>
        <v>#ERROR!</v>
      </c>
      <c r="H5" s="281" t="str">
        <f>IFERROR(G5*INDEX('MP Referentiel'!F:F,MATCH(A5,'MP Referentiel'!A:A,0)),"")</f>
        <v>#ERROR!</v>
      </c>
      <c r="I5" s="227"/>
      <c r="J5" s="233"/>
    </row>
    <row r="6">
      <c r="A6" s="280" t="s">
        <v>243</v>
      </c>
      <c r="B6" s="234" t="s">
        <v>244</v>
      </c>
      <c r="C6" s="235"/>
      <c r="D6" s="235" t="str">
        <f>IFERROR(INDEX(Stock!E:E,MATCH(A6,Stock!A:A,0)),0)</f>
        <v>#ERROR!</v>
      </c>
      <c r="E6" s="235" t="str">
        <f>IFERROR(INDEX(Stock!F:F,MATCH(A6,Stock!A:A,0)),1)</f>
        <v>#ERROR!</v>
      </c>
      <c r="F6" s="235" t="str">
        <f>IFERROR(IF(F6=0,"",D6/(F6/7)),"")</f>
        <v>#ERROR!</v>
      </c>
      <c r="G6" s="235" t="str">
        <f>IF(AND(D6&lt;&gt;"",E6&lt;&gt;""),IF(D6&lt;E6,E6-D6,""),"")</f>
        <v>#ERROR!</v>
      </c>
      <c r="H6" s="283" t="str">
        <f>IFERROR(G6*INDEX('MP Referentiel'!F:F,MATCH(A6,'MP Referentiel'!A:A,0)),"")</f>
        <v>#ERROR!</v>
      </c>
      <c r="I6" s="235"/>
      <c r="J6" s="240"/>
    </row>
    <row r="7">
      <c r="A7" s="280" t="s">
        <v>245</v>
      </c>
      <c r="B7" s="226" t="s">
        <v>246</v>
      </c>
      <c r="C7" s="227"/>
      <c r="D7" s="227" t="str">
        <f>IFERROR(INDEX(Stock!E:E,MATCH(A7,Stock!A:A,0)),0)</f>
        <v>#ERROR!</v>
      </c>
      <c r="E7" s="227" t="str">
        <f>IFERROR(INDEX(Stock!F:F,MATCH(A7,Stock!A:A,0)),1)</f>
        <v>#ERROR!</v>
      </c>
      <c r="F7" s="227" t="str">
        <f>IFERROR(IF(F7=0,"",D7/(F7/7)),"")</f>
        <v>#ERROR!</v>
      </c>
      <c r="G7" s="227" t="str">
        <f>IF(AND(D7&lt;&gt;"",E7&lt;&gt;""),IF(D7&lt;E7,E7-D7,""),"")</f>
        <v>#ERROR!</v>
      </c>
      <c r="H7" s="281" t="str">
        <f>IFERROR(G7*INDEX('MP Referentiel'!F:F,MATCH(A7,'MP Referentiel'!A:A,0)),"")</f>
        <v>#ERROR!</v>
      </c>
      <c r="I7" s="227"/>
      <c r="J7" s="233"/>
    </row>
    <row r="8">
      <c r="A8" s="280" t="s">
        <v>247</v>
      </c>
      <c r="B8" s="234" t="s">
        <v>248</v>
      </c>
      <c r="C8" s="235"/>
      <c r="D8" s="235" t="str">
        <f>IFERROR(INDEX(Stock!E:E,MATCH(A8,Stock!A:A,0)),0)</f>
        <v>#ERROR!</v>
      </c>
      <c r="E8" s="235" t="str">
        <f>IFERROR(INDEX(Stock!F:F,MATCH(A8,Stock!A:A,0)),1)</f>
        <v>#ERROR!</v>
      </c>
      <c r="F8" s="235" t="str">
        <f>IFERROR(IF(F8=0,"",D8/(F8/7)),"")</f>
        <v>#ERROR!</v>
      </c>
      <c r="G8" s="235" t="str">
        <f>IF(AND(D8&lt;&gt;"",E8&lt;&gt;""),IF(D8&lt;E8,E8-D8,""),"")</f>
        <v>#ERROR!</v>
      </c>
      <c r="H8" s="283" t="str">
        <f>IFERROR(G8*INDEX('MP Referentiel'!F:F,MATCH(A8,'MP Referentiel'!A:A,0)),"")</f>
        <v>#ERROR!</v>
      </c>
      <c r="I8" s="235"/>
      <c r="J8" s="240"/>
    </row>
    <row r="9">
      <c r="A9" s="280" t="s">
        <v>249</v>
      </c>
      <c r="B9" s="226" t="s">
        <v>250</v>
      </c>
      <c r="C9" s="227"/>
      <c r="D9" s="227" t="str">
        <f>IFERROR(INDEX(Stock!E:E,MATCH(A9,Stock!A:A,0)),0)</f>
        <v>#ERROR!</v>
      </c>
      <c r="E9" s="227" t="str">
        <f>IFERROR(INDEX(Stock!F:F,MATCH(A9,Stock!A:A,0)),1)</f>
        <v>#ERROR!</v>
      </c>
      <c r="F9" s="227" t="str">
        <f>IFERROR(IF(F9=0,"",D9/(F9/7)),"")</f>
        <v>#ERROR!</v>
      </c>
      <c r="G9" s="227" t="str">
        <f>IF(AND(D9&lt;&gt;"",E9&lt;&gt;""),IF(D9&lt;E9,E9-D9,""),"")</f>
        <v>#ERROR!</v>
      </c>
      <c r="H9" s="281" t="str">
        <f>IFERROR(G9*INDEX('MP Referentiel'!F:F,MATCH(A9,'MP Referentiel'!A:A,0)),"")</f>
        <v>#ERROR!</v>
      </c>
      <c r="I9" s="227"/>
      <c r="J9" s="233"/>
    </row>
    <row r="10">
      <c r="A10" s="280" t="s">
        <v>252</v>
      </c>
      <c r="B10" s="234" t="s">
        <v>253</v>
      </c>
      <c r="C10" s="235"/>
      <c r="D10" s="235" t="str">
        <f>IFERROR(INDEX(Stock!E:E,MATCH(A10,Stock!A:A,0)),0)</f>
        <v>#ERROR!</v>
      </c>
      <c r="E10" s="235" t="str">
        <f>IFERROR(INDEX(Stock!F:F,MATCH(A10,Stock!A:A,0)),1)</f>
        <v>#ERROR!</v>
      </c>
      <c r="F10" s="235" t="str">
        <f>IFERROR(IF(F10=0,"",D10/(F10/7)),"")</f>
        <v>#ERROR!</v>
      </c>
      <c r="G10" s="235" t="str">
        <f>IF(AND(D10&lt;&gt;"",E10&lt;&gt;""),IF(D10&lt;E10,E10-D10,""),"")</f>
        <v>#ERROR!</v>
      </c>
      <c r="H10" s="283" t="str">
        <f>IFERROR(G10*INDEX('MP Referentiel'!F:F,MATCH(A10,'MP Referentiel'!A:A,0)),"")</f>
        <v>#ERROR!</v>
      </c>
      <c r="I10" s="235"/>
      <c r="J10" s="240"/>
    </row>
    <row r="11">
      <c r="A11" s="280" t="s">
        <v>255</v>
      </c>
      <c r="B11" s="226" t="s">
        <v>256</v>
      </c>
      <c r="C11" s="227"/>
      <c r="D11" s="227" t="str">
        <f>IFERROR(INDEX(Stock!E:E,MATCH(A11,Stock!A:A,0)),0)</f>
        <v>#ERROR!</v>
      </c>
      <c r="E11" s="227" t="str">
        <f>IFERROR(INDEX(Stock!F:F,MATCH(A11,Stock!A:A,0)),1)</f>
        <v>#ERROR!</v>
      </c>
      <c r="F11" s="227" t="str">
        <f>IFERROR(IF(F11=0,"",D11/(F11/7)),"")</f>
        <v>#ERROR!</v>
      </c>
      <c r="G11" s="227" t="str">
        <f>IF(AND(D11&lt;&gt;"",E11&lt;&gt;""),IF(D11&lt;E11,E11-D11,""),"")</f>
        <v>#ERROR!</v>
      </c>
      <c r="H11" s="281" t="str">
        <f>IFERROR(G11*INDEX('MP Referentiel'!F:F,MATCH(A11,'MP Referentiel'!A:A,0)),"")</f>
        <v>#ERROR!</v>
      </c>
      <c r="I11" s="227"/>
      <c r="J11" s="233"/>
    </row>
    <row r="12">
      <c r="A12" s="280" t="s">
        <v>257</v>
      </c>
      <c r="B12" s="234" t="s">
        <v>258</v>
      </c>
      <c r="C12" s="235"/>
      <c r="D12" s="235" t="str">
        <f>IFERROR(INDEX(Stock!E:E,MATCH(A12,Stock!A:A,0)),0)</f>
        <v>#ERROR!</v>
      </c>
      <c r="E12" s="235" t="str">
        <f>IFERROR(INDEX(Stock!F:F,MATCH(A12,Stock!A:A,0)),1)</f>
        <v>#ERROR!</v>
      </c>
      <c r="F12" s="235" t="str">
        <f>IFERROR(IF(F12=0,"",D12/(F12/7)),"")</f>
        <v>#ERROR!</v>
      </c>
      <c r="G12" s="235" t="str">
        <f>IF(AND(D12&lt;&gt;"",E12&lt;&gt;""),IF(D12&lt;E12,E12-D12,""),"")</f>
        <v>#ERROR!</v>
      </c>
      <c r="H12" s="283" t="str">
        <f>IFERROR(G12*INDEX('MP Referentiel'!F:F,MATCH(A12,'MP Referentiel'!A:A,0)),"")</f>
        <v>#ERROR!</v>
      </c>
      <c r="I12" s="235"/>
      <c r="J12" s="240"/>
    </row>
    <row r="13">
      <c r="A13" s="280" t="s">
        <v>260</v>
      </c>
      <c r="B13" s="226" t="s">
        <v>261</v>
      </c>
      <c r="C13" s="227"/>
      <c r="D13" s="227" t="str">
        <f>IFERROR(INDEX(Stock!E:E,MATCH(A13,Stock!A:A,0)),0)</f>
        <v>#ERROR!</v>
      </c>
      <c r="E13" s="227" t="str">
        <f>IFERROR(INDEX(Stock!F:F,MATCH(A13,Stock!A:A,0)),1)</f>
        <v>#ERROR!</v>
      </c>
      <c r="F13" s="227" t="str">
        <f>IFERROR(IF(F13=0,"",D13/(F13/7)),"")</f>
        <v>#ERROR!</v>
      </c>
      <c r="G13" s="227" t="str">
        <f>IF(AND(D13&lt;&gt;"",E13&lt;&gt;""),IF(D13&lt;E13,E13-D13,""),"")</f>
        <v>#ERROR!</v>
      </c>
      <c r="H13" s="281" t="str">
        <f>IFERROR(G13*INDEX('MP Referentiel'!F:F,MATCH(A13,'MP Referentiel'!A:A,0)),"")</f>
        <v>#ERROR!</v>
      </c>
      <c r="I13" s="227"/>
      <c r="J13" s="233"/>
    </row>
    <row r="14">
      <c r="A14" s="280" t="s">
        <v>262</v>
      </c>
      <c r="B14" s="234" t="s">
        <v>263</v>
      </c>
      <c r="C14" s="235"/>
      <c r="D14" s="235" t="str">
        <f>IFERROR(INDEX(Stock!E:E,MATCH(A14,Stock!A:A,0)),0)</f>
        <v>#ERROR!</v>
      </c>
      <c r="E14" s="235" t="str">
        <f>IFERROR(INDEX(Stock!F:F,MATCH(A14,Stock!A:A,0)),1)</f>
        <v>#ERROR!</v>
      </c>
      <c r="F14" s="235" t="str">
        <f>IFERROR(IF(F14=0,"",D14/(F14/7)),"")</f>
        <v>#ERROR!</v>
      </c>
      <c r="G14" s="235" t="str">
        <f>IF(AND(D14&lt;&gt;"",E14&lt;&gt;""),IF(D14&lt;E14,E14-D14,""),"")</f>
        <v>#ERROR!</v>
      </c>
      <c r="H14" s="283" t="str">
        <f>IFERROR(G14*INDEX('MP Referentiel'!F:F,MATCH(A14,'MP Referentiel'!A:A,0)),"")</f>
        <v>#ERROR!</v>
      </c>
      <c r="I14" s="235"/>
      <c r="J14" s="240"/>
    </row>
    <row r="15">
      <c r="A15" s="280" t="s">
        <v>264</v>
      </c>
      <c r="B15" s="226" t="s">
        <v>265</v>
      </c>
      <c r="C15" s="227"/>
      <c r="D15" s="227" t="str">
        <f>IFERROR(INDEX(Stock!E:E,MATCH(A15,Stock!A:A,0)),0)</f>
        <v>#ERROR!</v>
      </c>
      <c r="E15" s="227" t="str">
        <f>IFERROR(INDEX(Stock!F:F,MATCH(A15,Stock!A:A,0)),1)</f>
        <v>#ERROR!</v>
      </c>
      <c r="F15" s="227" t="str">
        <f>IFERROR(IF(F15=0,"",D15/(F15/7)),"")</f>
        <v>#ERROR!</v>
      </c>
      <c r="G15" s="227" t="str">
        <f>IF(AND(D15&lt;&gt;"",E15&lt;&gt;""),IF(D15&lt;E15,E15-D15,""),"")</f>
        <v>#ERROR!</v>
      </c>
      <c r="H15" s="281" t="str">
        <f>IFERROR(G15*INDEX('MP Referentiel'!F:F,MATCH(A15,'MP Referentiel'!A:A,0)),"")</f>
        <v>#ERROR!</v>
      </c>
      <c r="I15" s="227"/>
      <c r="J15" s="233"/>
    </row>
    <row r="16">
      <c r="A16" s="280" t="s">
        <v>266</v>
      </c>
      <c r="B16" s="234" t="s">
        <v>267</v>
      </c>
      <c r="C16" s="235"/>
      <c r="D16" s="235" t="str">
        <f>IFERROR(INDEX(Stock!E:E,MATCH(A16,Stock!A:A,0)),0)</f>
        <v>#ERROR!</v>
      </c>
      <c r="E16" s="235" t="str">
        <f>IFERROR(INDEX(Stock!F:F,MATCH(A16,Stock!A:A,0)),1)</f>
        <v>#ERROR!</v>
      </c>
      <c r="F16" s="235" t="str">
        <f>IFERROR(IF(F16=0,"",D16/(F16/7)),"")</f>
        <v>#ERROR!</v>
      </c>
      <c r="G16" s="235" t="str">
        <f>IF(AND(D16&lt;&gt;"",E16&lt;&gt;""),IF(D16&lt;E16,E16-D16,""),"")</f>
        <v>#ERROR!</v>
      </c>
      <c r="H16" s="283" t="str">
        <f>IFERROR(G16*INDEX('MP Referentiel'!F:F,MATCH(A16,'MP Referentiel'!A:A,0)),"")</f>
        <v>#ERROR!</v>
      </c>
      <c r="I16" s="235"/>
      <c r="J16" s="240"/>
    </row>
    <row r="17">
      <c r="A17" s="280" t="s">
        <v>268</v>
      </c>
      <c r="B17" s="226" t="s">
        <v>269</v>
      </c>
      <c r="C17" s="227"/>
      <c r="D17" s="227" t="str">
        <f>IFERROR(INDEX(Stock!E:E,MATCH(A17,Stock!A:A,0)),0)</f>
        <v>#ERROR!</v>
      </c>
      <c r="E17" s="227" t="str">
        <f>IFERROR(INDEX(Stock!F:F,MATCH(A17,Stock!A:A,0)),1)</f>
        <v>#ERROR!</v>
      </c>
      <c r="F17" s="227" t="str">
        <f>IFERROR(IF(F17=0,"",D17/(F17/7)),"")</f>
        <v>#ERROR!</v>
      </c>
      <c r="G17" s="227" t="str">
        <f>IF(AND(D17&lt;&gt;"",E17&lt;&gt;""),IF(D17&lt;E17,E17-D17,""),"")</f>
        <v>#ERROR!</v>
      </c>
      <c r="H17" s="281" t="str">
        <f>IFERROR(G17*INDEX('MP Referentiel'!F:F,MATCH(A17,'MP Referentiel'!A:A,0)),"")</f>
        <v>#ERROR!</v>
      </c>
      <c r="I17" s="227"/>
      <c r="J17" s="233"/>
    </row>
    <row r="18">
      <c r="A18" s="280" t="s">
        <v>270</v>
      </c>
      <c r="B18" s="234" t="s">
        <v>271</v>
      </c>
      <c r="C18" s="235"/>
      <c r="D18" s="235" t="str">
        <f>IFERROR(INDEX(Stock!E:E,MATCH(A18,Stock!A:A,0)),0)</f>
        <v>#ERROR!</v>
      </c>
      <c r="E18" s="235" t="str">
        <f>IFERROR(INDEX(Stock!F:F,MATCH(A18,Stock!A:A,0)),1)</f>
        <v>#ERROR!</v>
      </c>
      <c r="F18" s="235" t="str">
        <f>IFERROR(IF(F18=0,"",D18/(F18/7)),"")</f>
        <v>#ERROR!</v>
      </c>
      <c r="G18" s="235" t="str">
        <f>IF(AND(D18&lt;&gt;"",E18&lt;&gt;""),IF(D18&lt;E18,E18-D18,""),"")</f>
        <v>#ERROR!</v>
      </c>
      <c r="H18" s="283" t="str">
        <f>IFERROR(G18*INDEX('MP Referentiel'!F:F,MATCH(A18,'MP Referentiel'!A:A,0)),"")</f>
        <v>#ERROR!</v>
      </c>
      <c r="I18" s="235"/>
      <c r="J18" s="240"/>
    </row>
    <row r="19">
      <c r="A19" s="280" t="s">
        <v>272</v>
      </c>
      <c r="B19" s="226" t="s">
        <v>273</v>
      </c>
      <c r="C19" s="227"/>
      <c r="D19" s="227" t="str">
        <f>IFERROR(INDEX(Stock!E:E,MATCH(A19,Stock!A:A,0)),0)</f>
        <v>#ERROR!</v>
      </c>
      <c r="E19" s="227" t="str">
        <f>IFERROR(INDEX(Stock!F:F,MATCH(A19,Stock!A:A,0)),1)</f>
        <v>#ERROR!</v>
      </c>
      <c r="F19" s="227" t="str">
        <f>IFERROR(IF(F19=0,"",D19/(F19/7)),"")</f>
        <v>#ERROR!</v>
      </c>
      <c r="G19" s="227" t="str">
        <f>IF(AND(D19&lt;&gt;"",E19&lt;&gt;""),IF(D19&lt;E19,E19-D19,""),"")</f>
        <v>#ERROR!</v>
      </c>
      <c r="H19" s="281" t="str">
        <f>IFERROR(G19*INDEX('MP Referentiel'!F:F,MATCH(A19,'MP Referentiel'!A:A,0)),"")</f>
        <v>#ERROR!</v>
      </c>
      <c r="I19" s="227"/>
      <c r="J19" s="233"/>
    </row>
    <row r="20">
      <c r="A20" s="280" t="s">
        <v>274</v>
      </c>
      <c r="B20" s="234" t="s">
        <v>275</v>
      </c>
      <c r="C20" s="235"/>
      <c r="D20" s="235" t="str">
        <f>IFERROR(INDEX(Stock!E:E,MATCH(A20,Stock!A:A,0)),0)</f>
        <v>#ERROR!</v>
      </c>
      <c r="E20" s="235" t="str">
        <f>IFERROR(INDEX(Stock!F:F,MATCH(A20,Stock!A:A,0)),1)</f>
        <v>#ERROR!</v>
      </c>
      <c r="F20" s="235" t="str">
        <f>IFERROR(IF(F20=0,"",D20/(F20/7)),"")</f>
        <v>#ERROR!</v>
      </c>
      <c r="G20" s="235" t="str">
        <f>IF(AND(D20&lt;&gt;"",E20&lt;&gt;""),IF(D20&lt;E20,E20-D20,""),"")</f>
        <v>#ERROR!</v>
      </c>
      <c r="H20" s="283" t="str">
        <f>IFERROR(G20*INDEX('MP Referentiel'!F:F,MATCH(A20,'MP Referentiel'!A:A,0)),"")</f>
        <v>#ERROR!</v>
      </c>
      <c r="I20" s="235"/>
      <c r="J20" s="240"/>
    </row>
    <row r="21">
      <c r="A21" s="280" t="s">
        <v>276</v>
      </c>
      <c r="B21" s="226" t="s">
        <v>277</v>
      </c>
      <c r="C21" s="227"/>
      <c r="D21" s="227" t="str">
        <f>IFERROR(INDEX(Stock!E:E,MATCH(A21,Stock!A:A,0)),0)</f>
        <v>#ERROR!</v>
      </c>
      <c r="E21" s="227" t="str">
        <f>IFERROR(INDEX(Stock!F:F,MATCH(A21,Stock!A:A,0)),1)</f>
        <v>#ERROR!</v>
      </c>
      <c r="F21" s="227" t="str">
        <f>IFERROR(IF(F21=0,"",D21/(F21/7)),"")</f>
        <v>#ERROR!</v>
      </c>
      <c r="G21" s="227" t="str">
        <f>IF(AND(D21&lt;&gt;"",E21&lt;&gt;""),IF(D21&lt;E21,E21-D21,""),"")</f>
        <v>#ERROR!</v>
      </c>
      <c r="H21" s="281" t="str">
        <f>IFERROR(G21*INDEX('MP Referentiel'!F:F,MATCH(A21,'MP Referentiel'!A:A,0)),"")</f>
        <v>#ERROR!</v>
      </c>
      <c r="I21" s="227"/>
      <c r="J21" s="233"/>
    </row>
    <row r="22">
      <c r="A22" s="280" t="s">
        <v>278</v>
      </c>
      <c r="B22" s="234" t="s">
        <v>279</v>
      </c>
      <c r="C22" s="235"/>
      <c r="D22" s="235" t="str">
        <f>IFERROR(INDEX(Stock!E:E,MATCH(A22,Stock!A:A,0)),0)</f>
        <v>#ERROR!</v>
      </c>
      <c r="E22" s="235" t="str">
        <f>IFERROR(INDEX(Stock!F:F,MATCH(A22,Stock!A:A,0)),1)</f>
        <v>#ERROR!</v>
      </c>
      <c r="F22" s="235" t="str">
        <f>IFERROR(IF(F22=0,"",D22/(F22/7)),"")</f>
        <v>#ERROR!</v>
      </c>
      <c r="G22" s="235" t="str">
        <f>IF(AND(D22&lt;&gt;"",E22&lt;&gt;""),IF(D22&lt;E22,E22-D22,""),"")</f>
        <v>#ERROR!</v>
      </c>
      <c r="H22" s="283" t="str">
        <f>IFERROR(G22*INDEX('MP Referentiel'!F:F,MATCH(A22,'MP Referentiel'!A:A,0)),"")</f>
        <v>#ERROR!</v>
      </c>
      <c r="I22" s="235"/>
      <c r="J22" s="240"/>
    </row>
    <row r="23">
      <c r="A23" s="280" t="s">
        <v>280</v>
      </c>
      <c r="B23" s="226" t="s">
        <v>281</v>
      </c>
      <c r="C23" s="227"/>
      <c r="D23" s="227" t="str">
        <f>IFERROR(INDEX(Stock!E:E,MATCH(A23,Stock!A:A,0)),0)</f>
        <v>#ERROR!</v>
      </c>
      <c r="E23" s="227" t="str">
        <f>IFERROR(INDEX(Stock!F:F,MATCH(A23,Stock!A:A,0)),1)</f>
        <v>#ERROR!</v>
      </c>
      <c r="F23" s="227" t="str">
        <f>IFERROR(IF(F23=0,"",D23/(F23/7)),"")</f>
        <v>#ERROR!</v>
      </c>
      <c r="G23" s="227" t="str">
        <f>IF(AND(D23&lt;&gt;"",E23&lt;&gt;""),IF(D23&lt;E23,E23-D23,""),"")</f>
        <v>#ERROR!</v>
      </c>
      <c r="H23" s="281" t="str">
        <f>IFERROR(G23*INDEX('MP Referentiel'!F:F,MATCH(A23,'MP Referentiel'!A:A,0)),"")</f>
        <v>#ERROR!</v>
      </c>
      <c r="I23" s="227"/>
      <c r="J23" s="233"/>
    </row>
    <row r="24">
      <c r="A24" s="280" t="s">
        <v>282</v>
      </c>
      <c r="B24" s="234" t="s">
        <v>283</v>
      </c>
      <c r="C24" s="235"/>
      <c r="D24" s="235" t="str">
        <f>IFERROR(INDEX(Stock!E:E,MATCH(A24,Stock!A:A,0)),0)</f>
        <v>#ERROR!</v>
      </c>
      <c r="E24" s="235" t="str">
        <f>IFERROR(INDEX(Stock!F:F,MATCH(A24,Stock!A:A,0)),1)</f>
        <v>#ERROR!</v>
      </c>
      <c r="F24" s="235" t="str">
        <f>IFERROR(IF(F24=0,"",D24/(F24/7)),"")</f>
        <v>#ERROR!</v>
      </c>
      <c r="G24" s="235" t="str">
        <f>IF(AND(D24&lt;&gt;"",E24&lt;&gt;""),IF(D24&lt;E24,E24-D24,""),"")</f>
        <v>#ERROR!</v>
      </c>
      <c r="H24" s="283" t="str">
        <f>IFERROR(G24*INDEX('MP Referentiel'!F:F,MATCH(A24,'MP Referentiel'!A:A,0)),"")</f>
        <v>#ERROR!</v>
      </c>
      <c r="I24" s="235"/>
      <c r="J24" s="240"/>
    </row>
    <row r="25">
      <c r="A25" s="280" t="s">
        <v>284</v>
      </c>
      <c r="B25" s="226" t="s">
        <v>285</v>
      </c>
      <c r="C25" s="227"/>
      <c r="D25" s="227" t="str">
        <f>IFERROR(INDEX(Stock!E:E,MATCH(A25,Stock!A:A,0)),0)</f>
        <v>#ERROR!</v>
      </c>
      <c r="E25" s="227" t="str">
        <f>IFERROR(INDEX(Stock!F:F,MATCH(A25,Stock!A:A,0)),1)</f>
        <v>#ERROR!</v>
      </c>
      <c r="F25" s="227" t="str">
        <f>IFERROR(IF(F25=0,"",D25/(F25/7)),"")</f>
        <v>#ERROR!</v>
      </c>
      <c r="G25" s="227" t="str">
        <f>IF(AND(D25&lt;&gt;"",E25&lt;&gt;""),IF(D25&lt;E25,E25-D25,""),"")</f>
        <v>#ERROR!</v>
      </c>
      <c r="H25" s="281" t="str">
        <f>IFERROR(G25*INDEX('MP Referentiel'!F:F,MATCH(A25,'MP Referentiel'!A:A,0)),"")</f>
        <v>#ERROR!</v>
      </c>
      <c r="I25" s="227"/>
      <c r="J25" s="233"/>
    </row>
    <row r="26">
      <c r="A26" s="280" t="s">
        <v>286</v>
      </c>
      <c r="B26" s="234" t="s">
        <v>287</v>
      </c>
      <c r="C26" s="235"/>
      <c r="D26" s="235" t="str">
        <f>IFERROR(INDEX(Stock!E:E,MATCH(A26,Stock!A:A,0)),0)</f>
        <v>#ERROR!</v>
      </c>
      <c r="E26" s="235" t="str">
        <f>IFERROR(INDEX(Stock!F:F,MATCH(A26,Stock!A:A,0)),1)</f>
        <v>#ERROR!</v>
      </c>
      <c r="F26" s="235" t="str">
        <f>IFERROR(IF(F26=0,"",D26/(F26/7)),"")</f>
        <v>#ERROR!</v>
      </c>
      <c r="G26" s="235" t="str">
        <f>IF(AND(D26&lt;&gt;"",E26&lt;&gt;""),IF(D26&lt;E26,E26-D26,""),"")</f>
        <v>#ERROR!</v>
      </c>
      <c r="H26" s="283" t="str">
        <f>IFERROR(G26*INDEX('MP Referentiel'!F:F,MATCH(A26,'MP Referentiel'!A:A,0)),"")</f>
        <v>#ERROR!</v>
      </c>
      <c r="I26" s="235"/>
      <c r="J26" s="240"/>
    </row>
    <row r="27">
      <c r="A27" s="280" t="s">
        <v>289</v>
      </c>
      <c r="B27" s="226" t="s">
        <v>290</v>
      </c>
      <c r="C27" s="227"/>
      <c r="D27" s="227" t="str">
        <f>IFERROR(INDEX(Stock!E:E,MATCH(A27,Stock!A:A,0)),0)</f>
        <v>#ERROR!</v>
      </c>
      <c r="E27" s="227" t="str">
        <f>IFERROR(INDEX(Stock!F:F,MATCH(A27,Stock!A:A,0)),1)</f>
        <v>#ERROR!</v>
      </c>
      <c r="F27" s="227" t="str">
        <f>IFERROR(IF(F27=0,"",D27/(F27/7)),"")</f>
        <v>#ERROR!</v>
      </c>
      <c r="G27" s="227" t="str">
        <f>IF(AND(D27&lt;&gt;"",E27&lt;&gt;""),IF(D27&lt;E27,E27-D27,""),"")</f>
        <v>#ERROR!</v>
      </c>
      <c r="H27" s="281" t="str">
        <f>IFERROR(G27*INDEX('MP Referentiel'!F:F,MATCH(A27,'MP Referentiel'!A:A,0)),"")</f>
        <v>#ERROR!</v>
      </c>
      <c r="I27" s="227"/>
      <c r="J27" s="233"/>
    </row>
    <row r="28">
      <c r="A28" s="280" t="s">
        <v>291</v>
      </c>
      <c r="B28" s="234" t="s">
        <v>292</v>
      </c>
      <c r="C28" s="235"/>
      <c r="D28" s="235" t="str">
        <f>IFERROR(INDEX(Stock!E:E,MATCH(A28,Stock!A:A,0)),0)</f>
        <v>#ERROR!</v>
      </c>
      <c r="E28" s="235" t="str">
        <f>IFERROR(INDEX(Stock!F:F,MATCH(A28,Stock!A:A,0)),1)</f>
        <v>#ERROR!</v>
      </c>
      <c r="F28" s="235" t="str">
        <f>IFERROR(IF(F28=0,"",D28/(F28/7)),"")</f>
        <v>#ERROR!</v>
      </c>
      <c r="G28" s="235" t="str">
        <f>IF(AND(D28&lt;&gt;"",E28&lt;&gt;""),IF(D28&lt;E28,E28-D28,""),"")</f>
        <v>#ERROR!</v>
      </c>
      <c r="H28" s="283" t="str">
        <f>IFERROR(G28*INDEX('MP Referentiel'!F:F,MATCH(A28,'MP Referentiel'!A:A,0)),"")</f>
        <v>#ERROR!</v>
      </c>
      <c r="I28" s="235"/>
      <c r="J28" s="240"/>
    </row>
    <row r="29">
      <c r="A29" s="280" t="s">
        <v>294</v>
      </c>
      <c r="B29" s="226" t="s">
        <v>295</v>
      </c>
      <c r="C29" s="227"/>
      <c r="D29" s="227" t="str">
        <f>IFERROR(INDEX(Stock!E:E,MATCH(A29,Stock!A:A,0)),0)</f>
        <v>#ERROR!</v>
      </c>
      <c r="E29" s="227" t="str">
        <f>IFERROR(INDEX(Stock!F:F,MATCH(A29,Stock!A:A,0)),1)</f>
        <v>#ERROR!</v>
      </c>
      <c r="F29" s="227" t="str">
        <f>IFERROR(IF(F29=0,"",D29/(F29/7)),"")</f>
        <v>#ERROR!</v>
      </c>
      <c r="G29" s="227" t="str">
        <f>IF(AND(D29&lt;&gt;"",E29&lt;&gt;""),IF(D29&lt;E29,E29-D29,""),"")</f>
        <v>#ERROR!</v>
      </c>
      <c r="H29" s="281" t="str">
        <f>IFERROR(G29*INDEX('MP Referentiel'!F:F,MATCH(A29,'MP Referentiel'!A:A,0)),"")</f>
        <v>#ERROR!</v>
      </c>
      <c r="I29" s="227"/>
      <c r="J29" s="233"/>
    </row>
    <row r="30">
      <c r="A30" s="280" t="s">
        <v>297</v>
      </c>
      <c r="B30" s="234" t="s">
        <v>298</v>
      </c>
      <c r="C30" s="235"/>
      <c r="D30" s="235" t="str">
        <f>IFERROR(INDEX(Stock!E:E,MATCH(A30,Stock!A:A,0)),0)</f>
        <v>#ERROR!</v>
      </c>
      <c r="E30" s="235" t="str">
        <f>IFERROR(INDEX(Stock!F:F,MATCH(A30,Stock!A:A,0)),1)</f>
        <v>#ERROR!</v>
      </c>
      <c r="F30" s="235" t="str">
        <f>IFERROR(IF(F30=0,"",D30/(F30/7)),"")</f>
        <v>#ERROR!</v>
      </c>
      <c r="G30" s="235" t="str">
        <f>IF(AND(D30&lt;&gt;"",E30&lt;&gt;""),IF(D30&lt;E30,E30-D30,""),"")</f>
        <v>#ERROR!</v>
      </c>
      <c r="H30" s="283" t="str">
        <f>IFERROR(G30*INDEX('MP Referentiel'!F:F,MATCH(A30,'MP Referentiel'!A:A,0)),"")</f>
        <v>#ERROR!</v>
      </c>
      <c r="I30" s="235"/>
      <c r="J30" s="240"/>
    </row>
    <row r="31">
      <c r="A31" s="280" t="s">
        <v>299</v>
      </c>
      <c r="B31" s="226" t="s">
        <v>300</v>
      </c>
      <c r="C31" s="227"/>
      <c r="D31" s="227" t="str">
        <f>IFERROR(INDEX(Stock!E:E,MATCH(A31,Stock!A:A,0)),0)</f>
        <v>#ERROR!</v>
      </c>
      <c r="E31" s="227" t="str">
        <f>IFERROR(INDEX(Stock!F:F,MATCH(A31,Stock!A:A,0)),1)</f>
        <v>#ERROR!</v>
      </c>
      <c r="F31" s="227" t="str">
        <f>IFERROR(IF(F31=0,"",D31/(F31/7)),"")</f>
        <v>#ERROR!</v>
      </c>
      <c r="G31" s="227" t="str">
        <f>IF(AND(D31&lt;&gt;"",E31&lt;&gt;""),IF(D31&lt;E31,E31-D31,""),"")</f>
        <v>#ERROR!</v>
      </c>
      <c r="H31" s="281" t="str">
        <f>IFERROR(G31*INDEX('MP Referentiel'!F:F,MATCH(A31,'MP Referentiel'!A:A,0)),"")</f>
        <v>#ERROR!</v>
      </c>
      <c r="I31" s="227"/>
      <c r="J31" s="233"/>
    </row>
    <row r="32">
      <c r="A32" s="280" t="s">
        <v>302</v>
      </c>
      <c r="B32" s="234" t="s">
        <v>303</v>
      </c>
      <c r="C32" s="235"/>
      <c r="D32" s="235" t="str">
        <f>IFERROR(INDEX(Stock!E:E,MATCH(A32,Stock!A:A,0)),0)</f>
        <v>#ERROR!</v>
      </c>
      <c r="E32" s="235" t="str">
        <f>IFERROR(INDEX(Stock!F:F,MATCH(A32,Stock!A:A,0)),1)</f>
        <v>#ERROR!</v>
      </c>
      <c r="F32" s="235" t="str">
        <f>IFERROR(IF(F32=0,"",D32/(F32/7)),"")</f>
        <v>#ERROR!</v>
      </c>
      <c r="G32" s="235" t="str">
        <f>IF(AND(D32&lt;&gt;"",E32&lt;&gt;""),IF(D32&lt;E32,E32-D32,""),"")</f>
        <v>#ERROR!</v>
      </c>
      <c r="H32" s="283" t="str">
        <f>IFERROR(G32*INDEX('MP Referentiel'!F:F,MATCH(A32,'MP Referentiel'!A:A,0)),"")</f>
        <v>#ERROR!</v>
      </c>
      <c r="I32" s="235"/>
      <c r="J32" s="240"/>
    </row>
    <row r="33">
      <c r="A33" s="280" t="s">
        <v>304</v>
      </c>
      <c r="B33" s="226" t="s">
        <v>305</v>
      </c>
      <c r="C33" s="227"/>
      <c r="D33" s="227" t="str">
        <f>IFERROR(INDEX(Stock!E:E,MATCH(A33,Stock!A:A,0)),0)</f>
        <v>#ERROR!</v>
      </c>
      <c r="E33" s="227" t="str">
        <f>IFERROR(INDEX(Stock!F:F,MATCH(A33,Stock!A:A,0)),1)</f>
        <v>#ERROR!</v>
      </c>
      <c r="F33" s="227" t="str">
        <f>IFERROR(IF(F33=0,"",D33/(F33/7)),"")</f>
        <v>#ERROR!</v>
      </c>
      <c r="G33" s="227" t="str">
        <f>IF(AND(D33&lt;&gt;"",E33&lt;&gt;""),IF(D33&lt;E33,E33-D33,""),"")</f>
        <v>#ERROR!</v>
      </c>
      <c r="H33" s="281" t="str">
        <f>IFERROR(G33*INDEX('MP Referentiel'!F:F,MATCH(A33,'MP Referentiel'!A:A,0)),"")</f>
        <v>#ERROR!</v>
      </c>
      <c r="I33" s="227"/>
      <c r="J33" s="233"/>
    </row>
    <row r="34">
      <c r="A34" s="280" t="s">
        <v>306</v>
      </c>
      <c r="B34" s="234" t="s">
        <v>307</v>
      </c>
      <c r="C34" s="235"/>
      <c r="D34" s="235" t="str">
        <f>IFERROR(INDEX(Stock!E:E,MATCH(A34,Stock!A:A,0)),0)</f>
        <v>#ERROR!</v>
      </c>
      <c r="E34" s="235" t="str">
        <f>IFERROR(INDEX(Stock!F:F,MATCH(A34,Stock!A:A,0)),1)</f>
        <v>#ERROR!</v>
      </c>
      <c r="F34" s="235" t="str">
        <f>IFERROR(IF(F34=0,"",D34/(F34/7)),"")</f>
        <v>#ERROR!</v>
      </c>
      <c r="G34" s="235" t="str">
        <f>IF(AND(D34&lt;&gt;"",E34&lt;&gt;""),IF(D34&lt;E34,E34-D34,""),"")</f>
        <v>#ERROR!</v>
      </c>
      <c r="H34" s="283" t="str">
        <f>IFERROR(G34*INDEX('MP Referentiel'!F:F,MATCH(A34,'MP Referentiel'!A:A,0)),"")</f>
        <v>#ERROR!</v>
      </c>
      <c r="I34" s="235"/>
      <c r="J34" s="240"/>
    </row>
    <row r="35">
      <c r="A35" s="280" t="s">
        <v>309</v>
      </c>
      <c r="B35" s="226" t="s">
        <v>310</v>
      </c>
      <c r="C35" s="227"/>
      <c r="D35" s="227" t="str">
        <f>IFERROR(INDEX(Stock!E:E,MATCH(A35,Stock!A:A,0)),0)</f>
        <v>#ERROR!</v>
      </c>
      <c r="E35" s="227" t="str">
        <f>IFERROR(INDEX(Stock!F:F,MATCH(A35,Stock!A:A,0)),1)</f>
        <v>#ERROR!</v>
      </c>
      <c r="F35" s="227" t="str">
        <f>IFERROR(IF(F35=0,"",D35/(F35/7)),"")</f>
        <v>#ERROR!</v>
      </c>
      <c r="G35" s="227" t="str">
        <f>IF(AND(D35&lt;&gt;"",E35&lt;&gt;""),IF(D35&lt;E35,E35-D35,""),"")</f>
        <v>#ERROR!</v>
      </c>
      <c r="H35" s="281" t="str">
        <f>IFERROR(G35*INDEX('MP Referentiel'!F:F,MATCH(A35,'MP Referentiel'!A:A,0)),"")</f>
        <v>#ERROR!</v>
      </c>
      <c r="I35" s="227"/>
      <c r="J35" s="233"/>
    </row>
    <row r="36">
      <c r="A36" s="280" t="s">
        <v>311</v>
      </c>
      <c r="B36" s="234" t="s">
        <v>312</v>
      </c>
      <c r="C36" s="235"/>
      <c r="D36" s="235" t="str">
        <f>IFERROR(INDEX(Stock!E:E,MATCH(A36,Stock!A:A,0)),0)</f>
        <v>#ERROR!</v>
      </c>
      <c r="E36" s="235" t="str">
        <f>IFERROR(INDEX(Stock!F:F,MATCH(A36,Stock!A:A,0)),1)</f>
        <v>#ERROR!</v>
      </c>
      <c r="F36" s="235" t="str">
        <f>IFERROR(IF(F36=0,"",D36/(F36/7)),"")</f>
        <v>#ERROR!</v>
      </c>
      <c r="G36" s="235" t="str">
        <f>IF(AND(D36&lt;&gt;"",E36&lt;&gt;""),IF(D36&lt;E36,E36-D36,""),"")</f>
        <v>#ERROR!</v>
      </c>
      <c r="H36" s="283" t="str">
        <f>IFERROR(G36*INDEX('MP Referentiel'!F:F,MATCH(A36,'MP Referentiel'!A:A,0)),"")</f>
        <v>#ERROR!</v>
      </c>
      <c r="I36" s="235"/>
      <c r="J36" s="240"/>
    </row>
    <row r="37">
      <c r="A37" s="280" t="s">
        <v>313</v>
      </c>
      <c r="B37" s="226" t="s">
        <v>314</v>
      </c>
      <c r="C37" s="227"/>
      <c r="D37" s="227" t="str">
        <f>IFERROR(INDEX(Stock!E:E,MATCH(A37,Stock!A:A,0)),0)</f>
        <v>#ERROR!</v>
      </c>
      <c r="E37" s="227" t="str">
        <f>IFERROR(INDEX(Stock!F:F,MATCH(A37,Stock!A:A,0)),1)</f>
        <v>#ERROR!</v>
      </c>
      <c r="F37" s="227" t="str">
        <f>IFERROR(IF(F37=0,"",D37/(F37/7)),"")</f>
        <v>#ERROR!</v>
      </c>
      <c r="G37" s="227" t="str">
        <f>IF(AND(D37&lt;&gt;"",E37&lt;&gt;""),IF(D37&lt;E37,E37-D37,""),"")</f>
        <v>#ERROR!</v>
      </c>
      <c r="H37" s="281" t="str">
        <f>IFERROR(G37*INDEX('MP Referentiel'!F:F,MATCH(A37,'MP Referentiel'!A:A,0)),"")</f>
        <v>#ERROR!</v>
      </c>
      <c r="I37" s="227"/>
      <c r="J37" s="233"/>
    </row>
    <row r="38">
      <c r="A38" s="280" t="s">
        <v>315</v>
      </c>
      <c r="B38" s="234" t="s">
        <v>316</v>
      </c>
      <c r="C38" s="235"/>
      <c r="D38" s="235" t="str">
        <f>IFERROR(INDEX(Stock!E:E,MATCH(A38,Stock!A:A,0)),0)</f>
        <v>#ERROR!</v>
      </c>
      <c r="E38" s="235" t="str">
        <f>IFERROR(INDEX(Stock!F:F,MATCH(A38,Stock!A:A,0)),1)</f>
        <v>#ERROR!</v>
      </c>
      <c r="F38" s="235" t="str">
        <f>IFERROR(IF(F38=0,"",D38/(F38/7)),"")</f>
        <v>#ERROR!</v>
      </c>
      <c r="G38" s="235" t="str">
        <f>IF(AND(D38&lt;&gt;"",E38&lt;&gt;""),IF(D38&lt;E38,E38-D38,""),"")</f>
        <v>#ERROR!</v>
      </c>
      <c r="H38" s="283" t="str">
        <f>IFERROR(G38*INDEX('MP Referentiel'!F:F,MATCH(A38,'MP Referentiel'!A:A,0)),"")</f>
        <v>#ERROR!</v>
      </c>
      <c r="I38" s="235"/>
      <c r="J38" s="240"/>
    </row>
    <row r="39">
      <c r="A39" s="280" t="s">
        <v>318</v>
      </c>
      <c r="B39" s="226" t="s">
        <v>319</v>
      </c>
      <c r="C39" s="227"/>
      <c r="D39" s="227" t="str">
        <f>IFERROR(INDEX(Stock!E:E,MATCH(A39,Stock!A:A,0)),0)</f>
        <v>#ERROR!</v>
      </c>
      <c r="E39" s="227" t="str">
        <f>IFERROR(INDEX(Stock!F:F,MATCH(A39,Stock!A:A,0)),1)</f>
        <v>#ERROR!</v>
      </c>
      <c r="F39" s="227" t="str">
        <f>IFERROR(IF(F39=0,"",D39/(F39/7)),"")</f>
        <v>#ERROR!</v>
      </c>
      <c r="G39" s="227" t="str">
        <f>IF(AND(D39&lt;&gt;"",E39&lt;&gt;""),IF(D39&lt;E39,E39-D39,""),"")</f>
        <v>#ERROR!</v>
      </c>
      <c r="H39" s="281" t="str">
        <f>IFERROR(G39*INDEX('MP Referentiel'!F:F,MATCH(A39,'MP Referentiel'!A:A,0)),"")</f>
        <v>#ERROR!</v>
      </c>
      <c r="I39" s="227"/>
      <c r="J39" s="233"/>
    </row>
    <row r="40">
      <c r="A40" s="280" t="s">
        <v>320</v>
      </c>
      <c r="B40" s="234" t="s">
        <v>321</v>
      </c>
      <c r="C40" s="235"/>
      <c r="D40" s="235" t="str">
        <f>IFERROR(INDEX(Stock!E:E,MATCH(A40,Stock!A:A,0)),0)</f>
        <v>#ERROR!</v>
      </c>
      <c r="E40" s="235" t="str">
        <f>IFERROR(INDEX(Stock!F:F,MATCH(A40,Stock!A:A,0)),1)</f>
        <v>#ERROR!</v>
      </c>
      <c r="F40" s="235" t="str">
        <f>IFERROR(IF(F40=0,"",D40/(F40/7)),"")</f>
        <v>#ERROR!</v>
      </c>
      <c r="G40" s="235" t="str">
        <f>IF(AND(D40&lt;&gt;"",E40&lt;&gt;""),IF(D40&lt;E40,E40-D40,""),"")</f>
        <v>#ERROR!</v>
      </c>
      <c r="H40" s="283" t="str">
        <f>IFERROR(G40*INDEX('MP Referentiel'!F:F,MATCH(A40,'MP Referentiel'!A:A,0)),"")</f>
        <v>#ERROR!</v>
      </c>
      <c r="I40" s="235"/>
      <c r="J40" s="240"/>
    </row>
    <row r="41">
      <c r="A41" s="280" t="s">
        <v>322</v>
      </c>
      <c r="B41" s="226" t="s">
        <v>323</v>
      </c>
      <c r="C41" s="227"/>
      <c r="D41" s="227" t="str">
        <f>IFERROR(INDEX(Stock!E:E,MATCH(A41,Stock!A:A,0)),0)</f>
        <v>#ERROR!</v>
      </c>
      <c r="E41" s="227" t="str">
        <f>IFERROR(INDEX(Stock!F:F,MATCH(A41,Stock!A:A,0)),1)</f>
        <v>#ERROR!</v>
      </c>
      <c r="F41" s="227" t="str">
        <f>IFERROR(IF(F41=0,"",D41/(F41/7)),"")</f>
        <v>#ERROR!</v>
      </c>
      <c r="G41" s="227" t="str">
        <f>IF(AND(D41&lt;&gt;"",E41&lt;&gt;""),IF(D41&lt;E41,E41-D41,""),"")</f>
        <v>#ERROR!</v>
      </c>
      <c r="H41" s="281" t="str">
        <f>IFERROR(G41*INDEX('MP Referentiel'!F:F,MATCH(A41,'MP Referentiel'!A:A,0)),"")</f>
        <v>#ERROR!</v>
      </c>
      <c r="I41" s="227"/>
      <c r="J41" s="233"/>
    </row>
    <row r="42">
      <c r="A42" s="280" t="s">
        <v>325</v>
      </c>
      <c r="B42" s="234" t="s">
        <v>326</v>
      </c>
      <c r="C42" s="235"/>
      <c r="D42" s="235" t="str">
        <f>IFERROR(INDEX(Stock!E:E,MATCH(A42,Stock!A:A,0)),0)</f>
        <v>#ERROR!</v>
      </c>
      <c r="E42" s="235" t="str">
        <f>IFERROR(INDEX(Stock!F:F,MATCH(A42,Stock!A:A,0)),1)</f>
        <v>#ERROR!</v>
      </c>
      <c r="F42" s="235" t="str">
        <f>IFERROR(IF(F42=0,"",D42/(F42/7)),"")</f>
        <v>#ERROR!</v>
      </c>
      <c r="G42" s="235" t="str">
        <f>IF(AND(D42&lt;&gt;"",E42&lt;&gt;""),IF(D42&lt;E42,E42-D42,""),"")</f>
        <v>#ERROR!</v>
      </c>
      <c r="H42" s="283" t="str">
        <f>IFERROR(G42*INDEX('MP Referentiel'!F:F,MATCH(A42,'MP Referentiel'!A:A,0)),"")</f>
        <v>#ERROR!</v>
      </c>
      <c r="I42" s="235"/>
      <c r="J42" s="240"/>
    </row>
    <row r="43">
      <c r="A43" s="280" t="s">
        <v>327</v>
      </c>
      <c r="B43" s="226" t="s">
        <v>328</v>
      </c>
      <c r="C43" s="227"/>
      <c r="D43" s="227" t="str">
        <f>IFERROR(INDEX(Stock!E:E,MATCH(A43,Stock!A:A,0)),0)</f>
        <v>#ERROR!</v>
      </c>
      <c r="E43" s="227" t="str">
        <f>IFERROR(INDEX(Stock!F:F,MATCH(A43,Stock!A:A,0)),1)</f>
        <v>#ERROR!</v>
      </c>
      <c r="F43" s="227" t="str">
        <f>IFERROR(IF(F43=0,"",D43/(F43/7)),"")</f>
        <v>#ERROR!</v>
      </c>
      <c r="G43" s="227" t="str">
        <f>IF(AND(D43&lt;&gt;"",E43&lt;&gt;""),IF(D43&lt;E43,E43-D43,""),"")</f>
        <v>#ERROR!</v>
      </c>
      <c r="H43" s="281" t="str">
        <f>IFERROR(G43*INDEX('MP Referentiel'!F:F,MATCH(A43,'MP Referentiel'!A:A,0)),"")</f>
        <v>#ERROR!</v>
      </c>
      <c r="I43" s="227"/>
      <c r="J43" s="233"/>
    </row>
    <row r="44">
      <c r="A44" s="280" t="s">
        <v>329</v>
      </c>
      <c r="B44" s="234" t="s">
        <v>330</v>
      </c>
      <c r="C44" s="235"/>
      <c r="D44" s="235" t="str">
        <f>IFERROR(INDEX(Stock!E:E,MATCH(A44,Stock!A:A,0)),0)</f>
        <v>#ERROR!</v>
      </c>
      <c r="E44" s="235" t="str">
        <f>IFERROR(INDEX(Stock!F:F,MATCH(A44,Stock!A:A,0)),1)</f>
        <v>#ERROR!</v>
      </c>
      <c r="F44" s="235" t="str">
        <f>IFERROR(IF(F44=0,"",D44/(F44/7)),"")</f>
        <v>#ERROR!</v>
      </c>
      <c r="G44" s="235" t="str">
        <f>IF(AND(D44&lt;&gt;"",E44&lt;&gt;""),IF(D44&lt;E44,E44-D44,""),"")</f>
        <v>#ERROR!</v>
      </c>
      <c r="H44" s="283" t="str">
        <f>IFERROR(G44*INDEX('MP Referentiel'!F:F,MATCH(A44,'MP Referentiel'!A:A,0)),"")</f>
        <v>#ERROR!</v>
      </c>
      <c r="I44" s="235"/>
      <c r="J44" s="240"/>
    </row>
    <row r="45">
      <c r="A45" s="280" t="s">
        <v>331</v>
      </c>
      <c r="B45" s="226" t="s">
        <v>332</v>
      </c>
      <c r="C45" s="227"/>
      <c r="D45" s="227" t="str">
        <f>IFERROR(INDEX(Stock!E:E,MATCH(A45,Stock!A:A,0)),0)</f>
        <v>#ERROR!</v>
      </c>
      <c r="E45" s="227" t="str">
        <f>IFERROR(INDEX(Stock!F:F,MATCH(A45,Stock!A:A,0)),1)</f>
        <v>#ERROR!</v>
      </c>
      <c r="F45" s="227" t="str">
        <f>IFERROR(IF(F45=0,"",D45/(F45/7)),"")</f>
        <v>#ERROR!</v>
      </c>
      <c r="G45" s="227" t="str">
        <f>IF(AND(D45&lt;&gt;"",E45&lt;&gt;""),IF(D45&lt;E45,E45-D45,""),"")</f>
        <v>#ERROR!</v>
      </c>
      <c r="H45" s="281" t="str">
        <f>IFERROR(G45*INDEX('MP Referentiel'!F:F,MATCH(A45,'MP Referentiel'!A:A,0)),"")</f>
        <v>#ERROR!</v>
      </c>
      <c r="I45" s="227"/>
      <c r="J45" s="233"/>
    </row>
    <row r="46">
      <c r="A46" s="280" t="s">
        <v>333</v>
      </c>
      <c r="B46" s="234" t="s">
        <v>334</v>
      </c>
      <c r="C46" s="235"/>
      <c r="D46" s="235" t="str">
        <f>IFERROR(INDEX(Stock!E:E,MATCH(A46,Stock!A:A,0)),0)</f>
        <v>#ERROR!</v>
      </c>
      <c r="E46" s="235" t="str">
        <f>IFERROR(INDEX(Stock!F:F,MATCH(A46,Stock!A:A,0)),1)</f>
        <v>#ERROR!</v>
      </c>
      <c r="F46" s="235" t="str">
        <f>IFERROR(IF(F46=0,"",D46/(F46/7)),"")</f>
        <v>#ERROR!</v>
      </c>
      <c r="G46" s="235" t="str">
        <f>IF(AND(D46&lt;&gt;"",E46&lt;&gt;""),IF(D46&lt;E46,E46-D46,""),"")</f>
        <v>#ERROR!</v>
      </c>
      <c r="H46" s="283" t="str">
        <f>IFERROR(G46*INDEX('MP Referentiel'!F:F,MATCH(A46,'MP Referentiel'!A:A,0)),"")</f>
        <v>#ERROR!</v>
      </c>
      <c r="I46" s="235"/>
      <c r="J46" s="240"/>
    </row>
    <row r="47">
      <c r="A47" s="280" t="s">
        <v>336</v>
      </c>
      <c r="B47" s="226" t="s">
        <v>337</v>
      </c>
      <c r="C47" s="227"/>
      <c r="D47" s="227" t="str">
        <f>IFERROR(INDEX(Stock!E:E,MATCH(A47,Stock!A:A,0)),0)</f>
        <v>#ERROR!</v>
      </c>
      <c r="E47" s="227" t="str">
        <f>IFERROR(INDEX(Stock!F:F,MATCH(A47,Stock!A:A,0)),1)</f>
        <v>#ERROR!</v>
      </c>
      <c r="F47" s="227" t="str">
        <f>IFERROR(IF(F47=0,"",D47/(F47/7)),"")</f>
        <v>#ERROR!</v>
      </c>
      <c r="G47" s="227" t="str">
        <f>IF(AND(D47&lt;&gt;"",E47&lt;&gt;""),IF(D47&lt;E47,E47-D47,""),"")</f>
        <v>#ERROR!</v>
      </c>
      <c r="H47" s="281" t="str">
        <f>IFERROR(G47*INDEX('MP Referentiel'!F:F,MATCH(A47,'MP Referentiel'!A:A,0)),"")</f>
        <v>#ERROR!</v>
      </c>
      <c r="I47" s="227"/>
      <c r="J47" s="233"/>
    </row>
    <row r="48">
      <c r="A48" s="280" t="s">
        <v>338</v>
      </c>
      <c r="B48" s="234" t="s">
        <v>339</v>
      </c>
      <c r="C48" s="235"/>
      <c r="D48" s="235" t="str">
        <f>IFERROR(INDEX(Stock!E:E,MATCH(A48,Stock!A:A,0)),0)</f>
        <v>#ERROR!</v>
      </c>
      <c r="E48" s="235" t="str">
        <f>IFERROR(INDEX(Stock!F:F,MATCH(A48,Stock!A:A,0)),1)</f>
        <v>#ERROR!</v>
      </c>
      <c r="F48" s="235" t="str">
        <f>IFERROR(IF(F48=0,"",D48/(F48/7)),"")</f>
        <v>#ERROR!</v>
      </c>
      <c r="G48" s="235" t="str">
        <f>IF(AND(D48&lt;&gt;"",E48&lt;&gt;""),IF(D48&lt;E48,E48-D48,""),"")</f>
        <v>#ERROR!</v>
      </c>
      <c r="H48" s="283" t="str">
        <f>IFERROR(G48*INDEX('MP Referentiel'!F:F,MATCH(A48,'MP Referentiel'!A:A,0)),"")</f>
        <v>#ERROR!</v>
      </c>
      <c r="I48" s="235"/>
      <c r="J48" s="240"/>
    </row>
    <row r="49">
      <c r="A49" s="280" t="s">
        <v>340</v>
      </c>
      <c r="B49" s="226" t="s">
        <v>341</v>
      </c>
      <c r="C49" s="227"/>
      <c r="D49" s="227" t="str">
        <f>IFERROR(INDEX(Stock!E:E,MATCH(A49,Stock!A:A,0)),0)</f>
        <v>#ERROR!</v>
      </c>
      <c r="E49" s="227" t="str">
        <f>IFERROR(INDEX(Stock!F:F,MATCH(A49,Stock!A:A,0)),1)</f>
        <v>#ERROR!</v>
      </c>
      <c r="F49" s="227" t="str">
        <f>IFERROR(IF(F49=0,"",D49/(F49/7)),"")</f>
        <v>#ERROR!</v>
      </c>
      <c r="G49" s="227" t="str">
        <f>IF(AND(D49&lt;&gt;"",E49&lt;&gt;""),IF(D49&lt;E49,E49-D49,""),"")</f>
        <v>#ERROR!</v>
      </c>
      <c r="H49" s="281" t="str">
        <f>IFERROR(G49*INDEX('MP Referentiel'!F:F,MATCH(A49,'MP Referentiel'!A:A,0)),"")</f>
        <v>#ERROR!</v>
      </c>
      <c r="I49" s="227"/>
      <c r="J49" s="233"/>
    </row>
    <row r="50">
      <c r="A50" s="280" t="s">
        <v>342</v>
      </c>
      <c r="B50" s="234" t="s">
        <v>343</v>
      </c>
      <c r="C50" s="235"/>
      <c r="D50" s="235" t="str">
        <f>IFERROR(INDEX(Stock!E:E,MATCH(A50,Stock!A:A,0)),0)</f>
        <v>#ERROR!</v>
      </c>
      <c r="E50" s="235" t="str">
        <f>IFERROR(INDEX(Stock!F:F,MATCH(A50,Stock!A:A,0)),1)</f>
        <v>#ERROR!</v>
      </c>
      <c r="F50" s="235" t="str">
        <f>IFERROR(IF(F50=0,"",D50/(F50/7)),"")</f>
        <v>#ERROR!</v>
      </c>
      <c r="G50" s="235" t="str">
        <f>IF(AND(D50&lt;&gt;"",E50&lt;&gt;""),IF(D50&lt;E50,E50-D50,""),"")</f>
        <v>#ERROR!</v>
      </c>
      <c r="H50" s="283" t="str">
        <f>IFERROR(G50*INDEX('MP Referentiel'!F:F,MATCH(A50,'MP Referentiel'!A:A,0)),"")</f>
        <v>#ERROR!</v>
      </c>
      <c r="I50" s="235"/>
      <c r="J50" s="240"/>
    </row>
    <row r="51">
      <c r="A51" s="280" t="s">
        <v>344</v>
      </c>
      <c r="B51" s="226" t="s">
        <v>345</v>
      </c>
      <c r="C51" s="227"/>
      <c r="D51" s="227" t="str">
        <f>IFERROR(INDEX(Stock!E:E,MATCH(A51,Stock!A:A,0)),0)</f>
        <v>#ERROR!</v>
      </c>
      <c r="E51" s="227" t="str">
        <f>IFERROR(INDEX(Stock!F:F,MATCH(A51,Stock!A:A,0)),1)</f>
        <v>#ERROR!</v>
      </c>
      <c r="F51" s="227" t="str">
        <f>IFERROR(IF(F51=0,"",D51/(F51/7)),"")</f>
        <v>#ERROR!</v>
      </c>
      <c r="G51" s="227" t="str">
        <f>IF(AND(D51&lt;&gt;"",E51&lt;&gt;""),IF(D51&lt;E51,E51-D51,""),"")</f>
        <v>#ERROR!</v>
      </c>
      <c r="H51" s="281" t="str">
        <f>IFERROR(G51*INDEX('MP Referentiel'!F:F,MATCH(A51,'MP Referentiel'!A:A,0)),"")</f>
        <v>#ERROR!</v>
      </c>
      <c r="I51" s="227"/>
      <c r="J51" s="233"/>
    </row>
    <row r="52">
      <c r="A52" s="280" t="s">
        <v>346</v>
      </c>
      <c r="B52" s="234" t="s">
        <v>347</v>
      </c>
      <c r="C52" s="235"/>
      <c r="D52" s="235" t="str">
        <f>IFERROR(INDEX(Stock!E:E,MATCH(A52,Stock!A:A,0)),0)</f>
        <v>#ERROR!</v>
      </c>
      <c r="E52" s="235" t="str">
        <f>IFERROR(INDEX(Stock!F:F,MATCH(A52,Stock!A:A,0)),1)</f>
        <v>#ERROR!</v>
      </c>
      <c r="F52" s="235" t="str">
        <f>IFERROR(IF(F52=0,"",D52/(F52/7)),"")</f>
        <v>#ERROR!</v>
      </c>
      <c r="G52" s="235" t="str">
        <f>IF(AND(D52&lt;&gt;"",E52&lt;&gt;""),IF(D52&lt;E52,E52-D52,""),"")</f>
        <v>#ERROR!</v>
      </c>
      <c r="H52" s="283" t="str">
        <f>IFERROR(G52*INDEX('MP Referentiel'!F:F,MATCH(A52,'MP Referentiel'!A:A,0)),"")</f>
        <v>#ERROR!</v>
      </c>
      <c r="I52" s="235"/>
      <c r="J52" s="240"/>
    </row>
    <row r="53">
      <c r="A53" s="280" t="s">
        <v>348</v>
      </c>
      <c r="B53" s="226" t="s">
        <v>349</v>
      </c>
      <c r="C53" s="227"/>
      <c r="D53" s="227" t="str">
        <f>IFERROR(INDEX(Stock!E:E,MATCH(A53,Stock!A:A,0)),0)</f>
        <v>#ERROR!</v>
      </c>
      <c r="E53" s="227" t="str">
        <f>IFERROR(INDEX(Stock!F:F,MATCH(A53,Stock!A:A,0)),1)</f>
        <v>#ERROR!</v>
      </c>
      <c r="F53" s="227" t="str">
        <f>IFERROR(IF(F53=0,"",D53/(F53/7)),"")</f>
        <v>#ERROR!</v>
      </c>
      <c r="G53" s="227" t="str">
        <f>IF(AND(D53&lt;&gt;"",E53&lt;&gt;""),IF(D53&lt;E53,E53-D53,""),"")</f>
        <v>#ERROR!</v>
      </c>
      <c r="H53" s="281" t="str">
        <f>IFERROR(G53*INDEX('MP Referentiel'!F:F,MATCH(A53,'MP Referentiel'!A:A,0)),"")</f>
        <v>#ERROR!</v>
      </c>
      <c r="I53" s="227"/>
      <c r="J53" s="233"/>
    </row>
    <row r="54">
      <c r="A54" s="280" t="s">
        <v>350</v>
      </c>
      <c r="B54" s="234" t="s">
        <v>351</v>
      </c>
      <c r="C54" s="235"/>
      <c r="D54" s="235" t="str">
        <f>IFERROR(INDEX(Stock!E:E,MATCH(A54,Stock!A:A,0)),0)</f>
        <v>#ERROR!</v>
      </c>
      <c r="E54" s="235" t="str">
        <f>IFERROR(INDEX(Stock!F:F,MATCH(A54,Stock!A:A,0)),1)</f>
        <v>#ERROR!</v>
      </c>
      <c r="F54" s="235" t="str">
        <f>IFERROR(IF(F54=0,"",D54/(F54/7)),"")</f>
        <v>#ERROR!</v>
      </c>
      <c r="G54" s="235" t="str">
        <f>IF(AND(D54&lt;&gt;"",E54&lt;&gt;""),IF(D54&lt;E54,E54-D54,""),"")</f>
        <v>#ERROR!</v>
      </c>
      <c r="H54" s="283" t="str">
        <f>IFERROR(G54*INDEX('MP Referentiel'!F:F,MATCH(A54,'MP Referentiel'!A:A,0)),"")</f>
        <v>#ERROR!</v>
      </c>
      <c r="I54" s="235"/>
      <c r="J54" s="240"/>
    </row>
    <row r="55">
      <c r="A55" s="280" t="s">
        <v>352</v>
      </c>
      <c r="B55" s="226" t="s">
        <v>353</v>
      </c>
      <c r="C55" s="227"/>
      <c r="D55" s="227" t="str">
        <f>IFERROR(INDEX(Stock!E:E,MATCH(A55,Stock!A:A,0)),0)</f>
        <v>#ERROR!</v>
      </c>
      <c r="E55" s="227" t="str">
        <f>IFERROR(INDEX(Stock!F:F,MATCH(A55,Stock!A:A,0)),1)</f>
        <v>#ERROR!</v>
      </c>
      <c r="F55" s="227" t="str">
        <f>IFERROR(IF(F55=0,"",D55/(F55/7)),"")</f>
        <v>#ERROR!</v>
      </c>
      <c r="G55" s="227" t="str">
        <f>IF(AND(D55&lt;&gt;"",E55&lt;&gt;""),IF(D55&lt;E55,E55-D55,""),"")</f>
        <v>#ERROR!</v>
      </c>
      <c r="H55" s="281" t="str">
        <f>IFERROR(G55*INDEX('MP Referentiel'!F:F,MATCH(A55,'MP Referentiel'!A:A,0)),"")</f>
        <v>#ERROR!</v>
      </c>
      <c r="I55" s="227"/>
      <c r="J55" s="233"/>
    </row>
    <row r="56">
      <c r="A56" s="280" t="s">
        <v>354</v>
      </c>
      <c r="B56" s="234" t="s">
        <v>355</v>
      </c>
      <c r="C56" s="235"/>
      <c r="D56" s="235" t="str">
        <f>IFERROR(INDEX(Stock!E:E,MATCH(A56,Stock!A:A,0)),0)</f>
        <v>#ERROR!</v>
      </c>
      <c r="E56" s="235" t="str">
        <f>IFERROR(INDEX(Stock!F:F,MATCH(A56,Stock!A:A,0)),1)</f>
        <v>#ERROR!</v>
      </c>
      <c r="F56" s="235" t="str">
        <f>IFERROR(IF(F56=0,"",D56/(F56/7)),"")</f>
        <v>#ERROR!</v>
      </c>
      <c r="G56" s="235" t="str">
        <f>IF(AND(D56&lt;&gt;"",E56&lt;&gt;""),IF(D56&lt;E56,E56-D56,""),"")</f>
        <v>#ERROR!</v>
      </c>
      <c r="H56" s="283" t="str">
        <f>IFERROR(G56*INDEX('MP Referentiel'!F:F,MATCH(A56,'MP Referentiel'!A:A,0)),"")</f>
        <v>#ERROR!</v>
      </c>
      <c r="I56" s="235"/>
      <c r="J56" s="240"/>
    </row>
    <row r="57">
      <c r="A57" s="280" t="s">
        <v>356</v>
      </c>
      <c r="B57" s="226" t="s">
        <v>357</v>
      </c>
      <c r="C57" s="227"/>
      <c r="D57" s="227" t="str">
        <f>IFERROR(INDEX(Stock!E:E,MATCH(A57,Stock!A:A,0)),0)</f>
        <v>#ERROR!</v>
      </c>
      <c r="E57" s="227" t="str">
        <f>IFERROR(INDEX(Stock!F:F,MATCH(A57,Stock!A:A,0)),1)</f>
        <v>#ERROR!</v>
      </c>
      <c r="F57" s="227" t="str">
        <f>IFERROR(IF(F57=0,"",D57/(F57/7)),"")</f>
        <v>#ERROR!</v>
      </c>
      <c r="G57" s="227" t="str">
        <f>IF(AND(D57&lt;&gt;"",E57&lt;&gt;""),IF(D57&lt;E57,E57-D57,""),"")</f>
        <v>#ERROR!</v>
      </c>
      <c r="H57" s="281" t="str">
        <f>IFERROR(G57*INDEX('MP Referentiel'!F:F,MATCH(A57,'MP Referentiel'!A:A,0)),"")</f>
        <v>#ERROR!</v>
      </c>
      <c r="I57" s="227"/>
      <c r="J57" s="233"/>
    </row>
    <row r="58">
      <c r="A58" s="280" t="s">
        <v>359</v>
      </c>
      <c r="B58" s="234" t="s">
        <v>360</v>
      </c>
      <c r="C58" s="235"/>
      <c r="D58" s="235" t="str">
        <f>IFERROR(INDEX(Stock!E:E,MATCH(A58,Stock!A:A,0)),0)</f>
        <v>#ERROR!</v>
      </c>
      <c r="E58" s="235" t="str">
        <f>IFERROR(INDEX(Stock!F:F,MATCH(A58,Stock!A:A,0)),1)</f>
        <v>#ERROR!</v>
      </c>
      <c r="F58" s="235" t="str">
        <f>IFERROR(IF(F58=0,"",D58/(F58/7)),"")</f>
        <v>#ERROR!</v>
      </c>
      <c r="G58" s="235" t="str">
        <f>IF(AND(D58&lt;&gt;"",E58&lt;&gt;""),IF(D58&lt;E58,E58-D58,""),"")</f>
        <v>#ERROR!</v>
      </c>
      <c r="H58" s="283" t="str">
        <f>IFERROR(G58*INDEX('MP Referentiel'!F:F,MATCH(A58,'MP Referentiel'!A:A,0)),"")</f>
        <v>#ERROR!</v>
      </c>
      <c r="I58" s="235"/>
      <c r="J58" s="240"/>
    </row>
    <row r="59">
      <c r="A59" s="280" t="s">
        <v>362</v>
      </c>
      <c r="B59" s="226" t="s">
        <v>363</v>
      </c>
      <c r="C59" s="227"/>
      <c r="D59" s="227" t="str">
        <f>IFERROR(INDEX(Stock!E:E,MATCH(A59,Stock!A:A,0)),0)</f>
        <v>#ERROR!</v>
      </c>
      <c r="E59" s="227" t="str">
        <f>IFERROR(INDEX(Stock!F:F,MATCH(A59,Stock!A:A,0)),1)</f>
        <v>#ERROR!</v>
      </c>
      <c r="F59" s="227" t="str">
        <f>IFERROR(IF(F59=0,"",D59/(F59/7)),"")</f>
        <v>#ERROR!</v>
      </c>
      <c r="G59" s="227" t="str">
        <f>IF(AND(D59&lt;&gt;"",E59&lt;&gt;""),IF(D59&lt;E59,E59-D59,""),"")</f>
        <v>#ERROR!</v>
      </c>
      <c r="H59" s="281" t="str">
        <f>IFERROR(G59*INDEX('MP Referentiel'!F:F,MATCH(A59,'MP Referentiel'!A:A,0)),"")</f>
        <v>#ERROR!</v>
      </c>
      <c r="I59" s="227"/>
      <c r="J59" s="233"/>
    </row>
    <row r="60">
      <c r="A60" s="280" t="s">
        <v>364</v>
      </c>
      <c r="B60" s="234" t="s">
        <v>365</v>
      </c>
      <c r="C60" s="235"/>
      <c r="D60" s="235" t="str">
        <f>IFERROR(INDEX(Stock!E:E,MATCH(A60,Stock!A:A,0)),0)</f>
        <v>#ERROR!</v>
      </c>
      <c r="E60" s="235" t="str">
        <f>IFERROR(INDEX(Stock!F:F,MATCH(A60,Stock!A:A,0)),1)</f>
        <v>#ERROR!</v>
      </c>
      <c r="F60" s="235" t="str">
        <f>IFERROR(IF(F60=0,"",D60/(F60/7)),"")</f>
        <v>#ERROR!</v>
      </c>
      <c r="G60" s="235" t="str">
        <f>IF(AND(D60&lt;&gt;"",E60&lt;&gt;""),IF(D60&lt;E60,E60-D60,""),"")</f>
        <v>#ERROR!</v>
      </c>
      <c r="H60" s="283" t="str">
        <f>IFERROR(G60*INDEX('MP Referentiel'!F:F,MATCH(A60,'MP Referentiel'!A:A,0)),"")</f>
        <v>#ERROR!</v>
      </c>
      <c r="I60" s="235"/>
      <c r="J60" s="240"/>
    </row>
    <row r="61">
      <c r="A61" s="280" t="s">
        <v>366</v>
      </c>
      <c r="B61" s="226" t="s">
        <v>367</v>
      </c>
      <c r="C61" s="227"/>
      <c r="D61" s="227" t="str">
        <f>IFERROR(INDEX(Stock!E:E,MATCH(A61,Stock!A:A,0)),0)</f>
        <v>#ERROR!</v>
      </c>
      <c r="E61" s="227" t="str">
        <f>IFERROR(INDEX(Stock!F:F,MATCH(A61,Stock!A:A,0)),1)</f>
        <v>#ERROR!</v>
      </c>
      <c r="F61" s="227" t="str">
        <f>IFERROR(IF(F61=0,"",D61/(F61/7)),"")</f>
        <v>#ERROR!</v>
      </c>
      <c r="G61" s="227" t="str">
        <f>IF(AND(D61&lt;&gt;"",E61&lt;&gt;""),IF(D61&lt;E61,E61-D61,""),"")</f>
        <v>#ERROR!</v>
      </c>
      <c r="H61" s="281" t="str">
        <f>IFERROR(G61*INDEX('MP Referentiel'!F:F,MATCH(A61,'MP Referentiel'!A:A,0)),"")</f>
        <v>#ERROR!</v>
      </c>
      <c r="I61" s="227"/>
      <c r="J61" s="233"/>
    </row>
    <row r="62">
      <c r="A62" s="280" t="s">
        <v>368</v>
      </c>
      <c r="B62" s="234" t="s">
        <v>369</v>
      </c>
      <c r="C62" s="235"/>
      <c r="D62" s="235" t="str">
        <f>IFERROR(INDEX(Stock!E:E,MATCH(A62,Stock!A:A,0)),0)</f>
        <v>#ERROR!</v>
      </c>
      <c r="E62" s="235" t="str">
        <f>IFERROR(INDEX(Stock!F:F,MATCH(A62,Stock!A:A,0)),1)</f>
        <v>#ERROR!</v>
      </c>
      <c r="F62" s="235" t="str">
        <f>IFERROR(IF(F62=0,"",D62/(F62/7)),"")</f>
        <v>#ERROR!</v>
      </c>
      <c r="G62" s="235" t="str">
        <f>IF(AND(D62&lt;&gt;"",E62&lt;&gt;""),IF(D62&lt;E62,E62-D62,""),"")</f>
        <v>#ERROR!</v>
      </c>
      <c r="H62" s="283" t="str">
        <f>IFERROR(G62*INDEX('MP Referentiel'!F:F,MATCH(A62,'MP Referentiel'!A:A,0)),"")</f>
        <v>#ERROR!</v>
      </c>
      <c r="I62" s="235"/>
      <c r="J62" s="240"/>
    </row>
    <row r="63">
      <c r="A63" s="280" t="s">
        <v>371</v>
      </c>
      <c r="B63" s="226" t="s">
        <v>372</v>
      </c>
      <c r="C63" s="227"/>
      <c r="D63" s="227" t="str">
        <f>IFERROR(INDEX(Stock!E:E,MATCH(A63,Stock!A:A,0)),0)</f>
        <v>#ERROR!</v>
      </c>
      <c r="E63" s="227" t="str">
        <f>IFERROR(INDEX(Stock!F:F,MATCH(A63,Stock!A:A,0)),1)</f>
        <v>#ERROR!</v>
      </c>
      <c r="F63" s="227" t="str">
        <f>IFERROR(IF(F63=0,"",D63/(F63/7)),"")</f>
        <v>#ERROR!</v>
      </c>
      <c r="G63" s="227" t="str">
        <f>IF(AND(D63&lt;&gt;"",E63&lt;&gt;""),IF(D63&lt;E63,E63-D63,""),"")</f>
        <v>#ERROR!</v>
      </c>
      <c r="H63" s="281" t="str">
        <f>IFERROR(G63*INDEX('MP Referentiel'!F:F,MATCH(A63,'MP Referentiel'!A:A,0)),"")</f>
        <v>#ERROR!</v>
      </c>
      <c r="I63" s="227"/>
      <c r="J63" s="233"/>
    </row>
    <row r="64">
      <c r="A64" s="280" t="s">
        <v>374</v>
      </c>
      <c r="B64" s="234" t="s">
        <v>375</v>
      </c>
      <c r="C64" s="235"/>
      <c r="D64" s="235" t="str">
        <f>IFERROR(INDEX(Stock!E:E,MATCH(A64,Stock!A:A,0)),0)</f>
        <v>#ERROR!</v>
      </c>
      <c r="E64" s="235" t="str">
        <f>IFERROR(INDEX(Stock!F:F,MATCH(A64,Stock!A:A,0)),1)</f>
        <v>#ERROR!</v>
      </c>
      <c r="F64" s="235" t="str">
        <f>IFERROR(IF(F64=0,"",D64/(F64/7)),"")</f>
        <v>#ERROR!</v>
      </c>
      <c r="G64" s="235" t="str">
        <f>IF(AND(D64&lt;&gt;"",E64&lt;&gt;""),IF(D64&lt;E64,E64-D64,""),"")</f>
        <v>#ERROR!</v>
      </c>
      <c r="H64" s="283" t="str">
        <f>IFERROR(G64*INDEX('MP Referentiel'!F:F,MATCH(A64,'MP Referentiel'!A:A,0)),"")</f>
        <v>#ERROR!</v>
      </c>
      <c r="I64" s="235"/>
      <c r="J64" s="240"/>
    </row>
    <row r="65">
      <c r="A65" s="280" t="s">
        <v>376</v>
      </c>
      <c r="B65" s="226" t="s">
        <v>377</v>
      </c>
      <c r="C65" s="227"/>
      <c r="D65" s="227" t="str">
        <f>IFERROR(INDEX(Stock!E:E,MATCH(A65,Stock!A:A,0)),0)</f>
        <v>#ERROR!</v>
      </c>
      <c r="E65" s="227" t="str">
        <f>IFERROR(INDEX(Stock!F:F,MATCH(A65,Stock!A:A,0)),1)</f>
        <v>#ERROR!</v>
      </c>
      <c r="F65" s="227" t="str">
        <f>IFERROR(IF(F65=0,"",D65/(F65/7)),"")</f>
        <v>#ERROR!</v>
      </c>
      <c r="G65" s="227" t="str">
        <f>IF(AND(D65&lt;&gt;"",E65&lt;&gt;""),IF(D65&lt;E65,E65-D65,""),"")</f>
        <v>#ERROR!</v>
      </c>
      <c r="H65" s="281" t="str">
        <f>IFERROR(G65*INDEX('MP Referentiel'!F:F,MATCH(A65,'MP Referentiel'!A:A,0)),"")</f>
        <v>#ERROR!</v>
      </c>
      <c r="I65" s="227"/>
      <c r="J65" s="233"/>
    </row>
    <row r="66">
      <c r="A66" s="280" t="s">
        <v>378</v>
      </c>
      <c r="B66" s="234" t="s">
        <v>379</v>
      </c>
      <c r="C66" s="235"/>
      <c r="D66" s="235" t="str">
        <f>IFERROR(INDEX(Stock!E:E,MATCH(A66,Stock!A:A,0)),0)</f>
        <v>#ERROR!</v>
      </c>
      <c r="E66" s="235" t="str">
        <f>IFERROR(INDEX(Stock!F:F,MATCH(A66,Stock!A:A,0)),1)</f>
        <v>#ERROR!</v>
      </c>
      <c r="F66" s="235" t="str">
        <f>IFERROR(IF(F66=0,"",D66/(F66/7)),"")</f>
        <v>#ERROR!</v>
      </c>
      <c r="G66" s="235" t="str">
        <f>IF(AND(D66&lt;&gt;"",E66&lt;&gt;""),IF(D66&lt;E66,E66-D66,""),"")</f>
        <v>#ERROR!</v>
      </c>
      <c r="H66" s="283" t="str">
        <f>IFERROR(G66*INDEX('MP Referentiel'!F:F,MATCH(A66,'MP Referentiel'!A:A,0)),"")</f>
        <v>#ERROR!</v>
      </c>
      <c r="I66" s="235"/>
      <c r="J66" s="240"/>
    </row>
    <row r="67">
      <c r="A67" s="280" t="s">
        <v>381</v>
      </c>
      <c r="B67" s="226" t="s">
        <v>382</v>
      </c>
      <c r="C67" s="227"/>
      <c r="D67" s="227" t="str">
        <f>IFERROR(INDEX(Stock!E:E,MATCH(A67,Stock!A:A,0)),0)</f>
        <v>#ERROR!</v>
      </c>
      <c r="E67" s="227" t="str">
        <f>IFERROR(INDEX(Stock!F:F,MATCH(A67,Stock!A:A,0)),1)</f>
        <v>#ERROR!</v>
      </c>
      <c r="F67" s="227" t="str">
        <f>IFERROR(IF(F67=0,"",D67/(F67/7)),"")</f>
        <v>#ERROR!</v>
      </c>
      <c r="G67" s="227" t="str">
        <f>IF(AND(D67&lt;&gt;"",E67&lt;&gt;""),IF(D67&lt;E67,E67-D67,""),"")</f>
        <v>#ERROR!</v>
      </c>
      <c r="H67" s="281" t="str">
        <f>IFERROR(G67*INDEX('MP Referentiel'!F:F,MATCH(A67,'MP Referentiel'!A:A,0)),"")</f>
        <v>#ERROR!</v>
      </c>
      <c r="I67" s="227"/>
      <c r="J67" s="233"/>
    </row>
    <row r="68">
      <c r="A68" s="280" t="s">
        <v>383</v>
      </c>
      <c r="B68" s="234" t="s">
        <v>384</v>
      </c>
      <c r="C68" s="235"/>
      <c r="D68" s="235" t="str">
        <f>IFERROR(INDEX(Stock!E:E,MATCH(A68,Stock!A:A,0)),0)</f>
        <v>#ERROR!</v>
      </c>
      <c r="E68" s="235" t="str">
        <f>IFERROR(INDEX(Stock!F:F,MATCH(A68,Stock!A:A,0)),1)</f>
        <v>#ERROR!</v>
      </c>
      <c r="F68" s="235" t="str">
        <f>IFERROR(IF(F68=0,"",D68/(F68/7)),"")</f>
        <v>#ERROR!</v>
      </c>
      <c r="G68" s="235" t="str">
        <f>IF(AND(D68&lt;&gt;"",E68&lt;&gt;""),IF(D68&lt;E68,E68-D68,""),"")</f>
        <v>#ERROR!</v>
      </c>
      <c r="H68" s="283" t="str">
        <f>IFERROR(G68*INDEX('MP Referentiel'!F:F,MATCH(A68,'MP Referentiel'!A:A,0)),"")</f>
        <v>#ERROR!</v>
      </c>
      <c r="I68" s="235"/>
      <c r="J68" s="240"/>
    </row>
    <row r="69">
      <c r="A69" s="280" t="s">
        <v>387</v>
      </c>
      <c r="B69" s="226" t="s">
        <v>388</v>
      </c>
      <c r="C69" s="227"/>
      <c r="D69" s="227" t="str">
        <f>IFERROR(INDEX(Stock!E:E,MATCH(A69,Stock!A:A,0)),0)</f>
        <v>#ERROR!</v>
      </c>
      <c r="E69" s="227" t="str">
        <f>IFERROR(INDEX(Stock!F:F,MATCH(A69,Stock!A:A,0)),1)</f>
        <v>#ERROR!</v>
      </c>
      <c r="F69" s="227" t="str">
        <f>IFERROR(IF(F69=0,"",D69/(F69/7)),"")</f>
        <v>#ERROR!</v>
      </c>
      <c r="G69" s="227" t="str">
        <f>IF(AND(D69&lt;&gt;"",E69&lt;&gt;""),IF(D69&lt;E69,E69-D69,""),"")</f>
        <v>#ERROR!</v>
      </c>
      <c r="H69" s="281" t="str">
        <f>IFERROR(G69*INDEX('MP Referentiel'!F:F,MATCH(A69,'MP Referentiel'!A:A,0)),"")</f>
        <v>#ERROR!</v>
      </c>
      <c r="I69" s="227"/>
      <c r="J69" s="233"/>
    </row>
    <row r="70">
      <c r="A70" s="280" t="s">
        <v>389</v>
      </c>
      <c r="B70" s="234" t="s">
        <v>390</v>
      </c>
      <c r="C70" s="235"/>
      <c r="D70" s="235" t="str">
        <f>IFERROR(INDEX(Stock!E:E,MATCH(A70,Stock!A:A,0)),0)</f>
        <v>#ERROR!</v>
      </c>
      <c r="E70" s="235" t="str">
        <f>IFERROR(INDEX(Stock!F:F,MATCH(A70,Stock!A:A,0)),1)</f>
        <v>#ERROR!</v>
      </c>
      <c r="F70" s="235" t="str">
        <f>IFERROR(IF(F70=0,"",D70/(F70/7)),"")</f>
        <v>#ERROR!</v>
      </c>
      <c r="G70" s="235" t="str">
        <f>IF(AND(D70&lt;&gt;"",E70&lt;&gt;""),IF(D70&lt;E70,E70-D70,""),"")</f>
        <v>#ERROR!</v>
      </c>
      <c r="H70" s="283" t="str">
        <f>IFERROR(G70*INDEX('MP Referentiel'!F:F,MATCH(A70,'MP Referentiel'!A:A,0)),"")</f>
        <v>#ERROR!</v>
      </c>
      <c r="I70" s="235"/>
      <c r="J70" s="240"/>
    </row>
    <row r="71">
      <c r="A71" s="280" t="s">
        <v>391</v>
      </c>
      <c r="B71" s="226" t="s">
        <v>392</v>
      </c>
      <c r="C71" s="227"/>
      <c r="D71" s="227" t="str">
        <f>IFERROR(INDEX(Stock!E:E,MATCH(A71,Stock!A:A,0)),0)</f>
        <v>#ERROR!</v>
      </c>
      <c r="E71" s="227" t="str">
        <f>IFERROR(INDEX(Stock!F:F,MATCH(A71,Stock!A:A,0)),1)</f>
        <v>#ERROR!</v>
      </c>
      <c r="F71" s="227" t="str">
        <f>IFERROR(IF(F71=0,"",D71/(F71/7)),"")</f>
        <v>#ERROR!</v>
      </c>
      <c r="G71" s="227" t="str">
        <f>IF(AND(D71&lt;&gt;"",E71&lt;&gt;""),IF(D71&lt;E71,E71-D71,""),"")</f>
        <v>#ERROR!</v>
      </c>
      <c r="H71" s="281" t="str">
        <f>IFERROR(G71*INDEX('MP Referentiel'!F:F,MATCH(A71,'MP Referentiel'!A:A,0)),"")</f>
        <v>#ERROR!</v>
      </c>
      <c r="I71" s="227"/>
      <c r="J71" s="233"/>
    </row>
    <row r="72">
      <c r="A72" s="280" t="s">
        <v>393</v>
      </c>
      <c r="B72" s="234" t="s">
        <v>394</v>
      </c>
      <c r="C72" s="235"/>
      <c r="D72" s="235" t="str">
        <f>IFERROR(INDEX(Stock!E:E,MATCH(A72,Stock!A:A,0)),0)</f>
        <v>#ERROR!</v>
      </c>
      <c r="E72" s="235" t="str">
        <f>IFERROR(INDEX(Stock!F:F,MATCH(A72,Stock!A:A,0)),1)</f>
        <v>#ERROR!</v>
      </c>
      <c r="F72" s="235" t="str">
        <f>IFERROR(IF(F72=0,"",D72/(F72/7)),"")</f>
        <v>#ERROR!</v>
      </c>
      <c r="G72" s="235" t="str">
        <f>IF(AND(D72&lt;&gt;"",E72&lt;&gt;""),IF(D72&lt;E72,E72-D72,""),"")</f>
        <v>#ERROR!</v>
      </c>
      <c r="H72" s="283" t="str">
        <f>IFERROR(G72*INDEX('MP Referentiel'!F:F,MATCH(A72,'MP Referentiel'!A:A,0)),"")</f>
        <v>#ERROR!</v>
      </c>
      <c r="I72" s="235"/>
      <c r="J72" s="240"/>
    </row>
    <row r="73">
      <c r="A73" s="280" t="s">
        <v>395</v>
      </c>
      <c r="B73" s="226" t="s">
        <v>396</v>
      </c>
      <c r="C73" s="227"/>
      <c r="D73" s="227" t="str">
        <f>IFERROR(INDEX(Stock!E:E,MATCH(A73,Stock!A:A,0)),0)</f>
        <v>#ERROR!</v>
      </c>
      <c r="E73" s="227" t="str">
        <f>IFERROR(INDEX(Stock!F:F,MATCH(A73,Stock!A:A,0)),1)</f>
        <v>#ERROR!</v>
      </c>
      <c r="F73" s="227" t="str">
        <f>IFERROR(IF(F73=0,"",D73/(F73/7)),"")</f>
        <v>#ERROR!</v>
      </c>
      <c r="G73" s="227" t="str">
        <f>IF(AND(D73&lt;&gt;"",E73&lt;&gt;""),IF(D73&lt;E73,E73-D73,""),"")</f>
        <v>#ERROR!</v>
      </c>
      <c r="H73" s="281" t="str">
        <f>IFERROR(G73*INDEX('MP Referentiel'!F:F,MATCH(A73,'MP Referentiel'!A:A,0)),"")</f>
        <v>#ERROR!</v>
      </c>
      <c r="I73" s="227"/>
      <c r="J73" s="233"/>
    </row>
    <row r="74">
      <c r="A74" s="280" t="s">
        <v>397</v>
      </c>
      <c r="B74" s="234" t="s">
        <v>398</v>
      </c>
      <c r="C74" s="235"/>
      <c r="D74" s="235" t="str">
        <f>IFERROR(INDEX(Stock!E:E,MATCH(A74,Stock!A:A,0)),0)</f>
        <v>#ERROR!</v>
      </c>
      <c r="E74" s="235" t="str">
        <f>IFERROR(INDEX(Stock!F:F,MATCH(A74,Stock!A:A,0)),1)</f>
        <v>#ERROR!</v>
      </c>
      <c r="F74" s="235" t="str">
        <f>IFERROR(IF(F74=0,"",D74/(F74/7)),"")</f>
        <v>#ERROR!</v>
      </c>
      <c r="G74" s="235" t="str">
        <f>IF(AND(D74&lt;&gt;"",E74&lt;&gt;""),IF(D74&lt;E74,E74-D74,""),"")</f>
        <v>#ERROR!</v>
      </c>
      <c r="H74" s="283" t="str">
        <f>IFERROR(G74*INDEX('MP Referentiel'!F:F,MATCH(A74,'MP Referentiel'!A:A,0)),"")</f>
        <v>#ERROR!</v>
      </c>
      <c r="I74" s="235"/>
      <c r="J74" s="240"/>
    </row>
    <row r="75">
      <c r="A75" s="280" t="s">
        <v>399</v>
      </c>
      <c r="B75" s="226" t="s">
        <v>400</v>
      </c>
      <c r="C75" s="227"/>
      <c r="D75" s="227" t="str">
        <f>IFERROR(INDEX(Stock!E:E,MATCH(A75,Stock!A:A,0)),0)</f>
        <v>#ERROR!</v>
      </c>
      <c r="E75" s="227" t="str">
        <f>IFERROR(INDEX(Stock!F:F,MATCH(A75,Stock!A:A,0)),1)</f>
        <v>#ERROR!</v>
      </c>
      <c r="F75" s="227" t="str">
        <f>IFERROR(IF(F75=0,"",D75/(F75/7)),"")</f>
        <v>#ERROR!</v>
      </c>
      <c r="G75" s="227" t="str">
        <f>IF(AND(D75&lt;&gt;"",E75&lt;&gt;""),IF(D75&lt;E75,E75-D75,""),"")</f>
        <v>#ERROR!</v>
      </c>
      <c r="H75" s="281" t="str">
        <f>IFERROR(G75*INDEX('MP Referentiel'!F:F,MATCH(A75,'MP Referentiel'!A:A,0)),"")</f>
        <v>#ERROR!</v>
      </c>
      <c r="I75" s="227"/>
      <c r="J75" s="233"/>
    </row>
    <row r="76">
      <c r="A76" s="280" t="s">
        <v>401</v>
      </c>
      <c r="B76" s="234" t="s">
        <v>402</v>
      </c>
      <c r="C76" s="235"/>
      <c r="D76" s="235" t="str">
        <f>IFERROR(INDEX(Stock!E:E,MATCH(A76,Stock!A:A,0)),0)</f>
        <v>#ERROR!</v>
      </c>
      <c r="E76" s="235" t="str">
        <f>IFERROR(INDEX(Stock!F:F,MATCH(A76,Stock!A:A,0)),1)</f>
        <v>#ERROR!</v>
      </c>
      <c r="F76" s="235" t="str">
        <f>IFERROR(IF(F76=0,"",D76/(F76/7)),"")</f>
        <v>#ERROR!</v>
      </c>
      <c r="G76" s="235" t="str">
        <f>IF(AND(D76&lt;&gt;"",E76&lt;&gt;""),IF(D76&lt;E76,E76-D76,""),"")</f>
        <v>#ERROR!</v>
      </c>
      <c r="H76" s="283" t="str">
        <f>IFERROR(G76*INDEX('MP Referentiel'!F:F,MATCH(A76,'MP Referentiel'!A:A,0)),"")</f>
        <v>#ERROR!</v>
      </c>
      <c r="I76" s="235"/>
      <c r="J76" s="240"/>
    </row>
    <row r="77">
      <c r="A77" s="265"/>
      <c r="B77" s="227"/>
      <c r="C77" s="227"/>
      <c r="D77" s="227" t="str">
        <f>IFERROR(INDEX(Stock!E:E,MATCH(A77,Stock!A:A,0)),0)</f>
        <v>#ERROR!</v>
      </c>
      <c r="E77" s="227" t="str">
        <f>IFERROR(INDEX(Stock!F:F,MATCH(A77,Stock!A:A,0)),1)</f>
        <v>#ERROR!</v>
      </c>
      <c r="F77" s="227" t="str">
        <f>IFERROR(IF(F77=0,"",D77/(F77/7)),"")</f>
        <v>#ERROR!</v>
      </c>
      <c r="G77" s="227" t="str">
        <f>IF(AND(D77&lt;&gt;"",E77&lt;&gt;""),IF(D77&lt;E77,E77-D77,""),"")</f>
        <v>#ERROR!</v>
      </c>
      <c r="H77" s="281" t="str">
        <f>IFERROR(G77*INDEX('MP Referentiel'!F:F,MATCH(A77,'MP Referentiel'!A:A,0)),"")</f>
        <v>#ERROR!</v>
      </c>
      <c r="I77" s="227"/>
      <c r="J77" s="233"/>
    </row>
    <row r="78">
      <c r="A78" s="269"/>
      <c r="B78" s="235"/>
      <c r="C78" s="235"/>
      <c r="D78" s="235" t="str">
        <f>IFERROR(INDEX(Stock!E:E,MATCH(A78,Stock!A:A,0)),0)</f>
        <v>#ERROR!</v>
      </c>
      <c r="E78" s="235" t="str">
        <f>IFERROR(INDEX(Stock!F:F,MATCH(A78,Stock!A:A,0)),1)</f>
        <v>#ERROR!</v>
      </c>
      <c r="F78" s="235" t="str">
        <f>IFERROR(IF(F78=0,"",D78/(F78/7)),"")</f>
        <v>#ERROR!</v>
      </c>
      <c r="G78" s="235" t="str">
        <f>IF(AND(D78&lt;&gt;"",E78&lt;&gt;""),IF(D78&lt;E78,E78-D78,""),"")</f>
        <v>#ERROR!</v>
      </c>
      <c r="H78" s="283" t="str">
        <f>IFERROR(G78*INDEX('MP Referentiel'!F:F,MATCH(A78,'MP Referentiel'!A:A,0)),"")</f>
        <v>#ERROR!</v>
      </c>
      <c r="I78" s="235"/>
      <c r="J78" s="240"/>
    </row>
    <row r="79">
      <c r="A79" s="265"/>
      <c r="B79" s="227"/>
      <c r="C79" s="227"/>
      <c r="D79" s="227" t="str">
        <f>IFERROR(INDEX(Stock!E:E,MATCH(A79,Stock!A:A,0)),0)</f>
        <v>#ERROR!</v>
      </c>
      <c r="E79" s="227" t="str">
        <f>IFERROR(INDEX(Stock!F:F,MATCH(A79,Stock!A:A,0)),1)</f>
        <v>#ERROR!</v>
      </c>
      <c r="F79" s="227" t="str">
        <f>IFERROR(IF(F79=0,"",D79/(F79/7)),"")</f>
        <v>#ERROR!</v>
      </c>
      <c r="G79" s="227" t="str">
        <f>IF(AND(D79&lt;&gt;"",E79&lt;&gt;""),IF(D79&lt;E79,E79-D79,""),"")</f>
        <v>#ERROR!</v>
      </c>
      <c r="H79" s="281" t="str">
        <f>IFERROR(G79*INDEX('MP Referentiel'!F:F,MATCH(A79,'MP Referentiel'!A:A,0)),"")</f>
        <v>#ERROR!</v>
      </c>
      <c r="I79" s="227"/>
      <c r="J79" s="233"/>
    </row>
    <row r="80">
      <c r="A80" s="269"/>
      <c r="B80" s="235"/>
      <c r="C80" s="235"/>
      <c r="D80" s="235" t="str">
        <f>IFERROR(INDEX(Stock!E:E,MATCH(A80,Stock!A:A,0)),0)</f>
        <v>#ERROR!</v>
      </c>
      <c r="E80" s="235" t="str">
        <f>IFERROR(INDEX(Stock!F:F,MATCH(A80,Stock!A:A,0)),1)</f>
        <v>#ERROR!</v>
      </c>
      <c r="F80" s="235" t="str">
        <f>IFERROR(IF(F80=0,"",D80/(F80/7)),"")</f>
        <v>#ERROR!</v>
      </c>
      <c r="G80" s="235" t="str">
        <f>IF(AND(D80&lt;&gt;"",E80&lt;&gt;""),IF(D80&lt;E80,E80-D80,""),"")</f>
        <v>#ERROR!</v>
      </c>
      <c r="H80" s="283" t="str">
        <f>IFERROR(G80*INDEX('MP Referentiel'!F:F,MATCH(A80,'MP Referentiel'!A:A,0)),"")</f>
        <v>#ERROR!</v>
      </c>
      <c r="I80" s="235"/>
      <c r="J80" s="240"/>
    </row>
    <row r="81">
      <c r="A81" s="265"/>
      <c r="B81" s="227"/>
      <c r="C81" s="227"/>
      <c r="D81" s="227" t="str">
        <f>IFERROR(INDEX(Stock!E:E,MATCH(A81,Stock!A:A,0)),0)</f>
        <v>#ERROR!</v>
      </c>
      <c r="E81" s="227" t="str">
        <f>IFERROR(INDEX(Stock!F:F,MATCH(A81,Stock!A:A,0)),1)</f>
        <v>#ERROR!</v>
      </c>
      <c r="F81" s="227" t="str">
        <f>IFERROR(IF(F81=0,"",D81/(F81/7)),"")</f>
        <v>#ERROR!</v>
      </c>
      <c r="G81" s="227" t="str">
        <f>IF(AND(D81&lt;&gt;"",E81&lt;&gt;""),IF(D81&lt;E81,E81-D81,""),"")</f>
        <v>#ERROR!</v>
      </c>
      <c r="H81" s="281" t="str">
        <f>IFERROR(G81*INDEX('MP Referentiel'!F:F,MATCH(A81,'MP Referentiel'!A:A,0)),"")</f>
        <v>#ERROR!</v>
      </c>
      <c r="I81" s="227"/>
      <c r="J81" s="233"/>
    </row>
    <row r="82">
      <c r="A82" s="269"/>
      <c r="B82" s="235"/>
      <c r="C82" s="235"/>
      <c r="D82" s="235" t="str">
        <f>IFERROR(INDEX(Stock!E:E,MATCH(A82,Stock!A:A,0)),0)</f>
        <v>#ERROR!</v>
      </c>
      <c r="E82" s="235" t="str">
        <f>IFERROR(INDEX(Stock!F:F,MATCH(A82,Stock!A:A,0)),1)</f>
        <v>#ERROR!</v>
      </c>
      <c r="F82" s="235" t="str">
        <f>IFERROR(IF(F82=0,"",D82/(F82/7)),"")</f>
        <v>#ERROR!</v>
      </c>
      <c r="G82" s="235" t="str">
        <f>IF(AND(D82&lt;&gt;"",E82&lt;&gt;""),IF(D82&lt;E82,E82-D82,""),"")</f>
        <v>#ERROR!</v>
      </c>
      <c r="H82" s="283" t="str">
        <f>IFERROR(G82*INDEX('MP Referentiel'!F:F,MATCH(A82,'MP Referentiel'!A:A,0)),"")</f>
        <v>#ERROR!</v>
      </c>
      <c r="I82" s="235"/>
      <c r="J82" s="240"/>
    </row>
    <row r="83">
      <c r="A83" s="265"/>
      <c r="B83" s="227"/>
      <c r="C83" s="227"/>
      <c r="D83" s="227" t="str">
        <f>IFERROR(INDEX(Stock!E:E,MATCH(A83,Stock!A:A,0)),0)</f>
        <v>#ERROR!</v>
      </c>
      <c r="E83" s="227" t="str">
        <f>IFERROR(INDEX(Stock!F:F,MATCH(A83,Stock!A:A,0)),1)</f>
        <v>#ERROR!</v>
      </c>
      <c r="F83" s="227" t="str">
        <f>IFERROR(IF(F83=0,"",D83/(F83/7)),"")</f>
        <v>#ERROR!</v>
      </c>
      <c r="G83" s="227" t="str">
        <f>IF(AND(D83&lt;&gt;"",E83&lt;&gt;""),IF(D83&lt;E83,E83-D83,""),"")</f>
        <v>#ERROR!</v>
      </c>
      <c r="H83" s="281" t="str">
        <f>IFERROR(G83*INDEX('MP Referentiel'!F:F,MATCH(A83,'MP Referentiel'!A:A,0)),"")</f>
        <v>#ERROR!</v>
      </c>
      <c r="I83" s="227"/>
      <c r="J83" s="233"/>
    </row>
    <row r="84">
      <c r="A84" s="269"/>
      <c r="B84" s="235"/>
      <c r="C84" s="235"/>
      <c r="D84" s="235" t="str">
        <f>IFERROR(INDEX(Stock!E:E,MATCH(A84,Stock!A:A,0)),0)</f>
        <v>#ERROR!</v>
      </c>
      <c r="E84" s="235" t="str">
        <f>IFERROR(INDEX(Stock!F:F,MATCH(A84,Stock!A:A,0)),1)</f>
        <v>#ERROR!</v>
      </c>
      <c r="F84" s="235" t="str">
        <f>IFERROR(IF(F84=0,"",D84/(F84/7)),"")</f>
        <v>#ERROR!</v>
      </c>
      <c r="G84" s="235" t="str">
        <f>IF(AND(D84&lt;&gt;"",E84&lt;&gt;""),IF(D84&lt;E84,E84-D84,""),"")</f>
        <v>#ERROR!</v>
      </c>
      <c r="H84" s="283" t="str">
        <f>IFERROR(G84*INDEX('MP Referentiel'!F:F,MATCH(A84,'MP Referentiel'!A:A,0)),"")</f>
        <v>#ERROR!</v>
      </c>
      <c r="I84" s="235"/>
      <c r="J84" s="240"/>
    </row>
    <row r="85">
      <c r="A85" s="265"/>
      <c r="B85" s="227"/>
      <c r="C85" s="227"/>
      <c r="D85" s="227" t="str">
        <f>IFERROR(INDEX(Stock!E:E,MATCH(A85,Stock!A:A,0)),0)</f>
        <v>#ERROR!</v>
      </c>
      <c r="E85" s="227" t="str">
        <f>IFERROR(INDEX(Stock!F:F,MATCH(A85,Stock!A:A,0)),1)</f>
        <v>#ERROR!</v>
      </c>
      <c r="F85" s="227" t="str">
        <f>IFERROR(IF(F85=0,"",D85/(F85/7)),"")</f>
        <v>#ERROR!</v>
      </c>
      <c r="G85" s="227" t="str">
        <f>IF(AND(D85&lt;&gt;"",E85&lt;&gt;""),IF(D85&lt;E85,E85-D85,""),"")</f>
        <v>#ERROR!</v>
      </c>
      <c r="H85" s="281" t="str">
        <f>IFERROR(G85*INDEX('MP Referentiel'!F:F,MATCH(A85,'MP Referentiel'!A:A,0)),"")</f>
        <v>#ERROR!</v>
      </c>
      <c r="I85" s="227"/>
      <c r="J85" s="233"/>
    </row>
    <row r="86">
      <c r="A86" s="269"/>
      <c r="B86" s="235"/>
      <c r="C86" s="235"/>
      <c r="D86" s="235" t="str">
        <f>IFERROR(INDEX(Stock!E:E,MATCH(A86,Stock!A:A,0)),0)</f>
        <v>#ERROR!</v>
      </c>
      <c r="E86" s="235" t="str">
        <f>IFERROR(INDEX(Stock!F:F,MATCH(A86,Stock!A:A,0)),1)</f>
        <v>#ERROR!</v>
      </c>
      <c r="F86" s="235" t="str">
        <f>IFERROR(IF(F86=0,"",D86/(F86/7)),"")</f>
        <v>#ERROR!</v>
      </c>
      <c r="G86" s="235" t="str">
        <f>IF(AND(D86&lt;&gt;"",E86&lt;&gt;""),IF(D86&lt;E86,E86-D86,""),"")</f>
        <v>#ERROR!</v>
      </c>
      <c r="H86" s="283" t="str">
        <f>IFERROR(G86*INDEX('MP Referentiel'!F:F,MATCH(A86,'MP Referentiel'!A:A,0)),"")</f>
        <v>#ERROR!</v>
      </c>
      <c r="I86" s="235"/>
      <c r="J86" s="240"/>
    </row>
    <row r="87">
      <c r="A87" s="265"/>
      <c r="B87" s="227"/>
      <c r="C87" s="227"/>
      <c r="D87" s="227" t="str">
        <f>IFERROR(INDEX(Stock!E:E,MATCH(A87,Stock!A:A,0)),0)</f>
        <v>#ERROR!</v>
      </c>
      <c r="E87" s="227" t="str">
        <f>IFERROR(INDEX(Stock!F:F,MATCH(A87,Stock!A:A,0)),1)</f>
        <v>#ERROR!</v>
      </c>
      <c r="F87" s="227" t="str">
        <f>IFERROR(IF(F87=0,"",D87/(F87/7)),"")</f>
        <v>#ERROR!</v>
      </c>
      <c r="G87" s="227" t="str">
        <f>IF(AND(D87&lt;&gt;"",E87&lt;&gt;""),IF(D87&lt;E87,E87-D87,""),"")</f>
        <v>#ERROR!</v>
      </c>
      <c r="H87" s="281" t="str">
        <f>IFERROR(G87*INDEX('MP Referentiel'!F:F,MATCH(A87,'MP Referentiel'!A:A,0)),"")</f>
        <v>#ERROR!</v>
      </c>
      <c r="I87" s="227"/>
      <c r="J87" s="233"/>
    </row>
    <row r="88">
      <c r="A88" s="269"/>
      <c r="B88" s="235"/>
      <c r="C88" s="235"/>
      <c r="D88" s="235" t="str">
        <f>IFERROR(INDEX(Stock!E:E,MATCH(A88,Stock!A:A,0)),0)</f>
        <v>#ERROR!</v>
      </c>
      <c r="E88" s="235" t="str">
        <f>IFERROR(INDEX(Stock!F:F,MATCH(A88,Stock!A:A,0)),1)</f>
        <v>#ERROR!</v>
      </c>
      <c r="F88" s="235" t="str">
        <f>IFERROR(IF(F88=0,"",D88/(F88/7)),"")</f>
        <v>#ERROR!</v>
      </c>
      <c r="G88" s="235" t="str">
        <f>IF(AND(D88&lt;&gt;"",E88&lt;&gt;""),IF(D88&lt;E88,E88-D88,""),"")</f>
        <v>#ERROR!</v>
      </c>
      <c r="H88" s="283" t="str">
        <f>IFERROR(G88*INDEX('MP Referentiel'!F:F,MATCH(A88,'MP Referentiel'!A:A,0)),"")</f>
        <v>#ERROR!</v>
      </c>
      <c r="I88" s="235"/>
      <c r="J88" s="240"/>
    </row>
    <row r="89">
      <c r="A89" s="265"/>
      <c r="B89" s="227"/>
      <c r="C89" s="227"/>
      <c r="D89" s="227" t="str">
        <f>IFERROR(INDEX(Stock!E:E,MATCH(A89,Stock!A:A,0)),0)</f>
        <v>#ERROR!</v>
      </c>
      <c r="E89" s="227" t="str">
        <f>IFERROR(INDEX(Stock!F:F,MATCH(A89,Stock!A:A,0)),1)</f>
        <v>#ERROR!</v>
      </c>
      <c r="F89" s="227" t="str">
        <f>IFERROR(IF(F89=0,"",D89/(F89/7)),"")</f>
        <v>#ERROR!</v>
      </c>
      <c r="G89" s="227" t="str">
        <f>IF(AND(D89&lt;&gt;"",E89&lt;&gt;""),IF(D89&lt;E89,E89-D89,""),"")</f>
        <v>#ERROR!</v>
      </c>
      <c r="H89" s="281" t="str">
        <f>IFERROR(G89*INDEX('MP Referentiel'!F:F,MATCH(A89,'MP Referentiel'!A:A,0)),"")</f>
        <v>#ERROR!</v>
      </c>
      <c r="I89" s="227"/>
      <c r="J89" s="233"/>
    </row>
    <row r="90">
      <c r="A90" s="269"/>
      <c r="B90" s="235"/>
      <c r="C90" s="235"/>
      <c r="D90" s="235" t="str">
        <f>IFERROR(INDEX(Stock!E:E,MATCH(A90,Stock!A:A,0)),0)</f>
        <v>#ERROR!</v>
      </c>
      <c r="E90" s="235" t="str">
        <f>IFERROR(INDEX(Stock!F:F,MATCH(A90,Stock!A:A,0)),1)</f>
        <v>#ERROR!</v>
      </c>
      <c r="F90" s="235" t="str">
        <f>IFERROR(IF(F90=0,"",D90/(F90/7)),"")</f>
        <v>#ERROR!</v>
      </c>
      <c r="G90" s="235" t="str">
        <f>IF(AND(D90&lt;&gt;"",E90&lt;&gt;""),IF(D90&lt;E90,E90-D90,""),"")</f>
        <v>#ERROR!</v>
      </c>
      <c r="H90" s="283" t="str">
        <f>IFERROR(G90*INDEX('MP Referentiel'!F:F,MATCH(A90,'MP Referentiel'!A:A,0)),"")</f>
        <v>#ERROR!</v>
      </c>
      <c r="I90" s="235"/>
      <c r="J90" s="240"/>
    </row>
    <row r="91">
      <c r="A91" s="265"/>
      <c r="B91" s="227"/>
      <c r="C91" s="227"/>
      <c r="D91" s="227" t="str">
        <f>IFERROR(INDEX(Stock!E:E,MATCH(A91,Stock!A:A,0)),0)</f>
        <v>#ERROR!</v>
      </c>
      <c r="E91" s="227" t="str">
        <f>IFERROR(INDEX(Stock!F:F,MATCH(A91,Stock!A:A,0)),1)</f>
        <v>#ERROR!</v>
      </c>
      <c r="F91" s="227" t="str">
        <f>IFERROR(IF(F91=0,"",D91/(F91/7)),"")</f>
        <v>#ERROR!</v>
      </c>
      <c r="G91" s="227" t="str">
        <f>IF(AND(D91&lt;&gt;"",E91&lt;&gt;""),IF(D91&lt;E91,E91-D91,""),"")</f>
        <v>#ERROR!</v>
      </c>
      <c r="H91" s="281" t="str">
        <f>IFERROR(G91*INDEX('MP Referentiel'!F:F,MATCH(A91,'MP Referentiel'!A:A,0)),"")</f>
        <v>#ERROR!</v>
      </c>
      <c r="I91" s="227"/>
      <c r="J91" s="233"/>
    </row>
    <row r="92">
      <c r="A92" s="269"/>
      <c r="B92" s="235"/>
      <c r="C92" s="235"/>
      <c r="D92" s="235" t="str">
        <f>IFERROR(INDEX(Stock!E:E,MATCH(A92,Stock!A:A,0)),0)</f>
        <v>#ERROR!</v>
      </c>
      <c r="E92" s="235" t="str">
        <f>IFERROR(INDEX(Stock!F:F,MATCH(A92,Stock!A:A,0)),1)</f>
        <v>#ERROR!</v>
      </c>
      <c r="F92" s="235" t="str">
        <f>IFERROR(IF(F92=0,"",D92/(F92/7)),"")</f>
        <v>#ERROR!</v>
      </c>
      <c r="G92" s="235" t="str">
        <f>IF(AND(D92&lt;&gt;"",E92&lt;&gt;""),IF(D92&lt;E92,E92-D92,""),"")</f>
        <v>#ERROR!</v>
      </c>
      <c r="H92" s="283" t="str">
        <f>IFERROR(G92*INDEX('MP Referentiel'!F:F,MATCH(A92,'MP Referentiel'!A:A,0)),"")</f>
        <v>#ERROR!</v>
      </c>
      <c r="I92" s="235"/>
      <c r="J92" s="240"/>
    </row>
    <row r="93">
      <c r="A93" s="265"/>
      <c r="B93" s="227"/>
      <c r="C93" s="227"/>
      <c r="D93" s="227" t="str">
        <f>IFERROR(INDEX(Stock!E:E,MATCH(A93,Stock!A:A,0)),0)</f>
        <v>#ERROR!</v>
      </c>
      <c r="E93" s="227" t="str">
        <f>IFERROR(INDEX(Stock!F:F,MATCH(A93,Stock!A:A,0)),1)</f>
        <v>#ERROR!</v>
      </c>
      <c r="F93" s="227" t="str">
        <f>IFERROR(IF(F93=0,"",D93/(F93/7)),"")</f>
        <v>#ERROR!</v>
      </c>
      <c r="G93" s="227" t="str">
        <f>IF(AND(D93&lt;&gt;"",E93&lt;&gt;""),IF(D93&lt;E93,E93-D93,""),"")</f>
        <v>#ERROR!</v>
      </c>
      <c r="H93" s="281" t="str">
        <f>IFERROR(G93*INDEX('MP Referentiel'!F:F,MATCH(A93,'MP Referentiel'!A:A,0)),"")</f>
        <v>#ERROR!</v>
      </c>
      <c r="I93" s="227"/>
      <c r="J93" s="233"/>
    </row>
    <row r="94">
      <c r="A94" s="269"/>
      <c r="B94" s="235"/>
      <c r="C94" s="235"/>
      <c r="D94" s="235" t="str">
        <f>IFERROR(INDEX(Stock!E:E,MATCH(A94,Stock!A:A,0)),0)</f>
        <v>#ERROR!</v>
      </c>
      <c r="E94" s="235" t="str">
        <f>IFERROR(INDEX(Stock!F:F,MATCH(A94,Stock!A:A,0)),1)</f>
        <v>#ERROR!</v>
      </c>
      <c r="F94" s="235" t="str">
        <f>IFERROR(IF(F94=0,"",D94/(F94/7)),"")</f>
        <v>#ERROR!</v>
      </c>
      <c r="G94" s="235" t="str">
        <f>IF(AND(D94&lt;&gt;"",E94&lt;&gt;""),IF(D94&lt;E94,E94-D94,""),"")</f>
        <v>#ERROR!</v>
      </c>
      <c r="H94" s="283" t="str">
        <f>IFERROR(G94*INDEX('MP Referentiel'!F:F,MATCH(A94,'MP Referentiel'!A:A,0)),"")</f>
        <v>#ERROR!</v>
      </c>
      <c r="I94" s="235"/>
      <c r="J94" s="240"/>
    </row>
    <row r="95">
      <c r="A95" s="265"/>
      <c r="B95" s="227"/>
      <c r="C95" s="227"/>
      <c r="D95" s="227" t="str">
        <f>IFERROR(INDEX(Stock!E:E,MATCH(A95,Stock!A:A,0)),0)</f>
        <v>#ERROR!</v>
      </c>
      <c r="E95" s="227" t="str">
        <f>IFERROR(INDEX(Stock!F:F,MATCH(A95,Stock!A:A,0)),1)</f>
        <v>#ERROR!</v>
      </c>
      <c r="F95" s="227" t="str">
        <f>IFERROR(IF(F95=0,"",D95/(F95/7)),"")</f>
        <v>#ERROR!</v>
      </c>
      <c r="G95" s="227" t="str">
        <f>IF(AND(D95&lt;&gt;"",E95&lt;&gt;""),IF(D95&lt;E95,E95-D95,""),"")</f>
        <v>#ERROR!</v>
      </c>
      <c r="H95" s="281" t="str">
        <f>IFERROR(G95*INDEX('MP Referentiel'!F:F,MATCH(A95,'MP Referentiel'!A:A,0)),"")</f>
        <v>#ERROR!</v>
      </c>
      <c r="I95" s="227"/>
      <c r="J95" s="233"/>
    </row>
    <row r="96">
      <c r="A96" s="269"/>
      <c r="B96" s="235"/>
      <c r="C96" s="235"/>
      <c r="D96" s="235" t="str">
        <f>IFERROR(INDEX(Stock!E:E,MATCH(A96,Stock!A:A,0)),0)</f>
        <v>#ERROR!</v>
      </c>
      <c r="E96" s="235" t="str">
        <f>IFERROR(INDEX(Stock!F:F,MATCH(A96,Stock!A:A,0)),1)</f>
        <v>#ERROR!</v>
      </c>
      <c r="F96" s="235" t="str">
        <f>IFERROR(IF(F96=0,"",D96/(F96/7)),"")</f>
        <v>#ERROR!</v>
      </c>
      <c r="G96" s="235" t="str">
        <f>IF(AND(D96&lt;&gt;"",E96&lt;&gt;""),IF(D96&lt;E96,E96-D96,""),"")</f>
        <v>#ERROR!</v>
      </c>
      <c r="H96" s="283" t="str">
        <f>IFERROR(G96*INDEX('MP Referentiel'!F:F,MATCH(A96,'MP Referentiel'!A:A,0)),"")</f>
        <v>#ERROR!</v>
      </c>
      <c r="I96" s="235"/>
      <c r="J96" s="240"/>
    </row>
    <row r="97">
      <c r="A97" s="265"/>
      <c r="B97" s="227"/>
      <c r="C97" s="227"/>
      <c r="D97" s="227" t="str">
        <f>IFERROR(INDEX(Stock!E:E,MATCH(A97,Stock!A:A,0)),0)</f>
        <v>#ERROR!</v>
      </c>
      <c r="E97" s="227" t="str">
        <f>IFERROR(INDEX(Stock!F:F,MATCH(A97,Stock!A:A,0)),1)</f>
        <v>#ERROR!</v>
      </c>
      <c r="F97" s="227" t="str">
        <f>IFERROR(IF(F97=0,"",D97/(F97/7)),"")</f>
        <v>#ERROR!</v>
      </c>
      <c r="G97" s="227" t="str">
        <f>IF(AND(D97&lt;&gt;"",E97&lt;&gt;""),IF(D97&lt;E97,E97-D97,""),"")</f>
        <v>#ERROR!</v>
      </c>
      <c r="H97" s="281" t="str">
        <f>IFERROR(G97*INDEX('MP Referentiel'!F:F,MATCH(A97,'MP Referentiel'!A:A,0)),"")</f>
        <v>#ERROR!</v>
      </c>
      <c r="I97" s="227"/>
      <c r="J97" s="233"/>
    </row>
    <row r="98">
      <c r="A98" s="269"/>
      <c r="B98" s="235"/>
      <c r="C98" s="235"/>
      <c r="D98" s="235" t="str">
        <f>IFERROR(INDEX(Stock!E:E,MATCH(A98,Stock!A:A,0)),0)</f>
        <v>#ERROR!</v>
      </c>
      <c r="E98" s="235" t="str">
        <f>IFERROR(INDEX(Stock!F:F,MATCH(A98,Stock!A:A,0)),1)</f>
        <v>#ERROR!</v>
      </c>
      <c r="F98" s="235" t="str">
        <f>IFERROR(IF(F98=0,"",D98/(F98/7)),"")</f>
        <v>#ERROR!</v>
      </c>
      <c r="G98" s="235" t="str">
        <f>IF(AND(D98&lt;&gt;"",E98&lt;&gt;""),IF(D98&lt;E98,E98-D98,""),"")</f>
        <v>#ERROR!</v>
      </c>
      <c r="H98" s="283" t="str">
        <f>IFERROR(G98*INDEX('MP Referentiel'!F:F,MATCH(A98,'MP Referentiel'!A:A,0)),"")</f>
        <v>#ERROR!</v>
      </c>
      <c r="I98" s="235"/>
      <c r="J98" s="240"/>
    </row>
    <row r="99">
      <c r="A99" s="265"/>
      <c r="B99" s="227"/>
      <c r="C99" s="227"/>
      <c r="D99" s="227" t="str">
        <f>IFERROR(INDEX(Stock!E:E,MATCH(A99,Stock!A:A,0)),0)</f>
        <v>#ERROR!</v>
      </c>
      <c r="E99" s="227" t="str">
        <f>IFERROR(INDEX(Stock!F:F,MATCH(A99,Stock!A:A,0)),1)</f>
        <v>#ERROR!</v>
      </c>
      <c r="F99" s="227" t="str">
        <f>IFERROR(IF(F99=0,"",D99/(F99/7)),"")</f>
        <v>#ERROR!</v>
      </c>
      <c r="G99" s="227" t="str">
        <f>IF(AND(D99&lt;&gt;"",E99&lt;&gt;""),IF(D99&lt;E99,E99-D99,""),"")</f>
        <v>#ERROR!</v>
      </c>
      <c r="H99" s="281" t="str">
        <f>IFERROR(G99*INDEX('MP Referentiel'!F:F,MATCH(A99,'MP Referentiel'!A:A,0)),"")</f>
        <v>#ERROR!</v>
      </c>
      <c r="I99" s="227"/>
      <c r="J99" s="233"/>
    </row>
    <row r="100">
      <c r="A100" s="269"/>
      <c r="B100" s="235"/>
      <c r="C100" s="235"/>
      <c r="D100" s="235" t="str">
        <f>IFERROR(INDEX(Stock!E:E,MATCH(A100,Stock!A:A,0)),0)</f>
        <v>#ERROR!</v>
      </c>
      <c r="E100" s="235" t="str">
        <f>IFERROR(INDEX(Stock!F:F,MATCH(A100,Stock!A:A,0)),1)</f>
        <v>#ERROR!</v>
      </c>
      <c r="F100" s="235" t="str">
        <f>IFERROR(IF(F100=0,"",D100/(F100/7)),"")</f>
        <v>#ERROR!</v>
      </c>
      <c r="G100" s="235" t="str">
        <f>IF(AND(D100&lt;&gt;"",E100&lt;&gt;""),IF(D100&lt;E100,E100-D100,""),"")</f>
        <v>#ERROR!</v>
      </c>
      <c r="H100" s="283" t="str">
        <f>IFERROR(G100*INDEX('MP Referentiel'!F:F,MATCH(A100,'MP Referentiel'!A:A,0)),"")</f>
        <v>#ERROR!</v>
      </c>
      <c r="I100" s="235"/>
      <c r="J100" s="240"/>
    </row>
    <row r="101">
      <c r="A101" s="265"/>
      <c r="B101" s="227"/>
      <c r="C101" s="227"/>
      <c r="D101" s="227" t="str">
        <f>IFERROR(INDEX(Stock!E:E,MATCH(A101,Stock!A:A,0)),0)</f>
        <v>#ERROR!</v>
      </c>
      <c r="E101" s="227" t="str">
        <f>IFERROR(INDEX(Stock!F:F,MATCH(A101,Stock!A:A,0)),1)</f>
        <v>#ERROR!</v>
      </c>
      <c r="F101" s="227" t="str">
        <f>IFERROR(IF(F101=0,"",D101/(F101/7)),"")</f>
        <v>#ERROR!</v>
      </c>
      <c r="G101" s="227" t="str">
        <f>IF(AND(D101&lt;&gt;"",E101&lt;&gt;""),IF(D101&lt;E101,E101-D101,""),"")</f>
        <v>#ERROR!</v>
      </c>
      <c r="H101" s="281" t="str">
        <f>IFERROR(G101*INDEX('MP Referentiel'!F:F,MATCH(A101,'MP Referentiel'!A:A,0)),"")</f>
        <v>#ERROR!</v>
      </c>
      <c r="I101" s="227"/>
      <c r="J101" s="233"/>
    </row>
    <row r="102">
      <c r="A102" s="269"/>
      <c r="B102" s="235"/>
      <c r="C102" s="235"/>
      <c r="D102" s="235" t="str">
        <f>IFERROR(INDEX(Stock!E:E,MATCH(A102,Stock!A:A,0)),0)</f>
        <v>#ERROR!</v>
      </c>
      <c r="E102" s="235" t="str">
        <f>IFERROR(INDEX(Stock!F:F,MATCH(A102,Stock!A:A,0)),1)</f>
        <v>#ERROR!</v>
      </c>
      <c r="F102" s="235" t="str">
        <f>IFERROR(IF(F102=0,"",D102/(F102/7)),"")</f>
        <v>#ERROR!</v>
      </c>
      <c r="G102" s="235" t="str">
        <f>IF(AND(D102&lt;&gt;"",E102&lt;&gt;""),IF(D102&lt;E102,E102-D102,""),"")</f>
        <v>#ERROR!</v>
      </c>
      <c r="H102" s="283" t="str">
        <f>IFERROR(G102*INDEX('MP Referentiel'!F:F,MATCH(A102,'MP Referentiel'!A:A,0)),"")</f>
        <v>#ERROR!</v>
      </c>
      <c r="I102" s="235"/>
      <c r="J102" s="240"/>
    </row>
    <row r="103">
      <c r="A103" s="265"/>
      <c r="B103" s="227"/>
      <c r="C103" s="227"/>
      <c r="D103" s="227" t="str">
        <f>IFERROR(INDEX(Stock!E:E,MATCH(A103,Stock!A:A,0)),0)</f>
        <v>#ERROR!</v>
      </c>
      <c r="E103" s="227" t="str">
        <f>IFERROR(INDEX(Stock!F:F,MATCH(A103,Stock!A:A,0)),1)</f>
        <v>#ERROR!</v>
      </c>
      <c r="F103" s="227" t="str">
        <f>IFERROR(IF(F103=0,"",D103/(F103/7)),"")</f>
        <v>#ERROR!</v>
      </c>
      <c r="G103" s="227" t="str">
        <f>IF(AND(D103&lt;&gt;"",E103&lt;&gt;""),IF(D103&lt;E103,E103-D103,""),"")</f>
        <v>#ERROR!</v>
      </c>
      <c r="H103" s="281" t="str">
        <f>IFERROR(G103*INDEX('MP Referentiel'!F:F,MATCH(A103,'MP Referentiel'!A:A,0)),"")</f>
        <v>#ERROR!</v>
      </c>
      <c r="I103" s="227"/>
      <c r="J103" s="233"/>
    </row>
    <row r="104">
      <c r="A104" s="269"/>
      <c r="B104" s="235"/>
      <c r="C104" s="235"/>
      <c r="D104" s="235" t="str">
        <f>IFERROR(INDEX(Stock!E:E,MATCH(A104,Stock!A:A,0)),0)</f>
        <v>#ERROR!</v>
      </c>
      <c r="E104" s="235" t="str">
        <f>IFERROR(INDEX(Stock!F:F,MATCH(A104,Stock!A:A,0)),1)</f>
        <v>#ERROR!</v>
      </c>
      <c r="F104" s="235" t="str">
        <f>IFERROR(IF(F104=0,"",D104/(F104/7)),"")</f>
        <v>#ERROR!</v>
      </c>
      <c r="G104" s="235" t="str">
        <f>IF(AND(D104&lt;&gt;"",E104&lt;&gt;""),IF(D104&lt;E104,E104-D104,""),"")</f>
        <v>#ERROR!</v>
      </c>
      <c r="H104" s="283" t="str">
        <f>IFERROR(G104*INDEX('MP Referentiel'!F:F,MATCH(A104,'MP Referentiel'!A:A,0)),"")</f>
        <v>#ERROR!</v>
      </c>
      <c r="I104" s="235"/>
      <c r="J104" s="240"/>
    </row>
    <row r="105">
      <c r="A105" s="265"/>
      <c r="B105" s="227"/>
      <c r="C105" s="227"/>
      <c r="D105" s="227" t="str">
        <f>IFERROR(INDEX(Stock!E:E,MATCH(A105,Stock!A:A,0)),0)</f>
        <v>#ERROR!</v>
      </c>
      <c r="E105" s="227" t="str">
        <f>IFERROR(INDEX(Stock!F:F,MATCH(A105,Stock!A:A,0)),1)</f>
        <v>#ERROR!</v>
      </c>
      <c r="F105" s="227" t="str">
        <f>IFERROR(IF(F105=0,"",D105/(F105/7)),"")</f>
        <v>#ERROR!</v>
      </c>
      <c r="G105" s="227" t="str">
        <f>IF(AND(D105&lt;&gt;"",E105&lt;&gt;""),IF(D105&lt;E105,E105-D105,""),"")</f>
        <v>#ERROR!</v>
      </c>
      <c r="H105" s="281" t="str">
        <f>IFERROR(G105*INDEX('MP Referentiel'!F:F,MATCH(A105,'MP Referentiel'!A:A,0)),"")</f>
        <v>#ERROR!</v>
      </c>
      <c r="I105" s="227"/>
      <c r="J105" s="233"/>
    </row>
    <row r="106">
      <c r="A106" s="269"/>
      <c r="B106" s="235"/>
      <c r="C106" s="235"/>
      <c r="D106" s="235" t="str">
        <f>IFERROR(INDEX(Stock!E:E,MATCH(A106,Stock!A:A,0)),0)</f>
        <v>#ERROR!</v>
      </c>
      <c r="E106" s="235" t="str">
        <f>IFERROR(INDEX(Stock!F:F,MATCH(A106,Stock!A:A,0)),1)</f>
        <v>#ERROR!</v>
      </c>
      <c r="F106" s="235" t="str">
        <f>IFERROR(IF(F106=0,"",D106/(F106/7)),"")</f>
        <v>#ERROR!</v>
      </c>
      <c r="G106" s="235" t="str">
        <f>IF(AND(D106&lt;&gt;"",E106&lt;&gt;""),IF(D106&lt;E106,E106-D106,""),"")</f>
        <v>#ERROR!</v>
      </c>
      <c r="H106" s="283" t="str">
        <f>IFERROR(G106*INDEX('MP Referentiel'!F:F,MATCH(A106,'MP Referentiel'!A:A,0)),"")</f>
        <v>#ERROR!</v>
      </c>
      <c r="I106" s="235"/>
      <c r="J106" s="240"/>
    </row>
    <row r="107">
      <c r="A107" s="265"/>
      <c r="B107" s="227"/>
      <c r="C107" s="227"/>
      <c r="D107" s="227" t="str">
        <f>IFERROR(INDEX(Stock!E:E,MATCH(A107,Stock!A:A,0)),0)</f>
        <v>#ERROR!</v>
      </c>
      <c r="E107" s="227" t="str">
        <f>IFERROR(INDEX(Stock!F:F,MATCH(A107,Stock!A:A,0)),1)</f>
        <v>#ERROR!</v>
      </c>
      <c r="F107" s="227" t="str">
        <f>IFERROR(IF(F107=0,"",D107/(F107/7)),"")</f>
        <v>#ERROR!</v>
      </c>
      <c r="G107" s="227" t="str">
        <f>IF(AND(D107&lt;&gt;"",E107&lt;&gt;""),IF(D107&lt;E107,E107-D107,""),"")</f>
        <v>#ERROR!</v>
      </c>
      <c r="H107" s="281" t="str">
        <f>IFERROR(G107*INDEX('MP Referentiel'!F:F,MATCH(A107,'MP Referentiel'!A:A,0)),"")</f>
        <v>#ERROR!</v>
      </c>
      <c r="I107" s="227"/>
      <c r="J107" s="233"/>
    </row>
    <row r="108">
      <c r="A108" s="269"/>
      <c r="B108" s="235"/>
      <c r="C108" s="235"/>
      <c r="D108" s="235" t="str">
        <f>IFERROR(INDEX(Stock!E:E,MATCH(A108,Stock!A:A,0)),0)</f>
        <v>#ERROR!</v>
      </c>
      <c r="E108" s="235" t="str">
        <f>IFERROR(INDEX(Stock!F:F,MATCH(A108,Stock!A:A,0)),1)</f>
        <v>#ERROR!</v>
      </c>
      <c r="F108" s="235" t="str">
        <f>IFERROR(IF(F108=0,"",D108/(F108/7)),"")</f>
        <v>#ERROR!</v>
      </c>
      <c r="G108" s="235" t="str">
        <f>IF(AND(D108&lt;&gt;"",E108&lt;&gt;""),IF(D108&lt;E108,E108-D108,""),"")</f>
        <v>#ERROR!</v>
      </c>
      <c r="H108" s="283" t="str">
        <f>IFERROR(G108*INDEX('MP Referentiel'!F:F,MATCH(A108,'MP Referentiel'!A:A,0)),"")</f>
        <v>#ERROR!</v>
      </c>
      <c r="I108" s="235"/>
      <c r="J108" s="240"/>
    </row>
    <row r="109">
      <c r="A109" s="265"/>
      <c r="B109" s="227"/>
      <c r="C109" s="227"/>
      <c r="D109" s="227" t="str">
        <f>IFERROR(INDEX(Stock!E:E,MATCH(A109,Stock!A:A,0)),0)</f>
        <v>#ERROR!</v>
      </c>
      <c r="E109" s="227" t="str">
        <f>IFERROR(INDEX(Stock!F:F,MATCH(A109,Stock!A:A,0)),1)</f>
        <v>#ERROR!</v>
      </c>
      <c r="F109" s="227" t="str">
        <f>IFERROR(IF(F109=0,"",D109/(F109/7)),"")</f>
        <v>#ERROR!</v>
      </c>
      <c r="G109" s="227" t="str">
        <f>IF(AND(D109&lt;&gt;"",E109&lt;&gt;""),IF(D109&lt;E109,E109-D109,""),"")</f>
        <v>#ERROR!</v>
      </c>
      <c r="H109" s="281" t="str">
        <f>IFERROR(G109*INDEX('MP Referentiel'!F:F,MATCH(A109,'MP Referentiel'!A:A,0)),"")</f>
        <v>#ERROR!</v>
      </c>
      <c r="I109" s="227"/>
      <c r="J109" s="233"/>
    </row>
    <row r="110">
      <c r="A110" s="269"/>
      <c r="B110" s="235"/>
      <c r="C110" s="235"/>
      <c r="D110" s="235" t="str">
        <f>IFERROR(INDEX(Stock!E:E,MATCH(A110,Stock!A:A,0)),0)</f>
        <v>#ERROR!</v>
      </c>
      <c r="E110" s="235" t="str">
        <f>IFERROR(INDEX(Stock!F:F,MATCH(A110,Stock!A:A,0)),1)</f>
        <v>#ERROR!</v>
      </c>
      <c r="F110" s="235" t="str">
        <f>IFERROR(IF(F110=0,"",D110/(F110/7)),"")</f>
        <v>#ERROR!</v>
      </c>
      <c r="G110" s="235" t="str">
        <f>IF(AND(D110&lt;&gt;"",E110&lt;&gt;""),IF(D110&lt;E110,E110-D110,""),"")</f>
        <v>#ERROR!</v>
      </c>
      <c r="H110" s="283" t="str">
        <f>IFERROR(G110*INDEX('MP Referentiel'!F:F,MATCH(A110,'MP Referentiel'!A:A,0)),"")</f>
        <v>#ERROR!</v>
      </c>
      <c r="I110" s="235"/>
      <c r="J110" s="240"/>
    </row>
    <row r="111">
      <c r="A111" s="265"/>
      <c r="B111" s="227"/>
      <c r="C111" s="227"/>
      <c r="D111" s="227" t="str">
        <f>IFERROR(INDEX(Stock!E:E,MATCH(A111,Stock!A:A,0)),0)</f>
        <v>#ERROR!</v>
      </c>
      <c r="E111" s="227" t="str">
        <f>IFERROR(INDEX(Stock!F:F,MATCH(A111,Stock!A:A,0)),1)</f>
        <v>#ERROR!</v>
      </c>
      <c r="F111" s="227" t="str">
        <f>IFERROR(IF(F111=0,"",D111/(F111/7)),"")</f>
        <v>#ERROR!</v>
      </c>
      <c r="G111" s="227" t="str">
        <f>IF(AND(D111&lt;&gt;"",E111&lt;&gt;""),IF(D111&lt;E111,E111-D111,""),"")</f>
        <v>#ERROR!</v>
      </c>
      <c r="H111" s="281" t="str">
        <f>IFERROR(G111*INDEX('MP Referentiel'!F:F,MATCH(A111,'MP Referentiel'!A:A,0)),"")</f>
        <v>#ERROR!</v>
      </c>
      <c r="I111" s="227"/>
      <c r="J111" s="233"/>
    </row>
    <row r="112">
      <c r="A112" s="269"/>
      <c r="B112" s="235"/>
      <c r="C112" s="235"/>
      <c r="D112" s="235" t="str">
        <f>IFERROR(INDEX(Stock!E:E,MATCH(A112,Stock!A:A,0)),0)</f>
        <v>#ERROR!</v>
      </c>
      <c r="E112" s="235" t="str">
        <f>IFERROR(INDEX(Stock!F:F,MATCH(A112,Stock!A:A,0)),1)</f>
        <v>#ERROR!</v>
      </c>
      <c r="F112" s="235" t="str">
        <f>IFERROR(IF(F112=0,"",D112/(F112/7)),"")</f>
        <v>#ERROR!</v>
      </c>
      <c r="G112" s="235" t="str">
        <f>IF(AND(D112&lt;&gt;"",E112&lt;&gt;""),IF(D112&lt;E112,E112-D112,""),"")</f>
        <v>#ERROR!</v>
      </c>
      <c r="H112" s="283" t="str">
        <f>IFERROR(G112*INDEX('MP Referentiel'!F:F,MATCH(A112,'MP Referentiel'!A:A,0)),"")</f>
        <v>#ERROR!</v>
      </c>
      <c r="I112" s="235"/>
      <c r="J112" s="240"/>
    </row>
    <row r="113">
      <c r="A113" s="265"/>
      <c r="B113" s="227"/>
      <c r="C113" s="227"/>
      <c r="D113" s="227" t="str">
        <f>IFERROR(INDEX(Stock!E:E,MATCH(A113,Stock!A:A,0)),0)</f>
        <v>#ERROR!</v>
      </c>
      <c r="E113" s="227" t="str">
        <f>IFERROR(INDEX(Stock!F:F,MATCH(A113,Stock!A:A,0)),1)</f>
        <v>#ERROR!</v>
      </c>
      <c r="F113" s="227" t="str">
        <f>IFERROR(IF(F113=0,"",D113/(F113/7)),"")</f>
        <v>#ERROR!</v>
      </c>
      <c r="G113" s="227" t="str">
        <f>IF(AND(D113&lt;&gt;"",E113&lt;&gt;""),IF(D113&lt;E113,E113-D113,""),"")</f>
        <v>#ERROR!</v>
      </c>
      <c r="H113" s="281" t="str">
        <f>IFERROR(G113*INDEX('MP Referentiel'!F:F,MATCH(A113,'MP Referentiel'!A:A,0)),"")</f>
        <v>#ERROR!</v>
      </c>
      <c r="I113" s="227"/>
      <c r="J113" s="233"/>
    </row>
    <row r="114">
      <c r="A114" s="269"/>
      <c r="B114" s="235"/>
      <c r="C114" s="235"/>
      <c r="D114" s="235" t="str">
        <f>IFERROR(INDEX(Stock!E:E,MATCH(A114,Stock!A:A,0)),0)</f>
        <v>#ERROR!</v>
      </c>
      <c r="E114" s="235" t="str">
        <f>IFERROR(INDEX(Stock!F:F,MATCH(A114,Stock!A:A,0)),1)</f>
        <v>#ERROR!</v>
      </c>
      <c r="F114" s="235" t="str">
        <f>IFERROR(IF(F114=0,"",D114/(F114/7)),"")</f>
        <v>#ERROR!</v>
      </c>
      <c r="G114" s="235" t="str">
        <f>IF(AND(D114&lt;&gt;"",E114&lt;&gt;""),IF(D114&lt;E114,E114-D114,""),"")</f>
        <v>#ERROR!</v>
      </c>
      <c r="H114" s="283" t="str">
        <f>IFERROR(G114*INDEX('MP Referentiel'!F:F,MATCH(A114,'MP Referentiel'!A:A,0)),"")</f>
        <v>#ERROR!</v>
      </c>
      <c r="I114" s="235"/>
      <c r="J114" s="240"/>
    </row>
    <row r="115">
      <c r="A115" s="265"/>
      <c r="B115" s="227"/>
      <c r="C115" s="227"/>
      <c r="D115" s="227" t="str">
        <f>IFERROR(INDEX(Stock!E:E,MATCH(A115,Stock!A:A,0)),0)</f>
        <v>#ERROR!</v>
      </c>
      <c r="E115" s="227" t="str">
        <f>IFERROR(INDEX(Stock!F:F,MATCH(A115,Stock!A:A,0)),1)</f>
        <v>#ERROR!</v>
      </c>
      <c r="F115" s="227" t="str">
        <f>IFERROR(IF(F115=0,"",D115/(F115/7)),"")</f>
        <v>#ERROR!</v>
      </c>
      <c r="G115" s="227" t="str">
        <f>IF(AND(D115&lt;&gt;"",E115&lt;&gt;""),IF(D115&lt;E115,E115-D115,""),"")</f>
        <v>#ERROR!</v>
      </c>
      <c r="H115" s="281" t="str">
        <f>IFERROR(G115*INDEX('MP Referentiel'!F:F,MATCH(A115,'MP Referentiel'!A:A,0)),"")</f>
        <v>#ERROR!</v>
      </c>
      <c r="I115" s="227"/>
      <c r="J115" s="233"/>
    </row>
    <row r="116">
      <c r="A116" s="269"/>
      <c r="B116" s="235"/>
      <c r="C116" s="235"/>
      <c r="D116" s="235" t="str">
        <f>IFERROR(INDEX(Stock!E:E,MATCH(A116,Stock!A:A,0)),0)</f>
        <v>#ERROR!</v>
      </c>
      <c r="E116" s="235" t="str">
        <f>IFERROR(INDEX(Stock!F:F,MATCH(A116,Stock!A:A,0)),1)</f>
        <v>#ERROR!</v>
      </c>
      <c r="F116" s="235" t="str">
        <f>IFERROR(IF(F116=0,"",D116/(F116/7)),"")</f>
        <v>#ERROR!</v>
      </c>
      <c r="G116" s="235" t="str">
        <f>IF(AND(D116&lt;&gt;"",E116&lt;&gt;""),IF(D116&lt;E116,E116-D116,""),"")</f>
        <v>#ERROR!</v>
      </c>
      <c r="H116" s="283" t="str">
        <f>IFERROR(G116*INDEX('MP Referentiel'!F:F,MATCH(A116,'MP Referentiel'!A:A,0)),"")</f>
        <v>#ERROR!</v>
      </c>
      <c r="I116" s="235"/>
      <c r="J116" s="240"/>
    </row>
    <row r="117">
      <c r="A117" s="265"/>
      <c r="B117" s="227"/>
      <c r="C117" s="227"/>
      <c r="D117" s="227" t="str">
        <f>IFERROR(INDEX(Stock!E:E,MATCH(A117,Stock!A:A,0)),0)</f>
        <v>#ERROR!</v>
      </c>
      <c r="E117" s="227" t="str">
        <f>IFERROR(INDEX(Stock!F:F,MATCH(A117,Stock!A:A,0)),1)</f>
        <v>#ERROR!</v>
      </c>
      <c r="F117" s="227" t="str">
        <f>IFERROR(IF(F117=0,"",D117/(F117/7)),"")</f>
        <v>#ERROR!</v>
      </c>
      <c r="G117" s="227" t="str">
        <f>IF(AND(D117&lt;&gt;"",E117&lt;&gt;""),IF(D117&lt;E117,E117-D117,""),"")</f>
        <v>#ERROR!</v>
      </c>
      <c r="H117" s="281" t="str">
        <f>IFERROR(G117*INDEX('MP Referentiel'!F:F,MATCH(A117,'MP Referentiel'!A:A,0)),"")</f>
        <v>#ERROR!</v>
      </c>
      <c r="I117" s="227"/>
      <c r="J117" s="233"/>
    </row>
    <row r="118">
      <c r="A118" s="269"/>
      <c r="B118" s="235"/>
      <c r="C118" s="235"/>
      <c r="D118" s="235" t="str">
        <f>IFERROR(INDEX(Stock!E:E,MATCH(A118,Stock!A:A,0)),0)</f>
        <v>#ERROR!</v>
      </c>
      <c r="E118" s="235" t="str">
        <f>IFERROR(INDEX(Stock!F:F,MATCH(A118,Stock!A:A,0)),1)</f>
        <v>#ERROR!</v>
      </c>
      <c r="F118" s="235" t="str">
        <f>IFERROR(IF(F118=0,"",D118/(F118/7)),"")</f>
        <v>#ERROR!</v>
      </c>
      <c r="G118" s="235" t="str">
        <f>IF(AND(D118&lt;&gt;"",E118&lt;&gt;""),IF(D118&lt;E118,E118-D118,""),"")</f>
        <v>#ERROR!</v>
      </c>
      <c r="H118" s="283" t="str">
        <f>IFERROR(G118*INDEX('MP Referentiel'!F:F,MATCH(A118,'MP Referentiel'!A:A,0)),"")</f>
        <v>#ERROR!</v>
      </c>
      <c r="I118" s="235"/>
      <c r="J118" s="240"/>
    </row>
    <row r="119">
      <c r="A119" s="265"/>
      <c r="B119" s="227"/>
      <c r="C119" s="227"/>
      <c r="D119" s="227" t="str">
        <f>IFERROR(INDEX(Stock!E:E,MATCH(A119,Stock!A:A,0)),0)</f>
        <v>#ERROR!</v>
      </c>
      <c r="E119" s="227" t="str">
        <f>IFERROR(INDEX(Stock!F:F,MATCH(A119,Stock!A:A,0)),1)</f>
        <v>#ERROR!</v>
      </c>
      <c r="F119" s="227" t="str">
        <f>IFERROR(IF(F119=0,"",D119/(F119/7)),"")</f>
        <v>#ERROR!</v>
      </c>
      <c r="G119" s="227" t="str">
        <f>IF(AND(D119&lt;&gt;"",E119&lt;&gt;""),IF(D119&lt;E119,E119-D119,""),"")</f>
        <v>#ERROR!</v>
      </c>
      <c r="H119" s="281" t="str">
        <f>IFERROR(G119*INDEX('MP Referentiel'!F:F,MATCH(A119,'MP Referentiel'!A:A,0)),"")</f>
        <v>#ERROR!</v>
      </c>
      <c r="I119" s="227"/>
      <c r="J119" s="233"/>
    </row>
    <row r="120">
      <c r="A120" s="269"/>
      <c r="B120" s="235"/>
      <c r="C120" s="235"/>
      <c r="D120" s="235" t="str">
        <f>IFERROR(INDEX(Stock!E:E,MATCH(A120,Stock!A:A,0)),0)</f>
        <v>#ERROR!</v>
      </c>
      <c r="E120" s="235" t="str">
        <f>IFERROR(INDEX(Stock!F:F,MATCH(A120,Stock!A:A,0)),1)</f>
        <v>#ERROR!</v>
      </c>
      <c r="F120" s="235" t="str">
        <f>IFERROR(IF(F120=0,"",D120/(F120/7)),"")</f>
        <v>#ERROR!</v>
      </c>
      <c r="G120" s="235" t="str">
        <f>IF(AND(D120&lt;&gt;"",E120&lt;&gt;""),IF(D120&lt;E120,E120-D120,""),"")</f>
        <v>#ERROR!</v>
      </c>
      <c r="H120" s="283" t="str">
        <f>IFERROR(G120*INDEX('MP Referentiel'!F:F,MATCH(A120,'MP Referentiel'!A:A,0)),"")</f>
        <v>#ERROR!</v>
      </c>
      <c r="I120" s="235"/>
      <c r="J120" s="240"/>
    </row>
    <row r="121">
      <c r="A121" s="265"/>
      <c r="B121" s="227"/>
      <c r="C121" s="227"/>
      <c r="D121" s="227" t="str">
        <f>IFERROR(INDEX(Stock!E:E,MATCH(A121,Stock!A:A,0)),0)</f>
        <v>#ERROR!</v>
      </c>
      <c r="E121" s="227" t="str">
        <f>IFERROR(INDEX(Stock!F:F,MATCH(A121,Stock!A:A,0)),1)</f>
        <v>#ERROR!</v>
      </c>
      <c r="F121" s="227" t="str">
        <f>IFERROR(IF(F121=0,"",D121/(F121/7)),"")</f>
        <v>#ERROR!</v>
      </c>
      <c r="G121" s="227" t="str">
        <f>IF(AND(D121&lt;&gt;"",E121&lt;&gt;""),IF(D121&lt;E121,E121-D121,""),"")</f>
        <v>#ERROR!</v>
      </c>
      <c r="H121" s="281" t="str">
        <f>IFERROR(G121*INDEX('MP Referentiel'!F:F,MATCH(A121,'MP Referentiel'!A:A,0)),"")</f>
        <v>#ERROR!</v>
      </c>
      <c r="I121" s="227"/>
      <c r="J121" s="233"/>
    </row>
    <row r="122">
      <c r="A122" s="269"/>
      <c r="B122" s="235"/>
      <c r="C122" s="235"/>
      <c r="D122" s="235" t="str">
        <f>IFERROR(INDEX(Stock!E:E,MATCH(A122,Stock!A:A,0)),0)</f>
        <v>#ERROR!</v>
      </c>
      <c r="E122" s="235" t="str">
        <f>IFERROR(INDEX(Stock!F:F,MATCH(A122,Stock!A:A,0)),1)</f>
        <v>#ERROR!</v>
      </c>
      <c r="F122" s="235" t="str">
        <f>IFERROR(IF(F122=0,"",D122/(F122/7)),"")</f>
        <v>#ERROR!</v>
      </c>
      <c r="G122" s="235" t="str">
        <f>IF(AND(D122&lt;&gt;"",E122&lt;&gt;""),IF(D122&lt;E122,E122-D122,""),"")</f>
        <v>#ERROR!</v>
      </c>
      <c r="H122" s="283" t="str">
        <f>IFERROR(G122*INDEX('MP Referentiel'!F:F,MATCH(A122,'MP Referentiel'!A:A,0)),"")</f>
        <v>#ERROR!</v>
      </c>
      <c r="I122" s="235"/>
      <c r="J122" s="240"/>
    </row>
    <row r="123">
      <c r="A123" s="265"/>
      <c r="B123" s="227"/>
      <c r="C123" s="227"/>
      <c r="D123" s="227" t="str">
        <f>IFERROR(INDEX(Stock!E:E,MATCH(A123,Stock!A:A,0)),0)</f>
        <v>#ERROR!</v>
      </c>
      <c r="E123" s="227" t="str">
        <f>IFERROR(INDEX(Stock!F:F,MATCH(A123,Stock!A:A,0)),1)</f>
        <v>#ERROR!</v>
      </c>
      <c r="F123" s="227" t="str">
        <f>IFERROR(IF(F123=0,"",D123/(F123/7)),"")</f>
        <v>#ERROR!</v>
      </c>
      <c r="G123" s="227" t="str">
        <f>IF(AND(D123&lt;&gt;"",E123&lt;&gt;""),IF(D123&lt;E123,E123-D123,""),"")</f>
        <v>#ERROR!</v>
      </c>
      <c r="H123" s="281" t="str">
        <f>IFERROR(G123*INDEX('MP Referentiel'!F:F,MATCH(A123,'MP Referentiel'!A:A,0)),"")</f>
        <v>#ERROR!</v>
      </c>
      <c r="I123" s="227"/>
      <c r="J123" s="233"/>
    </row>
    <row r="124">
      <c r="A124" s="269"/>
      <c r="B124" s="235"/>
      <c r="C124" s="235"/>
      <c r="D124" s="235" t="str">
        <f>IFERROR(INDEX(Stock!E:E,MATCH(A124,Stock!A:A,0)),0)</f>
        <v>#ERROR!</v>
      </c>
      <c r="E124" s="235" t="str">
        <f>IFERROR(INDEX(Stock!F:F,MATCH(A124,Stock!A:A,0)),1)</f>
        <v>#ERROR!</v>
      </c>
      <c r="F124" s="235" t="str">
        <f>IFERROR(IF(F124=0,"",D124/(F124/7)),"")</f>
        <v>#ERROR!</v>
      </c>
      <c r="G124" s="235" t="str">
        <f>IF(AND(D124&lt;&gt;"",E124&lt;&gt;""),IF(D124&lt;E124,E124-D124,""),"")</f>
        <v>#ERROR!</v>
      </c>
      <c r="H124" s="283" t="str">
        <f>IFERROR(G124*INDEX('MP Referentiel'!F:F,MATCH(A124,'MP Referentiel'!A:A,0)),"")</f>
        <v>#ERROR!</v>
      </c>
      <c r="I124" s="235"/>
      <c r="J124" s="240"/>
    </row>
    <row r="125">
      <c r="A125" s="265"/>
      <c r="B125" s="227"/>
      <c r="C125" s="227"/>
      <c r="D125" s="227" t="str">
        <f>IFERROR(INDEX(Stock!E:E,MATCH(A125,Stock!A:A,0)),0)</f>
        <v>#ERROR!</v>
      </c>
      <c r="E125" s="227" t="str">
        <f>IFERROR(INDEX(Stock!F:F,MATCH(A125,Stock!A:A,0)),1)</f>
        <v>#ERROR!</v>
      </c>
      <c r="F125" s="227" t="str">
        <f>IFERROR(IF(F125=0,"",D125/(F125/7)),"")</f>
        <v>#ERROR!</v>
      </c>
      <c r="G125" s="227" t="str">
        <f>IF(AND(D125&lt;&gt;"",E125&lt;&gt;""),IF(D125&lt;E125,E125-D125,""),"")</f>
        <v>#ERROR!</v>
      </c>
      <c r="H125" s="281" t="str">
        <f>IFERROR(G125*INDEX('MP Referentiel'!F:F,MATCH(A125,'MP Referentiel'!A:A,0)),"")</f>
        <v>#ERROR!</v>
      </c>
      <c r="I125" s="227"/>
      <c r="J125" s="233"/>
    </row>
    <row r="126">
      <c r="A126" s="269"/>
      <c r="B126" s="235"/>
      <c r="C126" s="235"/>
      <c r="D126" s="235" t="str">
        <f>IFERROR(INDEX(Stock!E:E,MATCH(A126,Stock!A:A,0)),0)</f>
        <v>#ERROR!</v>
      </c>
      <c r="E126" s="235" t="str">
        <f>IFERROR(INDEX(Stock!F:F,MATCH(A126,Stock!A:A,0)),1)</f>
        <v>#ERROR!</v>
      </c>
      <c r="F126" s="235" t="str">
        <f>IFERROR(IF(F126=0,"",D126/(F126/7)),"")</f>
        <v>#ERROR!</v>
      </c>
      <c r="G126" s="235" t="str">
        <f>IF(AND(D126&lt;&gt;"",E126&lt;&gt;""),IF(D126&lt;E126,E126-D126,""),"")</f>
        <v>#ERROR!</v>
      </c>
      <c r="H126" s="283" t="str">
        <f>IFERROR(G126*INDEX('MP Referentiel'!F:F,MATCH(A126,'MP Referentiel'!A:A,0)),"")</f>
        <v>#ERROR!</v>
      </c>
      <c r="I126" s="235"/>
      <c r="J126" s="240"/>
    </row>
    <row r="127">
      <c r="A127" s="265"/>
      <c r="B127" s="227"/>
      <c r="C127" s="227"/>
      <c r="D127" s="227" t="str">
        <f>IFERROR(INDEX(Stock!E:E,MATCH(A127,Stock!A:A,0)),0)</f>
        <v>#ERROR!</v>
      </c>
      <c r="E127" s="227" t="str">
        <f>IFERROR(INDEX(Stock!F:F,MATCH(A127,Stock!A:A,0)),1)</f>
        <v>#ERROR!</v>
      </c>
      <c r="F127" s="227" t="str">
        <f>IFERROR(IF(F127=0,"",D127/(F127/7)),"")</f>
        <v>#ERROR!</v>
      </c>
      <c r="G127" s="227" t="str">
        <f>IF(AND(D127&lt;&gt;"",E127&lt;&gt;""),IF(D127&lt;E127,E127-D127,""),"")</f>
        <v>#ERROR!</v>
      </c>
      <c r="H127" s="281" t="str">
        <f>IFERROR(G127*INDEX('MP Referentiel'!F:F,MATCH(A127,'MP Referentiel'!A:A,0)),"")</f>
        <v>#ERROR!</v>
      </c>
      <c r="I127" s="227"/>
      <c r="J127" s="233"/>
    </row>
    <row r="128">
      <c r="A128" s="269"/>
      <c r="B128" s="235"/>
      <c r="C128" s="235"/>
      <c r="D128" s="235" t="str">
        <f>IFERROR(INDEX(Stock!E:E,MATCH(A128,Stock!A:A,0)),0)</f>
        <v>#ERROR!</v>
      </c>
      <c r="E128" s="235" t="str">
        <f>IFERROR(INDEX(Stock!F:F,MATCH(A128,Stock!A:A,0)),1)</f>
        <v>#ERROR!</v>
      </c>
      <c r="F128" s="235" t="str">
        <f>IFERROR(IF(F128=0,"",D128/(F128/7)),"")</f>
        <v>#ERROR!</v>
      </c>
      <c r="G128" s="235" t="str">
        <f>IF(AND(D128&lt;&gt;"",E128&lt;&gt;""),IF(D128&lt;E128,E128-D128,""),"")</f>
        <v>#ERROR!</v>
      </c>
      <c r="H128" s="283" t="str">
        <f>IFERROR(G128*INDEX('MP Referentiel'!F:F,MATCH(A128,'MP Referentiel'!A:A,0)),"")</f>
        <v>#ERROR!</v>
      </c>
      <c r="I128" s="235"/>
      <c r="J128" s="240"/>
    </row>
    <row r="129">
      <c r="A129" s="265"/>
      <c r="B129" s="227"/>
      <c r="C129" s="227"/>
      <c r="D129" s="227" t="str">
        <f>IFERROR(INDEX(Stock!E:E,MATCH(A129,Stock!A:A,0)),0)</f>
        <v>#ERROR!</v>
      </c>
      <c r="E129" s="227" t="str">
        <f>IFERROR(INDEX(Stock!F:F,MATCH(A129,Stock!A:A,0)),1)</f>
        <v>#ERROR!</v>
      </c>
      <c r="F129" s="227" t="str">
        <f>IFERROR(IF(F129=0,"",D129/(F129/7)),"")</f>
        <v>#ERROR!</v>
      </c>
      <c r="G129" s="227" t="str">
        <f>IF(AND(D129&lt;&gt;"",E129&lt;&gt;""),IF(D129&lt;E129,E129-D129,""),"")</f>
        <v>#ERROR!</v>
      </c>
      <c r="H129" s="281" t="str">
        <f>IFERROR(G129*INDEX('MP Referentiel'!F:F,MATCH(A129,'MP Referentiel'!A:A,0)),"")</f>
        <v>#ERROR!</v>
      </c>
      <c r="I129" s="227"/>
      <c r="J129" s="233"/>
    </row>
    <row r="130">
      <c r="A130" s="269"/>
      <c r="B130" s="235"/>
      <c r="C130" s="235"/>
      <c r="D130" s="235" t="str">
        <f>IFERROR(INDEX(Stock!E:E,MATCH(A130,Stock!A:A,0)),0)</f>
        <v>#ERROR!</v>
      </c>
      <c r="E130" s="235" t="str">
        <f>IFERROR(INDEX(Stock!F:F,MATCH(A130,Stock!A:A,0)),1)</f>
        <v>#ERROR!</v>
      </c>
      <c r="F130" s="235" t="str">
        <f>IFERROR(IF(F130=0,"",D130/(F130/7)),"")</f>
        <v>#ERROR!</v>
      </c>
      <c r="G130" s="235" t="str">
        <f>IF(AND(D130&lt;&gt;"",E130&lt;&gt;""),IF(D130&lt;E130,E130-D130,""),"")</f>
        <v>#ERROR!</v>
      </c>
      <c r="H130" s="283" t="str">
        <f>IFERROR(G130*INDEX('MP Referentiel'!F:F,MATCH(A130,'MP Referentiel'!A:A,0)),"")</f>
        <v>#ERROR!</v>
      </c>
      <c r="I130" s="235"/>
      <c r="J130" s="240"/>
    </row>
    <row r="131">
      <c r="A131" s="265"/>
      <c r="B131" s="227"/>
      <c r="C131" s="227"/>
      <c r="D131" s="227" t="str">
        <f>IFERROR(INDEX(Stock!E:E,MATCH(A131,Stock!A:A,0)),0)</f>
        <v>#ERROR!</v>
      </c>
      <c r="E131" s="227" t="str">
        <f>IFERROR(INDEX(Stock!F:F,MATCH(A131,Stock!A:A,0)),1)</f>
        <v>#ERROR!</v>
      </c>
      <c r="F131" s="227" t="str">
        <f>IFERROR(IF(F131=0,"",D131/(F131/7)),"")</f>
        <v>#ERROR!</v>
      </c>
      <c r="G131" s="227" t="str">
        <f>IF(AND(D131&lt;&gt;"",E131&lt;&gt;""),IF(D131&lt;E131,E131-D131,""),"")</f>
        <v>#ERROR!</v>
      </c>
      <c r="H131" s="281" t="str">
        <f>IFERROR(G131*INDEX('MP Referentiel'!F:F,MATCH(A131,'MP Referentiel'!A:A,0)),"")</f>
        <v>#ERROR!</v>
      </c>
      <c r="I131" s="227"/>
      <c r="J131" s="233"/>
    </row>
    <row r="132">
      <c r="A132" s="269"/>
      <c r="B132" s="235"/>
      <c r="C132" s="235"/>
      <c r="D132" s="235" t="str">
        <f>IFERROR(INDEX(Stock!E:E,MATCH(A132,Stock!A:A,0)),0)</f>
        <v>#ERROR!</v>
      </c>
      <c r="E132" s="235" t="str">
        <f>IFERROR(INDEX(Stock!F:F,MATCH(A132,Stock!A:A,0)),1)</f>
        <v>#ERROR!</v>
      </c>
      <c r="F132" s="235" t="str">
        <f>IFERROR(IF(F132=0,"",D132/(F132/7)),"")</f>
        <v>#ERROR!</v>
      </c>
      <c r="G132" s="235" t="str">
        <f>IF(AND(D132&lt;&gt;"",E132&lt;&gt;""),IF(D132&lt;E132,E132-D132,""),"")</f>
        <v>#ERROR!</v>
      </c>
      <c r="H132" s="283" t="str">
        <f>IFERROR(G132*INDEX('MP Referentiel'!F:F,MATCH(A132,'MP Referentiel'!A:A,0)),"")</f>
        <v>#ERROR!</v>
      </c>
      <c r="I132" s="235"/>
      <c r="J132" s="240"/>
    </row>
    <row r="133">
      <c r="A133" s="265"/>
      <c r="B133" s="227"/>
      <c r="C133" s="227"/>
      <c r="D133" s="227" t="str">
        <f>IFERROR(INDEX(Stock!E:E,MATCH(A133,Stock!A:A,0)),0)</f>
        <v>#ERROR!</v>
      </c>
      <c r="E133" s="227" t="str">
        <f>IFERROR(INDEX(Stock!F:F,MATCH(A133,Stock!A:A,0)),1)</f>
        <v>#ERROR!</v>
      </c>
      <c r="F133" s="227" t="str">
        <f>IFERROR(IF(F133=0,"",D133/(F133/7)),"")</f>
        <v>#ERROR!</v>
      </c>
      <c r="G133" s="227" t="str">
        <f>IF(AND(D133&lt;&gt;"",E133&lt;&gt;""),IF(D133&lt;E133,E133-D133,""),"")</f>
        <v>#ERROR!</v>
      </c>
      <c r="H133" s="281" t="str">
        <f>IFERROR(G133*INDEX('MP Referentiel'!F:F,MATCH(A133,'MP Referentiel'!A:A,0)),"")</f>
        <v>#ERROR!</v>
      </c>
      <c r="I133" s="227"/>
      <c r="J133" s="233"/>
    </row>
    <row r="134">
      <c r="A134" s="269"/>
      <c r="B134" s="235"/>
      <c r="C134" s="235"/>
      <c r="D134" s="235" t="str">
        <f>IFERROR(INDEX(Stock!E:E,MATCH(A134,Stock!A:A,0)),0)</f>
        <v>#ERROR!</v>
      </c>
      <c r="E134" s="235" t="str">
        <f>IFERROR(INDEX(Stock!F:F,MATCH(A134,Stock!A:A,0)),1)</f>
        <v>#ERROR!</v>
      </c>
      <c r="F134" s="235" t="str">
        <f>IFERROR(IF(F134=0,"",D134/(F134/7)),"")</f>
        <v>#ERROR!</v>
      </c>
      <c r="G134" s="235" t="str">
        <f>IF(AND(D134&lt;&gt;"",E134&lt;&gt;""),IF(D134&lt;E134,E134-D134,""),"")</f>
        <v>#ERROR!</v>
      </c>
      <c r="H134" s="283" t="str">
        <f>IFERROR(G134*INDEX('MP Referentiel'!F:F,MATCH(A134,'MP Referentiel'!A:A,0)),"")</f>
        <v>#ERROR!</v>
      </c>
      <c r="I134" s="235"/>
      <c r="J134" s="240"/>
    </row>
    <row r="135">
      <c r="A135" s="265"/>
      <c r="B135" s="227"/>
      <c r="C135" s="227"/>
      <c r="D135" s="227" t="str">
        <f>IFERROR(INDEX(Stock!E:E,MATCH(A135,Stock!A:A,0)),0)</f>
        <v>#ERROR!</v>
      </c>
      <c r="E135" s="227" t="str">
        <f>IFERROR(INDEX(Stock!F:F,MATCH(A135,Stock!A:A,0)),1)</f>
        <v>#ERROR!</v>
      </c>
      <c r="F135" s="227" t="str">
        <f>IFERROR(IF(F135=0,"",D135/(F135/7)),"")</f>
        <v>#ERROR!</v>
      </c>
      <c r="G135" s="227" t="str">
        <f>IF(AND(D135&lt;&gt;"",E135&lt;&gt;""),IF(D135&lt;E135,E135-D135,""),"")</f>
        <v>#ERROR!</v>
      </c>
      <c r="H135" s="281" t="str">
        <f>IFERROR(G135*INDEX('MP Referentiel'!F:F,MATCH(A135,'MP Referentiel'!A:A,0)),"")</f>
        <v>#ERROR!</v>
      </c>
      <c r="I135" s="227"/>
      <c r="J135" s="233"/>
    </row>
    <row r="136">
      <c r="A136" s="269"/>
      <c r="B136" s="235"/>
      <c r="C136" s="235"/>
      <c r="D136" s="235" t="str">
        <f>IFERROR(INDEX(Stock!E:E,MATCH(A136,Stock!A:A,0)),0)</f>
        <v>#ERROR!</v>
      </c>
      <c r="E136" s="235" t="str">
        <f>IFERROR(INDEX(Stock!F:F,MATCH(A136,Stock!A:A,0)),1)</f>
        <v>#ERROR!</v>
      </c>
      <c r="F136" s="235" t="str">
        <f>IFERROR(IF(F136=0,"",D136/(F136/7)),"")</f>
        <v>#ERROR!</v>
      </c>
      <c r="G136" s="235" t="str">
        <f>IF(AND(D136&lt;&gt;"",E136&lt;&gt;""),IF(D136&lt;E136,E136-D136,""),"")</f>
        <v>#ERROR!</v>
      </c>
      <c r="H136" s="283" t="str">
        <f>IFERROR(G136*INDEX('MP Referentiel'!F:F,MATCH(A136,'MP Referentiel'!A:A,0)),"")</f>
        <v>#ERROR!</v>
      </c>
      <c r="I136" s="235"/>
      <c r="J136" s="240"/>
    </row>
    <row r="137">
      <c r="A137" s="265"/>
      <c r="B137" s="227"/>
      <c r="C137" s="227"/>
      <c r="D137" s="227" t="str">
        <f>IFERROR(INDEX(Stock!E:E,MATCH(A137,Stock!A:A,0)),0)</f>
        <v>#ERROR!</v>
      </c>
      <c r="E137" s="227" t="str">
        <f>IFERROR(INDEX(Stock!F:F,MATCH(A137,Stock!A:A,0)),1)</f>
        <v>#ERROR!</v>
      </c>
      <c r="F137" s="227" t="str">
        <f>IFERROR(IF(F137=0,"",D137/(F137/7)),"")</f>
        <v>#ERROR!</v>
      </c>
      <c r="G137" s="227" t="str">
        <f>IF(AND(D137&lt;&gt;"",E137&lt;&gt;""),IF(D137&lt;E137,E137-D137,""),"")</f>
        <v>#ERROR!</v>
      </c>
      <c r="H137" s="281" t="str">
        <f>IFERROR(G137*INDEX('MP Referentiel'!F:F,MATCH(A137,'MP Referentiel'!A:A,0)),"")</f>
        <v>#ERROR!</v>
      </c>
      <c r="I137" s="227"/>
      <c r="J137" s="233"/>
    </row>
    <row r="138">
      <c r="A138" s="269"/>
      <c r="B138" s="235"/>
      <c r="C138" s="235"/>
      <c r="D138" s="235" t="str">
        <f>IFERROR(INDEX(Stock!E:E,MATCH(A138,Stock!A:A,0)),0)</f>
        <v>#ERROR!</v>
      </c>
      <c r="E138" s="235" t="str">
        <f>IFERROR(INDEX(Stock!F:F,MATCH(A138,Stock!A:A,0)),1)</f>
        <v>#ERROR!</v>
      </c>
      <c r="F138" s="235" t="str">
        <f>IFERROR(IF(F138=0,"",D138/(F138/7)),"")</f>
        <v>#ERROR!</v>
      </c>
      <c r="G138" s="235" t="str">
        <f>IF(AND(D138&lt;&gt;"",E138&lt;&gt;""),IF(D138&lt;E138,E138-D138,""),"")</f>
        <v>#ERROR!</v>
      </c>
      <c r="H138" s="283" t="str">
        <f>IFERROR(G138*INDEX('MP Referentiel'!F:F,MATCH(A138,'MP Referentiel'!A:A,0)),"")</f>
        <v>#ERROR!</v>
      </c>
      <c r="I138" s="235"/>
      <c r="J138" s="240"/>
    </row>
    <row r="139">
      <c r="A139" s="265"/>
      <c r="B139" s="227"/>
      <c r="C139" s="227"/>
      <c r="D139" s="227" t="str">
        <f>IFERROR(INDEX(Stock!E:E,MATCH(A139,Stock!A:A,0)),0)</f>
        <v>#ERROR!</v>
      </c>
      <c r="E139" s="227" t="str">
        <f>IFERROR(INDEX(Stock!F:F,MATCH(A139,Stock!A:A,0)),1)</f>
        <v>#ERROR!</v>
      </c>
      <c r="F139" s="227" t="str">
        <f>IFERROR(IF(F139=0,"",D139/(F139/7)),"")</f>
        <v>#ERROR!</v>
      </c>
      <c r="G139" s="227" t="str">
        <f>IF(AND(D139&lt;&gt;"",E139&lt;&gt;""),IF(D139&lt;E139,E139-D139,""),"")</f>
        <v>#ERROR!</v>
      </c>
      <c r="H139" s="281" t="str">
        <f>IFERROR(G139*INDEX('MP Referentiel'!F:F,MATCH(A139,'MP Referentiel'!A:A,0)),"")</f>
        <v>#ERROR!</v>
      </c>
      <c r="I139" s="227"/>
      <c r="J139" s="233"/>
    </row>
    <row r="140">
      <c r="A140" s="269"/>
      <c r="B140" s="235"/>
      <c r="C140" s="235"/>
      <c r="D140" s="235" t="str">
        <f>IFERROR(INDEX(Stock!E:E,MATCH(A140,Stock!A:A,0)),0)</f>
        <v>#ERROR!</v>
      </c>
      <c r="E140" s="235" t="str">
        <f>IFERROR(INDEX(Stock!F:F,MATCH(A140,Stock!A:A,0)),1)</f>
        <v>#ERROR!</v>
      </c>
      <c r="F140" s="235" t="str">
        <f>IFERROR(IF(F140=0,"",D140/(F140/7)),"")</f>
        <v>#ERROR!</v>
      </c>
      <c r="G140" s="235" t="str">
        <f>IF(AND(D140&lt;&gt;"",E140&lt;&gt;""),IF(D140&lt;E140,E140-D140,""),"")</f>
        <v>#ERROR!</v>
      </c>
      <c r="H140" s="283" t="str">
        <f>IFERROR(G140*INDEX('MP Referentiel'!F:F,MATCH(A140,'MP Referentiel'!A:A,0)),"")</f>
        <v>#ERROR!</v>
      </c>
      <c r="I140" s="235"/>
      <c r="J140" s="240"/>
    </row>
    <row r="141">
      <c r="A141" s="265"/>
      <c r="B141" s="227"/>
      <c r="C141" s="227"/>
      <c r="D141" s="227" t="str">
        <f>IFERROR(INDEX(Stock!E:E,MATCH(A141,Stock!A:A,0)),0)</f>
        <v>#ERROR!</v>
      </c>
      <c r="E141" s="227" t="str">
        <f>IFERROR(INDEX(Stock!F:F,MATCH(A141,Stock!A:A,0)),1)</f>
        <v>#ERROR!</v>
      </c>
      <c r="F141" s="227" t="str">
        <f>IFERROR(IF(F141=0,"",D141/(F141/7)),"")</f>
        <v>#ERROR!</v>
      </c>
      <c r="G141" s="227" t="str">
        <f>IF(AND(D141&lt;&gt;"",E141&lt;&gt;""),IF(D141&lt;E141,E141-D141,""),"")</f>
        <v>#ERROR!</v>
      </c>
      <c r="H141" s="281" t="str">
        <f>IFERROR(G141*INDEX('MP Referentiel'!F:F,MATCH(A141,'MP Referentiel'!A:A,0)),"")</f>
        <v>#ERROR!</v>
      </c>
      <c r="I141" s="227"/>
      <c r="J141" s="233"/>
    </row>
    <row r="142">
      <c r="A142" s="269"/>
      <c r="B142" s="235"/>
      <c r="C142" s="235"/>
      <c r="D142" s="235" t="str">
        <f>IFERROR(INDEX(Stock!E:E,MATCH(A142,Stock!A:A,0)),0)</f>
        <v>#ERROR!</v>
      </c>
      <c r="E142" s="235" t="str">
        <f>IFERROR(INDEX(Stock!F:F,MATCH(A142,Stock!A:A,0)),1)</f>
        <v>#ERROR!</v>
      </c>
      <c r="F142" s="235" t="str">
        <f>IFERROR(IF(F142=0,"",D142/(F142/7)),"")</f>
        <v>#ERROR!</v>
      </c>
      <c r="G142" s="235" t="str">
        <f>IF(AND(D142&lt;&gt;"",E142&lt;&gt;""),IF(D142&lt;E142,E142-D142,""),"")</f>
        <v>#ERROR!</v>
      </c>
      <c r="H142" s="283" t="str">
        <f>IFERROR(G142*INDEX('MP Referentiel'!F:F,MATCH(A142,'MP Referentiel'!A:A,0)),"")</f>
        <v>#ERROR!</v>
      </c>
      <c r="I142" s="235"/>
      <c r="J142" s="240"/>
    </row>
    <row r="143">
      <c r="A143" s="265"/>
      <c r="B143" s="227"/>
      <c r="C143" s="227"/>
      <c r="D143" s="227" t="str">
        <f>IFERROR(INDEX(Stock!E:E,MATCH(A143,Stock!A:A,0)),0)</f>
        <v>#ERROR!</v>
      </c>
      <c r="E143" s="227" t="str">
        <f>IFERROR(INDEX(Stock!F:F,MATCH(A143,Stock!A:A,0)),1)</f>
        <v>#ERROR!</v>
      </c>
      <c r="F143" s="227" t="str">
        <f>IFERROR(IF(F143=0,"",D143/(F143/7)),"")</f>
        <v>#ERROR!</v>
      </c>
      <c r="G143" s="227" t="str">
        <f>IF(AND(D143&lt;&gt;"",E143&lt;&gt;""),IF(D143&lt;E143,E143-D143,""),"")</f>
        <v>#ERROR!</v>
      </c>
      <c r="H143" s="281" t="str">
        <f>IFERROR(G143*INDEX('MP Referentiel'!F:F,MATCH(A143,'MP Referentiel'!A:A,0)),"")</f>
        <v>#ERROR!</v>
      </c>
      <c r="I143" s="227"/>
      <c r="J143" s="233"/>
    </row>
    <row r="144">
      <c r="A144" s="269"/>
      <c r="B144" s="235"/>
      <c r="C144" s="235"/>
      <c r="D144" s="235" t="str">
        <f>IFERROR(INDEX(Stock!E:E,MATCH(A144,Stock!A:A,0)),0)</f>
        <v>#ERROR!</v>
      </c>
      <c r="E144" s="235" t="str">
        <f>IFERROR(INDEX(Stock!F:F,MATCH(A144,Stock!A:A,0)),1)</f>
        <v>#ERROR!</v>
      </c>
      <c r="F144" s="235" t="str">
        <f>IFERROR(IF(F144=0,"",D144/(F144/7)),"")</f>
        <v>#ERROR!</v>
      </c>
      <c r="G144" s="235" t="str">
        <f>IF(AND(D144&lt;&gt;"",E144&lt;&gt;""),IF(D144&lt;E144,E144-D144,""),"")</f>
        <v>#ERROR!</v>
      </c>
      <c r="H144" s="283" t="str">
        <f>IFERROR(G144*INDEX('MP Referentiel'!F:F,MATCH(A144,'MP Referentiel'!A:A,0)),"")</f>
        <v>#ERROR!</v>
      </c>
      <c r="I144" s="235"/>
      <c r="J144" s="240"/>
    </row>
    <row r="145">
      <c r="A145" s="265"/>
      <c r="B145" s="227"/>
      <c r="C145" s="227"/>
      <c r="D145" s="227" t="str">
        <f>IFERROR(INDEX(Stock!E:E,MATCH(A145,Stock!A:A,0)),0)</f>
        <v>#ERROR!</v>
      </c>
      <c r="E145" s="227" t="str">
        <f>IFERROR(INDEX(Stock!F:F,MATCH(A145,Stock!A:A,0)),1)</f>
        <v>#ERROR!</v>
      </c>
      <c r="F145" s="227" t="str">
        <f>IFERROR(IF(F145=0,"",D145/(F145/7)),"")</f>
        <v>#ERROR!</v>
      </c>
      <c r="G145" s="227" t="str">
        <f>IF(AND(D145&lt;&gt;"",E145&lt;&gt;""),IF(D145&lt;E145,E145-D145,""),"")</f>
        <v>#ERROR!</v>
      </c>
      <c r="H145" s="281" t="str">
        <f>IFERROR(G145*INDEX('MP Referentiel'!F:F,MATCH(A145,'MP Referentiel'!A:A,0)),"")</f>
        <v>#ERROR!</v>
      </c>
      <c r="I145" s="227"/>
      <c r="J145" s="233"/>
    </row>
    <row r="146">
      <c r="A146" s="269"/>
      <c r="B146" s="235"/>
      <c r="C146" s="235"/>
      <c r="D146" s="235" t="str">
        <f>IFERROR(INDEX(Stock!E:E,MATCH(A146,Stock!A:A,0)),0)</f>
        <v>#ERROR!</v>
      </c>
      <c r="E146" s="235" t="str">
        <f>IFERROR(INDEX(Stock!F:F,MATCH(A146,Stock!A:A,0)),1)</f>
        <v>#ERROR!</v>
      </c>
      <c r="F146" s="235" t="str">
        <f>IFERROR(IF(F146=0,"",D146/(F146/7)),"")</f>
        <v>#ERROR!</v>
      </c>
      <c r="G146" s="235" t="str">
        <f>IF(AND(D146&lt;&gt;"",E146&lt;&gt;""),IF(D146&lt;E146,E146-D146,""),"")</f>
        <v>#ERROR!</v>
      </c>
      <c r="H146" s="283" t="str">
        <f>IFERROR(G146*INDEX('MP Referentiel'!F:F,MATCH(A146,'MP Referentiel'!A:A,0)),"")</f>
        <v>#ERROR!</v>
      </c>
      <c r="I146" s="235"/>
      <c r="J146" s="240"/>
    </row>
    <row r="147">
      <c r="A147" s="265"/>
      <c r="B147" s="227"/>
      <c r="C147" s="227"/>
      <c r="D147" s="227" t="str">
        <f>IFERROR(INDEX(Stock!E:E,MATCH(A147,Stock!A:A,0)),0)</f>
        <v>#ERROR!</v>
      </c>
      <c r="E147" s="227" t="str">
        <f>IFERROR(INDEX(Stock!F:F,MATCH(A147,Stock!A:A,0)),1)</f>
        <v>#ERROR!</v>
      </c>
      <c r="F147" s="227" t="str">
        <f>IFERROR(IF(F147=0,"",D147/(F147/7)),"")</f>
        <v>#ERROR!</v>
      </c>
      <c r="G147" s="227" t="str">
        <f>IF(AND(D147&lt;&gt;"",E147&lt;&gt;""),IF(D147&lt;E147,E147-D147,""),"")</f>
        <v>#ERROR!</v>
      </c>
      <c r="H147" s="281" t="str">
        <f>IFERROR(G147*INDEX('MP Referentiel'!F:F,MATCH(A147,'MP Referentiel'!A:A,0)),"")</f>
        <v>#ERROR!</v>
      </c>
      <c r="I147" s="227"/>
      <c r="J147" s="233"/>
    </row>
    <row r="148">
      <c r="A148" s="269"/>
      <c r="B148" s="235"/>
      <c r="C148" s="235"/>
      <c r="D148" s="235" t="str">
        <f>IFERROR(INDEX(Stock!E:E,MATCH(A148,Stock!A:A,0)),0)</f>
        <v>#ERROR!</v>
      </c>
      <c r="E148" s="235" t="str">
        <f>IFERROR(INDEX(Stock!F:F,MATCH(A148,Stock!A:A,0)),1)</f>
        <v>#ERROR!</v>
      </c>
      <c r="F148" s="235" t="str">
        <f>IFERROR(IF(F148=0,"",D148/(F148/7)),"")</f>
        <v>#ERROR!</v>
      </c>
      <c r="G148" s="235" t="str">
        <f>IF(AND(D148&lt;&gt;"",E148&lt;&gt;""),IF(D148&lt;E148,E148-D148,""),"")</f>
        <v>#ERROR!</v>
      </c>
      <c r="H148" s="283" t="str">
        <f>IFERROR(G148*INDEX('MP Referentiel'!F:F,MATCH(A148,'MP Referentiel'!A:A,0)),"")</f>
        <v>#ERROR!</v>
      </c>
      <c r="I148" s="235"/>
      <c r="J148" s="240"/>
    </row>
    <row r="149">
      <c r="A149" s="265"/>
      <c r="B149" s="227"/>
      <c r="C149" s="227"/>
      <c r="D149" s="227" t="str">
        <f>IFERROR(INDEX(Stock!E:E,MATCH(A149,Stock!A:A,0)),0)</f>
        <v>#ERROR!</v>
      </c>
      <c r="E149" s="227" t="str">
        <f>IFERROR(INDEX(Stock!F:F,MATCH(A149,Stock!A:A,0)),1)</f>
        <v>#ERROR!</v>
      </c>
      <c r="F149" s="227" t="str">
        <f>IFERROR(IF(F149=0,"",D149/(F149/7)),"")</f>
        <v>#ERROR!</v>
      </c>
      <c r="G149" s="227" t="str">
        <f>IF(AND(D149&lt;&gt;"",E149&lt;&gt;""),IF(D149&lt;E149,E149-D149,""),"")</f>
        <v>#ERROR!</v>
      </c>
      <c r="H149" s="281" t="str">
        <f>IFERROR(G149*INDEX('MP Referentiel'!F:F,MATCH(A149,'MP Referentiel'!A:A,0)),"")</f>
        <v>#ERROR!</v>
      </c>
      <c r="I149" s="227"/>
      <c r="J149" s="233"/>
    </row>
    <row r="150">
      <c r="A150" s="269"/>
      <c r="B150" s="235"/>
      <c r="C150" s="235"/>
      <c r="D150" s="235" t="str">
        <f>IFERROR(INDEX(Stock!E:E,MATCH(A150,Stock!A:A,0)),0)</f>
        <v>#ERROR!</v>
      </c>
      <c r="E150" s="235" t="str">
        <f>IFERROR(INDEX(Stock!F:F,MATCH(A150,Stock!A:A,0)),1)</f>
        <v>#ERROR!</v>
      </c>
      <c r="F150" s="235" t="str">
        <f>IFERROR(IF(F150=0,"",D150/(F150/7)),"")</f>
        <v>#ERROR!</v>
      </c>
      <c r="G150" s="235" t="str">
        <f>IF(AND(D150&lt;&gt;"",E150&lt;&gt;""),IF(D150&lt;E150,E150-D150,""),"")</f>
        <v>#ERROR!</v>
      </c>
      <c r="H150" s="283" t="str">
        <f>IFERROR(G150*INDEX('MP Referentiel'!F:F,MATCH(A150,'MP Referentiel'!A:A,0)),"")</f>
        <v>#ERROR!</v>
      </c>
      <c r="I150" s="235"/>
      <c r="J150" s="240"/>
    </row>
    <row r="151">
      <c r="A151" s="265"/>
      <c r="B151" s="227"/>
      <c r="C151" s="227"/>
      <c r="D151" s="227" t="str">
        <f>IFERROR(INDEX(Stock!E:E,MATCH(A151,Stock!A:A,0)),0)</f>
        <v>#ERROR!</v>
      </c>
      <c r="E151" s="227" t="str">
        <f>IFERROR(INDEX(Stock!F:F,MATCH(A151,Stock!A:A,0)),1)</f>
        <v>#ERROR!</v>
      </c>
      <c r="F151" s="227" t="str">
        <f>IFERROR(IF(F151=0,"",D151/(F151/7)),"")</f>
        <v>#ERROR!</v>
      </c>
      <c r="G151" s="227" t="str">
        <f>IF(AND(D151&lt;&gt;"",E151&lt;&gt;""),IF(D151&lt;E151,E151-D151,""),"")</f>
        <v>#ERROR!</v>
      </c>
      <c r="H151" s="281" t="str">
        <f>IFERROR(G151*INDEX('MP Referentiel'!F:F,MATCH(A151,'MP Referentiel'!A:A,0)),"")</f>
        <v>#ERROR!</v>
      </c>
      <c r="I151" s="227"/>
      <c r="J151" s="233"/>
    </row>
    <row r="152">
      <c r="A152" s="269"/>
      <c r="B152" s="235"/>
      <c r="C152" s="235"/>
      <c r="D152" s="235" t="str">
        <f>IFERROR(INDEX(Stock!E:E,MATCH(A152,Stock!A:A,0)),0)</f>
        <v>#ERROR!</v>
      </c>
      <c r="E152" s="235" t="str">
        <f>IFERROR(INDEX(Stock!F:F,MATCH(A152,Stock!A:A,0)),1)</f>
        <v>#ERROR!</v>
      </c>
      <c r="F152" s="235" t="str">
        <f>IFERROR(IF(F152=0,"",D152/(F152/7)),"")</f>
        <v>#ERROR!</v>
      </c>
      <c r="G152" s="235" t="str">
        <f>IF(AND(D152&lt;&gt;"",E152&lt;&gt;""),IF(D152&lt;E152,E152-D152,""),"")</f>
        <v>#ERROR!</v>
      </c>
      <c r="H152" s="283" t="str">
        <f>IFERROR(G152*INDEX('MP Referentiel'!F:F,MATCH(A152,'MP Referentiel'!A:A,0)),"")</f>
        <v>#ERROR!</v>
      </c>
      <c r="I152" s="235"/>
      <c r="J152" s="240"/>
    </row>
    <row r="153">
      <c r="A153" s="265"/>
      <c r="B153" s="227"/>
      <c r="C153" s="227"/>
      <c r="D153" s="227" t="str">
        <f>IFERROR(INDEX(Stock!E:E,MATCH(A153,Stock!A:A,0)),0)</f>
        <v>#ERROR!</v>
      </c>
      <c r="E153" s="227" t="str">
        <f>IFERROR(INDEX(Stock!F:F,MATCH(A153,Stock!A:A,0)),1)</f>
        <v>#ERROR!</v>
      </c>
      <c r="F153" s="227" t="str">
        <f>IFERROR(IF(F153=0,"",D153/(F153/7)),"")</f>
        <v>#ERROR!</v>
      </c>
      <c r="G153" s="227" t="str">
        <f>IF(AND(D153&lt;&gt;"",E153&lt;&gt;""),IF(D153&lt;E153,E153-D153,""),"")</f>
        <v>#ERROR!</v>
      </c>
      <c r="H153" s="281" t="str">
        <f>IFERROR(G153*INDEX('MP Referentiel'!F:F,MATCH(A153,'MP Referentiel'!A:A,0)),"")</f>
        <v>#ERROR!</v>
      </c>
      <c r="I153" s="227"/>
      <c r="J153" s="233"/>
    </row>
    <row r="154">
      <c r="A154" s="269"/>
      <c r="B154" s="235"/>
      <c r="C154" s="235"/>
      <c r="D154" s="235" t="str">
        <f>IFERROR(INDEX(Stock!E:E,MATCH(A154,Stock!A:A,0)),0)</f>
        <v>#ERROR!</v>
      </c>
      <c r="E154" s="235" t="str">
        <f>IFERROR(INDEX(Stock!F:F,MATCH(A154,Stock!A:A,0)),1)</f>
        <v>#ERROR!</v>
      </c>
      <c r="F154" s="235" t="str">
        <f>IFERROR(IF(F154=0,"",D154/(F154/7)),"")</f>
        <v>#ERROR!</v>
      </c>
      <c r="G154" s="235" t="str">
        <f>IF(AND(D154&lt;&gt;"",E154&lt;&gt;""),IF(D154&lt;E154,E154-D154,""),"")</f>
        <v>#ERROR!</v>
      </c>
      <c r="H154" s="283" t="str">
        <f>IFERROR(G154*INDEX('MP Referentiel'!F:F,MATCH(A154,'MP Referentiel'!A:A,0)),"")</f>
        <v>#ERROR!</v>
      </c>
      <c r="I154" s="235"/>
      <c r="J154" s="240"/>
    </row>
    <row r="155">
      <c r="A155" s="265"/>
      <c r="B155" s="227"/>
      <c r="C155" s="227"/>
      <c r="D155" s="227" t="str">
        <f>IFERROR(INDEX(Stock!E:E,MATCH(A155,Stock!A:A,0)),0)</f>
        <v>#ERROR!</v>
      </c>
      <c r="E155" s="227" t="str">
        <f>IFERROR(INDEX(Stock!F:F,MATCH(A155,Stock!A:A,0)),1)</f>
        <v>#ERROR!</v>
      </c>
      <c r="F155" s="227" t="str">
        <f>IFERROR(IF(F155=0,"",D155/(F155/7)),"")</f>
        <v>#ERROR!</v>
      </c>
      <c r="G155" s="227" t="str">
        <f>IF(AND(D155&lt;&gt;"",E155&lt;&gt;""),IF(D155&lt;E155,E155-D155,""),"")</f>
        <v>#ERROR!</v>
      </c>
      <c r="H155" s="281" t="str">
        <f>IFERROR(G155*INDEX('MP Referentiel'!F:F,MATCH(A155,'MP Referentiel'!A:A,0)),"")</f>
        <v>#ERROR!</v>
      </c>
      <c r="I155" s="227"/>
      <c r="J155" s="233"/>
    </row>
    <row r="156">
      <c r="A156" s="269"/>
      <c r="B156" s="235"/>
      <c r="C156" s="235"/>
      <c r="D156" s="235" t="str">
        <f>IFERROR(INDEX(Stock!E:E,MATCH(A156,Stock!A:A,0)),0)</f>
        <v>#ERROR!</v>
      </c>
      <c r="E156" s="235" t="str">
        <f>IFERROR(INDEX(Stock!F:F,MATCH(A156,Stock!A:A,0)),1)</f>
        <v>#ERROR!</v>
      </c>
      <c r="F156" s="235" t="str">
        <f>IFERROR(IF(F156=0,"",D156/(F156/7)),"")</f>
        <v>#ERROR!</v>
      </c>
      <c r="G156" s="235" t="str">
        <f>IF(AND(D156&lt;&gt;"",E156&lt;&gt;""),IF(D156&lt;E156,E156-D156,""),"")</f>
        <v>#ERROR!</v>
      </c>
      <c r="H156" s="283" t="str">
        <f>IFERROR(G156*INDEX('MP Referentiel'!F:F,MATCH(A156,'MP Referentiel'!A:A,0)),"")</f>
        <v>#ERROR!</v>
      </c>
      <c r="I156" s="235"/>
      <c r="J156" s="240"/>
    </row>
    <row r="157">
      <c r="A157" s="265"/>
      <c r="B157" s="227"/>
      <c r="C157" s="227"/>
      <c r="D157" s="227" t="str">
        <f>IFERROR(INDEX(Stock!E:E,MATCH(A157,Stock!A:A,0)),0)</f>
        <v>#ERROR!</v>
      </c>
      <c r="E157" s="227" t="str">
        <f>IFERROR(INDEX(Stock!F:F,MATCH(A157,Stock!A:A,0)),1)</f>
        <v>#ERROR!</v>
      </c>
      <c r="F157" s="227" t="str">
        <f>IFERROR(IF(F157=0,"",D157/(F157/7)),"")</f>
        <v>#ERROR!</v>
      </c>
      <c r="G157" s="227" t="str">
        <f>IF(AND(D157&lt;&gt;"",E157&lt;&gt;""),IF(D157&lt;E157,E157-D157,""),"")</f>
        <v>#ERROR!</v>
      </c>
      <c r="H157" s="281" t="str">
        <f>IFERROR(G157*INDEX('MP Referentiel'!F:F,MATCH(A157,'MP Referentiel'!A:A,0)),"")</f>
        <v>#ERROR!</v>
      </c>
      <c r="I157" s="227"/>
      <c r="J157" s="233"/>
    </row>
    <row r="158">
      <c r="A158" s="269"/>
      <c r="B158" s="235"/>
      <c r="C158" s="235"/>
      <c r="D158" s="235" t="str">
        <f>IFERROR(INDEX(Stock!E:E,MATCH(A158,Stock!A:A,0)),0)</f>
        <v>#ERROR!</v>
      </c>
      <c r="E158" s="235" t="str">
        <f>IFERROR(INDEX(Stock!F:F,MATCH(A158,Stock!A:A,0)),1)</f>
        <v>#ERROR!</v>
      </c>
      <c r="F158" s="235" t="str">
        <f>IFERROR(IF(F158=0,"",D158/(F158/7)),"")</f>
        <v>#ERROR!</v>
      </c>
      <c r="G158" s="235" t="str">
        <f>IF(AND(D158&lt;&gt;"",E158&lt;&gt;""),IF(D158&lt;E158,E158-D158,""),"")</f>
        <v>#ERROR!</v>
      </c>
      <c r="H158" s="283" t="str">
        <f>IFERROR(G158*INDEX('MP Referentiel'!F:F,MATCH(A158,'MP Referentiel'!A:A,0)),"")</f>
        <v>#ERROR!</v>
      </c>
      <c r="I158" s="235"/>
      <c r="J158" s="240"/>
    </row>
    <row r="159">
      <c r="A159" s="265"/>
      <c r="B159" s="227"/>
      <c r="C159" s="227"/>
      <c r="D159" s="227" t="str">
        <f>IFERROR(INDEX(Stock!E:E,MATCH(A159,Stock!A:A,0)),0)</f>
        <v>#ERROR!</v>
      </c>
      <c r="E159" s="227" t="str">
        <f>IFERROR(INDEX(Stock!F:F,MATCH(A159,Stock!A:A,0)),1)</f>
        <v>#ERROR!</v>
      </c>
      <c r="F159" s="227" t="str">
        <f>IFERROR(IF(F159=0,"",D159/(F159/7)),"")</f>
        <v>#ERROR!</v>
      </c>
      <c r="G159" s="227" t="str">
        <f>IF(AND(D159&lt;&gt;"",E159&lt;&gt;""),IF(D159&lt;E159,E159-D159,""),"")</f>
        <v>#ERROR!</v>
      </c>
      <c r="H159" s="281" t="str">
        <f>IFERROR(G159*INDEX('MP Referentiel'!F:F,MATCH(A159,'MP Referentiel'!A:A,0)),"")</f>
        <v>#ERROR!</v>
      </c>
      <c r="I159" s="227"/>
      <c r="J159" s="233"/>
    </row>
    <row r="160">
      <c r="A160" s="269"/>
      <c r="B160" s="235"/>
      <c r="C160" s="235"/>
      <c r="D160" s="235" t="str">
        <f>IFERROR(INDEX(Stock!E:E,MATCH(A160,Stock!A:A,0)),0)</f>
        <v>#ERROR!</v>
      </c>
      <c r="E160" s="235" t="str">
        <f>IFERROR(INDEX(Stock!F:F,MATCH(A160,Stock!A:A,0)),1)</f>
        <v>#ERROR!</v>
      </c>
      <c r="F160" s="235" t="str">
        <f>IFERROR(IF(F160=0,"",D160/(F160/7)),"")</f>
        <v>#ERROR!</v>
      </c>
      <c r="G160" s="235" t="str">
        <f>IF(AND(D160&lt;&gt;"",E160&lt;&gt;""),IF(D160&lt;E160,E160-D160,""),"")</f>
        <v>#ERROR!</v>
      </c>
      <c r="H160" s="283" t="str">
        <f>IFERROR(G160*INDEX('MP Referentiel'!F:F,MATCH(A160,'MP Referentiel'!A:A,0)),"")</f>
        <v>#ERROR!</v>
      </c>
      <c r="I160" s="235"/>
      <c r="J160" s="240"/>
    </row>
    <row r="161">
      <c r="A161" s="265"/>
      <c r="B161" s="227"/>
      <c r="C161" s="227"/>
      <c r="D161" s="227" t="str">
        <f>IFERROR(INDEX(Stock!E:E,MATCH(A161,Stock!A:A,0)),0)</f>
        <v>#ERROR!</v>
      </c>
      <c r="E161" s="227" t="str">
        <f>IFERROR(INDEX(Stock!F:F,MATCH(A161,Stock!A:A,0)),1)</f>
        <v>#ERROR!</v>
      </c>
      <c r="F161" s="227" t="str">
        <f>IFERROR(IF(F161=0,"",D161/(F161/7)),"")</f>
        <v>#ERROR!</v>
      </c>
      <c r="G161" s="227" t="str">
        <f>IF(AND(D161&lt;&gt;"",E161&lt;&gt;""),IF(D161&lt;E161,E161-D161,""),"")</f>
        <v>#ERROR!</v>
      </c>
      <c r="H161" s="281" t="str">
        <f>IFERROR(G161*INDEX('MP Referentiel'!F:F,MATCH(A161,'MP Referentiel'!A:A,0)),"")</f>
        <v>#ERROR!</v>
      </c>
      <c r="I161" s="227"/>
      <c r="J161" s="233"/>
    </row>
    <row r="162">
      <c r="A162" s="269"/>
      <c r="B162" s="235"/>
      <c r="C162" s="235"/>
      <c r="D162" s="235" t="str">
        <f>IFERROR(INDEX(Stock!E:E,MATCH(A162,Stock!A:A,0)),0)</f>
        <v>#ERROR!</v>
      </c>
      <c r="E162" s="235" t="str">
        <f>IFERROR(INDEX(Stock!F:F,MATCH(A162,Stock!A:A,0)),1)</f>
        <v>#ERROR!</v>
      </c>
      <c r="F162" s="235" t="str">
        <f>IFERROR(IF(F162=0,"",D162/(F162/7)),"")</f>
        <v>#ERROR!</v>
      </c>
      <c r="G162" s="235" t="str">
        <f>IF(AND(D162&lt;&gt;"",E162&lt;&gt;""),IF(D162&lt;E162,E162-D162,""),"")</f>
        <v>#ERROR!</v>
      </c>
      <c r="H162" s="283" t="str">
        <f>IFERROR(G162*INDEX('MP Referentiel'!F:F,MATCH(A162,'MP Referentiel'!A:A,0)),"")</f>
        <v>#ERROR!</v>
      </c>
      <c r="I162" s="235"/>
      <c r="J162" s="240"/>
    </row>
    <row r="163">
      <c r="A163" s="265"/>
      <c r="B163" s="227"/>
      <c r="C163" s="227"/>
      <c r="D163" s="227" t="str">
        <f>IFERROR(INDEX(Stock!E:E,MATCH(A163,Stock!A:A,0)),0)</f>
        <v>#ERROR!</v>
      </c>
      <c r="E163" s="227" t="str">
        <f>IFERROR(INDEX(Stock!F:F,MATCH(A163,Stock!A:A,0)),1)</f>
        <v>#ERROR!</v>
      </c>
      <c r="F163" s="227" t="str">
        <f>IFERROR(IF(F163=0,"",D163/(F163/7)),"")</f>
        <v>#ERROR!</v>
      </c>
      <c r="G163" s="227" t="str">
        <f>IF(AND(D163&lt;&gt;"",E163&lt;&gt;""),IF(D163&lt;E163,E163-D163,""),"")</f>
        <v>#ERROR!</v>
      </c>
      <c r="H163" s="281" t="str">
        <f>IFERROR(G163*INDEX('MP Referentiel'!F:F,MATCH(A163,'MP Referentiel'!A:A,0)),"")</f>
        <v>#ERROR!</v>
      </c>
      <c r="I163" s="227"/>
      <c r="J163" s="233"/>
    </row>
    <row r="164">
      <c r="A164" s="269"/>
      <c r="B164" s="235"/>
      <c r="C164" s="235"/>
      <c r="D164" s="235" t="str">
        <f>IFERROR(INDEX(Stock!E:E,MATCH(A164,Stock!A:A,0)),0)</f>
        <v>#ERROR!</v>
      </c>
      <c r="E164" s="235" t="str">
        <f>IFERROR(INDEX(Stock!F:F,MATCH(A164,Stock!A:A,0)),1)</f>
        <v>#ERROR!</v>
      </c>
      <c r="F164" s="235" t="str">
        <f>IFERROR(IF(F164=0,"",D164/(F164/7)),"")</f>
        <v>#ERROR!</v>
      </c>
      <c r="G164" s="235" t="str">
        <f>IF(AND(D164&lt;&gt;"",E164&lt;&gt;""),IF(D164&lt;E164,E164-D164,""),"")</f>
        <v>#ERROR!</v>
      </c>
      <c r="H164" s="283" t="str">
        <f>IFERROR(G164*INDEX('MP Referentiel'!F:F,MATCH(A164,'MP Referentiel'!A:A,0)),"")</f>
        <v>#ERROR!</v>
      </c>
      <c r="I164" s="235"/>
      <c r="J164" s="240"/>
    </row>
    <row r="165">
      <c r="A165" s="265"/>
      <c r="B165" s="227"/>
      <c r="C165" s="227"/>
      <c r="D165" s="227" t="str">
        <f>IFERROR(INDEX(Stock!E:E,MATCH(A165,Stock!A:A,0)),0)</f>
        <v>#ERROR!</v>
      </c>
      <c r="E165" s="227" t="str">
        <f>IFERROR(INDEX(Stock!F:F,MATCH(A165,Stock!A:A,0)),1)</f>
        <v>#ERROR!</v>
      </c>
      <c r="F165" s="227" t="str">
        <f>IFERROR(IF(F165=0,"",D165/(F165/7)),"")</f>
        <v>#ERROR!</v>
      </c>
      <c r="G165" s="227" t="str">
        <f>IF(AND(D165&lt;&gt;"",E165&lt;&gt;""),IF(D165&lt;E165,E165-D165,""),"")</f>
        <v>#ERROR!</v>
      </c>
      <c r="H165" s="281" t="str">
        <f>IFERROR(G165*INDEX('MP Referentiel'!F:F,MATCH(A165,'MP Referentiel'!A:A,0)),"")</f>
        <v>#ERROR!</v>
      </c>
      <c r="I165" s="227"/>
      <c r="J165" s="233"/>
    </row>
    <row r="166">
      <c r="A166" s="269"/>
      <c r="B166" s="235"/>
      <c r="C166" s="235"/>
      <c r="D166" s="235" t="str">
        <f>IFERROR(INDEX(Stock!E:E,MATCH(A166,Stock!A:A,0)),0)</f>
        <v>#ERROR!</v>
      </c>
      <c r="E166" s="235" t="str">
        <f>IFERROR(INDEX(Stock!F:F,MATCH(A166,Stock!A:A,0)),1)</f>
        <v>#ERROR!</v>
      </c>
      <c r="F166" s="235" t="str">
        <f>IFERROR(IF(F166=0,"",D166/(F166/7)),"")</f>
        <v>#ERROR!</v>
      </c>
      <c r="G166" s="235" t="str">
        <f>IF(AND(D166&lt;&gt;"",E166&lt;&gt;""),IF(D166&lt;E166,E166-D166,""),"")</f>
        <v>#ERROR!</v>
      </c>
      <c r="H166" s="283" t="str">
        <f>IFERROR(G166*INDEX('MP Referentiel'!F:F,MATCH(A166,'MP Referentiel'!A:A,0)),"")</f>
        <v>#ERROR!</v>
      </c>
      <c r="I166" s="235"/>
      <c r="J166" s="240"/>
    </row>
    <row r="167">
      <c r="A167" s="265"/>
      <c r="B167" s="227"/>
      <c r="C167" s="227"/>
      <c r="D167" s="227" t="str">
        <f>IFERROR(INDEX(Stock!E:E,MATCH(A167,Stock!A:A,0)),0)</f>
        <v>#ERROR!</v>
      </c>
      <c r="E167" s="227" t="str">
        <f>IFERROR(INDEX(Stock!F:F,MATCH(A167,Stock!A:A,0)),1)</f>
        <v>#ERROR!</v>
      </c>
      <c r="F167" s="227" t="str">
        <f>IFERROR(IF(F167=0,"",D167/(F167/7)),"")</f>
        <v>#ERROR!</v>
      </c>
      <c r="G167" s="227" t="str">
        <f>IF(AND(D167&lt;&gt;"",E167&lt;&gt;""),IF(D167&lt;E167,E167-D167,""),"")</f>
        <v>#ERROR!</v>
      </c>
      <c r="H167" s="281" t="str">
        <f>IFERROR(G167*INDEX('MP Referentiel'!F:F,MATCH(A167,'MP Referentiel'!A:A,0)),"")</f>
        <v>#ERROR!</v>
      </c>
      <c r="I167" s="227"/>
      <c r="J167" s="233"/>
    </row>
    <row r="168">
      <c r="A168" s="269"/>
      <c r="B168" s="235"/>
      <c r="C168" s="235"/>
      <c r="D168" s="235" t="str">
        <f>IFERROR(INDEX(Stock!E:E,MATCH(A168,Stock!A:A,0)),0)</f>
        <v>#ERROR!</v>
      </c>
      <c r="E168" s="235" t="str">
        <f>IFERROR(INDEX(Stock!F:F,MATCH(A168,Stock!A:A,0)),1)</f>
        <v>#ERROR!</v>
      </c>
      <c r="F168" s="235" t="str">
        <f>IFERROR(IF(F168=0,"",D168/(F168/7)),"")</f>
        <v>#ERROR!</v>
      </c>
      <c r="G168" s="235" t="str">
        <f>IF(AND(D168&lt;&gt;"",E168&lt;&gt;""),IF(D168&lt;E168,E168-D168,""),"")</f>
        <v>#ERROR!</v>
      </c>
      <c r="H168" s="283" t="str">
        <f>IFERROR(G168*INDEX('MP Referentiel'!F:F,MATCH(A168,'MP Referentiel'!A:A,0)),"")</f>
        <v>#ERROR!</v>
      </c>
      <c r="I168" s="235"/>
      <c r="J168" s="240"/>
    </row>
    <row r="169">
      <c r="A169" s="265"/>
      <c r="B169" s="227"/>
      <c r="C169" s="227"/>
      <c r="D169" s="227" t="str">
        <f>IFERROR(INDEX(Stock!E:E,MATCH(A169,Stock!A:A,0)),0)</f>
        <v>#ERROR!</v>
      </c>
      <c r="E169" s="227" t="str">
        <f>IFERROR(INDEX(Stock!F:F,MATCH(A169,Stock!A:A,0)),1)</f>
        <v>#ERROR!</v>
      </c>
      <c r="F169" s="227" t="str">
        <f>IFERROR(IF(F169=0,"",D169/(F169/7)),"")</f>
        <v>#ERROR!</v>
      </c>
      <c r="G169" s="227" t="str">
        <f>IF(AND(D169&lt;&gt;"",E169&lt;&gt;""),IF(D169&lt;E169,E169-D169,""),"")</f>
        <v>#ERROR!</v>
      </c>
      <c r="H169" s="281" t="str">
        <f>IFERROR(G169*INDEX('MP Referentiel'!F:F,MATCH(A169,'MP Referentiel'!A:A,0)),"")</f>
        <v>#ERROR!</v>
      </c>
      <c r="I169" s="227"/>
      <c r="J169" s="233"/>
    </row>
    <row r="170">
      <c r="A170" s="269"/>
      <c r="B170" s="235"/>
      <c r="C170" s="235"/>
      <c r="D170" s="235" t="str">
        <f>IFERROR(INDEX(Stock!E:E,MATCH(A170,Stock!A:A,0)),0)</f>
        <v>#ERROR!</v>
      </c>
      <c r="E170" s="235" t="str">
        <f>IFERROR(INDEX(Stock!F:F,MATCH(A170,Stock!A:A,0)),1)</f>
        <v>#ERROR!</v>
      </c>
      <c r="F170" s="235" t="str">
        <f>IFERROR(IF(F170=0,"",D170/(F170/7)),"")</f>
        <v>#ERROR!</v>
      </c>
      <c r="G170" s="235" t="str">
        <f>IF(AND(D170&lt;&gt;"",E170&lt;&gt;""),IF(D170&lt;E170,E170-D170,""),"")</f>
        <v>#ERROR!</v>
      </c>
      <c r="H170" s="283" t="str">
        <f>IFERROR(G170*INDEX('MP Referentiel'!F:F,MATCH(A170,'MP Referentiel'!A:A,0)),"")</f>
        <v>#ERROR!</v>
      </c>
      <c r="I170" s="235"/>
      <c r="J170" s="240"/>
    </row>
    <row r="171">
      <c r="A171" s="265"/>
      <c r="B171" s="227"/>
      <c r="C171" s="227"/>
      <c r="D171" s="227" t="str">
        <f>IFERROR(INDEX(Stock!E:E,MATCH(A171,Stock!A:A,0)),0)</f>
        <v>#ERROR!</v>
      </c>
      <c r="E171" s="227" t="str">
        <f>IFERROR(INDEX(Stock!F:F,MATCH(A171,Stock!A:A,0)),1)</f>
        <v>#ERROR!</v>
      </c>
      <c r="F171" s="227" t="str">
        <f>IFERROR(IF(F171=0,"",D171/(F171/7)),"")</f>
        <v>#ERROR!</v>
      </c>
      <c r="G171" s="227" t="str">
        <f>IF(AND(D171&lt;&gt;"",E171&lt;&gt;""),IF(D171&lt;E171,E171-D171,""),"")</f>
        <v>#ERROR!</v>
      </c>
      <c r="H171" s="281" t="str">
        <f>IFERROR(G171*INDEX('MP Referentiel'!F:F,MATCH(A171,'MP Referentiel'!A:A,0)),"")</f>
        <v>#ERROR!</v>
      </c>
      <c r="I171" s="227"/>
      <c r="J171" s="233"/>
    </row>
    <row r="172">
      <c r="A172" s="269"/>
      <c r="B172" s="235"/>
      <c r="C172" s="235"/>
      <c r="D172" s="235" t="str">
        <f>IFERROR(INDEX(Stock!E:E,MATCH(A172,Stock!A:A,0)),0)</f>
        <v>#ERROR!</v>
      </c>
      <c r="E172" s="235" t="str">
        <f>IFERROR(INDEX(Stock!F:F,MATCH(A172,Stock!A:A,0)),1)</f>
        <v>#ERROR!</v>
      </c>
      <c r="F172" s="235" t="str">
        <f>IFERROR(IF(F172=0,"",D172/(F172/7)),"")</f>
        <v>#ERROR!</v>
      </c>
      <c r="G172" s="235" t="str">
        <f>IF(AND(D172&lt;&gt;"",E172&lt;&gt;""),IF(D172&lt;E172,E172-D172,""),"")</f>
        <v>#ERROR!</v>
      </c>
      <c r="H172" s="283" t="str">
        <f>IFERROR(G172*INDEX('MP Referentiel'!F:F,MATCH(A172,'MP Referentiel'!A:A,0)),"")</f>
        <v>#ERROR!</v>
      </c>
      <c r="I172" s="235"/>
      <c r="J172" s="240"/>
    </row>
    <row r="173">
      <c r="A173" s="265"/>
      <c r="B173" s="227"/>
      <c r="C173" s="227"/>
      <c r="D173" s="227" t="str">
        <f>IFERROR(INDEX(Stock!E:E,MATCH(A173,Stock!A:A,0)),0)</f>
        <v>#ERROR!</v>
      </c>
      <c r="E173" s="227" t="str">
        <f>IFERROR(INDEX(Stock!F:F,MATCH(A173,Stock!A:A,0)),1)</f>
        <v>#ERROR!</v>
      </c>
      <c r="F173" s="227" t="str">
        <f>IFERROR(IF(F173=0,"",D173/(F173/7)),"")</f>
        <v>#ERROR!</v>
      </c>
      <c r="G173" s="227" t="str">
        <f>IF(AND(D173&lt;&gt;"",E173&lt;&gt;""),IF(D173&lt;E173,E173-D173,""),"")</f>
        <v>#ERROR!</v>
      </c>
      <c r="H173" s="281" t="str">
        <f>IFERROR(G173*INDEX('MP Referentiel'!F:F,MATCH(A173,'MP Referentiel'!A:A,0)),"")</f>
        <v>#ERROR!</v>
      </c>
      <c r="I173" s="227"/>
      <c r="J173" s="233"/>
    </row>
    <row r="174">
      <c r="A174" s="269"/>
      <c r="B174" s="235"/>
      <c r="C174" s="235"/>
      <c r="D174" s="235" t="str">
        <f>IFERROR(INDEX(Stock!E:E,MATCH(A174,Stock!A:A,0)),0)</f>
        <v>#ERROR!</v>
      </c>
      <c r="E174" s="235" t="str">
        <f>IFERROR(INDEX(Stock!F:F,MATCH(A174,Stock!A:A,0)),1)</f>
        <v>#ERROR!</v>
      </c>
      <c r="F174" s="235" t="str">
        <f>IFERROR(IF(F174=0,"",D174/(F174/7)),"")</f>
        <v>#ERROR!</v>
      </c>
      <c r="G174" s="235" t="str">
        <f>IF(AND(D174&lt;&gt;"",E174&lt;&gt;""),IF(D174&lt;E174,E174-D174,""),"")</f>
        <v>#ERROR!</v>
      </c>
      <c r="H174" s="283" t="str">
        <f>IFERROR(G174*INDEX('MP Referentiel'!F:F,MATCH(A174,'MP Referentiel'!A:A,0)),"")</f>
        <v>#ERROR!</v>
      </c>
      <c r="I174" s="235"/>
      <c r="J174" s="240"/>
    </row>
    <row r="175">
      <c r="A175" s="265"/>
      <c r="B175" s="227"/>
      <c r="C175" s="227"/>
      <c r="D175" s="227" t="str">
        <f>IFERROR(INDEX(Stock!E:E,MATCH(A175,Stock!A:A,0)),0)</f>
        <v>#ERROR!</v>
      </c>
      <c r="E175" s="227" t="str">
        <f>IFERROR(INDEX(Stock!F:F,MATCH(A175,Stock!A:A,0)),1)</f>
        <v>#ERROR!</v>
      </c>
      <c r="F175" s="227" t="str">
        <f>IFERROR(IF(F175=0,"",D175/(F175/7)),"")</f>
        <v>#ERROR!</v>
      </c>
      <c r="G175" s="227" t="str">
        <f>IF(AND(D175&lt;&gt;"",E175&lt;&gt;""),IF(D175&lt;E175,E175-D175,""),"")</f>
        <v>#ERROR!</v>
      </c>
      <c r="H175" s="281" t="str">
        <f>IFERROR(G175*INDEX('MP Referentiel'!F:F,MATCH(A175,'MP Referentiel'!A:A,0)),"")</f>
        <v>#ERROR!</v>
      </c>
      <c r="I175" s="227"/>
      <c r="J175" s="233"/>
    </row>
    <row r="176">
      <c r="A176" s="269"/>
      <c r="B176" s="235"/>
      <c r="C176" s="235"/>
      <c r="D176" s="235" t="str">
        <f>IFERROR(INDEX(Stock!E:E,MATCH(A176,Stock!A:A,0)),0)</f>
        <v>#ERROR!</v>
      </c>
      <c r="E176" s="235" t="str">
        <f>IFERROR(INDEX(Stock!F:F,MATCH(A176,Stock!A:A,0)),1)</f>
        <v>#ERROR!</v>
      </c>
      <c r="F176" s="235" t="str">
        <f>IFERROR(IF(F176=0,"",D176/(F176/7)),"")</f>
        <v>#ERROR!</v>
      </c>
      <c r="G176" s="235" t="str">
        <f>IF(AND(D176&lt;&gt;"",E176&lt;&gt;""),IF(D176&lt;E176,E176-D176,""),"")</f>
        <v>#ERROR!</v>
      </c>
      <c r="H176" s="283" t="str">
        <f>IFERROR(G176*INDEX('MP Referentiel'!F:F,MATCH(A176,'MP Referentiel'!A:A,0)),"")</f>
        <v>#ERROR!</v>
      </c>
      <c r="I176" s="235"/>
      <c r="J176" s="240"/>
    </row>
    <row r="177">
      <c r="A177" s="265"/>
      <c r="B177" s="227"/>
      <c r="C177" s="227"/>
      <c r="D177" s="227" t="str">
        <f>IFERROR(INDEX(Stock!E:E,MATCH(A177,Stock!A:A,0)),0)</f>
        <v>#ERROR!</v>
      </c>
      <c r="E177" s="227" t="str">
        <f>IFERROR(INDEX(Stock!F:F,MATCH(A177,Stock!A:A,0)),1)</f>
        <v>#ERROR!</v>
      </c>
      <c r="F177" s="227" t="str">
        <f>IFERROR(IF(F177=0,"",D177/(F177/7)),"")</f>
        <v>#ERROR!</v>
      </c>
      <c r="G177" s="227" t="str">
        <f>IF(AND(D177&lt;&gt;"",E177&lt;&gt;""),IF(D177&lt;E177,E177-D177,""),"")</f>
        <v>#ERROR!</v>
      </c>
      <c r="H177" s="281" t="str">
        <f>IFERROR(G177*INDEX('MP Referentiel'!F:F,MATCH(A177,'MP Referentiel'!A:A,0)),"")</f>
        <v>#ERROR!</v>
      </c>
      <c r="I177" s="227"/>
      <c r="J177" s="233"/>
    </row>
    <row r="178">
      <c r="A178" s="269"/>
      <c r="B178" s="235"/>
      <c r="C178" s="235"/>
      <c r="D178" s="235" t="str">
        <f>IFERROR(INDEX(Stock!E:E,MATCH(A178,Stock!A:A,0)),0)</f>
        <v>#ERROR!</v>
      </c>
      <c r="E178" s="235" t="str">
        <f>IFERROR(INDEX(Stock!F:F,MATCH(A178,Stock!A:A,0)),1)</f>
        <v>#ERROR!</v>
      </c>
      <c r="F178" s="235" t="str">
        <f>IFERROR(IF(F178=0,"",D178/(F178/7)),"")</f>
        <v>#ERROR!</v>
      </c>
      <c r="G178" s="235" t="str">
        <f>IF(AND(D178&lt;&gt;"",E178&lt;&gt;""),IF(D178&lt;E178,E178-D178,""),"")</f>
        <v>#ERROR!</v>
      </c>
      <c r="H178" s="283" t="str">
        <f>IFERROR(G178*INDEX('MP Referentiel'!F:F,MATCH(A178,'MP Referentiel'!A:A,0)),"")</f>
        <v>#ERROR!</v>
      </c>
      <c r="I178" s="235"/>
      <c r="J178" s="240"/>
    </row>
    <row r="179">
      <c r="A179" s="265"/>
      <c r="B179" s="227"/>
      <c r="C179" s="227"/>
      <c r="D179" s="227" t="str">
        <f>IFERROR(INDEX(Stock!E:E,MATCH(A179,Stock!A:A,0)),0)</f>
        <v>#ERROR!</v>
      </c>
      <c r="E179" s="227" t="str">
        <f>IFERROR(INDEX(Stock!F:F,MATCH(A179,Stock!A:A,0)),1)</f>
        <v>#ERROR!</v>
      </c>
      <c r="F179" s="227" t="str">
        <f>IFERROR(IF(F179=0,"",D179/(F179/7)),"")</f>
        <v>#ERROR!</v>
      </c>
      <c r="G179" s="227" t="str">
        <f>IF(AND(D179&lt;&gt;"",E179&lt;&gt;""),IF(D179&lt;E179,E179-D179,""),"")</f>
        <v>#ERROR!</v>
      </c>
      <c r="H179" s="281" t="str">
        <f>IFERROR(G179*INDEX('MP Referentiel'!F:F,MATCH(A179,'MP Referentiel'!A:A,0)),"")</f>
        <v>#ERROR!</v>
      </c>
      <c r="I179" s="227"/>
      <c r="J179" s="233"/>
    </row>
    <row r="180">
      <c r="A180" s="269"/>
      <c r="B180" s="235"/>
      <c r="C180" s="235"/>
      <c r="D180" s="235" t="str">
        <f>IFERROR(INDEX(Stock!E:E,MATCH(A180,Stock!A:A,0)),0)</f>
        <v>#ERROR!</v>
      </c>
      <c r="E180" s="235" t="str">
        <f>IFERROR(INDEX(Stock!F:F,MATCH(A180,Stock!A:A,0)),1)</f>
        <v>#ERROR!</v>
      </c>
      <c r="F180" s="235" t="str">
        <f>IFERROR(IF(F180=0,"",D180/(F180/7)),"")</f>
        <v>#ERROR!</v>
      </c>
      <c r="G180" s="235" t="str">
        <f>IF(AND(D180&lt;&gt;"",E180&lt;&gt;""),IF(D180&lt;E180,E180-D180,""),"")</f>
        <v>#ERROR!</v>
      </c>
      <c r="H180" s="283" t="str">
        <f>IFERROR(G180*INDEX('MP Referentiel'!F:F,MATCH(A180,'MP Referentiel'!A:A,0)),"")</f>
        <v>#ERROR!</v>
      </c>
      <c r="I180" s="235"/>
      <c r="J180" s="240"/>
    </row>
    <row r="181">
      <c r="A181" s="265"/>
      <c r="B181" s="227"/>
      <c r="C181" s="227"/>
      <c r="D181" s="227" t="str">
        <f>IFERROR(INDEX(Stock!E:E,MATCH(A181,Stock!A:A,0)),0)</f>
        <v>#ERROR!</v>
      </c>
      <c r="E181" s="227" t="str">
        <f>IFERROR(INDEX(Stock!F:F,MATCH(A181,Stock!A:A,0)),1)</f>
        <v>#ERROR!</v>
      </c>
      <c r="F181" s="227" t="str">
        <f>IFERROR(IF(F181=0,"",D181/(F181/7)),"")</f>
        <v>#ERROR!</v>
      </c>
      <c r="G181" s="227" t="str">
        <f>IF(AND(D181&lt;&gt;"",E181&lt;&gt;""),IF(D181&lt;E181,E181-D181,""),"")</f>
        <v>#ERROR!</v>
      </c>
      <c r="H181" s="281" t="str">
        <f>IFERROR(G181*INDEX('MP Referentiel'!F:F,MATCH(A181,'MP Referentiel'!A:A,0)),"")</f>
        <v>#ERROR!</v>
      </c>
      <c r="I181" s="227"/>
      <c r="J181" s="233"/>
    </row>
    <row r="182">
      <c r="A182" s="269"/>
      <c r="B182" s="235"/>
      <c r="C182" s="235"/>
      <c r="D182" s="235" t="str">
        <f>IFERROR(INDEX(Stock!E:E,MATCH(A182,Stock!A:A,0)),0)</f>
        <v>#ERROR!</v>
      </c>
      <c r="E182" s="235" t="str">
        <f>IFERROR(INDEX(Stock!F:F,MATCH(A182,Stock!A:A,0)),1)</f>
        <v>#ERROR!</v>
      </c>
      <c r="F182" s="235" t="str">
        <f>IFERROR(IF(F182=0,"",D182/(F182/7)),"")</f>
        <v>#ERROR!</v>
      </c>
      <c r="G182" s="235" t="str">
        <f>IF(AND(D182&lt;&gt;"",E182&lt;&gt;""),IF(D182&lt;E182,E182-D182,""),"")</f>
        <v>#ERROR!</v>
      </c>
      <c r="H182" s="283" t="str">
        <f>IFERROR(G182*INDEX('MP Referentiel'!F:F,MATCH(A182,'MP Referentiel'!A:A,0)),"")</f>
        <v>#ERROR!</v>
      </c>
      <c r="I182" s="235"/>
      <c r="J182" s="240"/>
    </row>
    <row r="183">
      <c r="A183" s="265"/>
      <c r="B183" s="227"/>
      <c r="C183" s="227"/>
      <c r="D183" s="227" t="str">
        <f>IFERROR(INDEX(Stock!E:E,MATCH(A183,Stock!A:A,0)),0)</f>
        <v>#ERROR!</v>
      </c>
      <c r="E183" s="227" t="str">
        <f>IFERROR(INDEX(Stock!F:F,MATCH(A183,Stock!A:A,0)),1)</f>
        <v>#ERROR!</v>
      </c>
      <c r="F183" s="227" t="str">
        <f>IFERROR(IF(F183=0,"",D183/(F183/7)),"")</f>
        <v>#ERROR!</v>
      </c>
      <c r="G183" s="227" t="str">
        <f>IF(AND(D183&lt;&gt;"",E183&lt;&gt;""),IF(D183&lt;E183,E183-D183,""),"")</f>
        <v>#ERROR!</v>
      </c>
      <c r="H183" s="281" t="str">
        <f>IFERROR(G183*INDEX('MP Referentiel'!F:F,MATCH(A183,'MP Referentiel'!A:A,0)),"")</f>
        <v>#ERROR!</v>
      </c>
      <c r="I183" s="227"/>
      <c r="J183" s="233"/>
    </row>
    <row r="184">
      <c r="A184" s="269"/>
      <c r="B184" s="235"/>
      <c r="C184" s="235"/>
      <c r="D184" s="235" t="str">
        <f>IFERROR(INDEX(Stock!E:E,MATCH(A184,Stock!A:A,0)),0)</f>
        <v>#ERROR!</v>
      </c>
      <c r="E184" s="235" t="str">
        <f>IFERROR(INDEX(Stock!F:F,MATCH(A184,Stock!A:A,0)),1)</f>
        <v>#ERROR!</v>
      </c>
      <c r="F184" s="235" t="str">
        <f>IFERROR(IF(F184=0,"",D184/(F184/7)),"")</f>
        <v>#ERROR!</v>
      </c>
      <c r="G184" s="235" t="str">
        <f>IF(AND(D184&lt;&gt;"",E184&lt;&gt;""),IF(D184&lt;E184,E184-D184,""),"")</f>
        <v>#ERROR!</v>
      </c>
      <c r="H184" s="283" t="str">
        <f>IFERROR(G184*INDEX('MP Referentiel'!F:F,MATCH(A184,'MP Referentiel'!A:A,0)),"")</f>
        <v>#ERROR!</v>
      </c>
      <c r="I184" s="235"/>
      <c r="J184" s="240"/>
    </row>
    <row r="185">
      <c r="A185" s="265"/>
      <c r="B185" s="227"/>
      <c r="C185" s="227"/>
      <c r="D185" s="227" t="str">
        <f>IFERROR(INDEX(Stock!E:E,MATCH(A185,Stock!A:A,0)),0)</f>
        <v>#ERROR!</v>
      </c>
      <c r="E185" s="227" t="str">
        <f>IFERROR(INDEX(Stock!F:F,MATCH(A185,Stock!A:A,0)),1)</f>
        <v>#ERROR!</v>
      </c>
      <c r="F185" s="227" t="str">
        <f>IFERROR(IF(F185=0,"",D185/(F185/7)),"")</f>
        <v>#ERROR!</v>
      </c>
      <c r="G185" s="227" t="str">
        <f>IF(AND(D185&lt;&gt;"",E185&lt;&gt;""),IF(D185&lt;E185,E185-D185,""),"")</f>
        <v>#ERROR!</v>
      </c>
      <c r="H185" s="281" t="str">
        <f>IFERROR(G185*INDEX('MP Referentiel'!F:F,MATCH(A185,'MP Referentiel'!A:A,0)),"")</f>
        <v>#ERROR!</v>
      </c>
      <c r="I185" s="227"/>
      <c r="J185" s="233"/>
    </row>
    <row r="186">
      <c r="A186" s="269"/>
      <c r="B186" s="235"/>
      <c r="C186" s="235"/>
      <c r="D186" s="235" t="str">
        <f>IFERROR(INDEX(Stock!E:E,MATCH(A186,Stock!A:A,0)),0)</f>
        <v>#ERROR!</v>
      </c>
      <c r="E186" s="235" t="str">
        <f>IFERROR(INDEX(Stock!F:F,MATCH(A186,Stock!A:A,0)),1)</f>
        <v>#ERROR!</v>
      </c>
      <c r="F186" s="235" t="str">
        <f>IFERROR(IF(F186=0,"",D186/(F186/7)),"")</f>
        <v>#ERROR!</v>
      </c>
      <c r="G186" s="235" t="str">
        <f>IF(AND(D186&lt;&gt;"",E186&lt;&gt;""),IF(D186&lt;E186,E186-D186,""),"")</f>
        <v>#ERROR!</v>
      </c>
      <c r="H186" s="283" t="str">
        <f>IFERROR(G186*INDEX('MP Referentiel'!F:F,MATCH(A186,'MP Referentiel'!A:A,0)),"")</f>
        <v>#ERROR!</v>
      </c>
      <c r="I186" s="235"/>
      <c r="J186" s="240"/>
    </row>
    <row r="187">
      <c r="A187" s="265"/>
      <c r="B187" s="227"/>
      <c r="C187" s="227"/>
      <c r="D187" s="227" t="str">
        <f>IFERROR(INDEX(Stock!E:E,MATCH(A187,Stock!A:A,0)),0)</f>
        <v>#ERROR!</v>
      </c>
      <c r="E187" s="227" t="str">
        <f>IFERROR(INDEX(Stock!F:F,MATCH(A187,Stock!A:A,0)),1)</f>
        <v>#ERROR!</v>
      </c>
      <c r="F187" s="227" t="str">
        <f>IFERROR(IF(F187=0,"",D187/(F187/7)),"")</f>
        <v>#ERROR!</v>
      </c>
      <c r="G187" s="227" t="str">
        <f>IF(AND(D187&lt;&gt;"",E187&lt;&gt;""),IF(D187&lt;E187,E187-D187,""),"")</f>
        <v>#ERROR!</v>
      </c>
      <c r="H187" s="281" t="str">
        <f>IFERROR(G187*INDEX('MP Referentiel'!F:F,MATCH(A187,'MP Referentiel'!A:A,0)),"")</f>
        <v>#ERROR!</v>
      </c>
      <c r="I187" s="227"/>
      <c r="J187" s="233"/>
    </row>
    <row r="188">
      <c r="A188" s="269"/>
      <c r="B188" s="235"/>
      <c r="C188" s="235"/>
      <c r="D188" s="235" t="str">
        <f>IFERROR(INDEX(Stock!E:E,MATCH(A188,Stock!A:A,0)),0)</f>
        <v>#ERROR!</v>
      </c>
      <c r="E188" s="235" t="str">
        <f>IFERROR(INDEX(Stock!F:F,MATCH(A188,Stock!A:A,0)),1)</f>
        <v>#ERROR!</v>
      </c>
      <c r="F188" s="235" t="str">
        <f>IFERROR(IF(F188=0,"",D188/(F188/7)),"")</f>
        <v>#ERROR!</v>
      </c>
      <c r="G188" s="235" t="str">
        <f>IF(AND(D188&lt;&gt;"",E188&lt;&gt;""),IF(D188&lt;E188,E188-D188,""),"")</f>
        <v>#ERROR!</v>
      </c>
      <c r="H188" s="283" t="str">
        <f>IFERROR(G188*INDEX('MP Referentiel'!F:F,MATCH(A188,'MP Referentiel'!A:A,0)),"")</f>
        <v>#ERROR!</v>
      </c>
      <c r="I188" s="235"/>
      <c r="J188" s="240"/>
    </row>
    <row r="189">
      <c r="A189" s="265"/>
      <c r="B189" s="227"/>
      <c r="C189" s="227"/>
      <c r="D189" s="227" t="str">
        <f>IFERROR(INDEX(Stock!E:E,MATCH(A189,Stock!A:A,0)),0)</f>
        <v>#ERROR!</v>
      </c>
      <c r="E189" s="227" t="str">
        <f>IFERROR(INDEX(Stock!F:F,MATCH(A189,Stock!A:A,0)),1)</f>
        <v>#ERROR!</v>
      </c>
      <c r="F189" s="227" t="str">
        <f>IFERROR(IF(F189=0,"",D189/(F189/7)),"")</f>
        <v>#ERROR!</v>
      </c>
      <c r="G189" s="227" t="str">
        <f>IF(AND(D189&lt;&gt;"",E189&lt;&gt;""),IF(D189&lt;E189,E189-D189,""),"")</f>
        <v>#ERROR!</v>
      </c>
      <c r="H189" s="281" t="str">
        <f>IFERROR(G189*INDEX('MP Referentiel'!F:F,MATCH(A189,'MP Referentiel'!A:A,0)),"")</f>
        <v>#ERROR!</v>
      </c>
      <c r="I189" s="227"/>
      <c r="J189" s="233"/>
    </row>
    <row r="190">
      <c r="A190" s="269"/>
      <c r="B190" s="235"/>
      <c r="C190" s="235"/>
      <c r="D190" s="235" t="str">
        <f>IFERROR(INDEX(Stock!E:E,MATCH(A190,Stock!A:A,0)),0)</f>
        <v>#ERROR!</v>
      </c>
      <c r="E190" s="235" t="str">
        <f>IFERROR(INDEX(Stock!F:F,MATCH(A190,Stock!A:A,0)),1)</f>
        <v>#ERROR!</v>
      </c>
      <c r="F190" s="235" t="str">
        <f>IFERROR(IF(F190=0,"",D190/(F190/7)),"")</f>
        <v>#ERROR!</v>
      </c>
      <c r="G190" s="235" t="str">
        <f>IF(AND(D190&lt;&gt;"",E190&lt;&gt;""),IF(D190&lt;E190,E190-D190,""),"")</f>
        <v>#ERROR!</v>
      </c>
      <c r="H190" s="283" t="str">
        <f>IFERROR(G190*INDEX('MP Referentiel'!F:F,MATCH(A190,'MP Referentiel'!A:A,0)),"")</f>
        <v>#ERROR!</v>
      </c>
      <c r="I190" s="235"/>
      <c r="J190" s="240"/>
    </row>
    <row r="191">
      <c r="A191" s="265"/>
      <c r="B191" s="227"/>
      <c r="C191" s="227"/>
      <c r="D191" s="227" t="str">
        <f>IFERROR(INDEX(Stock!E:E,MATCH(A191,Stock!A:A,0)),0)</f>
        <v>#ERROR!</v>
      </c>
      <c r="E191" s="227" t="str">
        <f>IFERROR(INDEX(Stock!F:F,MATCH(A191,Stock!A:A,0)),1)</f>
        <v>#ERROR!</v>
      </c>
      <c r="F191" s="227" t="str">
        <f>IFERROR(IF(F191=0,"",D191/(F191/7)),"")</f>
        <v>#ERROR!</v>
      </c>
      <c r="G191" s="227" t="str">
        <f>IF(AND(D191&lt;&gt;"",E191&lt;&gt;""),IF(D191&lt;E191,E191-D191,""),"")</f>
        <v>#ERROR!</v>
      </c>
      <c r="H191" s="281" t="str">
        <f>IFERROR(G191*INDEX('MP Referentiel'!F:F,MATCH(A191,'MP Referentiel'!A:A,0)),"")</f>
        <v>#ERROR!</v>
      </c>
      <c r="I191" s="227"/>
      <c r="J191" s="233"/>
    </row>
    <row r="192">
      <c r="A192" s="269"/>
      <c r="B192" s="235"/>
      <c r="C192" s="235"/>
      <c r="D192" s="235" t="str">
        <f>IFERROR(INDEX(Stock!E:E,MATCH(A192,Stock!A:A,0)),0)</f>
        <v>#ERROR!</v>
      </c>
      <c r="E192" s="235" t="str">
        <f>IFERROR(INDEX(Stock!F:F,MATCH(A192,Stock!A:A,0)),1)</f>
        <v>#ERROR!</v>
      </c>
      <c r="F192" s="235" t="str">
        <f>IFERROR(IF(F192=0,"",D192/(F192/7)),"")</f>
        <v>#ERROR!</v>
      </c>
      <c r="G192" s="235" t="str">
        <f>IF(AND(D192&lt;&gt;"",E192&lt;&gt;""),IF(D192&lt;E192,E192-D192,""),"")</f>
        <v>#ERROR!</v>
      </c>
      <c r="H192" s="283" t="str">
        <f>IFERROR(G192*INDEX('MP Referentiel'!F:F,MATCH(A192,'MP Referentiel'!A:A,0)),"")</f>
        <v>#ERROR!</v>
      </c>
      <c r="I192" s="235"/>
      <c r="J192" s="240"/>
    </row>
    <row r="193">
      <c r="A193" s="265"/>
      <c r="B193" s="227"/>
      <c r="C193" s="227"/>
      <c r="D193" s="227" t="str">
        <f>IFERROR(INDEX(Stock!E:E,MATCH(A193,Stock!A:A,0)),0)</f>
        <v>#ERROR!</v>
      </c>
      <c r="E193" s="227" t="str">
        <f>IFERROR(INDEX(Stock!F:F,MATCH(A193,Stock!A:A,0)),1)</f>
        <v>#ERROR!</v>
      </c>
      <c r="F193" s="227" t="str">
        <f>IFERROR(IF(F193=0,"",D193/(F193/7)),"")</f>
        <v>#ERROR!</v>
      </c>
      <c r="G193" s="227" t="str">
        <f>IF(AND(D193&lt;&gt;"",E193&lt;&gt;""),IF(D193&lt;E193,E193-D193,""),"")</f>
        <v>#ERROR!</v>
      </c>
      <c r="H193" s="281" t="str">
        <f>IFERROR(G193*INDEX('MP Referentiel'!F:F,MATCH(A193,'MP Referentiel'!A:A,0)),"")</f>
        <v>#ERROR!</v>
      </c>
      <c r="I193" s="227"/>
      <c r="J193" s="233"/>
    </row>
    <row r="194">
      <c r="A194" s="269"/>
      <c r="B194" s="235"/>
      <c r="C194" s="235"/>
      <c r="D194" s="235" t="str">
        <f>IFERROR(INDEX(Stock!E:E,MATCH(A194,Stock!A:A,0)),0)</f>
        <v>#ERROR!</v>
      </c>
      <c r="E194" s="235" t="str">
        <f>IFERROR(INDEX(Stock!F:F,MATCH(A194,Stock!A:A,0)),1)</f>
        <v>#ERROR!</v>
      </c>
      <c r="F194" s="235" t="str">
        <f>IFERROR(IF(F194=0,"",D194/(F194/7)),"")</f>
        <v>#ERROR!</v>
      </c>
      <c r="G194" s="235" t="str">
        <f>IF(AND(D194&lt;&gt;"",E194&lt;&gt;""),IF(D194&lt;E194,E194-D194,""),"")</f>
        <v>#ERROR!</v>
      </c>
      <c r="H194" s="283" t="str">
        <f>IFERROR(G194*INDEX('MP Referentiel'!F:F,MATCH(A194,'MP Referentiel'!A:A,0)),"")</f>
        <v>#ERROR!</v>
      </c>
      <c r="I194" s="235"/>
      <c r="J194" s="240"/>
    </row>
    <row r="195">
      <c r="A195" s="265"/>
      <c r="B195" s="227"/>
      <c r="C195" s="227"/>
      <c r="D195" s="227" t="str">
        <f>IFERROR(INDEX(Stock!E:E,MATCH(A195,Stock!A:A,0)),0)</f>
        <v>#ERROR!</v>
      </c>
      <c r="E195" s="227" t="str">
        <f>IFERROR(INDEX(Stock!F:F,MATCH(A195,Stock!A:A,0)),1)</f>
        <v>#ERROR!</v>
      </c>
      <c r="F195" s="227" t="str">
        <f>IFERROR(IF(F195=0,"",D195/(F195/7)),"")</f>
        <v>#ERROR!</v>
      </c>
      <c r="G195" s="227" t="str">
        <f>IF(AND(D195&lt;&gt;"",E195&lt;&gt;""),IF(D195&lt;E195,E195-D195,""),"")</f>
        <v>#ERROR!</v>
      </c>
      <c r="H195" s="281" t="str">
        <f>IFERROR(G195*INDEX('MP Referentiel'!F:F,MATCH(A195,'MP Referentiel'!A:A,0)),"")</f>
        <v>#ERROR!</v>
      </c>
      <c r="I195" s="227"/>
      <c r="J195" s="233"/>
    </row>
    <row r="196">
      <c r="A196" s="269"/>
      <c r="B196" s="235"/>
      <c r="C196" s="235"/>
      <c r="D196" s="235" t="str">
        <f>IFERROR(INDEX(Stock!E:E,MATCH(A196,Stock!A:A,0)),0)</f>
        <v>#ERROR!</v>
      </c>
      <c r="E196" s="235" t="str">
        <f>IFERROR(INDEX(Stock!F:F,MATCH(A196,Stock!A:A,0)),1)</f>
        <v>#ERROR!</v>
      </c>
      <c r="F196" s="235" t="str">
        <f>IFERROR(IF(F196=0,"",D196/(F196/7)),"")</f>
        <v>#ERROR!</v>
      </c>
      <c r="G196" s="235" t="str">
        <f>IF(AND(D196&lt;&gt;"",E196&lt;&gt;""),IF(D196&lt;E196,E196-D196,""),"")</f>
        <v>#ERROR!</v>
      </c>
      <c r="H196" s="283" t="str">
        <f>IFERROR(G196*INDEX('MP Referentiel'!F:F,MATCH(A196,'MP Referentiel'!A:A,0)),"")</f>
        <v>#ERROR!</v>
      </c>
      <c r="I196" s="235"/>
      <c r="J196" s="240"/>
    </row>
    <row r="197">
      <c r="A197" s="265"/>
      <c r="B197" s="227"/>
      <c r="C197" s="227"/>
      <c r="D197" s="227" t="str">
        <f>IFERROR(INDEX(Stock!E:E,MATCH(A197,Stock!A:A,0)),0)</f>
        <v>#ERROR!</v>
      </c>
      <c r="E197" s="227" t="str">
        <f>IFERROR(INDEX(Stock!F:F,MATCH(A197,Stock!A:A,0)),1)</f>
        <v>#ERROR!</v>
      </c>
      <c r="F197" s="227" t="str">
        <f>IFERROR(IF(F197=0,"",D197/(F197/7)),"")</f>
        <v>#ERROR!</v>
      </c>
      <c r="G197" s="227" t="str">
        <f>IF(AND(D197&lt;&gt;"",E197&lt;&gt;""),IF(D197&lt;E197,E197-D197,""),"")</f>
        <v>#ERROR!</v>
      </c>
      <c r="H197" s="281" t="str">
        <f>IFERROR(G197*INDEX('MP Referentiel'!F:F,MATCH(A197,'MP Referentiel'!A:A,0)),"")</f>
        <v>#ERROR!</v>
      </c>
      <c r="I197" s="227"/>
      <c r="J197" s="233"/>
    </row>
    <row r="198">
      <c r="A198" s="269"/>
      <c r="B198" s="235"/>
      <c r="C198" s="235"/>
      <c r="D198" s="235" t="str">
        <f>IFERROR(INDEX(Stock!E:E,MATCH(A198,Stock!A:A,0)),0)</f>
        <v>#ERROR!</v>
      </c>
      <c r="E198" s="235" t="str">
        <f>IFERROR(INDEX(Stock!F:F,MATCH(A198,Stock!A:A,0)),1)</f>
        <v>#ERROR!</v>
      </c>
      <c r="F198" s="235" t="str">
        <f>IFERROR(IF(F198=0,"",D198/(F198/7)),"")</f>
        <v>#ERROR!</v>
      </c>
      <c r="G198" s="235" t="str">
        <f>IF(AND(D198&lt;&gt;"",E198&lt;&gt;""),IF(D198&lt;E198,E198-D198,""),"")</f>
        <v>#ERROR!</v>
      </c>
      <c r="H198" s="283" t="str">
        <f>IFERROR(G198*INDEX('MP Referentiel'!F:F,MATCH(A198,'MP Referentiel'!A:A,0)),"")</f>
        <v>#ERROR!</v>
      </c>
      <c r="I198" s="235"/>
      <c r="J198" s="240"/>
    </row>
    <row r="199">
      <c r="A199" s="265"/>
      <c r="B199" s="227"/>
      <c r="C199" s="227"/>
      <c r="D199" s="227" t="str">
        <f>IFERROR(INDEX(Stock!E:E,MATCH(A199,Stock!A:A,0)),0)</f>
        <v>#ERROR!</v>
      </c>
      <c r="E199" s="227" t="str">
        <f>IFERROR(INDEX(Stock!F:F,MATCH(A199,Stock!A:A,0)),1)</f>
        <v>#ERROR!</v>
      </c>
      <c r="F199" s="227" t="str">
        <f>IFERROR(IF(F199=0,"",D199/(F199/7)),"")</f>
        <v>#ERROR!</v>
      </c>
      <c r="G199" s="227" t="str">
        <f>IF(AND(D199&lt;&gt;"",E199&lt;&gt;""),IF(D199&lt;E199,E199-D199,""),"")</f>
        <v>#ERROR!</v>
      </c>
      <c r="H199" s="281" t="str">
        <f>IFERROR(G199*INDEX('MP Referentiel'!F:F,MATCH(A199,'MP Referentiel'!A:A,0)),"")</f>
        <v>#ERROR!</v>
      </c>
      <c r="I199" s="227"/>
      <c r="J199" s="233"/>
    </row>
    <row r="200">
      <c r="A200" s="269"/>
      <c r="B200" s="235"/>
      <c r="C200" s="235"/>
      <c r="D200" s="235" t="str">
        <f>IFERROR(INDEX(Stock!E:E,MATCH(A200,Stock!A:A,0)),0)</f>
        <v>#ERROR!</v>
      </c>
      <c r="E200" s="235" t="str">
        <f>IFERROR(INDEX(Stock!F:F,MATCH(A200,Stock!A:A,0)),1)</f>
        <v>#ERROR!</v>
      </c>
      <c r="F200" s="235" t="str">
        <f>IFERROR(IF(F200=0,"",D200/(F200/7)),"")</f>
        <v>#ERROR!</v>
      </c>
      <c r="G200" s="235" t="str">
        <f>IF(AND(D200&lt;&gt;"",E200&lt;&gt;""),IF(D200&lt;E200,E200-D200,""),"")</f>
        <v>#ERROR!</v>
      </c>
      <c r="H200" s="283" t="str">
        <f>IFERROR(G200*INDEX('MP Referentiel'!F:F,MATCH(A200,'MP Referentiel'!A:A,0)),"")</f>
        <v>#ERROR!</v>
      </c>
      <c r="I200" s="235"/>
      <c r="J200" s="240"/>
    </row>
    <row r="201">
      <c r="A201" s="265"/>
      <c r="B201" s="227"/>
      <c r="C201" s="227"/>
      <c r="D201" s="227" t="str">
        <f>IFERROR(INDEX(Stock!E:E,MATCH(A201,Stock!A:A,0)),0)</f>
        <v>#ERROR!</v>
      </c>
      <c r="E201" s="227" t="str">
        <f>IFERROR(INDEX(Stock!F:F,MATCH(A201,Stock!A:A,0)),1)</f>
        <v>#ERROR!</v>
      </c>
      <c r="F201" s="227" t="str">
        <f>IFERROR(IF(F201=0,"",D201/(F201/7)),"")</f>
        <v>#ERROR!</v>
      </c>
      <c r="G201" s="227" t="str">
        <f>IF(AND(D201&lt;&gt;"",E201&lt;&gt;""),IF(D201&lt;E201,E201-D201,""),"")</f>
        <v>#ERROR!</v>
      </c>
      <c r="H201" s="281" t="str">
        <f>IFERROR(G201*INDEX('MP Referentiel'!F:F,MATCH(A201,'MP Referentiel'!A:A,0)),"")</f>
        <v>#ERROR!</v>
      </c>
      <c r="I201" s="227"/>
      <c r="J201" s="233"/>
    </row>
    <row r="202">
      <c r="A202" s="269"/>
      <c r="B202" s="235"/>
      <c r="C202" s="235"/>
      <c r="D202" s="235" t="str">
        <f>IFERROR(INDEX(Stock!E:E,MATCH(A202,Stock!A:A,0)),0)</f>
        <v>#ERROR!</v>
      </c>
      <c r="E202" s="235" t="str">
        <f>IFERROR(INDEX(Stock!F:F,MATCH(A202,Stock!A:A,0)),1)</f>
        <v>#ERROR!</v>
      </c>
      <c r="F202" s="235" t="str">
        <f>IFERROR(IF(F202=0,"",D202/(F202/7)),"")</f>
        <v>#ERROR!</v>
      </c>
      <c r="G202" s="235" t="str">
        <f>IF(AND(D202&lt;&gt;"",E202&lt;&gt;""),IF(D202&lt;E202,E202-D202,""),"")</f>
        <v>#ERROR!</v>
      </c>
      <c r="H202" s="283" t="str">
        <f>IFERROR(G202*INDEX('MP Referentiel'!F:F,MATCH(A202,'MP Referentiel'!A:A,0)),"")</f>
        <v>#ERROR!</v>
      </c>
      <c r="I202" s="235"/>
      <c r="J202" s="240"/>
    </row>
    <row r="203">
      <c r="A203" s="271"/>
      <c r="B203" s="246"/>
      <c r="C203" s="246"/>
      <c r="D203" s="246" t="str">
        <f>IFERROR(INDEX(Stock!E:E,MATCH(A203,Stock!A:A,0)),0)</f>
        <v>#ERROR!</v>
      </c>
      <c r="E203" s="246" t="str">
        <f>IFERROR(INDEX(Stock!F:F,MATCH(A203,Stock!A:A,0)),1)</f>
        <v>#ERROR!</v>
      </c>
      <c r="F203" s="246" t="str">
        <f>IFERROR(IF(F203=0,"",D203/(F203/7)),"")</f>
        <v>#ERROR!</v>
      </c>
      <c r="G203" s="246" t="str">
        <f>IF(AND(D203&lt;&gt;"",E203&lt;&gt;""),IF(D203&lt;E203,E203-D203,""),"")</f>
        <v>#ERROR!</v>
      </c>
      <c r="H203" s="285" t="str">
        <f>IFERROR(G203*INDEX('MP Referentiel'!F:F,MATCH(A203,'MP Referentiel'!A:A,0)),"")</f>
        <v>#ERROR!</v>
      </c>
      <c r="I203" s="246"/>
      <c r="J203" s="251"/>
    </row>
  </sheetData>
  <mergeCells count="2">
    <mergeCell ref="A1:L1"/>
    <mergeCell ref="A2:L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860B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3" width="16.38"/>
  </cols>
  <sheetData>
    <row r="1" ht="25.5" customHeight="1">
      <c r="A1" s="30" t="s">
        <v>946</v>
      </c>
    </row>
    <row r="2" ht="25.5" customHeight="1">
      <c r="A2" s="141" t="s">
        <v>947</v>
      </c>
    </row>
    <row r="3" ht="21.0" customHeight="1">
      <c r="A3" s="31" t="s">
        <v>64</v>
      </c>
      <c r="B3" s="31" t="s">
        <v>77</v>
      </c>
      <c r="C3" s="31" t="s">
        <v>78</v>
      </c>
      <c r="D3" s="31" t="s">
        <v>948</v>
      </c>
      <c r="E3" s="31" t="s">
        <v>949</v>
      </c>
      <c r="F3" s="31" t="s">
        <v>950</v>
      </c>
      <c r="G3" s="31" t="s">
        <v>951</v>
      </c>
      <c r="H3" s="31" t="s">
        <v>952</v>
      </c>
      <c r="I3" s="31" t="s">
        <v>953</v>
      </c>
      <c r="J3" s="31" t="s">
        <v>954</v>
      </c>
      <c r="K3" s="31" t="s">
        <v>619</v>
      </c>
      <c r="L3" s="31" t="s">
        <v>955</v>
      </c>
      <c r="M3" s="31" t="s">
        <v>61</v>
      </c>
    </row>
    <row r="4" ht="16.5" customHeight="1">
      <c r="A4" s="330" t="s">
        <v>437</v>
      </c>
      <c r="B4" s="196" t="s">
        <v>438</v>
      </c>
      <c r="C4" s="196" t="s">
        <v>439</v>
      </c>
      <c r="D4" s="130" t="str">
        <f>IFERROR(SUMPRODUCT(('Detail Recettes'!A:A="RC")*'Detail Recettes'!G:G),"")</f>
        <v>#ERROR!</v>
      </c>
      <c r="E4" s="130" t="str">
        <f>IFERROR(INDEX('MP Referentiel'!F:F,MATCH("Bocaux Weck "+C4,'MP Referentiel'!B:B,0))*9,"")</f>
        <v>#ERROR!</v>
      </c>
      <c r="F4" s="130" t="str">
        <f>IFERROR(3.5*INDEX(Config!B:B,MATCH("Cout energie par lot (EUR)",Config!A:A,0))/INDEX(Config!B:B,MATCH("Duree moyenne lot (h)",Config!A:A,0)),"")</f>
        <v>#ERROR!</v>
      </c>
      <c r="G4" s="130" t="str">
        <f>IFERROR(3.5*INDEX(Config!B:B,MATCH("Cout main-oeuvre horaire (EUR)",Config!A:A,0)),"")</f>
        <v>#ERROR!</v>
      </c>
      <c r="H4" s="130"/>
      <c r="I4" s="361" t="str">
        <f t="shared" ref="I4:I32" si="1">SUM(D4:H4)</f>
        <v>#ERROR!</v>
      </c>
      <c r="J4" s="130" t="str">
        <f>IFERROR(INDEX('Prix Vente'!D:D,MATCH(A4&amp;C4,'Prix Vente'!A:A&amp;'Prix Vente'!B:B,0))/INDEX(Config!B:B,MATCH("TVA "&amp;B4,Config!A:A,0)),"")</f>
        <v>#ERROR!</v>
      </c>
      <c r="K4" s="362" t="str">
        <f>IFERROR((J4-I4)/J4,"")</f>
        <v>#ERROR!</v>
      </c>
      <c r="L4" s="348" t="str">
        <f>IF(K4="","",IF(K4&gt;=INDEX(Config!B:B,MATCH("Marge cible HT (%)",Config!A:A,0))/100,"OK","Sous objectif"))</f>
        <v>#ERROR!</v>
      </c>
      <c r="M4" s="207"/>
    </row>
    <row r="5" ht="16.5" customHeight="1">
      <c r="A5" s="330" t="s">
        <v>443</v>
      </c>
      <c r="B5" s="169" t="s">
        <v>444</v>
      </c>
      <c r="C5" s="169" t="s">
        <v>439</v>
      </c>
      <c r="D5" s="121" t="str">
        <f>IFERROR(SUMPRODUCT(('Detail Recettes'!A:A="PC")*'Detail Recettes'!G:G),"")</f>
        <v>#ERROR!</v>
      </c>
      <c r="E5" s="121" t="str">
        <f>IFERROR(INDEX('MP Referentiel'!F:F,MATCH("Bocaux Weck "+C5,'MP Referentiel'!B:B,0))*9,"")</f>
        <v>#ERROR!</v>
      </c>
      <c r="F5" s="121" t="str">
        <f>IFERROR(4*INDEX(Config!B:B,MATCH("Cout energie par lot (EUR)",Config!A:A,0))/INDEX(Config!B:B,MATCH("Duree moyenne lot (h)",Config!A:A,0)),"")</f>
        <v>#ERROR!</v>
      </c>
      <c r="G5" s="121" t="str">
        <f>IFERROR(4*INDEX(Config!B:B,MATCH("Cout main-oeuvre horaire (EUR)",Config!A:A,0)),"")</f>
        <v>#ERROR!</v>
      </c>
      <c r="H5" s="121"/>
      <c r="I5" s="361" t="str">
        <f t="shared" si="1"/>
        <v>#ERROR!</v>
      </c>
      <c r="J5" s="121" t="str">
        <f>IFERROR(INDEX('Prix Vente'!D:D,MATCH(A5&amp;C5,'Prix Vente'!A:A&amp;'Prix Vente'!B:B,0))/INDEX(Config!B:B,MATCH("TVA "&amp;B5,Config!A:A,0)),"")</f>
        <v>#ERROR!</v>
      </c>
      <c r="K5" s="363" t="str">
        <f>IFERROR((J5-I5)/J5,"")</f>
        <v>#ERROR!</v>
      </c>
      <c r="L5" s="347" t="str">
        <f>IF(K5="","",IF(K5&gt;=INDEX(Config!B:B,MATCH("Marge cible HT (%)",Config!A:A,0))/100,"OK","Sous objectif"))</f>
        <v>#ERROR!</v>
      </c>
      <c r="M5" s="207"/>
    </row>
    <row r="6" ht="16.5" customHeight="1">
      <c r="A6" s="336" t="s">
        <v>446</v>
      </c>
      <c r="B6" s="196" t="s">
        <v>447</v>
      </c>
      <c r="C6" s="196" t="s">
        <v>448</v>
      </c>
      <c r="D6" s="130" t="str">
        <f>IFERROR(SUMPRODUCT(('Detail Recettes'!A:A="MC")*'Detail Recettes'!G:G),"")</f>
        <v>#ERROR!</v>
      </c>
      <c r="E6" s="130" t="str">
        <f>IFERROR(INDEX('MP Referentiel'!F:F,MATCH("Bocaux Weck "+C6,'MP Referentiel'!B:B,0))*10,"")</f>
        <v>#ERROR!</v>
      </c>
      <c r="F6" s="130" t="str">
        <f>IFERROR(2.5*INDEX(Config!B:B,MATCH("Cout energie par lot (EUR)",Config!A:A,0))/INDEX(Config!B:B,MATCH("Duree moyenne lot (h)",Config!A:A,0)),"")</f>
        <v>#ERROR!</v>
      </c>
      <c r="G6" s="130" t="str">
        <f>IFERROR(2.5*INDEX(Config!B:B,MATCH("Cout main-oeuvre horaire (EUR)",Config!A:A,0)),"")</f>
        <v>#ERROR!</v>
      </c>
      <c r="H6" s="130"/>
      <c r="I6" s="361" t="str">
        <f t="shared" si="1"/>
        <v>#ERROR!</v>
      </c>
      <c r="J6" s="130" t="str">
        <f>IFERROR(INDEX('Prix Vente'!D:D,MATCH(A6&amp;C6,'Prix Vente'!A:A&amp;'Prix Vente'!B:B,0))/INDEX(Config!B:B,MATCH("TVA "&amp;B6,Config!A:A,0)),"")</f>
        <v>#ERROR!</v>
      </c>
      <c r="K6" s="362" t="str">
        <f>IFERROR((J6-I6)/J6,"")</f>
        <v>#ERROR!</v>
      </c>
      <c r="L6" s="348" t="str">
        <f>IF(K6="","",IF(K6&gt;=INDEX(Config!B:B,MATCH("Marge cible HT (%)",Config!A:A,0))/100,"OK","Sous objectif"))</f>
        <v>#ERROR!</v>
      </c>
      <c r="M6" s="207"/>
    </row>
    <row r="7" ht="16.5" customHeight="1">
      <c r="A7" s="338" t="s">
        <v>450</v>
      </c>
      <c r="B7" s="169" t="s">
        <v>451</v>
      </c>
      <c r="C7" s="169" t="s">
        <v>452</v>
      </c>
      <c r="D7" s="121" t="str">
        <f>IFERROR(SUMPRODUCT(('Detail Recettes'!A:A="TC")*'Detail Recettes'!G:G),"")</f>
        <v>#ERROR!</v>
      </c>
      <c r="E7" s="121" t="str">
        <f>IFERROR(INDEX('MP Referentiel'!F:F,MATCH("Bocaux Weck "+C7,'MP Referentiel'!B:B,0))*7,"")</f>
        <v>#ERROR!</v>
      </c>
      <c r="F7" s="121" t="str">
        <f>IFERROR(3.5*INDEX(Config!B:B,MATCH("Cout energie par lot (EUR)",Config!A:A,0))/INDEX(Config!B:B,MATCH("Duree moyenne lot (h)",Config!A:A,0)),"")</f>
        <v>#ERROR!</v>
      </c>
      <c r="G7" s="121" t="str">
        <f>IFERROR(3.5*INDEX(Config!B:B,MATCH("Cout main-oeuvre horaire (EUR)",Config!A:A,0)),"")</f>
        <v>#ERROR!</v>
      </c>
      <c r="H7" s="121"/>
      <c r="I7" s="361" t="str">
        <f t="shared" si="1"/>
        <v>#ERROR!</v>
      </c>
      <c r="J7" s="121" t="str">
        <f>IFERROR(INDEX('Prix Vente'!D:D,MATCH(A7&amp;C7,'Prix Vente'!A:A&amp;'Prix Vente'!B:B,0))/INDEX(Config!B:B,MATCH("TVA "&amp;B7,Config!A:A,0)),"")</f>
        <v>#ERROR!</v>
      </c>
      <c r="K7" s="363" t="str">
        <f>IFERROR((J7-I7)/J7,"")</f>
        <v>#ERROR!</v>
      </c>
      <c r="L7" s="347" t="str">
        <f>IF(K7="","",IF(K7&gt;=INDEX(Config!B:B,MATCH("Marge cible HT (%)",Config!A:A,0))/100,"OK","Sous objectif"))</f>
        <v>#ERROR!</v>
      </c>
      <c r="M7" s="207"/>
    </row>
    <row r="8" ht="16.5" customHeight="1">
      <c r="A8" s="340" t="s">
        <v>454</v>
      </c>
      <c r="B8" s="196" t="s">
        <v>455</v>
      </c>
      <c r="C8" s="196" t="s">
        <v>456</v>
      </c>
      <c r="D8" s="130" t="str">
        <f>IFERROR(SUMPRODUCT(('Detail Recettes'!A:A="DC")*'Detail Recettes'!G:G),"")</f>
        <v>#ERROR!</v>
      </c>
      <c r="E8" s="130" t="str">
        <f>IFERROR(INDEX('MP Referentiel'!F:F,MATCH("Bocaux Weck "+C8,'MP Referentiel'!B:B,0))*15,"")</f>
        <v>#ERROR!</v>
      </c>
      <c r="F8" s="130" t="str">
        <f>IFERROR(2*INDEX(Config!B:B,MATCH("Cout energie par lot (EUR)",Config!A:A,0))/INDEX(Config!B:B,MATCH("Duree moyenne lot (h)",Config!A:A,0)),"")</f>
        <v>#ERROR!</v>
      </c>
      <c r="G8" s="130" t="str">
        <f>IFERROR(2*INDEX(Config!B:B,MATCH("Cout main-oeuvre horaire (EUR)",Config!A:A,0)),"")</f>
        <v>#ERROR!</v>
      </c>
      <c r="H8" s="130"/>
      <c r="I8" s="361" t="str">
        <f t="shared" si="1"/>
        <v>#ERROR!</v>
      </c>
      <c r="J8" s="130" t="str">
        <f>IFERROR(INDEX('Prix Vente'!D:D,MATCH(A8&amp;C8,'Prix Vente'!A:A&amp;'Prix Vente'!B:B,0))/INDEX(Config!B:B,MATCH("TVA "&amp;B8,Config!A:A,0)),"")</f>
        <v>#ERROR!</v>
      </c>
      <c r="K8" s="362" t="str">
        <f>IFERROR((J8-I8)/J8,"")</f>
        <v>#ERROR!</v>
      </c>
      <c r="L8" s="348" t="str">
        <f>IF(K8="","",IF(K8&gt;=INDEX(Config!B:B,MATCH("Marge cible HT (%)",Config!A:A,0))/100,"OK","Sous objectif"))</f>
        <v>#ERROR!</v>
      </c>
      <c r="M8" s="207"/>
    </row>
    <row r="9" ht="16.5" customHeight="1">
      <c r="A9" s="330" t="s">
        <v>458</v>
      </c>
      <c r="B9" s="169" t="s">
        <v>444</v>
      </c>
      <c r="C9" s="169" t="s">
        <v>439</v>
      </c>
      <c r="D9" s="121" t="str">
        <f>IFERROR(SUMPRODUCT(('Detail Recettes'!A:A="P01")*'Detail Recettes'!G:G),"")</f>
        <v>#ERROR!</v>
      </c>
      <c r="E9" s="121" t="str">
        <f>IFERROR(INDEX('MP Referentiel'!F:F,MATCH("Bocaux Weck "+C9,'MP Referentiel'!B:B,0))*9,"")</f>
        <v>#ERROR!</v>
      </c>
      <c r="F9" s="121" t="str">
        <f>IFERROR(4*INDEX(Config!B:B,MATCH("Cout energie par lot (EUR)",Config!A:A,0))/INDEX(Config!B:B,MATCH("Duree moyenne lot (h)",Config!A:A,0)),"")</f>
        <v>#ERROR!</v>
      </c>
      <c r="G9" s="121" t="str">
        <f>IFERROR(4*INDEX(Config!B:B,MATCH("Cout main-oeuvre horaire (EUR)",Config!A:A,0)),"")</f>
        <v>#ERROR!</v>
      </c>
      <c r="H9" s="121"/>
      <c r="I9" s="361" t="str">
        <f t="shared" si="1"/>
        <v>#ERROR!</v>
      </c>
      <c r="J9" s="121" t="str">
        <f>IFERROR(INDEX('Prix Vente'!D:D,MATCH(A9&amp;C9,'Prix Vente'!A:A&amp;'Prix Vente'!B:B,0))/INDEX(Config!B:B,MATCH("TVA "&amp;B9,Config!A:A,0)),"")</f>
        <v>#ERROR!</v>
      </c>
      <c r="K9" s="363" t="str">
        <f>IFERROR((J9-I9)/J9,"")</f>
        <v>#ERROR!</v>
      </c>
      <c r="L9" s="347" t="str">
        <f>IF(K9="","",IF(K9&gt;=INDEX(Config!B:B,MATCH("Marge cible HT (%)",Config!A:A,0))/100,"OK","Sous objectif"))</f>
        <v>#ERROR!</v>
      </c>
      <c r="M9" s="207"/>
    </row>
    <row r="10" ht="16.5" customHeight="1">
      <c r="A10" s="330" t="s">
        <v>460</v>
      </c>
      <c r="B10" s="196" t="s">
        <v>444</v>
      </c>
      <c r="C10" s="196" t="s">
        <v>439</v>
      </c>
      <c r="D10" s="130" t="str">
        <f>IFERROR(SUMPRODUCT(('Detail Recettes'!A:A="P02")*'Detail Recettes'!G:G),"")</f>
        <v>#ERROR!</v>
      </c>
      <c r="E10" s="130" t="str">
        <f>IFERROR(INDEX('MP Referentiel'!F:F,MATCH("Bocaux Weck "+C10,'MP Referentiel'!B:B,0))*9,"")</f>
        <v>#ERROR!</v>
      </c>
      <c r="F10" s="130" t="str">
        <f>IFERROR(4*INDEX(Config!B:B,MATCH("Cout energie par lot (EUR)",Config!A:A,0))/INDEX(Config!B:B,MATCH("Duree moyenne lot (h)",Config!A:A,0)),"")</f>
        <v>#ERROR!</v>
      </c>
      <c r="G10" s="130" t="str">
        <f>IFERROR(4*INDEX(Config!B:B,MATCH("Cout main-oeuvre horaire (EUR)",Config!A:A,0)),"")</f>
        <v>#ERROR!</v>
      </c>
      <c r="H10" s="130"/>
      <c r="I10" s="361" t="str">
        <f t="shared" si="1"/>
        <v>#ERROR!</v>
      </c>
      <c r="J10" s="130" t="str">
        <f>IFERROR(INDEX('Prix Vente'!D:D,MATCH(A10&amp;C10,'Prix Vente'!A:A&amp;'Prix Vente'!B:B,0))/INDEX(Config!B:B,MATCH("TVA "&amp;B10,Config!A:A,0)),"")</f>
        <v>#ERROR!</v>
      </c>
      <c r="K10" s="362" t="str">
        <f>IFERROR((J10-I10)/J10,"")</f>
        <v>#ERROR!</v>
      </c>
      <c r="L10" s="348" t="str">
        <f>IF(K10="","",IF(K10&gt;=INDEX(Config!B:B,MATCH("Marge cible HT (%)",Config!A:A,0))/100,"OK","Sous objectif"))</f>
        <v>#ERROR!</v>
      </c>
      <c r="M10" s="207"/>
    </row>
    <row r="11" ht="16.5" customHeight="1">
      <c r="A11" s="330" t="s">
        <v>462</v>
      </c>
      <c r="B11" s="169" t="s">
        <v>444</v>
      </c>
      <c r="C11" s="169" t="s">
        <v>439</v>
      </c>
      <c r="D11" s="121" t="str">
        <f>IFERROR(SUMPRODUCT(('Detail Recettes'!A:A="P03")*'Detail Recettes'!G:G),"")</f>
        <v>#ERROR!</v>
      </c>
      <c r="E11" s="121" t="str">
        <f>IFERROR(INDEX('MP Referentiel'!F:F,MATCH("Bocaux Weck "+C11,'MP Referentiel'!B:B,0))*9,"")</f>
        <v>#ERROR!</v>
      </c>
      <c r="F11" s="121" t="str">
        <f>IFERROR(4.5*INDEX(Config!B:B,MATCH("Cout energie par lot (EUR)",Config!A:A,0))/INDEX(Config!B:B,MATCH("Duree moyenne lot (h)",Config!A:A,0)),"")</f>
        <v>#ERROR!</v>
      </c>
      <c r="G11" s="121" t="str">
        <f>IFERROR(4.5*INDEX(Config!B:B,MATCH("Cout main-oeuvre horaire (EUR)",Config!A:A,0)),"")</f>
        <v>#ERROR!</v>
      </c>
      <c r="H11" s="121"/>
      <c r="I11" s="361" t="str">
        <f t="shared" si="1"/>
        <v>#ERROR!</v>
      </c>
      <c r="J11" s="121" t="str">
        <f>IFERROR(INDEX('Prix Vente'!D:D,MATCH(A11&amp;C11,'Prix Vente'!A:A&amp;'Prix Vente'!B:B,0))/INDEX(Config!B:B,MATCH("TVA "&amp;B11,Config!A:A,0)),"")</f>
        <v>#ERROR!</v>
      </c>
      <c r="K11" s="363" t="str">
        <f>IFERROR((J11-I11)/J11,"")</f>
        <v>#ERROR!</v>
      </c>
      <c r="L11" s="347" t="str">
        <f>IF(K11="","",IF(K11&gt;=INDEX(Config!B:B,MATCH("Marge cible HT (%)",Config!A:A,0))/100,"OK","Sous objectif"))</f>
        <v>#ERROR!</v>
      </c>
      <c r="M11" s="207"/>
    </row>
    <row r="12" ht="16.5" customHeight="1">
      <c r="A12" s="330" t="s">
        <v>464</v>
      </c>
      <c r="B12" s="196" t="s">
        <v>444</v>
      </c>
      <c r="C12" s="196" t="s">
        <v>439</v>
      </c>
      <c r="D12" s="130" t="str">
        <f>IFERROR(SUMPRODUCT(('Detail Recettes'!A:A="P04")*'Detail Recettes'!G:G),"")</f>
        <v>#ERROR!</v>
      </c>
      <c r="E12" s="130" t="str">
        <f>IFERROR(INDEX('MP Referentiel'!F:F,MATCH("Bocaux Weck "+C12,'MP Referentiel'!B:B,0))*9,"")</f>
        <v>#ERROR!</v>
      </c>
      <c r="F12" s="130" t="str">
        <f>IFERROR(4.5*INDEX(Config!B:B,MATCH("Cout energie par lot (EUR)",Config!A:A,0))/INDEX(Config!B:B,MATCH("Duree moyenne lot (h)",Config!A:A,0)),"")</f>
        <v>#ERROR!</v>
      </c>
      <c r="G12" s="130" t="str">
        <f>IFERROR(4.5*INDEX(Config!B:B,MATCH("Cout main-oeuvre horaire (EUR)",Config!A:A,0)),"")</f>
        <v>#ERROR!</v>
      </c>
      <c r="H12" s="130"/>
      <c r="I12" s="361" t="str">
        <f t="shared" si="1"/>
        <v>#ERROR!</v>
      </c>
      <c r="J12" s="130" t="str">
        <f>IFERROR(INDEX('Prix Vente'!D:D,MATCH(A12&amp;C12,'Prix Vente'!A:A&amp;'Prix Vente'!B:B,0))/INDEX(Config!B:B,MATCH("TVA "&amp;B12,Config!A:A,0)),"")</f>
        <v>#ERROR!</v>
      </c>
      <c r="K12" s="362" t="str">
        <f>IFERROR((J12-I12)/J12,"")</f>
        <v>#ERROR!</v>
      </c>
      <c r="L12" s="348" t="str">
        <f>IF(K12="","",IF(K12&gt;=INDEX(Config!B:B,MATCH("Marge cible HT (%)",Config!A:A,0))/100,"OK","Sous objectif"))</f>
        <v>#ERROR!</v>
      </c>
      <c r="M12" s="207"/>
    </row>
    <row r="13" ht="16.5" customHeight="1">
      <c r="A13" s="330" t="s">
        <v>466</v>
      </c>
      <c r="B13" s="169" t="s">
        <v>444</v>
      </c>
      <c r="C13" s="169" t="s">
        <v>439</v>
      </c>
      <c r="D13" s="121" t="str">
        <f>IFERROR(SUMPRODUCT(('Detail Recettes'!A:A="P07")*'Detail Recettes'!G:G),"")</f>
        <v>#ERROR!</v>
      </c>
      <c r="E13" s="121" t="str">
        <f>IFERROR(INDEX('MP Referentiel'!F:F,MATCH("Bocaux Weck "+C13,'MP Referentiel'!B:B,0))*9,"")</f>
        <v>#ERROR!</v>
      </c>
      <c r="F13" s="121" t="str">
        <f>IFERROR(4.5*INDEX(Config!B:B,MATCH("Cout energie par lot (EUR)",Config!A:A,0))/INDEX(Config!B:B,MATCH("Duree moyenne lot (h)",Config!A:A,0)),"")</f>
        <v>#ERROR!</v>
      </c>
      <c r="G13" s="121" t="str">
        <f>IFERROR(4.5*INDEX(Config!B:B,MATCH("Cout main-oeuvre horaire (EUR)",Config!A:A,0)),"")</f>
        <v>#ERROR!</v>
      </c>
      <c r="H13" s="121"/>
      <c r="I13" s="361" t="str">
        <f t="shared" si="1"/>
        <v>#ERROR!</v>
      </c>
      <c r="J13" s="121" t="str">
        <f>IFERROR(INDEX('Prix Vente'!D:D,MATCH(A13&amp;C13,'Prix Vente'!A:A&amp;'Prix Vente'!B:B,0))/INDEX(Config!B:B,MATCH("TVA "&amp;B13,Config!A:A,0)),"")</f>
        <v>#ERROR!</v>
      </c>
      <c r="K13" s="363" t="str">
        <f>IFERROR((J13-I13)/J13,"")</f>
        <v>#ERROR!</v>
      </c>
      <c r="L13" s="347" t="str">
        <f>IF(K13="","",IF(K13&gt;=INDEX(Config!B:B,MATCH("Marge cible HT (%)",Config!A:A,0))/100,"OK","Sous objectif"))</f>
        <v>#ERROR!</v>
      </c>
      <c r="M13" s="207"/>
    </row>
    <row r="14" ht="16.5" customHeight="1">
      <c r="A14" s="330" t="s">
        <v>468</v>
      </c>
      <c r="B14" s="196" t="s">
        <v>444</v>
      </c>
      <c r="C14" s="196" t="s">
        <v>439</v>
      </c>
      <c r="D14" s="130" t="str">
        <f>IFERROR(SUMPRODUCT(('Detail Recettes'!A:A="P49")*'Detail Recettes'!G:G),"")</f>
        <v>#ERROR!</v>
      </c>
      <c r="E14" s="130" t="str">
        <f>IFERROR(INDEX('MP Referentiel'!F:F,MATCH("Bocaux Weck "+C14,'MP Referentiel'!B:B,0))*9,"")</f>
        <v>#ERROR!</v>
      </c>
      <c r="F14" s="130" t="str">
        <f>IFERROR(4*INDEX(Config!B:B,MATCH("Cout energie par lot (EUR)",Config!A:A,0))/INDEX(Config!B:B,MATCH("Duree moyenne lot (h)",Config!A:A,0)),"")</f>
        <v>#ERROR!</v>
      </c>
      <c r="G14" s="130" t="str">
        <f>IFERROR(4*INDEX(Config!B:B,MATCH("Cout main-oeuvre horaire (EUR)",Config!A:A,0)),"")</f>
        <v>#ERROR!</v>
      </c>
      <c r="H14" s="130"/>
      <c r="I14" s="361" t="str">
        <f t="shared" si="1"/>
        <v>#ERROR!</v>
      </c>
      <c r="J14" s="130" t="str">
        <f>IFERROR(INDEX('Prix Vente'!D:D,MATCH(A14&amp;C14,'Prix Vente'!A:A&amp;'Prix Vente'!B:B,0))/INDEX(Config!B:B,MATCH("TVA "&amp;B14,Config!A:A,0)),"")</f>
        <v>#ERROR!</v>
      </c>
      <c r="K14" s="362" t="str">
        <f>IFERROR((J14-I14)/J14,"")</f>
        <v>#ERROR!</v>
      </c>
      <c r="L14" s="348" t="str">
        <f>IF(K14="","",IF(K14&gt;=INDEX(Config!B:B,MATCH("Marge cible HT (%)",Config!A:A,0))/100,"OK","Sous objectif"))</f>
        <v>#ERROR!</v>
      </c>
      <c r="M14" s="207"/>
    </row>
    <row r="15" ht="16.5" customHeight="1">
      <c r="A15" s="330" t="s">
        <v>470</v>
      </c>
      <c r="B15" s="169" t="s">
        <v>438</v>
      </c>
      <c r="C15" s="169" t="s">
        <v>439</v>
      </c>
      <c r="D15" s="121" t="str">
        <f>IFERROR(SUMPRODUCT(('Detail Recettes'!A:A="R41")*'Detail Recettes'!G:G),"")</f>
        <v>#ERROR!</v>
      </c>
      <c r="E15" s="121" t="str">
        <f>IFERROR(INDEX('MP Referentiel'!F:F,MATCH("Bocaux Weck "+C15,'MP Referentiel'!B:B,0))*9,"")</f>
        <v>#ERROR!</v>
      </c>
      <c r="F15" s="121" t="str">
        <f>IFERROR(3.5*INDEX(Config!B:B,MATCH("Cout energie par lot (EUR)",Config!A:A,0))/INDEX(Config!B:B,MATCH("Duree moyenne lot (h)",Config!A:A,0)),"")</f>
        <v>#ERROR!</v>
      </c>
      <c r="G15" s="121" t="str">
        <f>IFERROR(3.5*INDEX(Config!B:B,MATCH("Cout main-oeuvre horaire (EUR)",Config!A:A,0)),"")</f>
        <v>#ERROR!</v>
      </c>
      <c r="H15" s="121"/>
      <c r="I15" s="361" t="str">
        <f t="shared" si="1"/>
        <v>#ERROR!</v>
      </c>
      <c r="J15" s="121" t="str">
        <f>IFERROR(INDEX('Prix Vente'!D:D,MATCH(A15&amp;C15,'Prix Vente'!A:A&amp;'Prix Vente'!B:B,0))/INDEX(Config!B:B,MATCH("TVA "&amp;B15,Config!A:A,0)),"")</f>
        <v>#ERROR!</v>
      </c>
      <c r="K15" s="363" t="str">
        <f>IFERROR((J15-I15)/J15,"")</f>
        <v>#ERROR!</v>
      </c>
      <c r="L15" s="347" t="str">
        <f>IF(K15="","",IF(K15&gt;=INDEX(Config!B:B,MATCH("Marge cible HT (%)",Config!A:A,0))/100,"OK","Sous objectif"))</f>
        <v>#ERROR!</v>
      </c>
      <c r="M15" s="207"/>
    </row>
    <row r="16" ht="16.5" customHeight="1">
      <c r="A16" s="330" t="s">
        <v>472</v>
      </c>
      <c r="B16" s="196" t="s">
        <v>438</v>
      </c>
      <c r="C16" s="196" t="s">
        <v>439</v>
      </c>
      <c r="D16" s="130" t="str">
        <f>IFERROR(SUMPRODUCT(('Detail Recettes'!A:A="R42")*'Detail Recettes'!G:G),"")</f>
        <v>#ERROR!</v>
      </c>
      <c r="E16" s="130" t="str">
        <f>IFERROR(INDEX('MP Referentiel'!F:F,MATCH("Bocaux Weck "+C16,'MP Referentiel'!B:B,0))*8,"")</f>
        <v>#ERROR!</v>
      </c>
      <c r="F16" s="130" t="str">
        <f>IFERROR(4*INDEX(Config!B:B,MATCH("Cout energie par lot (EUR)",Config!A:A,0))/INDEX(Config!B:B,MATCH("Duree moyenne lot (h)",Config!A:A,0)),"")</f>
        <v>#ERROR!</v>
      </c>
      <c r="G16" s="130" t="str">
        <f>IFERROR(4*INDEX(Config!B:B,MATCH("Cout main-oeuvre horaire (EUR)",Config!A:A,0)),"")</f>
        <v>#ERROR!</v>
      </c>
      <c r="H16" s="130"/>
      <c r="I16" s="361" t="str">
        <f t="shared" si="1"/>
        <v>#ERROR!</v>
      </c>
      <c r="J16" s="130" t="str">
        <f>IFERROR(INDEX('Prix Vente'!D:D,MATCH(A16&amp;C16,'Prix Vente'!A:A&amp;'Prix Vente'!B:B,0))/INDEX(Config!B:B,MATCH("TVA "&amp;B16,Config!A:A,0)),"")</f>
        <v>#ERROR!</v>
      </c>
      <c r="K16" s="362" t="str">
        <f>IFERROR((J16-I16)/J16,"")</f>
        <v>#ERROR!</v>
      </c>
      <c r="L16" s="348" t="str">
        <f>IF(K16="","",IF(K16&gt;=INDEX(Config!B:B,MATCH("Marge cible HT (%)",Config!A:A,0))/100,"OK","Sous objectif"))</f>
        <v>#ERROR!</v>
      </c>
      <c r="M16" s="207"/>
    </row>
    <row r="17" ht="16.5" customHeight="1">
      <c r="A17" s="330" t="s">
        <v>474</v>
      </c>
      <c r="B17" s="169" t="s">
        <v>438</v>
      </c>
      <c r="C17" s="169" t="s">
        <v>448</v>
      </c>
      <c r="D17" s="121" t="str">
        <f>IFERROR(SUMPRODUCT(('Detail Recettes'!A:A="R43")*'Detail Recettes'!G:G),"")</f>
        <v>#ERROR!</v>
      </c>
      <c r="E17" s="121" t="str">
        <f>IFERROR(INDEX('MP Referentiel'!F:F,MATCH("Bocaux Weck "+C17,'MP Referentiel'!B:B,0))*13,"")</f>
        <v>#ERROR!</v>
      </c>
      <c r="F17" s="121" t="str">
        <f>IFERROR(3.5*INDEX(Config!B:B,MATCH("Cout energie par lot (EUR)",Config!A:A,0))/INDEX(Config!B:B,MATCH("Duree moyenne lot (h)",Config!A:A,0)),"")</f>
        <v>#ERROR!</v>
      </c>
      <c r="G17" s="121" t="str">
        <f>IFERROR(3.5*INDEX(Config!B:B,MATCH("Cout main-oeuvre horaire (EUR)",Config!A:A,0)),"")</f>
        <v>#ERROR!</v>
      </c>
      <c r="H17" s="121"/>
      <c r="I17" s="361" t="str">
        <f t="shared" si="1"/>
        <v>#ERROR!</v>
      </c>
      <c r="J17" s="121" t="str">
        <f>IFERROR(INDEX('Prix Vente'!D:D,MATCH(A17&amp;C17,'Prix Vente'!A:A&amp;'Prix Vente'!B:B,0))/INDEX(Config!B:B,MATCH("TVA "&amp;B17,Config!A:A,0)),"")</f>
        <v>#ERROR!</v>
      </c>
      <c r="K17" s="363" t="str">
        <f>IFERROR((J17-I17)/J17,"")</f>
        <v>#ERROR!</v>
      </c>
      <c r="L17" s="347" t="str">
        <f>IF(K17="","",IF(K17&gt;=INDEX(Config!B:B,MATCH("Marge cible HT (%)",Config!A:A,0))/100,"OK","Sous objectif"))</f>
        <v>#ERROR!</v>
      </c>
      <c r="M17" s="207"/>
    </row>
    <row r="18" ht="16.5" customHeight="1">
      <c r="A18" s="330" t="s">
        <v>476</v>
      </c>
      <c r="B18" s="196" t="s">
        <v>438</v>
      </c>
      <c r="C18" s="196" t="s">
        <v>448</v>
      </c>
      <c r="D18" s="130" t="str">
        <f>IFERROR(SUMPRODUCT(('Detail Recettes'!A:A="R44")*'Detail Recettes'!G:G),"")</f>
        <v>#ERROR!</v>
      </c>
      <c r="E18" s="130" t="str">
        <f>IFERROR(INDEX('MP Referentiel'!F:F,MATCH("Bocaux Weck "+C18,'MP Referentiel'!B:B,0))*13,"")</f>
        <v>#ERROR!</v>
      </c>
      <c r="F18" s="130" t="str">
        <f>IFERROR(3.5*INDEX(Config!B:B,MATCH("Cout energie par lot (EUR)",Config!A:A,0))/INDEX(Config!B:B,MATCH("Duree moyenne lot (h)",Config!A:A,0)),"")</f>
        <v>#ERROR!</v>
      </c>
      <c r="G18" s="130" t="str">
        <f>IFERROR(3.5*INDEX(Config!B:B,MATCH("Cout main-oeuvre horaire (EUR)",Config!A:A,0)),"")</f>
        <v>#ERROR!</v>
      </c>
      <c r="H18" s="130"/>
      <c r="I18" s="361" t="str">
        <f t="shared" si="1"/>
        <v>#ERROR!</v>
      </c>
      <c r="J18" s="130" t="str">
        <f>IFERROR(INDEX('Prix Vente'!D:D,MATCH(A18&amp;C18,'Prix Vente'!A:A&amp;'Prix Vente'!B:B,0))/INDEX(Config!B:B,MATCH("TVA "&amp;B18,Config!A:A,0)),"")</f>
        <v>#ERROR!</v>
      </c>
      <c r="K18" s="362" t="str">
        <f>IFERROR((J18-I18)/J18,"")</f>
        <v>#ERROR!</v>
      </c>
      <c r="L18" s="348" t="str">
        <f>IF(K18="","",IF(K18&gt;=INDEX(Config!B:B,MATCH("Marge cible HT (%)",Config!A:A,0))/100,"OK","Sous objectif"))</f>
        <v>#ERROR!</v>
      </c>
      <c r="M18" s="207"/>
    </row>
    <row r="19" ht="16.5" customHeight="1">
      <c r="A19" s="330" t="s">
        <v>478</v>
      </c>
      <c r="B19" s="169" t="s">
        <v>438</v>
      </c>
      <c r="C19" s="169" t="s">
        <v>448</v>
      </c>
      <c r="D19" s="121" t="str">
        <f>IFERROR(SUMPRODUCT(('Detail Recettes'!A:A="R59")*'Detail Recettes'!G:G),"")</f>
        <v>#ERROR!</v>
      </c>
      <c r="E19" s="121" t="str">
        <f>IFERROR(INDEX('MP Referentiel'!F:F,MATCH("Bocaux Weck "+C19,'MP Referentiel'!B:B,0))*13,"")</f>
        <v>#ERROR!</v>
      </c>
      <c r="F19" s="121" t="str">
        <f>IFERROR(4*INDEX(Config!B:B,MATCH("Cout energie par lot (EUR)",Config!A:A,0))/INDEX(Config!B:B,MATCH("Duree moyenne lot (h)",Config!A:A,0)),"")</f>
        <v>#ERROR!</v>
      </c>
      <c r="G19" s="121" t="str">
        <f>IFERROR(4*INDEX(Config!B:B,MATCH("Cout main-oeuvre horaire (EUR)",Config!A:A,0)),"")</f>
        <v>#ERROR!</v>
      </c>
      <c r="H19" s="121"/>
      <c r="I19" s="361" t="str">
        <f t="shared" si="1"/>
        <v>#ERROR!</v>
      </c>
      <c r="J19" s="121" t="str">
        <f>IFERROR(INDEX('Prix Vente'!D:D,MATCH(A19&amp;C19,'Prix Vente'!A:A&amp;'Prix Vente'!B:B,0))/INDEX(Config!B:B,MATCH("TVA "&amp;B19,Config!A:A,0)),"")</f>
        <v>#ERROR!</v>
      </c>
      <c r="K19" s="363" t="str">
        <f>IFERROR((J19-I19)/J19,"")</f>
        <v>#ERROR!</v>
      </c>
      <c r="L19" s="347" t="str">
        <f>IF(K19="","",IF(K19&gt;=INDEX(Config!B:B,MATCH("Marge cible HT (%)",Config!A:A,0))/100,"OK","Sous objectif"))</f>
        <v>#ERROR!</v>
      </c>
      <c r="M19" s="207"/>
    </row>
    <row r="20" ht="16.5" customHeight="1">
      <c r="A20" s="330" t="s">
        <v>480</v>
      </c>
      <c r="B20" s="196" t="s">
        <v>438</v>
      </c>
      <c r="C20" s="196" t="s">
        <v>448</v>
      </c>
      <c r="D20" s="130" t="str">
        <f>IFERROR(SUMPRODUCT(('Detail Recettes'!A:A="R974")*'Detail Recettes'!G:G),"")</f>
        <v>#ERROR!</v>
      </c>
      <c r="E20" s="130" t="str">
        <f>IFERROR(INDEX('MP Referentiel'!F:F,MATCH("Bocaux Weck "+C20,'MP Referentiel'!B:B,0))*13,"")</f>
        <v>#ERROR!</v>
      </c>
      <c r="F20" s="130" t="str">
        <f>IFERROR(3.5*INDEX(Config!B:B,MATCH("Cout energie par lot (EUR)",Config!A:A,0))/INDEX(Config!B:B,MATCH("Duree moyenne lot (h)",Config!A:A,0)),"")</f>
        <v>#ERROR!</v>
      </c>
      <c r="G20" s="130" t="str">
        <f>IFERROR(3.5*INDEX(Config!B:B,MATCH("Cout main-oeuvre horaire (EUR)",Config!A:A,0)),"")</f>
        <v>#ERROR!</v>
      </c>
      <c r="H20" s="130"/>
      <c r="I20" s="361" t="str">
        <f t="shared" si="1"/>
        <v>#ERROR!</v>
      </c>
      <c r="J20" s="130" t="str">
        <f>IFERROR(INDEX('Prix Vente'!D:D,MATCH(A20&amp;C20,'Prix Vente'!A:A&amp;'Prix Vente'!B:B,0))/INDEX(Config!B:B,MATCH("TVA "&amp;B20,Config!A:A,0)),"")</f>
        <v>#ERROR!</v>
      </c>
      <c r="K20" s="362" t="str">
        <f>IFERROR((J20-I20)/J20,"")</f>
        <v>#ERROR!</v>
      </c>
      <c r="L20" s="348" t="str">
        <f>IF(K20="","",IF(K20&gt;=INDEX(Config!B:B,MATCH("Marge cible HT (%)",Config!A:A,0))/100,"OK","Sous objectif"))</f>
        <v>#ERROR!</v>
      </c>
      <c r="M20" s="207"/>
    </row>
    <row r="21" ht="16.5" customHeight="1">
      <c r="A21" s="336" t="s">
        <v>482</v>
      </c>
      <c r="B21" s="169" t="s">
        <v>447</v>
      </c>
      <c r="C21" s="169" t="s">
        <v>448</v>
      </c>
      <c r="D21" s="121" t="str">
        <f>IFERROR(SUMPRODUCT(('Detail Recettes'!A:A="M13")*'Detail Recettes'!G:G),"")</f>
        <v>#ERROR!</v>
      </c>
      <c r="E21" s="121" t="str">
        <f>IFERROR(INDEX('MP Referentiel'!F:F,MATCH("Bocaux Weck "+C21,'MP Referentiel'!B:B,0))*10,"")</f>
        <v>#ERROR!</v>
      </c>
      <c r="F21" s="121" t="str">
        <f>IFERROR(2.5*INDEX(Config!B:B,MATCH("Cout energie par lot (EUR)",Config!A:A,0))/INDEX(Config!B:B,MATCH("Duree moyenne lot (h)",Config!A:A,0)),"")</f>
        <v>#ERROR!</v>
      </c>
      <c r="G21" s="121" t="str">
        <f>IFERROR(2.5*INDEX(Config!B:B,MATCH("Cout main-oeuvre horaire (EUR)",Config!A:A,0)),"")</f>
        <v>#ERROR!</v>
      </c>
      <c r="H21" s="121"/>
      <c r="I21" s="361" t="str">
        <f t="shared" si="1"/>
        <v>#ERROR!</v>
      </c>
      <c r="J21" s="121" t="str">
        <f>IFERROR(INDEX('Prix Vente'!D:D,MATCH(A21&amp;C21,'Prix Vente'!A:A&amp;'Prix Vente'!B:B,0))/INDEX(Config!B:B,MATCH("TVA "&amp;B21,Config!A:A,0)),"")</f>
        <v>#ERROR!</v>
      </c>
      <c r="K21" s="363" t="str">
        <f>IFERROR((J21-I21)/J21,"")</f>
        <v>#ERROR!</v>
      </c>
      <c r="L21" s="347" t="str">
        <f>IF(K21="","",IF(K21&gt;=INDEX(Config!B:B,MATCH("Marge cible HT (%)",Config!A:A,0))/100,"OK","Sous objectif"))</f>
        <v>#ERROR!</v>
      </c>
      <c r="M21" s="207"/>
    </row>
    <row r="22" ht="16.5" customHeight="1">
      <c r="A22" s="338" t="s">
        <v>484</v>
      </c>
      <c r="B22" s="196" t="s">
        <v>451</v>
      </c>
      <c r="C22" s="196" t="s">
        <v>452</v>
      </c>
      <c r="D22" s="130" t="str">
        <f>IFERROR(SUMPRODUCT(('Detail Recettes'!A:A="PC01")*'Detail Recettes'!G:G),"")</f>
        <v>#ERROR!</v>
      </c>
      <c r="E22" s="130" t="str">
        <f>IFERROR(INDEX('MP Referentiel'!F:F,MATCH("Bocaux Weck "+C22,'MP Referentiel'!B:B,0))*7,"")</f>
        <v>#ERROR!</v>
      </c>
      <c r="F22" s="130" t="str">
        <f>IFERROR(3*INDEX(Config!B:B,MATCH("Cout energie par lot (EUR)",Config!A:A,0))/INDEX(Config!B:B,MATCH("Duree moyenne lot (h)",Config!A:A,0)),"")</f>
        <v>#ERROR!</v>
      </c>
      <c r="G22" s="130" t="str">
        <f>IFERROR(3*INDEX(Config!B:B,MATCH("Cout main-oeuvre horaire (EUR)",Config!A:A,0)),"")</f>
        <v>#ERROR!</v>
      </c>
      <c r="H22" s="130"/>
      <c r="I22" s="361" t="str">
        <f t="shared" si="1"/>
        <v>#ERROR!</v>
      </c>
      <c r="J22" s="130" t="str">
        <f>IFERROR(INDEX('Prix Vente'!D:D,MATCH(A22&amp;C22,'Prix Vente'!A:A&amp;'Prix Vente'!B:B,0))/INDEX(Config!B:B,MATCH("TVA "&amp;B22,Config!A:A,0)),"")</f>
        <v>#ERROR!</v>
      </c>
      <c r="K22" s="362" t="str">
        <f>IFERROR((J22-I22)/J22,"")</f>
        <v>#ERROR!</v>
      </c>
      <c r="L22" s="348" t="str">
        <f>IF(K22="","",IF(K22&gt;=INDEX(Config!B:B,MATCH("Marge cible HT (%)",Config!A:A,0))/100,"OK","Sous objectif"))</f>
        <v>#ERROR!</v>
      </c>
      <c r="M22" s="207"/>
    </row>
    <row r="23" ht="16.5" customHeight="1">
      <c r="A23" s="338" t="s">
        <v>486</v>
      </c>
      <c r="B23" s="169" t="s">
        <v>451</v>
      </c>
      <c r="C23" s="169" t="s">
        <v>452</v>
      </c>
      <c r="D23" s="121" t="str">
        <f>IFERROR(SUMPRODUCT(('Detail Recettes'!A:A="PC02")*'Detail Recettes'!G:G),"")</f>
        <v>#ERROR!</v>
      </c>
      <c r="E23" s="121" t="str">
        <f>IFERROR(INDEX('MP Referentiel'!F:F,MATCH("Bocaux Weck "+C23,'MP Referentiel'!B:B,0))*6,"")</f>
        <v>#ERROR!</v>
      </c>
      <c r="F23" s="121" t="str">
        <f>IFERROR(4.5*INDEX(Config!B:B,MATCH("Cout energie par lot (EUR)",Config!A:A,0))/INDEX(Config!B:B,MATCH("Duree moyenne lot (h)",Config!A:A,0)),"")</f>
        <v>#ERROR!</v>
      </c>
      <c r="G23" s="121" t="str">
        <f>IFERROR(4.5*INDEX(Config!B:B,MATCH("Cout main-oeuvre horaire (EUR)",Config!A:A,0)),"")</f>
        <v>#ERROR!</v>
      </c>
      <c r="H23" s="121"/>
      <c r="I23" s="361" t="str">
        <f t="shared" si="1"/>
        <v>#ERROR!</v>
      </c>
      <c r="J23" s="121" t="str">
        <f>IFERROR(INDEX('Prix Vente'!D:D,MATCH(A23&amp;C23,'Prix Vente'!A:A&amp;'Prix Vente'!B:B,0))/INDEX(Config!B:B,MATCH("TVA "&amp;B23,Config!A:A,0)),"")</f>
        <v>#ERROR!</v>
      </c>
      <c r="K23" s="363" t="str">
        <f>IFERROR((J23-I23)/J23,"")</f>
        <v>#ERROR!</v>
      </c>
      <c r="L23" s="347" t="str">
        <f>IF(K23="","",IF(K23&gt;=INDEX(Config!B:B,MATCH("Marge cible HT (%)",Config!A:A,0))/100,"OK","Sous objectif"))</f>
        <v>#ERROR!</v>
      </c>
      <c r="M23" s="207"/>
    </row>
    <row r="24" ht="16.5" customHeight="1">
      <c r="A24" s="338" t="s">
        <v>488</v>
      </c>
      <c r="B24" s="196" t="s">
        <v>451</v>
      </c>
      <c r="C24" s="196" t="s">
        <v>489</v>
      </c>
      <c r="D24" s="130" t="str">
        <f>IFERROR(SUMPRODUCT(('Detail Recettes'!A:A="PC03")*'Detail Recettes'!G:G),"")</f>
        <v>#ERROR!</v>
      </c>
      <c r="E24" s="130" t="str">
        <f>IFERROR(INDEX('MP Referentiel'!F:F,MATCH("Bocaux Weck "+C24,'MP Referentiel'!B:B,0))*5,"")</f>
        <v>#ERROR!</v>
      </c>
      <c r="F24" s="130" t="str">
        <f>IFERROR(5*INDEX(Config!B:B,MATCH("Cout energie par lot (EUR)",Config!A:A,0))/INDEX(Config!B:B,MATCH("Duree moyenne lot (h)",Config!A:A,0)),"")</f>
        <v>#ERROR!</v>
      </c>
      <c r="G24" s="130" t="str">
        <f>IFERROR(5*INDEX(Config!B:B,MATCH("Cout main-oeuvre horaire (EUR)",Config!A:A,0)),"")</f>
        <v>#ERROR!</v>
      </c>
      <c r="H24" s="130"/>
      <c r="I24" s="361" t="str">
        <f t="shared" si="1"/>
        <v>#ERROR!</v>
      </c>
      <c r="J24" s="130" t="str">
        <f>IFERROR(INDEX('Prix Vente'!D:D,MATCH(A24&amp;C24,'Prix Vente'!A:A&amp;'Prix Vente'!B:B,0))/INDEX(Config!B:B,MATCH("TVA "&amp;B24,Config!A:A,0)),"")</f>
        <v>#ERROR!</v>
      </c>
      <c r="K24" s="362" t="str">
        <f>IFERROR((J24-I24)/J24,"")</f>
        <v>#ERROR!</v>
      </c>
      <c r="L24" s="348" t="str">
        <f>IF(K24="","",IF(K24&gt;=INDEX(Config!B:B,MATCH("Marge cible HT (%)",Config!A:A,0))/100,"OK","Sous objectif"))</f>
        <v>#ERROR!</v>
      </c>
      <c r="M24" s="207"/>
    </row>
    <row r="25" ht="16.5" customHeight="1">
      <c r="A25" s="338" t="s">
        <v>491</v>
      </c>
      <c r="B25" s="169" t="s">
        <v>451</v>
      </c>
      <c r="C25" s="169" t="s">
        <v>452</v>
      </c>
      <c r="D25" s="121" t="str">
        <f>IFERROR(SUMPRODUCT(('Detail Recettes'!A:A="PC04")*'Detail Recettes'!G:G),"")</f>
        <v>#ERROR!</v>
      </c>
      <c r="E25" s="121" t="str">
        <f>IFERROR(INDEX('MP Referentiel'!F:F,MATCH("Bocaux Weck "+C25,'MP Referentiel'!B:B,0))*7,"")</f>
        <v>#ERROR!</v>
      </c>
      <c r="F25" s="121" t="str">
        <f>IFERROR(3*INDEX(Config!B:B,MATCH("Cout energie par lot (EUR)",Config!A:A,0))/INDEX(Config!B:B,MATCH("Duree moyenne lot (h)",Config!A:A,0)),"")</f>
        <v>#ERROR!</v>
      </c>
      <c r="G25" s="121" t="str">
        <f>IFERROR(3*INDEX(Config!B:B,MATCH("Cout main-oeuvre horaire (EUR)",Config!A:A,0)),"")</f>
        <v>#ERROR!</v>
      </c>
      <c r="H25" s="121"/>
      <c r="I25" s="361" t="str">
        <f t="shared" si="1"/>
        <v>#ERROR!</v>
      </c>
      <c r="J25" s="121" t="str">
        <f>IFERROR(INDEX('Prix Vente'!D:D,MATCH(A25&amp;C25,'Prix Vente'!A:A&amp;'Prix Vente'!B:B,0))/INDEX(Config!B:B,MATCH("TVA "&amp;B25,Config!A:A,0)),"")</f>
        <v>#ERROR!</v>
      </c>
      <c r="K25" s="363" t="str">
        <f>IFERROR((J25-I25)/J25,"")</f>
        <v>#ERROR!</v>
      </c>
      <c r="L25" s="347" t="str">
        <f>IF(K25="","",IF(K25&gt;=INDEX(Config!B:B,MATCH("Marge cible HT (%)",Config!A:A,0))/100,"OK","Sous objectif"))</f>
        <v>#ERROR!</v>
      </c>
      <c r="M25" s="207"/>
    </row>
    <row r="26" ht="16.5" customHeight="1">
      <c r="A26" s="338" t="s">
        <v>493</v>
      </c>
      <c r="B26" s="196" t="s">
        <v>451</v>
      </c>
      <c r="C26" s="196" t="s">
        <v>452</v>
      </c>
      <c r="D26" s="130" t="str">
        <f>IFERROR(SUMPRODUCT(('Detail Recettes'!A:A="T31")*'Detail Recettes'!G:G),"")</f>
        <v>#ERROR!</v>
      </c>
      <c r="E26" s="130" t="str">
        <f>IFERROR(INDEX('MP Referentiel'!F:F,MATCH("Bocaux Weck "+C26,'MP Referentiel'!B:B,0))*7,"")</f>
        <v>#ERROR!</v>
      </c>
      <c r="F26" s="130" t="str">
        <f>IFERROR(4*INDEX(Config!B:B,MATCH("Cout energie par lot (EUR)",Config!A:A,0))/INDEX(Config!B:B,MATCH("Duree moyenne lot (h)",Config!A:A,0)),"")</f>
        <v>#ERROR!</v>
      </c>
      <c r="G26" s="130" t="str">
        <f>IFERROR(4*INDEX(Config!B:B,MATCH("Cout main-oeuvre horaire (EUR)",Config!A:A,0)),"")</f>
        <v>#ERROR!</v>
      </c>
      <c r="H26" s="130"/>
      <c r="I26" s="361" t="str">
        <f t="shared" si="1"/>
        <v>#ERROR!</v>
      </c>
      <c r="J26" s="130" t="str">
        <f>IFERROR(INDEX('Prix Vente'!D:D,MATCH(A26&amp;C26,'Prix Vente'!A:A&amp;'Prix Vente'!B:B,0))/INDEX(Config!B:B,MATCH("TVA "&amp;B26,Config!A:A,0)),"")</f>
        <v>#ERROR!</v>
      </c>
      <c r="K26" s="362" t="str">
        <f>IFERROR((J26-I26)/J26,"")</f>
        <v>#ERROR!</v>
      </c>
      <c r="L26" s="348" t="str">
        <f>IF(K26="","",IF(K26&gt;=INDEX(Config!B:B,MATCH("Marge cible HT (%)",Config!A:A,0))/100,"OK","Sous objectif"))</f>
        <v>#ERROR!</v>
      </c>
      <c r="M26" s="207"/>
    </row>
    <row r="27" ht="16.5" customHeight="1">
      <c r="A27" s="344" t="s">
        <v>495</v>
      </c>
      <c r="B27" s="169" t="s">
        <v>496</v>
      </c>
      <c r="C27" s="169" t="s">
        <v>452</v>
      </c>
      <c r="D27" s="121" t="str">
        <f>IFERROR(SUMPRODUCT(('Detail Recettes'!A:A="S64")*'Detail Recettes'!G:G),"")</f>
        <v>#ERROR!</v>
      </c>
      <c r="E27" s="121" t="str">
        <f>IFERROR(INDEX('MP Referentiel'!F:F,MATCH("Bocaux Weck "+C27,'MP Referentiel'!B:B,0))*6,"")</f>
        <v>#ERROR!</v>
      </c>
      <c r="F27" s="121" t="str">
        <f>IFERROR(3*INDEX(Config!B:B,MATCH("Cout energie par lot (EUR)",Config!A:A,0))/INDEX(Config!B:B,MATCH("Duree moyenne lot (h)",Config!A:A,0)),"")</f>
        <v>#ERROR!</v>
      </c>
      <c r="G27" s="121" t="str">
        <f>IFERROR(3*INDEX(Config!B:B,MATCH("Cout main-oeuvre horaire (EUR)",Config!A:A,0)),"")</f>
        <v>#ERROR!</v>
      </c>
      <c r="H27" s="121"/>
      <c r="I27" s="361" t="str">
        <f t="shared" si="1"/>
        <v>#ERROR!</v>
      </c>
      <c r="J27" s="121" t="str">
        <f>IFERROR(INDEX('Prix Vente'!D:D,MATCH(A27&amp;C27,'Prix Vente'!A:A&amp;'Prix Vente'!B:B,0))/INDEX(Config!B:B,MATCH("TVA "&amp;B27,Config!A:A,0)),"")</f>
        <v>#ERROR!</v>
      </c>
      <c r="K27" s="363" t="str">
        <f>IFERROR((J27-I27)/J27,"")</f>
        <v>#ERROR!</v>
      </c>
      <c r="L27" s="347" t="str">
        <f>IF(K27="","",IF(K27&gt;=INDEX(Config!B:B,MATCH("Marge cible HT (%)",Config!A:A,0))/100,"OK","Sous objectif"))</f>
        <v>#ERROR!</v>
      </c>
      <c r="M27" s="207"/>
    </row>
    <row r="28" ht="16.5" customHeight="1">
      <c r="A28" s="340" t="s">
        <v>498</v>
      </c>
      <c r="B28" s="196" t="s">
        <v>455</v>
      </c>
      <c r="C28" s="196" t="s">
        <v>456</v>
      </c>
      <c r="D28" s="130" t="str">
        <f>IFERROR(SUMPRODUCT(('Detail Recettes'!A:A="D01")*'Detail Recettes'!G:G),"")</f>
        <v>#ERROR!</v>
      </c>
      <c r="E28" s="130" t="str">
        <f>IFERROR(INDEX('MP Referentiel'!F:F,MATCH("Bocaux Weck "+C28,'MP Referentiel'!B:B,0))*15,"")</f>
        <v>#ERROR!</v>
      </c>
      <c r="F28" s="130" t="str">
        <f>IFERROR(2*INDEX(Config!B:B,MATCH("Cout energie par lot (EUR)",Config!A:A,0))/INDEX(Config!B:B,MATCH("Duree moyenne lot (h)",Config!A:A,0)),"")</f>
        <v>#ERROR!</v>
      </c>
      <c r="G28" s="130" t="str">
        <f>IFERROR(2*INDEX(Config!B:B,MATCH("Cout main-oeuvre horaire (EUR)",Config!A:A,0)),"")</f>
        <v>#ERROR!</v>
      </c>
      <c r="H28" s="130"/>
      <c r="I28" s="361" t="str">
        <f t="shared" si="1"/>
        <v>#ERROR!</v>
      </c>
      <c r="J28" s="130" t="str">
        <f>IFERROR(INDEX('Prix Vente'!D:D,MATCH(A28&amp;C28,'Prix Vente'!A:A&amp;'Prix Vente'!B:B,0))/INDEX(Config!B:B,MATCH("TVA "&amp;B28,Config!A:A,0)),"")</f>
        <v>#ERROR!</v>
      </c>
      <c r="K28" s="362" t="str">
        <f>IFERROR((J28-I28)/J28,"")</f>
        <v>#ERROR!</v>
      </c>
      <c r="L28" s="348" t="str">
        <f>IF(K28="","",IF(K28&gt;=INDEX(Config!B:B,MATCH("Marge cible HT (%)",Config!A:A,0))/100,"OK","Sous objectif"))</f>
        <v>#ERROR!</v>
      </c>
      <c r="M28" s="207"/>
    </row>
    <row r="29" ht="16.5" customHeight="1">
      <c r="A29" s="340" t="s">
        <v>500</v>
      </c>
      <c r="B29" s="169" t="s">
        <v>455</v>
      </c>
      <c r="C29" s="169" t="s">
        <v>456</v>
      </c>
      <c r="D29" s="121" t="str">
        <f>IFERROR(SUMPRODUCT(('Detail Recettes'!A:A="D02")*'Detail Recettes'!G:G),"")</f>
        <v>#ERROR!</v>
      </c>
      <c r="E29" s="121" t="str">
        <f>IFERROR(INDEX('MP Referentiel'!F:F,MATCH("Bocaux Weck "+C29,'MP Referentiel'!B:B,0))*15,"")</f>
        <v>#ERROR!</v>
      </c>
      <c r="F29" s="121" t="str">
        <f>IFERROR(2*INDEX(Config!B:B,MATCH("Cout energie par lot (EUR)",Config!A:A,0))/INDEX(Config!B:B,MATCH("Duree moyenne lot (h)",Config!A:A,0)),"")</f>
        <v>#ERROR!</v>
      </c>
      <c r="G29" s="121" t="str">
        <f>IFERROR(2*INDEX(Config!B:B,MATCH("Cout main-oeuvre horaire (EUR)",Config!A:A,0)),"")</f>
        <v>#ERROR!</v>
      </c>
      <c r="H29" s="121"/>
      <c r="I29" s="361" t="str">
        <f t="shared" si="1"/>
        <v>#ERROR!</v>
      </c>
      <c r="J29" s="121" t="str">
        <f>IFERROR(INDEX('Prix Vente'!D:D,MATCH(A29&amp;C29,'Prix Vente'!A:A&amp;'Prix Vente'!B:B,0))/INDEX(Config!B:B,MATCH("TVA "&amp;B29,Config!A:A,0)),"")</f>
        <v>#ERROR!</v>
      </c>
      <c r="K29" s="363" t="str">
        <f>IFERROR((J29-I29)/J29,"")</f>
        <v>#ERROR!</v>
      </c>
      <c r="L29" s="347" t="str">
        <f>IF(K29="","",IF(K29&gt;=INDEX(Config!B:B,MATCH("Marge cible HT (%)",Config!A:A,0))/100,"OK","Sous objectif"))</f>
        <v>#ERROR!</v>
      </c>
      <c r="M29" s="207"/>
    </row>
    <row r="30" ht="16.5" customHeight="1">
      <c r="A30" s="340" t="s">
        <v>502</v>
      </c>
      <c r="B30" s="196" t="s">
        <v>455</v>
      </c>
      <c r="C30" s="196" t="s">
        <v>456</v>
      </c>
      <c r="D30" s="130" t="str">
        <f>IFERROR(SUMPRODUCT(('Detail Recettes'!A:A="D03")*'Detail Recettes'!G:G),"")</f>
        <v>#ERROR!</v>
      </c>
      <c r="E30" s="130" t="str">
        <f>IFERROR(INDEX('MP Referentiel'!F:F,MATCH("Bocaux Weck "+C30,'MP Referentiel'!B:B,0))*15,"")</f>
        <v>#ERROR!</v>
      </c>
      <c r="F30" s="130" t="str">
        <f>IFERROR(2.5*INDEX(Config!B:B,MATCH("Cout energie par lot (EUR)",Config!A:A,0))/INDEX(Config!B:B,MATCH("Duree moyenne lot (h)",Config!A:A,0)),"")</f>
        <v>#ERROR!</v>
      </c>
      <c r="G30" s="130" t="str">
        <f>IFERROR(2.5*INDEX(Config!B:B,MATCH("Cout main-oeuvre horaire (EUR)",Config!A:A,0)),"")</f>
        <v>#ERROR!</v>
      </c>
      <c r="H30" s="130"/>
      <c r="I30" s="361" t="str">
        <f t="shared" si="1"/>
        <v>#ERROR!</v>
      </c>
      <c r="J30" s="130" t="str">
        <f>IFERROR(INDEX('Prix Vente'!D:D,MATCH(A30&amp;C30,'Prix Vente'!A:A&amp;'Prix Vente'!B:B,0))/INDEX(Config!B:B,MATCH("TVA "&amp;B30,Config!A:A,0)),"")</f>
        <v>#ERROR!</v>
      </c>
      <c r="K30" s="362" t="str">
        <f>IFERROR((J30-I30)/J30,"")</f>
        <v>#ERROR!</v>
      </c>
      <c r="L30" s="348" t="str">
        <f>IF(K30="","",IF(K30&gt;=INDEX(Config!B:B,MATCH("Marge cible HT (%)",Config!A:A,0))/100,"OK","Sous objectif"))</f>
        <v>#ERROR!</v>
      </c>
      <c r="M30" s="207"/>
    </row>
    <row r="31" ht="16.5" customHeight="1">
      <c r="A31" s="340" t="s">
        <v>504</v>
      </c>
      <c r="B31" s="169" t="s">
        <v>455</v>
      </c>
      <c r="C31" s="169" t="s">
        <v>448</v>
      </c>
      <c r="D31" s="121" t="str">
        <f>IFERROR(SUMPRODUCT(('Detail Recettes'!A:A="D04")*'Detail Recettes'!G:G),"")</f>
        <v>#ERROR!</v>
      </c>
      <c r="E31" s="121" t="str">
        <f>IFERROR(INDEX('MP Referentiel'!F:F,MATCH("Bocaux Weck "+C31,'MP Referentiel'!B:B,0))*12,"")</f>
        <v>#ERROR!</v>
      </c>
      <c r="F31" s="121" t="str">
        <f>IFERROR(1.5*INDEX(Config!B:B,MATCH("Cout energie par lot (EUR)",Config!A:A,0))/INDEX(Config!B:B,MATCH("Duree moyenne lot (h)",Config!A:A,0)),"")</f>
        <v>#ERROR!</v>
      </c>
      <c r="G31" s="121" t="str">
        <f>IFERROR(1.5*INDEX(Config!B:B,MATCH("Cout main-oeuvre horaire (EUR)",Config!A:A,0)),"")</f>
        <v>#ERROR!</v>
      </c>
      <c r="H31" s="121"/>
      <c r="I31" s="361" t="str">
        <f t="shared" si="1"/>
        <v>#ERROR!</v>
      </c>
      <c r="J31" s="121" t="str">
        <f>IFERROR(INDEX('Prix Vente'!D:D,MATCH(A31&amp;C31,'Prix Vente'!A:A&amp;'Prix Vente'!B:B,0))/INDEX(Config!B:B,MATCH("TVA "&amp;B31,Config!A:A,0)),"")</f>
        <v>#ERROR!</v>
      </c>
      <c r="K31" s="363" t="str">
        <f>IFERROR((J31-I31)/J31,"")</f>
        <v>#ERROR!</v>
      </c>
      <c r="L31" s="347" t="str">
        <f>IF(K31="","",IF(K31&gt;=INDEX(Config!B:B,MATCH("Marge cible HT (%)",Config!A:A,0))/100,"OK","Sous objectif"))</f>
        <v>#ERROR!</v>
      </c>
      <c r="M31" s="207"/>
    </row>
    <row r="32" ht="16.5" customHeight="1">
      <c r="A32" s="340" t="s">
        <v>506</v>
      </c>
      <c r="B32" s="196" t="s">
        <v>455</v>
      </c>
      <c r="C32" s="196" t="s">
        <v>448</v>
      </c>
      <c r="D32" s="130" t="str">
        <f>IFERROR(SUMPRODUCT(('Detail Recettes'!A:A="D29")*'Detail Recettes'!G:G),"")</f>
        <v>#ERROR!</v>
      </c>
      <c r="E32" s="130" t="str">
        <f>IFERROR(INDEX('MP Referentiel'!F:F,MATCH("Bocaux Weck "+C32,'MP Referentiel'!B:B,0))*11,"")</f>
        <v>#ERROR!</v>
      </c>
      <c r="F32" s="130" t="str">
        <f>IFERROR(2*INDEX(Config!B:B,MATCH("Cout energie par lot (EUR)",Config!A:A,0))/INDEX(Config!B:B,MATCH("Duree moyenne lot (h)",Config!A:A,0)),"")</f>
        <v>#ERROR!</v>
      </c>
      <c r="G32" s="130" t="str">
        <f>IFERROR(2*INDEX(Config!B:B,MATCH("Cout main-oeuvre horaire (EUR)",Config!A:A,0)),"")</f>
        <v>#ERROR!</v>
      </c>
      <c r="H32" s="130"/>
      <c r="I32" s="361" t="str">
        <f t="shared" si="1"/>
        <v>#ERROR!</v>
      </c>
      <c r="J32" s="130" t="str">
        <f>IFERROR(INDEX('Prix Vente'!D:D,MATCH(A32&amp;C32,'Prix Vente'!A:A&amp;'Prix Vente'!B:B,0))/INDEX(Config!B:B,MATCH("TVA "&amp;B32,Config!A:A,0)),"")</f>
        <v>#ERROR!</v>
      </c>
      <c r="K32" s="362" t="str">
        <f>IFERROR((J32-I32)/J32,"")</f>
        <v>#ERROR!</v>
      </c>
      <c r="L32" s="348" t="str">
        <f>IF(K32="","",IF(K32&gt;=INDEX(Config!B:B,MATCH("Marge cible HT (%)",Config!A:A,0))/100,"OK","Sous objectif"))</f>
        <v>#ERROR!</v>
      </c>
      <c r="M32" s="207"/>
    </row>
  </sheetData>
  <mergeCells count="2">
    <mergeCell ref="A1:M1"/>
    <mergeCell ref="A2:M2"/>
  </mergeCells>
  <conditionalFormatting sqref="L4:L32">
    <cfRule type="cellIs" dxfId="2" priority="1" stopIfTrue="1" operator="equal">
      <formula>"Rupture"</formula>
    </cfRule>
  </conditionalFormatting>
  <conditionalFormatting sqref="L4:L32">
    <cfRule type="cellIs" dxfId="2" priority="2" stopIfTrue="1" operator="equal">
      <formula>"NC"</formula>
    </cfRule>
  </conditionalFormatting>
  <conditionalFormatting sqref="L4:L32">
    <cfRule type="cellIs" dxfId="2" priority="3" stopIfTrue="1" operator="equal">
      <formula>"Expire"</formula>
    </cfRule>
  </conditionalFormatting>
  <conditionalFormatting sqref="L4:L32">
    <cfRule type="cellIs" dxfId="2" priority="4" stopIfTrue="1" operator="equal">
      <formula>"URGENT"</formula>
    </cfRule>
  </conditionalFormatting>
  <conditionalFormatting sqref="L4:L32">
    <cfRule type="cellIs" dxfId="2" priority="5" stopIfTrue="1" operator="equal">
      <formula>"Bloque"</formula>
    </cfRule>
  </conditionalFormatting>
  <conditionalFormatting sqref="L4:L32">
    <cfRule type="cellIs" dxfId="3" priority="6" stopIfTrue="1" operator="equal">
      <formula>"Proche"</formula>
    </cfRule>
  </conditionalFormatting>
  <conditionalFormatting sqref="L4:L32">
    <cfRule type="cellIs" dxfId="3" priority="7" stopIfTrue="1" operator="equal">
      <formula>"A PRODUIRE"</formula>
    </cfRule>
  </conditionalFormatting>
  <conditionalFormatting sqref="L4:L32">
    <cfRule type="cellIs" dxfId="3" priority="8" stopIfTrue="1" operator="equal">
      <formula>"Sous-temperature"</formula>
    </cfRule>
  </conditionalFormatting>
  <conditionalFormatting sqref="L4:L32">
    <cfRule type="cellIs" dxfId="4" priority="9" stopIfTrue="1" operator="equal">
      <formula>"OK"</formula>
    </cfRule>
  </conditionalFormatting>
  <conditionalFormatting sqref="L4:L32">
    <cfRule type="cellIs" dxfId="4" priority="10" stopIfTrue="1" operator="equal">
      <formula>"Valide"</formula>
    </cfRule>
  </conditionalFormatting>
  <conditionalFormatting sqref="L4:L32">
    <cfRule type="cellIs" dxfId="4" priority="11" stopIfTrue="1" operator="equal">
      <formula>"Termine"</formula>
    </cfRule>
  </conditionalFormatting>
  <conditionalFormatting sqref="L4:L32">
    <cfRule type="cellIs" dxfId="4" priority="12" stopIfTrue="1" operator="equal">
      <formula>"Actif"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A6B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1.38"/>
    <col customWidth="1" min="2" max="2" width="22.63"/>
    <col customWidth="1" min="3" max="3" width="27.63"/>
  </cols>
  <sheetData>
    <row r="1" ht="25.5" customHeight="1">
      <c r="A1" s="30" t="s">
        <v>956</v>
      </c>
    </row>
    <row r="2" ht="25.5" customHeight="1">
      <c r="A2" s="364" t="s">
        <v>957</v>
      </c>
    </row>
    <row r="3" ht="21.0" customHeight="1">
      <c r="A3" s="31" t="s">
        <v>958</v>
      </c>
      <c r="B3" s="31" t="s">
        <v>959</v>
      </c>
      <c r="C3" s="31" t="s">
        <v>61</v>
      </c>
    </row>
    <row r="4" ht="16.5" customHeight="1">
      <c r="A4" s="206" t="s">
        <v>960</v>
      </c>
      <c r="B4" s="121" t="str">
        <f>IFERROR(SUMPRODUCT((MONTH(Ventes!A5:A504)=MONTH(TODAY()))*(YEAR(Ventes!A5:A504)=YEAR(TODAY()))*Ventes!K5:K504),0)</f>
        <v>#ERROR!</v>
      </c>
      <c r="C4" s="33" t="s">
        <v>961</v>
      </c>
    </row>
    <row r="5" ht="16.5" customHeight="1">
      <c r="A5" s="365" t="s">
        <v>962</v>
      </c>
      <c r="B5" s="121" t="str">
        <f>IFERROR(SUMIF(Charges!B4:B16,"Fixe",Charges!C4:C16),0)</f>
        <v>#ERROR!</v>
      </c>
      <c r="C5" s="37" t="s">
        <v>963</v>
      </c>
    </row>
    <row r="6" ht="16.5" customHeight="1">
      <c r="A6" s="206" t="s">
        <v>964</v>
      </c>
      <c r="B6" s="121" t="str">
        <f>IFERROR(SUMIF(Charges!B4:B16,"Variable",Charges!C4:C16),0)</f>
        <v>#ERROR!</v>
      </c>
      <c r="C6" s="33" t="s">
        <v>963</v>
      </c>
    </row>
    <row r="7" ht="16.5" customHeight="1">
      <c r="A7" s="365" t="s">
        <v>965</v>
      </c>
      <c r="B7" s="121" t="str">
        <f>IFERROR(B5+B6,"")</f>
        <v>#ERROR!</v>
      </c>
      <c r="C7" s="37" t="s">
        <v>966</v>
      </c>
    </row>
    <row r="8" ht="16.5" customHeight="1">
      <c r="A8" s="206" t="s">
        <v>967</v>
      </c>
      <c r="B8" s="121" t="str">
        <f>IFERROR(B5/(1-B6/B4),"")</f>
        <v>#ERROR!</v>
      </c>
      <c r="C8" s="33" t="s">
        <v>968</v>
      </c>
    </row>
    <row r="9" ht="16.5" customHeight="1">
      <c r="A9" s="365" t="s">
        <v>969</v>
      </c>
      <c r="B9" s="363" t="str">
        <f>IFERROR((B4-B6)/B4,"")</f>
        <v>#ERROR!</v>
      </c>
      <c r="C9" s="37" t="s">
        <v>970</v>
      </c>
    </row>
    <row r="10" ht="16.5" customHeight="1">
      <c r="A10" s="206" t="s">
        <v>971</v>
      </c>
      <c r="B10" s="121" t="str">
        <f>IFERROR(SUMPRODUCT((MONTH(Compta!A4:A503)=MONTH(TODAY()))*(Compta!B4:B503="Encaissement")*Compta!E4:E503),0)</f>
        <v>#ERROR!</v>
      </c>
      <c r="C10" s="33" t="s">
        <v>972</v>
      </c>
    </row>
    <row r="11" ht="16.5" customHeight="1">
      <c r="A11" s="365" t="s">
        <v>973</v>
      </c>
      <c r="B11" s="121" t="str">
        <f>IFERROR(SUMPRODUCT((MONTH(Compta!A4:A503)=MONTH(TODAY()))*(Compta!B4:B503="Decaissement")*Compta!E4:E503),0)</f>
        <v>#ERROR!</v>
      </c>
      <c r="C11" s="37" t="s">
        <v>972</v>
      </c>
    </row>
    <row r="12" ht="16.5" customHeight="1">
      <c r="A12" s="206" t="s">
        <v>974</v>
      </c>
      <c r="B12" s="121" t="str">
        <f>IFERROR(B11-B12,"")</f>
        <v>#ERROR!</v>
      </c>
      <c r="C12" s="33" t="s">
        <v>975</v>
      </c>
    </row>
    <row r="13" ht="16.5" customHeight="1">
      <c r="A13" s="365" t="s">
        <v>976</v>
      </c>
      <c r="B13" s="121" t="str">
        <f>IFERROR(COUNTIFS(Ventes!A5:A504,"&gt;="&amp;DATE(YEAR(TODAY()),MONTH(TODAY()),1),Ventes!A5:A504,"&lt;"&amp;DATE(YEAR(TODAY()),MONTH(TODAY())+1,1)),0)</f>
        <v>#ERROR!</v>
      </c>
      <c r="C13" s="37" t="s">
        <v>961</v>
      </c>
    </row>
    <row r="14" ht="16.5" customHeight="1">
      <c r="A14" s="206" t="s">
        <v>977</v>
      </c>
      <c r="B14" s="121" t="str">
        <f>IFERROR(B4/B14,"")</f>
        <v>#ERROR!</v>
      </c>
      <c r="C14" s="33" t="s">
        <v>978</v>
      </c>
    </row>
  </sheetData>
  <mergeCells count="2">
    <mergeCell ref="A1:L1"/>
    <mergeCell ref="A2:L2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2" width="16.38"/>
  </cols>
  <sheetData>
    <row r="1" ht="25.5" customHeight="1">
      <c r="A1" s="30" t="s">
        <v>979</v>
      </c>
    </row>
    <row r="2" ht="25.5" customHeight="1">
      <c r="A2" s="359" t="s">
        <v>980</v>
      </c>
    </row>
    <row r="3" ht="21.0" customHeight="1">
      <c r="A3" s="31" t="s">
        <v>981</v>
      </c>
      <c r="B3" s="31" t="s">
        <v>982</v>
      </c>
      <c r="C3" s="31" t="s">
        <v>983</v>
      </c>
      <c r="D3" s="31" t="s">
        <v>984</v>
      </c>
      <c r="E3" s="31" t="s">
        <v>985</v>
      </c>
      <c r="F3" s="31" t="s">
        <v>986</v>
      </c>
      <c r="G3" s="31" t="s">
        <v>987</v>
      </c>
      <c r="H3" s="31" t="s">
        <v>988</v>
      </c>
      <c r="I3" s="31" t="s">
        <v>989</v>
      </c>
      <c r="J3" s="31" t="s">
        <v>990</v>
      </c>
      <c r="K3" s="31" t="s">
        <v>991</v>
      </c>
      <c r="L3" s="31" t="s">
        <v>61</v>
      </c>
    </row>
    <row r="4">
      <c r="A4" s="290">
        <v>46110.04166666667</v>
      </c>
      <c r="B4" s="216" t="s">
        <v>741</v>
      </c>
      <c r="C4" s="216" t="s">
        <v>992</v>
      </c>
      <c r="D4" s="221">
        <v>500.0</v>
      </c>
      <c r="E4" s="217" t="str">
        <f>SUMPRODUCT((TEXT(Ventes!A$5:A$5000,"yyyy-mm-dd")=TEXT(A4,"yyyy-mm-dd"))*(Ventes!C$5:C$5000="Marchés")*Ventes!K$5:K$5000)</f>
        <v>#ERROR!</v>
      </c>
      <c r="F4" s="217" t="str">
        <f>IF(E4&gt;0,E4-D4,"")</f>
        <v>#ERROR!</v>
      </c>
      <c r="G4" s="217" t="str">
        <f>IF(E4&gt;0,TEXT((E4-D4)/E4,"0%"),"")</f>
        <v>#ERROR!</v>
      </c>
      <c r="H4" s="217"/>
      <c r="I4" s="217"/>
      <c r="J4" s="279" t="str">
        <f>IFERROR(H4-F4,"")</f>
        <v>#ERROR!</v>
      </c>
      <c r="K4" s="279" t="str">
        <f>IFERROR(I4-G4,"")</f>
        <v>#ERROR!</v>
      </c>
      <c r="L4" s="223"/>
    </row>
    <row r="5">
      <c r="A5" s="301"/>
      <c r="B5" s="227"/>
      <c r="C5" s="227"/>
      <c r="D5" s="227"/>
      <c r="E5" s="227"/>
      <c r="F5" s="227"/>
      <c r="G5" s="227"/>
      <c r="H5" s="227"/>
      <c r="I5" s="227"/>
      <c r="J5" s="281" t="str">
        <f>IFERROR(H5-F5,"")</f>
        <v>#ERROR!</v>
      </c>
      <c r="K5" s="281" t="str">
        <f>IFERROR(I5-G5,"")</f>
        <v>#ERROR!</v>
      </c>
      <c r="L5" s="233"/>
    </row>
    <row r="6">
      <c r="A6" s="303"/>
      <c r="B6" s="235"/>
      <c r="C6" s="235"/>
      <c r="D6" s="235"/>
      <c r="E6" s="235"/>
      <c r="F6" s="235"/>
      <c r="G6" s="235"/>
      <c r="H6" s="235"/>
      <c r="I6" s="235"/>
      <c r="J6" s="283" t="str">
        <f>IFERROR(H6-F6,"")</f>
        <v>#ERROR!</v>
      </c>
      <c r="K6" s="283" t="str">
        <f>IFERROR(I6-G6,"")</f>
        <v>#ERROR!</v>
      </c>
      <c r="L6" s="240"/>
    </row>
    <row r="7">
      <c r="A7" s="301"/>
      <c r="B7" s="227"/>
      <c r="C7" s="227"/>
      <c r="D7" s="227"/>
      <c r="E7" s="227"/>
      <c r="F7" s="227"/>
      <c r="G7" s="227"/>
      <c r="H7" s="227"/>
      <c r="I7" s="227"/>
      <c r="J7" s="281" t="str">
        <f>IFERROR(H7-F7,"")</f>
        <v>#ERROR!</v>
      </c>
      <c r="K7" s="281" t="str">
        <f>IFERROR(I7-G7,"")</f>
        <v>#ERROR!</v>
      </c>
      <c r="L7" s="233"/>
    </row>
    <row r="8">
      <c r="A8" s="303"/>
      <c r="B8" s="235"/>
      <c r="C8" s="235"/>
      <c r="D8" s="235"/>
      <c r="E8" s="235"/>
      <c r="F8" s="235"/>
      <c r="G8" s="235"/>
      <c r="H8" s="235"/>
      <c r="I8" s="235"/>
      <c r="J8" s="283" t="str">
        <f>IFERROR(H8-F8,"")</f>
        <v>#ERROR!</v>
      </c>
      <c r="K8" s="283" t="str">
        <f>IFERROR(I8-G8,"")</f>
        <v>#ERROR!</v>
      </c>
      <c r="L8" s="240"/>
    </row>
    <row r="9">
      <c r="A9" s="301"/>
      <c r="B9" s="227"/>
      <c r="C9" s="227"/>
      <c r="D9" s="227"/>
      <c r="E9" s="227"/>
      <c r="F9" s="227"/>
      <c r="G9" s="227"/>
      <c r="H9" s="227"/>
      <c r="I9" s="227"/>
      <c r="J9" s="281" t="str">
        <f>IFERROR(H9-F9,"")</f>
        <v>#ERROR!</v>
      </c>
      <c r="K9" s="281" t="str">
        <f>IFERROR(I9-G9,"")</f>
        <v>#ERROR!</v>
      </c>
      <c r="L9" s="233"/>
    </row>
    <row r="10">
      <c r="A10" s="303"/>
      <c r="B10" s="235"/>
      <c r="C10" s="235"/>
      <c r="D10" s="235"/>
      <c r="E10" s="235"/>
      <c r="F10" s="235"/>
      <c r="G10" s="235"/>
      <c r="H10" s="235"/>
      <c r="I10" s="235"/>
      <c r="J10" s="283" t="str">
        <f>IFERROR(H10-F10,"")</f>
        <v>#ERROR!</v>
      </c>
      <c r="K10" s="283" t="str">
        <f>IFERROR(I10-G10,"")</f>
        <v>#ERROR!</v>
      </c>
      <c r="L10" s="240"/>
    </row>
    <row r="11">
      <c r="A11" s="301"/>
      <c r="B11" s="227"/>
      <c r="C11" s="227"/>
      <c r="D11" s="227"/>
      <c r="E11" s="227"/>
      <c r="F11" s="227"/>
      <c r="G11" s="227"/>
      <c r="H11" s="227"/>
      <c r="I11" s="227"/>
      <c r="J11" s="281" t="str">
        <f>IFERROR(H11-F11,"")</f>
        <v>#ERROR!</v>
      </c>
      <c r="K11" s="281" t="str">
        <f>IFERROR(I11-G11,"")</f>
        <v>#ERROR!</v>
      </c>
      <c r="L11" s="233"/>
    </row>
    <row r="12">
      <c r="A12" s="303"/>
      <c r="B12" s="235"/>
      <c r="C12" s="235"/>
      <c r="D12" s="235"/>
      <c r="E12" s="235"/>
      <c r="F12" s="235"/>
      <c r="G12" s="235"/>
      <c r="H12" s="235"/>
      <c r="I12" s="235"/>
      <c r="J12" s="283" t="str">
        <f>IFERROR(H12-F12,"")</f>
        <v>#ERROR!</v>
      </c>
      <c r="K12" s="283" t="str">
        <f>IFERROR(I12-G12,"")</f>
        <v>#ERROR!</v>
      </c>
      <c r="L12" s="240"/>
    </row>
    <row r="13">
      <c r="A13" s="301"/>
      <c r="B13" s="227"/>
      <c r="C13" s="227"/>
      <c r="D13" s="227"/>
      <c r="E13" s="227"/>
      <c r="F13" s="227"/>
      <c r="G13" s="227"/>
      <c r="H13" s="227"/>
      <c r="I13" s="227"/>
      <c r="J13" s="281" t="str">
        <f>IFERROR(H13-F13,"")</f>
        <v>#ERROR!</v>
      </c>
      <c r="K13" s="281" t="str">
        <f>IFERROR(I13-G13,"")</f>
        <v>#ERROR!</v>
      </c>
      <c r="L13" s="233"/>
    </row>
    <row r="14">
      <c r="A14" s="303"/>
      <c r="B14" s="235"/>
      <c r="C14" s="235"/>
      <c r="D14" s="235"/>
      <c r="E14" s="235"/>
      <c r="F14" s="235"/>
      <c r="G14" s="235"/>
      <c r="H14" s="235"/>
      <c r="I14" s="235"/>
      <c r="J14" s="283" t="str">
        <f>IFERROR(H14-F14,"")</f>
        <v>#ERROR!</v>
      </c>
      <c r="K14" s="283" t="str">
        <f>IFERROR(I14-G14,"")</f>
        <v>#ERROR!</v>
      </c>
      <c r="L14" s="240"/>
    </row>
    <row r="15">
      <c r="A15" s="301"/>
      <c r="B15" s="227"/>
      <c r="C15" s="227"/>
      <c r="D15" s="227"/>
      <c r="E15" s="227"/>
      <c r="F15" s="227"/>
      <c r="G15" s="227"/>
      <c r="H15" s="227"/>
      <c r="I15" s="227"/>
      <c r="J15" s="281" t="str">
        <f>IFERROR(H15-F15,"")</f>
        <v>#ERROR!</v>
      </c>
      <c r="K15" s="281" t="str">
        <f>IFERROR(I15-G15,"")</f>
        <v>#ERROR!</v>
      </c>
      <c r="L15" s="233"/>
    </row>
    <row r="16">
      <c r="A16" s="303"/>
      <c r="B16" s="235"/>
      <c r="C16" s="235"/>
      <c r="D16" s="235"/>
      <c r="E16" s="235"/>
      <c r="F16" s="235"/>
      <c r="G16" s="235"/>
      <c r="H16" s="235"/>
      <c r="I16" s="235"/>
      <c r="J16" s="283" t="str">
        <f>IFERROR(H16-F16,"")</f>
        <v>#ERROR!</v>
      </c>
      <c r="K16" s="283" t="str">
        <f>IFERROR(I16-G16,"")</f>
        <v>#ERROR!</v>
      </c>
      <c r="L16" s="240"/>
    </row>
    <row r="17">
      <c r="A17" s="301"/>
      <c r="B17" s="227"/>
      <c r="C17" s="227"/>
      <c r="D17" s="227"/>
      <c r="E17" s="227"/>
      <c r="F17" s="227"/>
      <c r="G17" s="227"/>
      <c r="H17" s="227"/>
      <c r="I17" s="227"/>
      <c r="J17" s="281" t="str">
        <f>IFERROR(H17-F17,"")</f>
        <v>#ERROR!</v>
      </c>
      <c r="K17" s="281" t="str">
        <f>IFERROR(I17-G17,"")</f>
        <v>#ERROR!</v>
      </c>
      <c r="L17" s="233"/>
    </row>
    <row r="18">
      <c r="A18" s="303"/>
      <c r="B18" s="235"/>
      <c r="C18" s="235"/>
      <c r="D18" s="235"/>
      <c r="E18" s="235"/>
      <c r="F18" s="235"/>
      <c r="G18" s="235"/>
      <c r="H18" s="235"/>
      <c r="I18" s="235"/>
      <c r="J18" s="283" t="str">
        <f>IFERROR(H18-F18,"")</f>
        <v>#ERROR!</v>
      </c>
      <c r="K18" s="283" t="str">
        <f>IFERROR(I18-G18,"")</f>
        <v>#ERROR!</v>
      </c>
      <c r="L18" s="240"/>
    </row>
    <row r="19">
      <c r="A19" s="301"/>
      <c r="B19" s="227"/>
      <c r="C19" s="227"/>
      <c r="D19" s="227"/>
      <c r="E19" s="227"/>
      <c r="F19" s="227"/>
      <c r="G19" s="227"/>
      <c r="H19" s="227"/>
      <c r="I19" s="227"/>
      <c r="J19" s="281" t="str">
        <f>IFERROR(H19-F19,"")</f>
        <v>#ERROR!</v>
      </c>
      <c r="K19" s="281" t="str">
        <f>IFERROR(I19-G19,"")</f>
        <v>#ERROR!</v>
      </c>
      <c r="L19" s="233"/>
    </row>
    <row r="20">
      <c r="A20" s="303"/>
      <c r="B20" s="235"/>
      <c r="C20" s="235"/>
      <c r="D20" s="235"/>
      <c r="E20" s="235"/>
      <c r="F20" s="235"/>
      <c r="G20" s="235"/>
      <c r="H20" s="235"/>
      <c r="I20" s="235"/>
      <c r="J20" s="283" t="str">
        <f>IFERROR(H20-F20,"")</f>
        <v>#ERROR!</v>
      </c>
      <c r="K20" s="283" t="str">
        <f>IFERROR(I20-G20,"")</f>
        <v>#ERROR!</v>
      </c>
      <c r="L20" s="240"/>
    </row>
    <row r="21">
      <c r="A21" s="301"/>
      <c r="B21" s="227"/>
      <c r="C21" s="227"/>
      <c r="D21" s="227"/>
      <c r="E21" s="227"/>
      <c r="F21" s="227"/>
      <c r="G21" s="227"/>
      <c r="H21" s="227"/>
      <c r="I21" s="227"/>
      <c r="J21" s="281" t="str">
        <f>IFERROR(H21-F21,"")</f>
        <v>#ERROR!</v>
      </c>
      <c r="K21" s="281" t="str">
        <f>IFERROR(I21-G21,"")</f>
        <v>#ERROR!</v>
      </c>
      <c r="L21" s="233"/>
    </row>
    <row r="22">
      <c r="A22" s="303"/>
      <c r="B22" s="235"/>
      <c r="C22" s="235"/>
      <c r="D22" s="235"/>
      <c r="E22" s="235"/>
      <c r="F22" s="235"/>
      <c r="G22" s="235"/>
      <c r="H22" s="235"/>
      <c r="I22" s="235"/>
      <c r="J22" s="283" t="str">
        <f>IFERROR(H22-F22,"")</f>
        <v>#ERROR!</v>
      </c>
      <c r="K22" s="283" t="str">
        <f>IFERROR(I22-G22,"")</f>
        <v>#ERROR!</v>
      </c>
      <c r="L22" s="240"/>
    </row>
    <row r="23">
      <c r="A23" s="301"/>
      <c r="B23" s="227"/>
      <c r="C23" s="227"/>
      <c r="D23" s="227"/>
      <c r="E23" s="227"/>
      <c r="F23" s="227"/>
      <c r="G23" s="227"/>
      <c r="H23" s="227"/>
      <c r="I23" s="227"/>
      <c r="J23" s="281" t="str">
        <f>IFERROR(H23-F23,"")</f>
        <v>#ERROR!</v>
      </c>
      <c r="K23" s="281" t="str">
        <f>IFERROR(I23-G23,"")</f>
        <v>#ERROR!</v>
      </c>
      <c r="L23" s="233"/>
    </row>
    <row r="24">
      <c r="A24" s="303"/>
      <c r="B24" s="235"/>
      <c r="C24" s="235"/>
      <c r="D24" s="235"/>
      <c r="E24" s="235"/>
      <c r="F24" s="235"/>
      <c r="G24" s="235"/>
      <c r="H24" s="235"/>
      <c r="I24" s="235"/>
      <c r="J24" s="283" t="str">
        <f>IFERROR(H24-F24,"")</f>
        <v>#ERROR!</v>
      </c>
      <c r="K24" s="283" t="str">
        <f>IFERROR(I24-G24,"")</f>
        <v>#ERROR!</v>
      </c>
      <c r="L24" s="240"/>
    </row>
    <row r="25">
      <c r="A25" s="301"/>
      <c r="B25" s="227"/>
      <c r="C25" s="227"/>
      <c r="D25" s="227"/>
      <c r="E25" s="227"/>
      <c r="F25" s="227"/>
      <c r="G25" s="227"/>
      <c r="H25" s="227"/>
      <c r="I25" s="227"/>
      <c r="J25" s="281" t="str">
        <f>IFERROR(H25-F25,"")</f>
        <v>#ERROR!</v>
      </c>
      <c r="K25" s="281" t="str">
        <f>IFERROR(I25-G25,"")</f>
        <v>#ERROR!</v>
      </c>
      <c r="L25" s="233"/>
    </row>
    <row r="26">
      <c r="A26" s="303"/>
      <c r="B26" s="235"/>
      <c r="C26" s="235"/>
      <c r="D26" s="235"/>
      <c r="E26" s="235"/>
      <c r="F26" s="235"/>
      <c r="G26" s="235"/>
      <c r="H26" s="235"/>
      <c r="I26" s="235"/>
      <c r="J26" s="283" t="str">
        <f>IFERROR(H26-F26,"")</f>
        <v>#ERROR!</v>
      </c>
      <c r="K26" s="283" t="str">
        <f>IFERROR(I26-G26,"")</f>
        <v>#ERROR!</v>
      </c>
      <c r="L26" s="240"/>
    </row>
    <row r="27">
      <c r="A27" s="301"/>
      <c r="B27" s="227"/>
      <c r="C27" s="227"/>
      <c r="D27" s="227"/>
      <c r="E27" s="227"/>
      <c r="F27" s="227"/>
      <c r="G27" s="227"/>
      <c r="H27" s="227"/>
      <c r="I27" s="227"/>
      <c r="J27" s="281" t="str">
        <f>IFERROR(H27-F27,"")</f>
        <v>#ERROR!</v>
      </c>
      <c r="K27" s="281" t="str">
        <f>IFERROR(I27-G27,"")</f>
        <v>#ERROR!</v>
      </c>
      <c r="L27" s="233"/>
    </row>
    <row r="28">
      <c r="A28" s="303"/>
      <c r="B28" s="235"/>
      <c r="C28" s="235"/>
      <c r="D28" s="235"/>
      <c r="E28" s="235"/>
      <c r="F28" s="235"/>
      <c r="G28" s="235"/>
      <c r="H28" s="235"/>
      <c r="I28" s="235"/>
      <c r="J28" s="283" t="str">
        <f>IFERROR(H28-F28,"")</f>
        <v>#ERROR!</v>
      </c>
      <c r="K28" s="283" t="str">
        <f>IFERROR(I28-G28,"")</f>
        <v>#ERROR!</v>
      </c>
      <c r="L28" s="240"/>
    </row>
    <row r="29">
      <c r="A29" s="301"/>
      <c r="B29" s="227"/>
      <c r="C29" s="227"/>
      <c r="D29" s="227"/>
      <c r="E29" s="227"/>
      <c r="F29" s="227"/>
      <c r="G29" s="227"/>
      <c r="H29" s="227"/>
      <c r="I29" s="227"/>
      <c r="J29" s="281" t="str">
        <f>IFERROR(H29-F29,"")</f>
        <v>#ERROR!</v>
      </c>
      <c r="K29" s="281" t="str">
        <f>IFERROR(I29-G29,"")</f>
        <v>#ERROR!</v>
      </c>
      <c r="L29" s="233"/>
    </row>
    <row r="30">
      <c r="A30" s="303"/>
      <c r="B30" s="235"/>
      <c r="C30" s="235"/>
      <c r="D30" s="235"/>
      <c r="E30" s="235"/>
      <c r="F30" s="235"/>
      <c r="G30" s="235"/>
      <c r="H30" s="235"/>
      <c r="I30" s="235"/>
      <c r="J30" s="283" t="str">
        <f>IFERROR(H30-F30,"")</f>
        <v>#ERROR!</v>
      </c>
      <c r="K30" s="283" t="str">
        <f>IFERROR(I30-G30,"")</f>
        <v>#ERROR!</v>
      </c>
      <c r="L30" s="240"/>
    </row>
    <row r="31">
      <c r="A31" s="301"/>
      <c r="B31" s="227"/>
      <c r="C31" s="227"/>
      <c r="D31" s="227"/>
      <c r="E31" s="227"/>
      <c r="F31" s="227"/>
      <c r="G31" s="227"/>
      <c r="H31" s="227"/>
      <c r="I31" s="227"/>
      <c r="J31" s="281" t="str">
        <f>IFERROR(H31-F31,"")</f>
        <v>#ERROR!</v>
      </c>
      <c r="K31" s="281" t="str">
        <f>IFERROR(I31-G31,"")</f>
        <v>#ERROR!</v>
      </c>
      <c r="L31" s="233"/>
    </row>
    <row r="32">
      <c r="A32" s="303"/>
      <c r="B32" s="235"/>
      <c r="C32" s="235"/>
      <c r="D32" s="235"/>
      <c r="E32" s="235"/>
      <c r="F32" s="235"/>
      <c r="G32" s="235"/>
      <c r="H32" s="235"/>
      <c r="I32" s="235"/>
      <c r="J32" s="283" t="str">
        <f>IFERROR(H32-F32,"")</f>
        <v>#ERROR!</v>
      </c>
      <c r="K32" s="283" t="str">
        <f>IFERROR(I32-G32,"")</f>
        <v>#ERROR!</v>
      </c>
      <c r="L32" s="240"/>
    </row>
    <row r="33">
      <c r="A33" s="301"/>
      <c r="B33" s="227"/>
      <c r="C33" s="227"/>
      <c r="D33" s="227"/>
      <c r="E33" s="227"/>
      <c r="F33" s="227"/>
      <c r="G33" s="227"/>
      <c r="H33" s="227"/>
      <c r="I33" s="227"/>
      <c r="J33" s="281" t="str">
        <f>IFERROR(H33-F33,"")</f>
        <v>#ERROR!</v>
      </c>
      <c r="K33" s="281" t="str">
        <f>IFERROR(I33-G33,"")</f>
        <v>#ERROR!</v>
      </c>
      <c r="L33" s="233"/>
    </row>
    <row r="34">
      <c r="A34" s="303"/>
      <c r="B34" s="235"/>
      <c r="C34" s="235"/>
      <c r="D34" s="235"/>
      <c r="E34" s="235"/>
      <c r="F34" s="235"/>
      <c r="G34" s="235"/>
      <c r="H34" s="235"/>
      <c r="I34" s="235"/>
      <c r="J34" s="283" t="str">
        <f>IFERROR(H34-F34,"")</f>
        <v>#ERROR!</v>
      </c>
      <c r="K34" s="283" t="str">
        <f>IFERROR(I34-G34,"")</f>
        <v>#ERROR!</v>
      </c>
      <c r="L34" s="240"/>
    </row>
    <row r="35">
      <c r="A35" s="301"/>
      <c r="B35" s="227"/>
      <c r="C35" s="227"/>
      <c r="D35" s="227"/>
      <c r="E35" s="227"/>
      <c r="F35" s="227"/>
      <c r="G35" s="227"/>
      <c r="H35" s="227"/>
      <c r="I35" s="227"/>
      <c r="J35" s="281" t="str">
        <f>IFERROR(H35-F35,"")</f>
        <v>#ERROR!</v>
      </c>
      <c r="K35" s="281" t="str">
        <f>IFERROR(I35-G35,"")</f>
        <v>#ERROR!</v>
      </c>
      <c r="L35" s="233"/>
    </row>
    <row r="36">
      <c r="A36" s="303"/>
      <c r="B36" s="235"/>
      <c r="C36" s="235"/>
      <c r="D36" s="235"/>
      <c r="E36" s="235"/>
      <c r="F36" s="235"/>
      <c r="G36" s="235"/>
      <c r="H36" s="235"/>
      <c r="I36" s="235"/>
      <c r="J36" s="283" t="str">
        <f>IFERROR(H36-F36,"")</f>
        <v>#ERROR!</v>
      </c>
      <c r="K36" s="283" t="str">
        <f>IFERROR(I36-G36,"")</f>
        <v>#ERROR!</v>
      </c>
      <c r="L36" s="240"/>
    </row>
    <row r="37">
      <c r="A37" s="301"/>
      <c r="B37" s="227"/>
      <c r="C37" s="227"/>
      <c r="D37" s="227"/>
      <c r="E37" s="227"/>
      <c r="F37" s="227"/>
      <c r="G37" s="227"/>
      <c r="H37" s="227"/>
      <c r="I37" s="227"/>
      <c r="J37" s="281" t="str">
        <f>IFERROR(H37-F37,"")</f>
        <v>#ERROR!</v>
      </c>
      <c r="K37" s="281" t="str">
        <f>IFERROR(I37-G37,"")</f>
        <v>#ERROR!</v>
      </c>
      <c r="L37" s="233"/>
    </row>
    <row r="38">
      <c r="A38" s="303"/>
      <c r="B38" s="235"/>
      <c r="C38" s="235"/>
      <c r="D38" s="235"/>
      <c r="E38" s="235"/>
      <c r="F38" s="235"/>
      <c r="G38" s="235"/>
      <c r="H38" s="235"/>
      <c r="I38" s="235"/>
      <c r="J38" s="283" t="str">
        <f>IFERROR(H38-F38,"")</f>
        <v>#ERROR!</v>
      </c>
      <c r="K38" s="283" t="str">
        <f>IFERROR(I38-G38,"")</f>
        <v>#ERROR!</v>
      </c>
      <c r="L38" s="240"/>
    </row>
    <row r="39">
      <c r="A39" s="301"/>
      <c r="B39" s="227"/>
      <c r="C39" s="227"/>
      <c r="D39" s="227"/>
      <c r="E39" s="227"/>
      <c r="F39" s="227"/>
      <c r="G39" s="227"/>
      <c r="H39" s="227"/>
      <c r="I39" s="227"/>
      <c r="J39" s="281" t="str">
        <f>IFERROR(H39-F39,"")</f>
        <v>#ERROR!</v>
      </c>
      <c r="K39" s="281" t="str">
        <f>IFERROR(I39-G39,"")</f>
        <v>#ERROR!</v>
      </c>
      <c r="L39" s="233"/>
    </row>
    <row r="40">
      <c r="A40" s="303"/>
      <c r="B40" s="235"/>
      <c r="C40" s="235"/>
      <c r="D40" s="235"/>
      <c r="E40" s="235"/>
      <c r="F40" s="235"/>
      <c r="G40" s="235"/>
      <c r="H40" s="235"/>
      <c r="I40" s="235"/>
      <c r="J40" s="283" t="str">
        <f>IFERROR(H40-F40,"")</f>
        <v>#ERROR!</v>
      </c>
      <c r="K40" s="283" t="str">
        <f>IFERROR(I40-G40,"")</f>
        <v>#ERROR!</v>
      </c>
      <c r="L40" s="240"/>
    </row>
    <row r="41">
      <c r="A41" s="301"/>
      <c r="B41" s="227"/>
      <c r="C41" s="227"/>
      <c r="D41" s="227"/>
      <c r="E41" s="227"/>
      <c r="F41" s="227"/>
      <c r="G41" s="227"/>
      <c r="H41" s="227"/>
      <c r="I41" s="227"/>
      <c r="J41" s="281" t="str">
        <f>IFERROR(H41-F41,"")</f>
        <v>#ERROR!</v>
      </c>
      <c r="K41" s="281" t="str">
        <f>IFERROR(I41-G41,"")</f>
        <v>#ERROR!</v>
      </c>
      <c r="L41" s="233"/>
    </row>
    <row r="42">
      <c r="A42" s="303"/>
      <c r="B42" s="235"/>
      <c r="C42" s="235"/>
      <c r="D42" s="235"/>
      <c r="E42" s="235"/>
      <c r="F42" s="235"/>
      <c r="G42" s="235"/>
      <c r="H42" s="235"/>
      <c r="I42" s="235"/>
      <c r="J42" s="283" t="str">
        <f>IFERROR(H42-F42,"")</f>
        <v>#ERROR!</v>
      </c>
      <c r="K42" s="283" t="str">
        <f>IFERROR(I42-G42,"")</f>
        <v>#ERROR!</v>
      </c>
      <c r="L42" s="240"/>
    </row>
    <row r="43">
      <c r="A43" s="301"/>
      <c r="B43" s="227"/>
      <c r="C43" s="227"/>
      <c r="D43" s="227"/>
      <c r="E43" s="227"/>
      <c r="F43" s="227"/>
      <c r="G43" s="227"/>
      <c r="H43" s="227"/>
      <c r="I43" s="227"/>
      <c r="J43" s="281" t="str">
        <f>IFERROR(H43-F43,"")</f>
        <v>#ERROR!</v>
      </c>
      <c r="K43" s="281" t="str">
        <f>IFERROR(I43-G43,"")</f>
        <v>#ERROR!</v>
      </c>
      <c r="L43" s="233"/>
    </row>
    <row r="44">
      <c r="A44" s="303"/>
      <c r="B44" s="235"/>
      <c r="C44" s="235"/>
      <c r="D44" s="235"/>
      <c r="E44" s="235"/>
      <c r="F44" s="235"/>
      <c r="G44" s="235"/>
      <c r="H44" s="235"/>
      <c r="I44" s="235"/>
      <c r="J44" s="283" t="str">
        <f>IFERROR(H44-F44,"")</f>
        <v>#ERROR!</v>
      </c>
      <c r="K44" s="283" t="str">
        <f>IFERROR(I44-G44,"")</f>
        <v>#ERROR!</v>
      </c>
      <c r="L44" s="240"/>
    </row>
    <row r="45">
      <c r="A45" s="301"/>
      <c r="B45" s="227"/>
      <c r="C45" s="227"/>
      <c r="D45" s="227"/>
      <c r="E45" s="227"/>
      <c r="F45" s="227"/>
      <c r="G45" s="227"/>
      <c r="H45" s="227"/>
      <c r="I45" s="227"/>
      <c r="J45" s="281" t="str">
        <f>IFERROR(H45-F45,"")</f>
        <v>#ERROR!</v>
      </c>
      <c r="K45" s="281" t="str">
        <f>IFERROR(I45-G45,"")</f>
        <v>#ERROR!</v>
      </c>
      <c r="L45" s="233"/>
    </row>
    <row r="46">
      <c r="A46" s="303"/>
      <c r="B46" s="235"/>
      <c r="C46" s="235"/>
      <c r="D46" s="235"/>
      <c r="E46" s="235"/>
      <c r="F46" s="235"/>
      <c r="G46" s="235"/>
      <c r="H46" s="235"/>
      <c r="I46" s="235"/>
      <c r="J46" s="283" t="str">
        <f>IFERROR(H46-F46,"")</f>
        <v>#ERROR!</v>
      </c>
      <c r="K46" s="283" t="str">
        <f>IFERROR(I46-G46,"")</f>
        <v>#ERROR!</v>
      </c>
      <c r="L46" s="240"/>
    </row>
    <row r="47">
      <c r="A47" s="301"/>
      <c r="B47" s="227"/>
      <c r="C47" s="227"/>
      <c r="D47" s="227"/>
      <c r="E47" s="227"/>
      <c r="F47" s="227"/>
      <c r="G47" s="227"/>
      <c r="H47" s="227"/>
      <c r="I47" s="227"/>
      <c r="J47" s="281" t="str">
        <f>IFERROR(H47-F47,"")</f>
        <v>#ERROR!</v>
      </c>
      <c r="K47" s="281" t="str">
        <f>IFERROR(I47-G47,"")</f>
        <v>#ERROR!</v>
      </c>
      <c r="L47" s="233"/>
    </row>
    <row r="48">
      <c r="A48" s="303"/>
      <c r="B48" s="235"/>
      <c r="C48" s="235"/>
      <c r="D48" s="235"/>
      <c r="E48" s="235"/>
      <c r="F48" s="235"/>
      <c r="G48" s="235"/>
      <c r="H48" s="235"/>
      <c r="I48" s="235"/>
      <c r="J48" s="283" t="str">
        <f>IFERROR(H48-F48,"")</f>
        <v>#ERROR!</v>
      </c>
      <c r="K48" s="283" t="str">
        <f>IFERROR(I48-G48,"")</f>
        <v>#ERROR!</v>
      </c>
      <c r="L48" s="240"/>
    </row>
    <row r="49">
      <c r="A49" s="301"/>
      <c r="B49" s="227"/>
      <c r="C49" s="227"/>
      <c r="D49" s="227"/>
      <c r="E49" s="227"/>
      <c r="F49" s="227"/>
      <c r="G49" s="227"/>
      <c r="H49" s="227"/>
      <c r="I49" s="227"/>
      <c r="J49" s="281" t="str">
        <f>IFERROR(H49-F49,"")</f>
        <v>#ERROR!</v>
      </c>
      <c r="K49" s="281" t="str">
        <f>IFERROR(I49-G49,"")</f>
        <v>#ERROR!</v>
      </c>
      <c r="L49" s="233"/>
    </row>
    <row r="50">
      <c r="A50" s="303"/>
      <c r="B50" s="235"/>
      <c r="C50" s="235"/>
      <c r="D50" s="235"/>
      <c r="E50" s="235"/>
      <c r="F50" s="235"/>
      <c r="G50" s="235"/>
      <c r="H50" s="235"/>
      <c r="I50" s="235"/>
      <c r="J50" s="283" t="str">
        <f>IFERROR(H50-F50,"")</f>
        <v>#ERROR!</v>
      </c>
      <c r="K50" s="283" t="str">
        <f>IFERROR(I50-G50,"")</f>
        <v>#ERROR!</v>
      </c>
      <c r="L50" s="240"/>
    </row>
    <row r="51">
      <c r="A51" s="301"/>
      <c r="B51" s="227"/>
      <c r="C51" s="227"/>
      <c r="D51" s="227"/>
      <c r="E51" s="227"/>
      <c r="F51" s="227"/>
      <c r="G51" s="227"/>
      <c r="H51" s="227"/>
      <c r="I51" s="227"/>
      <c r="J51" s="281" t="str">
        <f>IFERROR(H51-F51,"")</f>
        <v>#ERROR!</v>
      </c>
      <c r="K51" s="281" t="str">
        <f>IFERROR(I51-G51,"")</f>
        <v>#ERROR!</v>
      </c>
      <c r="L51" s="233"/>
    </row>
    <row r="52">
      <c r="A52" s="303"/>
      <c r="B52" s="235"/>
      <c r="C52" s="235"/>
      <c r="D52" s="235"/>
      <c r="E52" s="235"/>
      <c r="F52" s="235"/>
      <c r="G52" s="235"/>
      <c r="H52" s="235"/>
      <c r="I52" s="235"/>
      <c r="J52" s="283" t="str">
        <f>IFERROR(H52-F52,"")</f>
        <v>#ERROR!</v>
      </c>
      <c r="K52" s="283" t="str">
        <f>IFERROR(I52-G52,"")</f>
        <v>#ERROR!</v>
      </c>
      <c r="L52" s="240"/>
    </row>
    <row r="53">
      <c r="A53" s="301"/>
      <c r="B53" s="227"/>
      <c r="C53" s="227"/>
      <c r="D53" s="227"/>
      <c r="E53" s="227"/>
      <c r="F53" s="227"/>
      <c r="G53" s="227"/>
      <c r="H53" s="227"/>
      <c r="I53" s="227"/>
      <c r="J53" s="281" t="str">
        <f>IFERROR(H53-F53,"")</f>
        <v>#ERROR!</v>
      </c>
      <c r="K53" s="281" t="str">
        <f>IFERROR(I53-G53,"")</f>
        <v>#ERROR!</v>
      </c>
      <c r="L53" s="233"/>
    </row>
    <row r="54">
      <c r="A54" s="303"/>
      <c r="B54" s="235"/>
      <c r="C54" s="235"/>
      <c r="D54" s="235"/>
      <c r="E54" s="235"/>
      <c r="F54" s="235"/>
      <c r="G54" s="235"/>
      <c r="H54" s="235"/>
      <c r="I54" s="235"/>
      <c r="J54" s="283" t="str">
        <f>IFERROR(H54-F54,"")</f>
        <v>#ERROR!</v>
      </c>
      <c r="K54" s="283" t="str">
        <f>IFERROR(I54-G54,"")</f>
        <v>#ERROR!</v>
      </c>
      <c r="L54" s="240"/>
    </row>
    <row r="55">
      <c r="A55" s="301"/>
      <c r="B55" s="227"/>
      <c r="C55" s="227"/>
      <c r="D55" s="227"/>
      <c r="E55" s="227"/>
      <c r="F55" s="227"/>
      <c r="G55" s="227"/>
      <c r="H55" s="227"/>
      <c r="I55" s="227"/>
      <c r="J55" s="281" t="str">
        <f>IFERROR(H55-F55,"")</f>
        <v>#ERROR!</v>
      </c>
      <c r="K55" s="281" t="str">
        <f>IFERROR(I55-G55,"")</f>
        <v>#ERROR!</v>
      </c>
      <c r="L55" s="233"/>
    </row>
    <row r="56">
      <c r="A56" s="303"/>
      <c r="B56" s="235"/>
      <c r="C56" s="235"/>
      <c r="D56" s="235"/>
      <c r="E56" s="235"/>
      <c r="F56" s="235"/>
      <c r="G56" s="235"/>
      <c r="H56" s="235"/>
      <c r="I56" s="235"/>
      <c r="J56" s="283" t="str">
        <f>IFERROR(H56-F56,"")</f>
        <v>#ERROR!</v>
      </c>
      <c r="K56" s="283" t="str">
        <f>IFERROR(I56-G56,"")</f>
        <v>#ERROR!</v>
      </c>
      <c r="L56" s="240"/>
    </row>
    <row r="57">
      <c r="A57" s="301"/>
      <c r="B57" s="227"/>
      <c r="C57" s="227"/>
      <c r="D57" s="227"/>
      <c r="E57" s="227"/>
      <c r="F57" s="227"/>
      <c r="G57" s="227"/>
      <c r="H57" s="227"/>
      <c r="I57" s="227"/>
      <c r="J57" s="281" t="str">
        <f>IFERROR(H57-F57,"")</f>
        <v>#ERROR!</v>
      </c>
      <c r="K57" s="281" t="str">
        <f>IFERROR(I57-G57,"")</f>
        <v>#ERROR!</v>
      </c>
      <c r="L57" s="233"/>
    </row>
    <row r="58">
      <c r="A58" s="303"/>
      <c r="B58" s="235"/>
      <c r="C58" s="235"/>
      <c r="D58" s="235"/>
      <c r="E58" s="235"/>
      <c r="F58" s="235"/>
      <c r="G58" s="235"/>
      <c r="H58" s="235"/>
      <c r="I58" s="235"/>
      <c r="J58" s="283" t="str">
        <f>IFERROR(H58-F58,"")</f>
        <v>#ERROR!</v>
      </c>
      <c r="K58" s="283" t="str">
        <f>IFERROR(I58-G58,"")</f>
        <v>#ERROR!</v>
      </c>
      <c r="L58" s="240"/>
    </row>
    <row r="59">
      <c r="A59" s="301"/>
      <c r="B59" s="227"/>
      <c r="C59" s="227"/>
      <c r="D59" s="227"/>
      <c r="E59" s="227"/>
      <c r="F59" s="227"/>
      <c r="G59" s="227"/>
      <c r="H59" s="227"/>
      <c r="I59" s="227"/>
      <c r="J59" s="281" t="str">
        <f>IFERROR(H59-F59,"")</f>
        <v>#ERROR!</v>
      </c>
      <c r="K59" s="281" t="str">
        <f>IFERROR(I59-G59,"")</f>
        <v>#ERROR!</v>
      </c>
      <c r="L59" s="233"/>
    </row>
    <row r="60">
      <c r="A60" s="303"/>
      <c r="B60" s="235"/>
      <c r="C60" s="235"/>
      <c r="D60" s="235"/>
      <c r="E60" s="235"/>
      <c r="F60" s="235"/>
      <c r="G60" s="235"/>
      <c r="H60" s="235"/>
      <c r="I60" s="235"/>
      <c r="J60" s="283" t="str">
        <f>IFERROR(H60-F60,"")</f>
        <v>#ERROR!</v>
      </c>
      <c r="K60" s="283" t="str">
        <f>IFERROR(I60-G60,"")</f>
        <v>#ERROR!</v>
      </c>
      <c r="L60" s="240"/>
    </row>
    <row r="61">
      <c r="A61" s="301"/>
      <c r="B61" s="227"/>
      <c r="C61" s="227"/>
      <c r="D61" s="227"/>
      <c r="E61" s="227"/>
      <c r="F61" s="227"/>
      <c r="G61" s="227"/>
      <c r="H61" s="227"/>
      <c r="I61" s="227"/>
      <c r="J61" s="281" t="str">
        <f>IFERROR(H61-F61,"")</f>
        <v>#ERROR!</v>
      </c>
      <c r="K61" s="281" t="str">
        <f>IFERROR(I61-G61,"")</f>
        <v>#ERROR!</v>
      </c>
      <c r="L61" s="233"/>
    </row>
    <row r="62">
      <c r="A62" s="303"/>
      <c r="B62" s="235"/>
      <c r="C62" s="235"/>
      <c r="D62" s="235"/>
      <c r="E62" s="235"/>
      <c r="F62" s="235"/>
      <c r="G62" s="235"/>
      <c r="H62" s="235"/>
      <c r="I62" s="235"/>
      <c r="J62" s="283" t="str">
        <f>IFERROR(H62-F62,"")</f>
        <v>#ERROR!</v>
      </c>
      <c r="K62" s="283" t="str">
        <f>IFERROR(I62-G62,"")</f>
        <v>#ERROR!</v>
      </c>
      <c r="L62" s="240"/>
    </row>
    <row r="63">
      <c r="A63" s="301"/>
      <c r="B63" s="227"/>
      <c r="C63" s="227"/>
      <c r="D63" s="227"/>
      <c r="E63" s="227"/>
      <c r="F63" s="227"/>
      <c r="G63" s="227"/>
      <c r="H63" s="227"/>
      <c r="I63" s="227"/>
      <c r="J63" s="281" t="str">
        <f>IFERROR(H63-F63,"")</f>
        <v>#ERROR!</v>
      </c>
      <c r="K63" s="281" t="str">
        <f>IFERROR(I63-G63,"")</f>
        <v>#ERROR!</v>
      </c>
      <c r="L63" s="233"/>
    </row>
    <row r="64">
      <c r="A64" s="303"/>
      <c r="B64" s="235"/>
      <c r="C64" s="235"/>
      <c r="D64" s="235"/>
      <c r="E64" s="235"/>
      <c r="F64" s="235"/>
      <c r="G64" s="235"/>
      <c r="H64" s="235"/>
      <c r="I64" s="235"/>
      <c r="J64" s="283" t="str">
        <f>IFERROR(H64-F64,"")</f>
        <v>#ERROR!</v>
      </c>
      <c r="K64" s="283" t="str">
        <f>IFERROR(I64-G64,"")</f>
        <v>#ERROR!</v>
      </c>
      <c r="L64" s="240"/>
    </row>
    <row r="65">
      <c r="A65" s="301"/>
      <c r="B65" s="227"/>
      <c r="C65" s="227"/>
      <c r="D65" s="227"/>
      <c r="E65" s="227"/>
      <c r="F65" s="227"/>
      <c r="G65" s="227"/>
      <c r="H65" s="227"/>
      <c r="I65" s="227"/>
      <c r="J65" s="281" t="str">
        <f>IFERROR(H65-F65,"")</f>
        <v>#ERROR!</v>
      </c>
      <c r="K65" s="281" t="str">
        <f>IFERROR(I65-G65,"")</f>
        <v>#ERROR!</v>
      </c>
      <c r="L65" s="233"/>
    </row>
    <row r="66">
      <c r="A66" s="303"/>
      <c r="B66" s="235"/>
      <c r="C66" s="235"/>
      <c r="D66" s="235"/>
      <c r="E66" s="235"/>
      <c r="F66" s="235"/>
      <c r="G66" s="235"/>
      <c r="H66" s="235"/>
      <c r="I66" s="235"/>
      <c r="J66" s="283" t="str">
        <f>IFERROR(H66-F66,"")</f>
        <v>#ERROR!</v>
      </c>
      <c r="K66" s="283" t="str">
        <f>IFERROR(I66-G66,"")</f>
        <v>#ERROR!</v>
      </c>
      <c r="L66" s="240"/>
    </row>
    <row r="67">
      <c r="A67" s="301"/>
      <c r="B67" s="227"/>
      <c r="C67" s="227"/>
      <c r="D67" s="227"/>
      <c r="E67" s="227"/>
      <c r="F67" s="227"/>
      <c r="G67" s="227"/>
      <c r="H67" s="227"/>
      <c r="I67" s="227"/>
      <c r="J67" s="281" t="str">
        <f>IFERROR(H67-F67,"")</f>
        <v>#ERROR!</v>
      </c>
      <c r="K67" s="281" t="str">
        <f>IFERROR(I67-G67,"")</f>
        <v>#ERROR!</v>
      </c>
      <c r="L67" s="233"/>
    </row>
    <row r="68">
      <c r="A68" s="303"/>
      <c r="B68" s="235"/>
      <c r="C68" s="235"/>
      <c r="D68" s="235"/>
      <c r="E68" s="235"/>
      <c r="F68" s="235"/>
      <c r="G68" s="235"/>
      <c r="H68" s="235"/>
      <c r="I68" s="235"/>
      <c r="J68" s="283" t="str">
        <f>IFERROR(H68-F68,"")</f>
        <v>#ERROR!</v>
      </c>
      <c r="K68" s="283" t="str">
        <f>IFERROR(I68-G68,"")</f>
        <v>#ERROR!</v>
      </c>
      <c r="L68" s="240"/>
    </row>
    <row r="69">
      <c r="A69" s="301"/>
      <c r="B69" s="227"/>
      <c r="C69" s="227"/>
      <c r="D69" s="227"/>
      <c r="E69" s="227"/>
      <c r="F69" s="227"/>
      <c r="G69" s="227"/>
      <c r="H69" s="227"/>
      <c r="I69" s="227"/>
      <c r="J69" s="281" t="str">
        <f>IFERROR(H69-F69,"")</f>
        <v>#ERROR!</v>
      </c>
      <c r="K69" s="281" t="str">
        <f>IFERROR(I69-G69,"")</f>
        <v>#ERROR!</v>
      </c>
      <c r="L69" s="233"/>
    </row>
    <row r="70">
      <c r="A70" s="303"/>
      <c r="B70" s="235"/>
      <c r="C70" s="235"/>
      <c r="D70" s="235"/>
      <c r="E70" s="235"/>
      <c r="F70" s="235"/>
      <c r="G70" s="235"/>
      <c r="H70" s="235"/>
      <c r="I70" s="235"/>
      <c r="J70" s="283" t="str">
        <f>IFERROR(H70-F70,"")</f>
        <v>#ERROR!</v>
      </c>
      <c r="K70" s="283" t="str">
        <f>IFERROR(I70-G70,"")</f>
        <v>#ERROR!</v>
      </c>
      <c r="L70" s="240"/>
    </row>
    <row r="71">
      <c r="A71" s="301"/>
      <c r="B71" s="227"/>
      <c r="C71" s="227"/>
      <c r="D71" s="227"/>
      <c r="E71" s="227"/>
      <c r="F71" s="227"/>
      <c r="G71" s="227"/>
      <c r="H71" s="227"/>
      <c r="I71" s="227"/>
      <c r="J71" s="281" t="str">
        <f>IFERROR(H71-F71,"")</f>
        <v>#ERROR!</v>
      </c>
      <c r="K71" s="281" t="str">
        <f>IFERROR(I71-G71,"")</f>
        <v>#ERROR!</v>
      </c>
      <c r="L71" s="233"/>
    </row>
    <row r="72">
      <c r="A72" s="303"/>
      <c r="B72" s="235"/>
      <c r="C72" s="235"/>
      <c r="D72" s="235"/>
      <c r="E72" s="235"/>
      <c r="F72" s="235"/>
      <c r="G72" s="235"/>
      <c r="H72" s="235"/>
      <c r="I72" s="235"/>
      <c r="J72" s="283" t="str">
        <f>IFERROR(H72-F72,"")</f>
        <v>#ERROR!</v>
      </c>
      <c r="K72" s="283" t="str">
        <f>IFERROR(I72-G72,"")</f>
        <v>#ERROR!</v>
      </c>
      <c r="L72" s="240"/>
    </row>
    <row r="73">
      <c r="A73" s="301"/>
      <c r="B73" s="227"/>
      <c r="C73" s="227"/>
      <c r="D73" s="227"/>
      <c r="E73" s="227"/>
      <c r="F73" s="227"/>
      <c r="G73" s="227"/>
      <c r="H73" s="227"/>
      <c r="I73" s="227"/>
      <c r="J73" s="281" t="str">
        <f>IFERROR(H73-F73,"")</f>
        <v>#ERROR!</v>
      </c>
      <c r="K73" s="281" t="str">
        <f>IFERROR(I73-G73,"")</f>
        <v>#ERROR!</v>
      </c>
      <c r="L73" s="233"/>
    </row>
    <row r="74">
      <c r="A74" s="303"/>
      <c r="B74" s="235"/>
      <c r="C74" s="235"/>
      <c r="D74" s="235"/>
      <c r="E74" s="235"/>
      <c r="F74" s="235"/>
      <c r="G74" s="235"/>
      <c r="H74" s="235"/>
      <c r="I74" s="235"/>
      <c r="J74" s="283" t="str">
        <f>IFERROR(H74-F74,"")</f>
        <v>#ERROR!</v>
      </c>
      <c r="K74" s="283" t="str">
        <f>IFERROR(I74-G74,"")</f>
        <v>#ERROR!</v>
      </c>
      <c r="L74" s="240"/>
    </row>
    <row r="75">
      <c r="A75" s="301"/>
      <c r="B75" s="227"/>
      <c r="C75" s="227"/>
      <c r="D75" s="227"/>
      <c r="E75" s="227"/>
      <c r="F75" s="227"/>
      <c r="G75" s="227"/>
      <c r="H75" s="227"/>
      <c r="I75" s="227"/>
      <c r="J75" s="281" t="str">
        <f>IFERROR(H75-F75,"")</f>
        <v>#ERROR!</v>
      </c>
      <c r="K75" s="281" t="str">
        <f>IFERROR(I75-G75,"")</f>
        <v>#ERROR!</v>
      </c>
      <c r="L75" s="233"/>
    </row>
    <row r="76">
      <c r="A76" s="303"/>
      <c r="B76" s="235"/>
      <c r="C76" s="235"/>
      <c r="D76" s="235"/>
      <c r="E76" s="235"/>
      <c r="F76" s="235"/>
      <c r="G76" s="235"/>
      <c r="H76" s="235"/>
      <c r="I76" s="235"/>
      <c r="J76" s="283" t="str">
        <f>IFERROR(H76-F76,"")</f>
        <v>#ERROR!</v>
      </c>
      <c r="K76" s="283" t="str">
        <f>IFERROR(I76-G76,"")</f>
        <v>#ERROR!</v>
      </c>
      <c r="L76" s="240"/>
    </row>
    <row r="77">
      <c r="A77" s="301"/>
      <c r="B77" s="227"/>
      <c r="C77" s="227"/>
      <c r="D77" s="227"/>
      <c r="E77" s="227"/>
      <c r="F77" s="227"/>
      <c r="G77" s="227"/>
      <c r="H77" s="227"/>
      <c r="I77" s="227"/>
      <c r="J77" s="281" t="str">
        <f>IFERROR(H77-F77,"")</f>
        <v>#ERROR!</v>
      </c>
      <c r="K77" s="281" t="str">
        <f>IFERROR(I77-G77,"")</f>
        <v>#ERROR!</v>
      </c>
      <c r="L77" s="233"/>
    </row>
    <row r="78">
      <c r="A78" s="303"/>
      <c r="B78" s="235"/>
      <c r="C78" s="235"/>
      <c r="D78" s="235"/>
      <c r="E78" s="235"/>
      <c r="F78" s="235"/>
      <c r="G78" s="235"/>
      <c r="H78" s="235"/>
      <c r="I78" s="235"/>
      <c r="J78" s="283" t="str">
        <f>IFERROR(H78-F78,"")</f>
        <v>#ERROR!</v>
      </c>
      <c r="K78" s="283" t="str">
        <f>IFERROR(I78-G78,"")</f>
        <v>#ERROR!</v>
      </c>
      <c r="L78" s="240"/>
    </row>
    <row r="79">
      <c r="A79" s="301"/>
      <c r="B79" s="227"/>
      <c r="C79" s="227"/>
      <c r="D79" s="227"/>
      <c r="E79" s="227"/>
      <c r="F79" s="227"/>
      <c r="G79" s="227"/>
      <c r="H79" s="227"/>
      <c r="I79" s="227"/>
      <c r="J79" s="281" t="str">
        <f>IFERROR(H79-F79,"")</f>
        <v>#ERROR!</v>
      </c>
      <c r="K79" s="281" t="str">
        <f>IFERROR(I79-G79,"")</f>
        <v>#ERROR!</v>
      </c>
      <c r="L79" s="233"/>
    </row>
    <row r="80">
      <c r="A80" s="303"/>
      <c r="B80" s="235"/>
      <c r="C80" s="235"/>
      <c r="D80" s="235"/>
      <c r="E80" s="235"/>
      <c r="F80" s="235"/>
      <c r="G80" s="235"/>
      <c r="H80" s="235"/>
      <c r="I80" s="235"/>
      <c r="J80" s="283" t="str">
        <f>IFERROR(H80-F80,"")</f>
        <v>#ERROR!</v>
      </c>
      <c r="K80" s="283" t="str">
        <f>IFERROR(I80-G80,"")</f>
        <v>#ERROR!</v>
      </c>
      <c r="L80" s="240"/>
    </row>
    <row r="81">
      <c r="A81" s="301"/>
      <c r="B81" s="227"/>
      <c r="C81" s="227"/>
      <c r="D81" s="227"/>
      <c r="E81" s="227"/>
      <c r="F81" s="227"/>
      <c r="G81" s="227"/>
      <c r="H81" s="227"/>
      <c r="I81" s="227"/>
      <c r="J81" s="281" t="str">
        <f>IFERROR(H81-F81,"")</f>
        <v>#ERROR!</v>
      </c>
      <c r="K81" s="281" t="str">
        <f>IFERROR(I81-G81,"")</f>
        <v>#ERROR!</v>
      </c>
      <c r="L81" s="233"/>
    </row>
    <row r="82">
      <c r="A82" s="303"/>
      <c r="B82" s="235"/>
      <c r="C82" s="235"/>
      <c r="D82" s="235"/>
      <c r="E82" s="235"/>
      <c r="F82" s="235"/>
      <c r="G82" s="235"/>
      <c r="H82" s="235"/>
      <c r="I82" s="235"/>
      <c r="J82" s="283" t="str">
        <f>IFERROR(H82-F82,"")</f>
        <v>#ERROR!</v>
      </c>
      <c r="K82" s="283" t="str">
        <f>IFERROR(I82-G82,"")</f>
        <v>#ERROR!</v>
      </c>
      <c r="L82" s="240"/>
    </row>
    <row r="83">
      <c r="A83" s="301"/>
      <c r="B83" s="227"/>
      <c r="C83" s="227"/>
      <c r="D83" s="227"/>
      <c r="E83" s="227"/>
      <c r="F83" s="227"/>
      <c r="G83" s="227"/>
      <c r="H83" s="227"/>
      <c r="I83" s="227"/>
      <c r="J83" s="281" t="str">
        <f>IFERROR(H83-F83,"")</f>
        <v>#ERROR!</v>
      </c>
      <c r="K83" s="281" t="str">
        <f>IFERROR(I83-G83,"")</f>
        <v>#ERROR!</v>
      </c>
      <c r="L83" s="233"/>
    </row>
    <row r="84">
      <c r="A84" s="303"/>
      <c r="B84" s="235"/>
      <c r="C84" s="235"/>
      <c r="D84" s="235"/>
      <c r="E84" s="235"/>
      <c r="F84" s="235"/>
      <c r="G84" s="235"/>
      <c r="H84" s="235"/>
      <c r="I84" s="235"/>
      <c r="J84" s="283" t="str">
        <f>IFERROR(H84-F84,"")</f>
        <v>#ERROR!</v>
      </c>
      <c r="K84" s="283" t="str">
        <f>IFERROR(I84-G84,"")</f>
        <v>#ERROR!</v>
      </c>
      <c r="L84" s="240"/>
    </row>
    <row r="85">
      <c r="A85" s="301"/>
      <c r="B85" s="227"/>
      <c r="C85" s="227"/>
      <c r="D85" s="227"/>
      <c r="E85" s="227"/>
      <c r="F85" s="227"/>
      <c r="G85" s="227"/>
      <c r="H85" s="227"/>
      <c r="I85" s="227"/>
      <c r="J85" s="281" t="str">
        <f>IFERROR(H85-F85,"")</f>
        <v>#ERROR!</v>
      </c>
      <c r="K85" s="281" t="str">
        <f>IFERROR(I85-G85,"")</f>
        <v>#ERROR!</v>
      </c>
      <c r="L85" s="233"/>
    </row>
    <row r="86">
      <c r="A86" s="303"/>
      <c r="B86" s="235"/>
      <c r="C86" s="235"/>
      <c r="D86" s="235"/>
      <c r="E86" s="235"/>
      <c r="F86" s="235"/>
      <c r="G86" s="235"/>
      <c r="H86" s="235"/>
      <c r="I86" s="235"/>
      <c r="J86" s="283" t="str">
        <f>IFERROR(H86-F86,"")</f>
        <v>#ERROR!</v>
      </c>
      <c r="K86" s="283" t="str">
        <f>IFERROR(I86-G86,"")</f>
        <v>#ERROR!</v>
      </c>
      <c r="L86" s="240"/>
    </row>
    <row r="87">
      <c r="A87" s="301"/>
      <c r="B87" s="227"/>
      <c r="C87" s="227"/>
      <c r="D87" s="227"/>
      <c r="E87" s="227"/>
      <c r="F87" s="227"/>
      <c r="G87" s="227"/>
      <c r="H87" s="227"/>
      <c r="I87" s="227"/>
      <c r="J87" s="281" t="str">
        <f>IFERROR(H87-F87,"")</f>
        <v>#ERROR!</v>
      </c>
      <c r="K87" s="281" t="str">
        <f>IFERROR(I87-G87,"")</f>
        <v>#ERROR!</v>
      </c>
      <c r="L87" s="233"/>
    </row>
    <row r="88">
      <c r="A88" s="303"/>
      <c r="B88" s="235"/>
      <c r="C88" s="235"/>
      <c r="D88" s="235"/>
      <c r="E88" s="235"/>
      <c r="F88" s="235"/>
      <c r="G88" s="235"/>
      <c r="H88" s="235"/>
      <c r="I88" s="235"/>
      <c r="J88" s="283" t="str">
        <f>IFERROR(H88-F88,"")</f>
        <v>#ERROR!</v>
      </c>
      <c r="K88" s="283" t="str">
        <f>IFERROR(I88-G88,"")</f>
        <v>#ERROR!</v>
      </c>
      <c r="L88" s="240"/>
    </row>
    <row r="89">
      <c r="A89" s="301"/>
      <c r="B89" s="227"/>
      <c r="C89" s="227"/>
      <c r="D89" s="227"/>
      <c r="E89" s="227"/>
      <c r="F89" s="227"/>
      <c r="G89" s="227"/>
      <c r="H89" s="227"/>
      <c r="I89" s="227"/>
      <c r="J89" s="281" t="str">
        <f>IFERROR(H89-F89,"")</f>
        <v>#ERROR!</v>
      </c>
      <c r="K89" s="281" t="str">
        <f>IFERROR(I89-G89,"")</f>
        <v>#ERROR!</v>
      </c>
      <c r="L89" s="233"/>
    </row>
    <row r="90">
      <c r="A90" s="303"/>
      <c r="B90" s="235"/>
      <c r="C90" s="235"/>
      <c r="D90" s="235"/>
      <c r="E90" s="235"/>
      <c r="F90" s="235"/>
      <c r="G90" s="235"/>
      <c r="H90" s="235"/>
      <c r="I90" s="235"/>
      <c r="J90" s="283" t="str">
        <f>IFERROR(H90-F90,"")</f>
        <v>#ERROR!</v>
      </c>
      <c r="K90" s="283" t="str">
        <f>IFERROR(I90-G90,"")</f>
        <v>#ERROR!</v>
      </c>
      <c r="L90" s="240"/>
    </row>
    <row r="91">
      <c r="A91" s="301"/>
      <c r="B91" s="227"/>
      <c r="C91" s="227"/>
      <c r="D91" s="227"/>
      <c r="E91" s="227"/>
      <c r="F91" s="227"/>
      <c r="G91" s="227"/>
      <c r="H91" s="227"/>
      <c r="I91" s="227"/>
      <c r="J91" s="281" t="str">
        <f>IFERROR(H91-F91,"")</f>
        <v>#ERROR!</v>
      </c>
      <c r="K91" s="281" t="str">
        <f>IFERROR(I91-G91,"")</f>
        <v>#ERROR!</v>
      </c>
      <c r="L91" s="233"/>
    </row>
    <row r="92">
      <c r="A92" s="303"/>
      <c r="B92" s="235"/>
      <c r="C92" s="235"/>
      <c r="D92" s="235"/>
      <c r="E92" s="235"/>
      <c r="F92" s="235"/>
      <c r="G92" s="235"/>
      <c r="H92" s="235"/>
      <c r="I92" s="235"/>
      <c r="J92" s="283" t="str">
        <f>IFERROR(H92-F92,"")</f>
        <v>#ERROR!</v>
      </c>
      <c r="K92" s="283" t="str">
        <f>IFERROR(I92-G92,"")</f>
        <v>#ERROR!</v>
      </c>
      <c r="L92" s="240"/>
    </row>
    <row r="93">
      <c r="A93" s="301"/>
      <c r="B93" s="227"/>
      <c r="C93" s="227"/>
      <c r="D93" s="227"/>
      <c r="E93" s="227"/>
      <c r="F93" s="227"/>
      <c r="G93" s="227"/>
      <c r="H93" s="227"/>
      <c r="I93" s="227"/>
      <c r="J93" s="281" t="str">
        <f>IFERROR(H93-F93,"")</f>
        <v>#ERROR!</v>
      </c>
      <c r="K93" s="281" t="str">
        <f>IFERROR(I93-G93,"")</f>
        <v>#ERROR!</v>
      </c>
      <c r="L93" s="233"/>
    </row>
    <row r="94">
      <c r="A94" s="303"/>
      <c r="B94" s="235"/>
      <c r="C94" s="235"/>
      <c r="D94" s="235"/>
      <c r="E94" s="235"/>
      <c r="F94" s="235"/>
      <c r="G94" s="235"/>
      <c r="H94" s="235"/>
      <c r="I94" s="235"/>
      <c r="J94" s="283" t="str">
        <f>IFERROR(H94-F94,"")</f>
        <v>#ERROR!</v>
      </c>
      <c r="K94" s="283" t="str">
        <f>IFERROR(I94-G94,"")</f>
        <v>#ERROR!</v>
      </c>
      <c r="L94" s="240"/>
    </row>
    <row r="95">
      <c r="A95" s="301"/>
      <c r="B95" s="227"/>
      <c r="C95" s="227"/>
      <c r="D95" s="227"/>
      <c r="E95" s="227"/>
      <c r="F95" s="227"/>
      <c r="G95" s="227"/>
      <c r="H95" s="227"/>
      <c r="I95" s="227"/>
      <c r="J95" s="281" t="str">
        <f>IFERROR(H95-F95,"")</f>
        <v>#ERROR!</v>
      </c>
      <c r="K95" s="281" t="str">
        <f>IFERROR(I95-G95,"")</f>
        <v>#ERROR!</v>
      </c>
      <c r="L95" s="233"/>
    </row>
    <row r="96">
      <c r="A96" s="303"/>
      <c r="B96" s="235"/>
      <c r="C96" s="235"/>
      <c r="D96" s="235"/>
      <c r="E96" s="235"/>
      <c r="F96" s="235"/>
      <c r="G96" s="235"/>
      <c r="H96" s="235"/>
      <c r="I96" s="235"/>
      <c r="J96" s="283" t="str">
        <f>IFERROR(H96-F96,"")</f>
        <v>#ERROR!</v>
      </c>
      <c r="K96" s="283" t="str">
        <f>IFERROR(I96-G96,"")</f>
        <v>#ERROR!</v>
      </c>
      <c r="L96" s="240"/>
    </row>
    <row r="97">
      <c r="A97" s="301"/>
      <c r="B97" s="227"/>
      <c r="C97" s="227"/>
      <c r="D97" s="227"/>
      <c r="E97" s="227"/>
      <c r="F97" s="227"/>
      <c r="G97" s="227"/>
      <c r="H97" s="227"/>
      <c r="I97" s="227"/>
      <c r="J97" s="281" t="str">
        <f>IFERROR(H97-F97,"")</f>
        <v>#ERROR!</v>
      </c>
      <c r="K97" s="281" t="str">
        <f>IFERROR(I97-G97,"")</f>
        <v>#ERROR!</v>
      </c>
      <c r="L97" s="233"/>
    </row>
    <row r="98">
      <c r="A98" s="303"/>
      <c r="B98" s="235"/>
      <c r="C98" s="235"/>
      <c r="D98" s="235"/>
      <c r="E98" s="235"/>
      <c r="F98" s="235"/>
      <c r="G98" s="235"/>
      <c r="H98" s="235"/>
      <c r="I98" s="235"/>
      <c r="J98" s="283" t="str">
        <f>IFERROR(H98-F98,"")</f>
        <v>#ERROR!</v>
      </c>
      <c r="K98" s="283" t="str">
        <f>IFERROR(I98-G98,"")</f>
        <v>#ERROR!</v>
      </c>
      <c r="L98" s="240"/>
    </row>
    <row r="99">
      <c r="A99" s="301"/>
      <c r="B99" s="227"/>
      <c r="C99" s="227"/>
      <c r="D99" s="227"/>
      <c r="E99" s="227"/>
      <c r="F99" s="227"/>
      <c r="G99" s="227"/>
      <c r="H99" s="227"/>
      <c r="I99" s="227"/>
      <c r="J99" s="281" t="str">
        <f>IFERROR(H99-F99,"")</f>
        <v>#ERROR!</v>
      </c>
      <c r="K99" s="281" t="str">
        <f>IFERROR(I99-G99,"")</f>
        <v>#ERROR!</v>
      </c>
      <c r="L99" s="233"/>
    </row>
    <row r="100">
      <c r="A100" s="303"/>
      <c r="B100" s="235"/>
      <c r="C100" s="235"/>
      <c r="D100" s="235"/>
      <c r="E100" s="235"/>
      <c r="F100" s="235"/>
      <c r="G100" s="235"/>
      <c r="H100" s="235"/>
      <c r="I100" s="235"/>
      <c r="J100" s="283" t="str">
        <f>IFERROR(H100-F100,"")</f>
        <v>#ERROR!</v>
      </c>
      <c r="K100" s="283" t="str">
        <f>IFERROR(I100-G100,"")</f>
        <v>#ERROR!</v>
      </c>
      <c r="L100" s="240"/>
    </row>
    <row r="101">
      <c r="A101" s="301"/>
      <c r="B101" s="227"/>
      <c r="C101" s="227"/>
      <c r="D101" s="227"/>
      <c r="E101" s="227"/>
      <c r="F101" s="227"/>
      <c r="G101" s="227"/>
      <c r="H101" s="227"/>
      <c r="I101" s="227"/>
      <c r="J101" s="281" t="str">
        <f>IFERROR(H101-F101,"")</f>
        <v>#ERROR!</v>
      </c>
      <c r="K101" s="281" t="str">
        <f>IFERROR(I101-G101,"")</f>
        <v>#ERROR!</v>
      </c>
      <c r="L101" s="233"/>
    </row>
    <row r="102">
      <c r="A102" s="303"/>
      <c r="B102" s="235"/>
      <c r="C102" s="235"/>
      <c r="D102" s="235"/>
      <c r="E102" s="235"/>
      <c r="F102" s="235"/>
      <c r="G102" s="235"/>
      <c r="H102" s="235"/>
      <c r="I102" s="235"/>
      <c r="J102" s="283" t="str">
        <f>IFERROR(H102-F102,"")</f>
        <v>#ERROR!</v>
      </c>
      <c r="K102" s="283" t="str">
        <f>IFERROR(I102-G102,"")</f>
        <v>#ERROR!</v>
      </c>
      <c r="L102" s="240"/>
    </row>
    <row r="103">
      <c r="A103" s="301"/>
      <c r="B103" s="227"/>
      <c r="C103" s="227"/>
      <c r="D103" s="227"/>
      <c r="E103" s="227"/>
      <c r="F103" s="227"/>
      <c r="G103" s="227"/>
      <c r="H103" s="227"/>
      <c r="I103" s="227"/>
      <c r="J103" s="281" t="str">
        <f>IFERROR(H103-F103,"")</f>
        <v>#ERROR!</v>
      </c>
      <c r="K103" s="281" t="str">
        <f>IFERROR(I103-G103,"")</f>
        <v>#ERROR!</v>
      </c>
      <c r="L103" s="233"/>
    </row>
    <row r="104">
      <c r="A104" s="303"/>
      <c r="B104" s="235"/>
      <c r="C104" s="235"/>
      <c r="D104" s="235"/>
      <c r="E104" s="235"/>
      <c r="F104" s="235"/>
      <c r="G104" s="235"/>
      <c r="H104" s="235"/>
      <c r="I104" s="235"/>
      <c r="J104" s="283" t="str">
        <f>IFERROR(H104-F104,"")</f>
        <v>#ERROR!</v>
      </c>
      <c r="K104" s="283" t="str">
        <f>IFERROR(I104-G104,"")</f>
        <v>#ERROR!</v>
      </c>
      <c r="L104" s="240"/>
    </row>
    <row r="105">
      <c r="A105" s="301"/>
      <c r="B105" s="227"/>
      <c r="C105" s="227"/>
      <c r="D105" s="227"/>
      <c r="E105" s="227"/>
      <c r="F105" s="227"/>
      <c r="G105" s="227"/>
      <c r="H105" s="227"/>
      <c r="I105" s="227"/>
      <c r="J105" s="281" t="str">
        <f>IFERROR(H105-F105,"")</f>
        <v>#ERROR!</v>
      </c>
      <c r="K105" s="281" t="str">
        <f>IFERROR(I105-G105,"")</f>
        <v>#ERROR!</v>
      </c>
      <c r="L105" s="233"/>
    </row>
    <row r="106">
      <c r="A106" s="303"/>
      <c r="B106" s="235"/>
      <c r="C106" s="235"/>
      <c r="D106" s="235"/>
      <c r="E106" s="235"/>
      <c r="F106" s="235"/>
      <c r="G106" s="235"/>
      <c r="H106" s="235"/>
      <c r="I106" s="235"/>
      <c r="J106" s="283" t="str">
        <f>IFERROR(H106-F106,"")</f>
        <v>#ERROR!</v>
      </c>
      <c r="K106" s="283" t="str">
        <f>IFERROR(I106-G106,"")</f>
        <v>#ERROR!</v>
      </c>
      <c r="L106" s="240"/>
    </row>
    <row r="107">
      <c r="A107" s="301"/>
      <c r="B107" s="227"/>
      <c r="C107" s="227"/>
      <c r="D107" s="227"/>
      <c r="E107" s="227"/>
      <c r="F107" s="227"/>
      <c r="G107" s="227"/>
      <c r="H107" s="227"/>
      <c r="I107" s="227"/>
      <c r="J107" s="281" t="str">
        <f>IFERROR(H107-F107,"")</f>
        <v>#ERROR!</v>
      </c>
      <c r="K107" s="281" t="str">
        <f>IFERROR(I107-G107,"")</f>
        <v>#ERROR!</v>
      </c>
      <c r="L107" s="233"/>
    </row>
    <row r="108">
      <c r="A108" s="303"/>
      <c r="B108" s="235"/>
      <c r="C108" s="235"/>
      <c r="D108" s="235"/>
      <c r="E108" s="235"/>
      <c r="F108" s="235"/>
      <c r="G108" s="235"/>
      <c r="H108" s="235"/>
      <c r="I108" s="235"/>
      <c r="J108" s="283" t="str">
        <f>IFERROR(H108-F108,"")</f>
        <v>#ERROR!</v>
      </c>
      <c r="K108" s="283" t="str">
        <f>IFERROR(I108-G108,"")</f>
        <v>#ERROR!</v>
      </c>
      <c r="L108" s="240"/>
    </row>
    <row r="109">
      <c r="A109" s="301"/>
      <c r="B109" s="227"/>
      <c r="C109" s="227"/>
      <c r="D109" s="227"/>
      <c r="E109" s="227"/>
      <c r="F109" s="227"/>
      <c r="G109" s="227"/>
      <c r="H109" s="227"/>
      <c r="I109" s="227"/>
      <c r="J109" s="281" t="str">
        <f>IFERROR(H109-F109,"")</f>
        <v>#ERROR!</v>
      </c>
      <c r="K109" s="281" t="str">
        <f>IFERROR(I109-G109,"")</f>
        <v>#ERROR!</v>
      </c>
      <c r="L109" s="233"/>
    </row>
    <row r="110">
      <c r="A110" s="303"/>
      <c r="B110" s="235"/>
      <c r="C110" s="235"/>
      <c r="D110" s="235"/>
      <c r="E110" s="235"/>
      <c r="F110" s="235"/>
      <c r="G110" s="235"/>
      <c r="H110" s="235"/>
      <c r="I110" s="235"/>
      <c r="J110" s="283" t="str">
        <f>IFERROR(H110-F110,"")</f>
        <v>#ERROR!</v>
      </c>
      <c r="K110" s="283" t="str">
        <f>IFERROR(I110-G110,"")</f>
        <v>#ERROR!</v>
      </c>
      <c r="L110" s="240"/>
    </row>
    <row r="111">
      <c r="A111" s="301"/>
      <c r="B111" s="227"/>
      <c r="C111" s="227"/>
      <c r="D111" s="227"/>
      <c r="E111" s="227"/>
      <c r="F111" s="227"/>
      <c r="G111" s="227"/>
      <c r="H111" s="227"/>
      <c r="I111" s="227"/>
      <c r="J111" s="281" t="str">
        <f>IFERROR(H111-F111,"")</f>
        <v>#ERROR!</v>
      </c>
      <c r="K111" s="281" t="str">
        <f>IFERROR(I111-G111,"")</f>
        <v>#ERROR!</v>
      </c>
      <c r="L111" s="233"/>
    </row>
    <row r="112">
      <c r="A112" s="303"/>
      <c r="B112" s="235"/>
      <c r="C112" s="235"/>
      <c r="D112" s="235"/>
      <c r="E112" s="235"/>
      <c r="F112" s="235"/>
      <c r="G112" s="235"/>
      <c r="H112" s="235"/>
      <c r="I112" s="235"/>
      <c r="J112" s="283" t="str">
        <f>IFERROR(H112-F112,"")</f>
        <v>#ERROR!</v>
      </c>
      <c r="K112" s="283" t="str">
        <f>IFERROR(I112-G112,"")</f>
        <v>#ERROR!</v>
      </c>
      <c r="L112" s="240"/>
    </row>
    <row r="113">
      <c r="A113" s="301"/>
      <c r="B113" s="227"/>
      <c r="C113" s="227"/>
      <c r="D113" s="227"/>
      <c r="E113" s="227"/>
      <c r="F113" s="227"/>
      <c r="G113" s="227"/>
      <c r="H113" s="227"/>
      <c r="I113" s="227"/>
      <c r="J113" s="281" t="str">
        <f>IFERROR(H113-F113,"")</f>
        <v>#ERROR!</v>
      </c>
      <c r="K113" s="281" t="str">
        <f>IFERROR(I113-G113,"")</f>
        <v>#ERROR!</v>
      </c>
      <c r="L113" s="233"/>
    </row>
    <row r="114">
      <c r="A114" s="303"/>
      <c r="B114" s="235"/>
      <c r="C114" s="235"/>
      <c r="D114" s="235"/>
      <c r="E114" s="235"/>
      <c r="F114" s="235"/>
      <c r="G114" s="235"/>
      <c r="H114" s="235"/>
      <c r="I114" s="235"/>
      <c r="J114" s="283" t="str">
        <f>IFERROR(H114-F114,"")</f>
        <v>#ERROR!</v>
      </c>
      <c r="K114" s="283" t="str">
        <f>IFERROR(I114-G114,"")</f>
        <v>#ERROR!</v>
      </c>
      <c r="L114" s="240"/>
    </row>
    <row r="115">
      <c r="A115" s="301"/>
      <c r="B115" s="227"/>
      <c r="C115" s="227"/>
      <c r="D115" s="227"/>
      <c r="E115" s="227"/>
      <c r="F115" s="227"/>
      <c r="G115" s="227"/>
      <c r="H115" s="227"/>
      <c r="I115" s="227"/>
      <c r="J115" s="281" t="str">
        <f>IFERROR(H115-F115,"")</f>
        <v>#ERROR!</v>
      </c>
      <c r="K115" s="281" t="str">
        <f>IFERROR(I115-G115,"")</f>
        <v>#ERROR!</v>
      </c>
      <c r="L115" s="233"/>
    </row>
    <row r="116">
      <c r="A116" s="303"/>
      <c r="B116" s="235"/>
      <c r="C116" s="235"/>
      <c r="D116" s="235"/>
      <c r="E116" s="235"/>
      <c r="F116" s="235"/>
      <c r="G116" s="235"/>
      <c r="H116" s="235"/>
      <c r="I116" s="235"/>
      <c r="J116" s="283" t="str">
        <f>IFERROR(H116-F116,"")</f>
        <v>#ERROR!</v>
      </c>
      <c r="K116" s="283" t="str">
        <f>IFERROR(I116-G116,"")</f>
        <v>#ERROR!</v>
      </c>
      <c r="L116" s="240"/>
    </row>
    <row r="117">
      <c r="A117" s="301"/>
      <c r="B117" s="227"/>
      <c r="C117" s="227"/>
      <c r="D117" s="227"/>
      <c r="E117" s="227"/>
      <c r="F117" s="227"/>
      <c r="G117" s="227"/>
      <c r="H117" s="227"/>
      <c r="I117" s="227"/>
      <c r="J117" s="281" t="str">
        <f>IFERROR(H117-F117,"")</f>
        <v>#ERROR!</v>
      </c>
      <c r="K117" s="281" t="str">
        <f>IFERROR(I117-G117,"")</f>
        <v>#ERROR!</v>
      </c>
      <c r="L117" s="233"/>
    </row>
    <row r="118">
      <c r="A118" s="303"/>
      <c r="B118" s="235"/>
      <c r="C118" s="235"/>
      <c r="D118" s="235"/>
      <c r="E118" s="235"/>
      <c r="F118" s="235"/>
      <c r="G118" s="235"/>
      <c r="H118" s="235"/>
      <c r="I118" s="235"/>
      <c r="J118" s="283" t="str">
        <f>IFERROR(H118-F118,"")</f>
        <v>#ERROR!</v>
      </c>
      <c r="K118" s="283" t="str">
        <f>IFERROR(I118-G118,"")</f>
        <v>#ERROR!</v>
      </c>
      <c r="L118" s="240"/>
    </row>
    <row r="119">
      <c r="A119" s="301"/>
      <c r="B119" s="227"/>
      <c r="C119" s="227"/>
      <c r="D119" s="227"/>
      <c r="E119" s="227"/>
      <c r="F119" s="227"/>
      <c r="G119" s="227"/>
      <c r="H119" s="227"/>
      <c r="I119" s="227"/>
      <c r="J119" s="281" t="str">
        <f>IFERROR(H119-F119,"")</f>
        <v>#ERROR!</v>
      </c>
      <c r="K119" s="281" t="str">
        <f>IFERROR(I119-G119,"")</f>
        <v>#ERROR!</v>
      </c>
      <c r="L119" s="233"/>
    </row>
    <row r="120">
      <c r="A120" s="303"/>
      <c r="B120" s="235"/>
      <c r="C120" s="235"/>
      <c r="D120" s="235"/>
      <c r="E120" s="235"/>
      <c r="F120" s="235"/>
      <c r="G120" s="235"/>
      <c r="H120" s="235"/>
      <c r="I120" s="235"/>
      <c r="J120" s="283" t="str">
        <f>IFERROR(H120-F120,"")</f>
        <v>#ERROR!</v>
      </c>
      <c r="K120" s="283" t="str">
        <f>IFERROR(I120-G120,"")</f>
        <v>#ERROR!</v>
      </c>
      <c r="L120" s="240"/>
    </row>
    <row r="121">
      <c r="A121" s="301"/>
      <c r="B121" s="227"/>
      <c r="C121" s="227"/>
      <c r="D121" s="227"/>
      <c r="E121" s="227"/>
      <c r="F121" s="227"/>
      <c r="G121" s="227"/>
      <c r="H121" s="227"/>
      <c r="I121" s="227"/>
      <c r="J121" s="281" t="str">
        <f>IFERROR(H121-F121,"")</f>
        <v>#ERROR!</v>
      </c>
      <c r="K121" s="281" t="str">
        <f>IFERROR(I121-G121,"")</f>
        <v>#ERROR!</v>
      </c>
      <c r="L121" s="233"/>
    </row>
    <row r="122">
      <c r="A122" s="303"/>
      <c r="B122" s="235"/>
      <c r="C122" s="235"/>
      <c r="D122" s="235"/>
      <c r="E122" s="235"/>
      <c r="F122" s="235"/>
      <c r="G122" s="235"/>
      <c r="H122" s="235"/>
      <c r="I122" s="235"/>
      <c r="J122" s="283" t="str">
        <f>IFERROR(H122-F122,"")</f>
        <v>#ERROR!</v>
      </c>
      <c r="K122" s="283" t="str">
        <f>IFERROR(I122-G122,"")</f>
        <v>#ERROR!</v>
      </c>
      <c r="L122" s="240"/>
    </row>
    <row r="123">
      <c r="A123" s="301"/>
      <c r="B123" s="227"/>
      <c r="C123" s="227"/>
      <c r="D123" s="227"/>
      <c r="E123" s="227"/>
      <c r="F123" s="227"/>
      <c r="G123" s="227"/>
      <c r="H123" s="227"/>
      <c r="I123" s="227"/>
      <c r="J123" s="281" t="str">
        <f>IFERROR(H123-F123,"")</f>
        <v>#ERROR!</v>
      </c>
      <c r="K123" s="281" t="str">
        <f>IFERROR(I123-G123,"")</f>
        <v>#ERROR!</v>
      </c>
      <c r="L123" s="233"/>
    </row>
    <row r="124">
      <c r="A124" s="303"/>
      <c r="B124" s="235"/>
      <c r="C124" s="235"/>
      <c r="D124" s="235"/>
      <c r="E124" s="235"/>
      <c r="F124" s="235"/>
      <c r="G124" s="235"/>
      <c r="H124" s="235"/>
      <c r="I124" s="235"/>
      <c r="J124" s="283" t="str">
        <f>IFERROR(H124-F124,"")</f>
        <v>#ERROR!</v>
      </c>
      <c r="K124" s="283" t="str">
        <f>IFERROR(I124-G124,"")</f>
        <v>#ERROR!</v>
      </c>
      <c r="L124" s="240"/>
    </row>
    <row r="125">
      <c r="A125" s="301"/>
      <c r="B125" s="227"/>
      <c r="C125" s="227"/>
      <c r="D125" s="227"/>
      <c r="E125" s="227"/>
      <c r="F125" s="227"/>
      <c r="G125" s="227"/>
      <c r="H125" s="227"/>
      <c r="I125" s="227"/>
      <c r="J125" s="281" t="str">
        <f>IFERROR(H125-F125,"")</f>
        <v>#ERROR!</v>
      </c>
      <c r="K125" s="281" t="str">
        <f>IFERROR(I125-G125,"")</f>
        <v>#ERROR!</v>
      </c>
      <c r="L125" s="233"/>
    </row>
    <row r="126">
      <c r="A126" s="303"/>
      <c r="B126" s="235"/>
      <c r="C126" s="235"/>
      <c r="D126" s="235"/>
      <c r="E126" s="235"/>
      <c r="F126" s="235"/>
      <c r="G126" s="235"/>
      <c r="H126" s="235"/>
      <c r="I126" s="235"/>
      <c r="J126" s="283" t="str">
        <f>IFERROR(H126-F126,"")</f>
        <v>#ERROR!</v>
      </c>
      <c r="K126" s="283" t="str">
        <f>IFERROR(I126-G126,"")</f>
        <v>#ERROR!</v>
      </c>
      <c r="L126" s="240"/>
    </row>
    <row r="127">
      <c r="A127" s="301"/>
      <c r="B127" s="227"/>
      <c r="C127" s="227"/>
      <c r="D127" s="227"/>
      <c r="E127" s="227"/>
      <c r="F127" s="227"/>
      <c r="G127" s="227"/>
      <c r="H127" s="227"/>
      <c r="I127" s="227"/>
      <c r="J127" s="281" t="str">
        <f>IFERROR(H127-F127,"")</f>
        <v>#ERROR!</v>
      </c>
      <c r="K127" s="281" t="str">
        <f>IFERROR(I127-G127,"")</f>
        <v>#ERROR!</v>
      </c>
      <c r="L127" s="233"/>
    </row>
    <row r="128">
      <c r="A128" s="303"/>
      <c r="B128" s="235"/>
      <c r="C128" s="235"/>
      <c r="D128" s="235"/>
      <c r="E128" s="235"/>
      <c r="F128" s="235"/>
      <c r="G128" s="235"/>
      <c r="H128" s="235"/>
      <c r="I128" s="235"/>
      <c r="J128" s="283" t="str">
        <f>IFERROR(H128-F128,"")</f>
        <v>#ERROR!</v>
      </c>
      <c r="K128" s="283" t="str">
        <f>IFERROR(I128-G128,"")</f>
        <v>#ERROR!</v>
      </c>
      <c r="L128" s="240"/>
    </row>
    <row r="129">
      <c r="A129" s="301"/>
      <c r="B129" s="227"/>
      <c r="C129" s="227"/>
      <c r="D129" s="227"/>
      <c r="E129" s="227"/>
      <c r="F129" s="227"/>
      <c r="G129" s="227"/>
      <c r="H129" s="227"/>
      <c r="I129" s="227"/>
      <c r="J129" s="281" t="str">
        <f>IFERROR(H129-F129,"")</f>
        <v>#ERROR!</v>
      </c>
      <c r="K129" s="281" t="str">
        <f>IFERROR(I129-G129,"")</f>
        <v>#ERROR!</v>
      </c>
      <c r="L129" s="233"/>
    </row>
    <row r="130">
      <c r="A130" s="303"/>
      <c r="B130" s="235"/>
      <c r="C130" s="235"/>
      <c r="D130" s="235"/>
      <c r="E130" s="235"/>
      <c r="F130" s="235"/>
      <c r="G130" s="235"/>
      <c r="H130" s="235"/>
      <c r="I130" s="235"/>
      <c r="J130" s="283" t="str">
        <f>IFERROR(H130-F130,"")</f>
        <v>#ERROR!</v>
      </c>
      <c r="K130" s="283" t="str">
        <f>IFERROR(I130-G130,"")</f>
        <v>#ERROR!</v>
      </c>
      <c r="L130" s="240"/>
    </row>
    <row r="131">
      <c r="A131" s="301"/>
      <c r="B131" s="227"/>
      <c r="C131" s="227"/>
      <c r="D131" s="227"/>
      <c r="E131" s="227"/>
      <c r="F131" s="227"/>
      <c r="G131" s="227"/>
      <c r="H131" s="227"/>
      <c r="I131" s="227"/>
      <c r="J131" s="281" t="str">
        <f>IFERROR(H131-F131,"")</f>
        <v>#ERROR!</v>
      </c>
      <c r="K131" s="281" t="str">
        <f>IFERROR(I131-G131,"")</f>
        <v>#ERROR!</v>
      </c>
      <c r="L131" s="233"/>
    </row>
    <row r="132">
      <c r="A132" s="303"/>
      <c r="B132" s="235"/>
      <c r="C132" s="235"/>
      <c r="D132" s="235"/>
      <c r="E132" s="235"/>
      <c r="F132" s="235"/>
      <c r="G132" s="235"/>
      <c r="H132" s="235"/>
      <c r="I132" s="235"/>
      <c r="J132" s="283" t="str">
        <f>IFERROR(H132-F132,"")</f>
        <v>#ERROR!</v>
      </c>
      <c r="K132" s="283" t="str">
        <f>IFERROR(I132-G132,"")</f>
        <v>#ERROR!</v>
      </c>
      <c r="L132" s="240"/>
    </row>
    <row r="133">
      <c r="A133" s="301"/>
      <c r="B133" s="227"/>
      <c r="C133" s="227"/>
      <c r="D133" s="227"/>
      <c r="E133" s="227"/>
      <c r="F133" s="227"/>
      <c r="G133" s="227"/>
      <c r="H133" s="227"/>
      <c r="I133" s="227"/>
      <c r="J133" s="281" t="str">
        <f>IFERROR(H133-F133,"")</f>
        <v>#ERROR!</v>
      </c>
      <c r="K133" s="281" t="str">
        <f>IFERROR(I133-G133,"")</f>
        <v>#ERROR!</v>
      </c>
      <c r="L133" s="233"/>
    </row>
    <row r="134">
      <c r="A134" s="303"/>
      <c r="B134" s="235"/>
      <c r="C134" s="235"/>
      <c r="D134" s="235"/>
      <c r="E134" s="235"/>
      <c r="F134" s="235"/>
      <c r="G134" s="235"/>
      <c r="H134" s="235"/>
      <c r="I134" s="235"/>
      <c r="J134" s="283" t="str">
        <f>IFERROR(H134-F134,"")</f>
        <v>#ERROR!</v>
      </c>
      <c r="K134" s="283" t="str">
        <f>IFERROR(I134-G134,"")</f>
        <v>#ERROR!</v>
      </c>
      <c r="L134" s="240"/>
    </row>
    <row r="135">
      <c r="A135" s="301"/>
      <c r="B135" s="227"/>
      <c r="C135" s="227"/>
      <c r="D135" s="227"/>
      <c r="E135" s="227"/>
      <c r="F135" s="227"/>
      <c r="G135" s="227"/>
      <c r="H135" s="227"/>
      <c r="I135" s="227"/>
      <c r="J135" s="281" t="str">
        <f>IFERROR(H135-F135,"")</f>
        <v>#ERROR!</v>
      </c>
      <c r="K135" s="281" t="str">
        <f>IFERROR(I135-G135,"")</f>
        <v>#ERROR!</v>
      </c>
      <c r="L135" s="233"/>
    </row>
    <row r="136">
      <c r="A136" s="303"/>
      <c r="B136" s="235"/>
      <c r="C136" s="235"/>
      <c r="D136" s="235"/>
      <c r="E136" s="235"/>
      <c r="F136" s="235"/>
      <c r="G136" s="235"/>
      <c r="H136" s="235"/>
      <c r="I136" s="235"/>
      <c r="J136" s="283" t="str">
        <f>IFERROR(H136-F136,"")</f>
        <v>#ERROR!</v>
      </c>
      <c r="K136" s="283" t="str">
        <f>IFERROR(I136-G136,"")</f>
        <v>#ERROR!</v>
      </c>
      <c r="L136" s="240"/>
    </row>
    <row r="137">
      <c r="A137" s="301"/>
      <c r="B137" s="227"/>
      <c r="C137" s="227"/>
      <c r="D137" s="227"/>
      <c r="E137" s="227"/>
      <c r="F137" s="227"/>
      <c r="G137" s="227"/>
      <c r="H137" s="227"/>
      <c r="I137" s="227"/>
      <c r="J137" s="281" t="str">
        <f>IFERROR(H137-F137,"")</f>
        <v>#ERROR!</v>
      </c>
      <c r="K137" s="281" t="str">
        <f>IFERROR(I137-G137,"")</f>
        <v>#ERROR!</v>
      </c>
      <c r="L137" s="233"/>
    </row>
    <row r="138">
      <c r="A138" s="303"/>
      <c r="B138" s="235"/>
      <c r="C138" s="235"/>
      <c r="D138" s="235"/>
      <c r="E138" s="235"/>
      <c r="F138" s="235"/>
      <c r="G138" s="235"/>
      <c r="H138" s="235"/>
      <c r="I138" s="235"/>
      <c r="J138" s="283" t="str">
        <f>IFERROR(H138-F138,"")</f>
        <v>#ERROR!</v>
      </c>
      <c r="K138" s="283" t="str">
        <f>IFERROR(I138-G138,"")</f>
        <v>#ERROR!</v>
      </c>
      <c r="L138" s="240"/>
    </row>
    <row r="139">
      <c r="A139" s="301"/>
      <c r="B139" s="227"/>
      <c r="C139" s="227"/>
      <c r="D139" s="227"/>
      <c r="E139" s="227"/>
      <c r="F139" s="227"/>
      <c r="G139" s="227"/>
      <c r="H139" s="227"/>
      <c r="I139" s="227"/>
      <c r="J139" s="281" t="str">
        <f>IFERROR(H139-F139,"")</f>
        <v>#ERROR!</v>
      </c>
      <c r="K139" s="281" t="str">
        <f>IFERROR(I139-G139,"")</f>
        <v>#ERROR!</v>
      </c>
      <c r="L139" s="233"/>
    </row>
    <row r="140">
      <c r="A140" s="303"/>
      <c r="B140" s="235"/>
      <c r="C140" s="235"/>
      <c r="D140" s="235"/>
      <c r="E140" s="235"/>
      <c r="F140" s="235"/>
      <c r="G140" s="235"/>
      <c r="H140" s="235"/>
      <c r="I140" s="235"/>
      <c r="J140" s="283" t="str">
        <f>IFERROR(H140-F140,"")</f>
        <v>#ERROR!</v>
      </c>
      <c r="K140" s="283" t="str">
        <f>IFERROR(I140-G140,"")</f>
        <v>#ERROR!</v>
      </c>
      <c r="L140" s="240"/>
    </row>
    <row r="141">
      <c r="A141" s="301"/>
      <c r="B141" s="227"/>
      <c r="C141" s="227"/>
      <c r="D141" s="227"/>
      <c r="E141" s="227"/>
      <c r="F141" s="227"/>
      <c r="G141" s="227"/>
      <c r="H141" s="227"/>
      <c r="I141" s="227"/>
      <c r="J141" s="281" t="str">
        <f>IFERROR(H141-F141,"")</f>
        <v>#ERROR!</v>
      </c>
      <c r="K141" s="281" t="str">
        <f>IFERROR(I141-G141,"")</f>
        <v>#ERROR!</v>
      </c>
      <c r="L141" s="233"/>
    </row>
    <row r="142">
      <c r="A142" s="303"/>
      <c r="B142" s="235"/>
      <c r="C142" s="235"/>
      <c r="D142" s="235"/>
      <c r="E142" s="235"/>
      <c r="F142" s="235"/>
      <c r="G142" s="235"/>
      <c r="H142" s="235"/>
      <c r="I142" s="235"/>
      <c r="J142" s="283" t="str">
        <f>IFERROR(H142-F142,"")</f>
        <v>#ERROR!</v>
      </c>
      <c r="K142" s="283" t="str">
        <f>IFERROR(I142-G142,"")</f>
        <v>#ERROR!</v>
      </c>
      <c r="L142" s="240"/>
    </row>
    <row r="143">
      <c r="A143" s="301"/>
      <c r="B143" s="227"/>
      <c r="C143" s="227"/>
      <c r="D143" s="227"/>
      <c r="E143" s="227"/>
      <c r="F143" s="227"/>
      <c r="G143" s="227"/>
      <c r="H143" s="227"/>
      <c r="I143" s="227"/>
      <c r="J143" s="281" t="str">
        <f>IFERROR(H143-F143,"")</f>
        <v>#ERROR!</v>
      </c>
      <c r="K143" s="281" t="str">
        <f>IFERROR(I143-G143,"")</f>
        <v>#ERROR!</v>
      </c>
      <c r="L143" s="233"/>
    </row>
    <row r="144">
      <c r="A144" s="303"/>
      <c r="B144" s="235"/>
      <c r="C144" s="235"/>
      <c r="D144" s="235"/>
      <c r="E144" s="235"/>
      <c r="F144" s="235"/>
      <c r="G144" s="235"/>
      <c r="H144" s="235"/>
      <c r="I144" s="235"/>
      <c r="J144" s="283" t="str">
        <f>IFERROR(H144-F144,"")</f>
        <v>#ERROR!</v>
      </c>
      <c r="K144" s="283" t="str">
        <f>IFERROR(I144-G144,"")</f>
        <v>#ERROR!</v>
      </c>
      <c r="L144" s="240"/>
    </row>
    <row r="145">
      <c r="A145" s="301"/>
      <c r="B145" s="227"/>
      <c r="C145" s="227"/>
      <c r="D145" s="227"/>
      <c r="E145" s="227"/>
      <c r="F145" s="227"/>
      <c r="G145" s="227"/>
      <c r="H145" s="227"/>
      <c r="I145" s="227"/>
      <c r="J145" s="281" t="str">
        <f>IFERROR(H145-F145,"")</f>
        <v>#ERROR!</v>
      </c>
      <c r="K145" s="281" t="str">
        <f>IFERROR(I145-G145,"")</f>
        <v>#ERROR!</v>
      </c>
      <c r="L145" s="233"/>
    </row>
    <row r="146">
      <c r="A146" s="303"/>
      <c r="B146" s="235"/>
      <c r="C146" s="235"/>
      <c r="D146" s="235"/>
      <c r="E146" s="235"/>
      <c r="F146" s="235"/>
      <c r="G146" s="235"/>
      <c r="H146" s="235"/>
      <c r="I146" s="235"/>
      <c r="J146" s="283" t="str">
        <f>IFERROR(H146-F146,"")</f>
        <v>#ERROR!</v>
      </c>
      <c r="K146" s="283" t="str">
        <f>IFERROR(I146-G146,"")</f>
        <v>#ERROR!</v>
      </c>
      <c r="L146" s="240"/>
    </row>
    <row r="147">
      <c r="A147" s="301"/>
      <c r="B147" s="227"/>
      <c r="C147" s="227"/>
      <c r="D147" s="227"/>
      <c r="E147" s="227"/>
      <c r="F147" s="227"/>
      <c r="G147" s="227"/>
      <c r="H147" s="227"/>
      <c r="I147" s="227"/>
      <c r="J147" s="281" t="str">
        <f>IFERROR(H147-F147,"")</f>
        <v>#ERROR!</v>
      </c>
      <c r="K147" s="281" t="str">
        <f>IFERROR(I147-G147,"")</f>
        <v>#ERROR!</v>
      </c>
      <c r="L147" s="233"/>
    </row>
    <row r="148">
      <c r="A148" s="303"/>
      <c r="B148" s="235"/>
      <c r="C148" s="235"/>
      <c r="D148" s="235"/>
      <c r="E148" s="235"/>
      <c r="F148" s="235"/>
      <c r="G148" s="235"/>
      <c r="H148" s="235"/>
      <c r="I148" s="235"/>
      <c r="J148" s="283" t="str">
        <f>IFERROR(H148-F148,"")</f>
        <v>#ERROR!</v>
      </c>
      <c r="K148" s="283" t="str">
        <f>IFERROR(I148-G148,"")</f>
        <v>#ERROR!</v>
      </c>
      <c r="L148" s="240"/>
    </row>
    <row r="149">
      <c r="A149" s="301"/>
      <c r="B149" s="227"/>
      <c r="C149" s="227"/>
      <c r="D149" s="227"/>
      <c r="E149" s="227"/>
      <c r="F149" s="227"/>
      <c r="G149" s="227"/>
      <c r="H149" s="227"/>
      <c r="I149" s="227"/>
      <c r="J149" s="281" t="str">
        <f>IFERROR(H149-F149,"")</f>
        <v>#ERROR!</v>
      </c>
      <c r="K149" s="281" t="str">
        <f>IFERROR(I149-G149,"")</f>
        <v>#ERROR!</v>
      </c>
      <c r="L149" s="233"/>
    </row>
    <row r="150">
      <c r="A150" s="303"/>
      <c r="B150" s="235"/>
      <c r="C150" s="235"/>
      <c r="D150" s="235"/>
      <c r="E150" s="235"/>
      <c r="F150" s="235"/>
      <c r="G150" s="235"/>
      <c r="H150" s="235"/>
      <c r="I150" s="235"/>
      <c r="J150" s="283" t="str">
        <f>IFERROR(H150-F150,"")</f>
        <v>#ERROR!</v>
      </c>
      <c r="K150" s="283" t="str">
        <f>IFERROR(I150-G150,"")</f>
        <v>#ERROR!</v>
      </c>
      <c r="L150" s="240"/>
    </row>
    <row r="151">
      <c r="A151" s="301"/>
      <c r="B151" s="227"/>
      <c r="C151" s="227"/>
      <c r="D151" s="227"/>
      <c r="E151" s="227"/>
      <c r="F151" s="227"/>
      <c r="G151" s="227"/>
      <c r="H151" s="227"/>
      <c r="I151" s="227"/>
      <c r="J151" s="281" t="str">
        <f>IFERROR(H151-F151,"")</f>
        <v>#ERROR!</v>
      </c>
      <c r="K151" s="281" t="str">
        <f>IFERROR(I151-G151,"")</f>
        <v>#ERROR!</v>
      </c>
      <c r="L151" s="233"/>
    </row>
    <row r="152">
      <c r="A152" s="303"/>
      <c r="B152" s="235"/>
      <c r="C152" s="235"/>
      <c r="D152" s="235"/>
      <c r="E152" s="235"/>
      <c r="F152" s="235"/>
      <c r="G152" s="235"/>
      <c r="H152" s="235"/>
      <c r="I152" s="235"/>
      <c r="J152" s="283" t="str">
        <f>IFERROR(H152-F152,"")</f>
        <v>#ERROR!</v>
      </c>
      <c r="K152" s="283" t="str">
        <f>IFERROR(I152-G152,"")</f>
        <v>#ERROR!</v>
      </c>
      <c r="L152" s="240"/>
    </row>
    <row r="153">
      <c r="A153" s="301"/>
      <c r="B153" s="227"/>
      <c r="C153" s="227"/>
      <c r="D153" s="227"/>
      <c r="E153" s="227"/>
      <c r="F153" s="227"/>
      <c r="G153" s="227"/>
      <c r="H153" s="227"/>
      <c r="I153" s="227"/>
      <c r="J153" s="281" t="str">
        <f>IFERROR(H153-F153,"")</f>
        <v>#ERROR!</v>
      </c>
      <c r="K153" s="281" t="str">
        <f>IFERROR(I153-G153,"")</f>
        <v>#ERROR!</v>
      </c>
      <c r="L153" s="233"/>
    </row>
    <row r="154">
      <c r="A154" s="303"/>
      <c r="B154" s="235"/>
      <c r="C154" s="235"/>
      <c r="D154" s="235"/>
      <c r="E154" s="235"/>
      <c r="F154" s="235"/>
      <c r="G154" s="235"/>
      <c r="H154" s="235"/>
      <c r="I154" s="235"/>
      <c r="J154" s="283" t="str">
        <f>IFERROR(H154-F154,"")</f>
        <v>#ERROR!</v>
      </c>
      <c r="K154" s="283" t="str">
        <f>IFERROR(I154-G154,"")</f>
        <v>#ERROR!</v>
      </c>
      <c r="L154" s="240"/>
    </row>
    <row r="155">
      <c r="A155" s="301"/>
      <c r="B155" s="227"/>
      <c r="C155" s="227"/>
      <c r="D155" s="227"/>
      <c r="E155" s="227"/>
      <c r="F155" s="227"/>
      <c r="G155" s="227"/>
      <c r="H155" s="227"/>
      <c r="I155" s="227"/>
      <c r="J155" s="281" t="str">
        <f>IFERROR(H155-F155,"")</f>
        <v>#ERROR!</v>
      </c>
      <c r="K155" s="281" t="str">
        <f>IFERROR(I155-G155,"")</f>
        <v>#ERROR!</v>
      </c>
      <c r="L155" s="233"/>
    </row>
    <row r="156">
      <c r="A156" s="303"/>
      <c r="B156" s="235"/>
      <c r="C156" s="235"/>
      <c r="D156" s="235"/>
      <c r="E156" s="235"/>
      <c r="F156" s="235"/>
      <c r="G156" s="235"/>
      <c r="H156" s="235"/>
      <c r="I156" s="235"/>
      <c r="J156" s="283" t="str">
        <f>IFERROR(H156-F156,"")</f>
        <v>#ERROR!</v>
      </c>
      <c r="K156" s="283" t="str">
        <f>IFERROR(I156-G156,"")</f>
        <v>#ERROR!</v>
      </c>
      <c r="L156" s="240"/>
    </row>
    <row r="157">
      <c r="A157" s="301"/>
      <c r="B157" s="227"/>
      <c r="C157" s="227"/>
      <c r="D157" s="227"/>
      <c r="E157" s="227"/>
      <c r="F157" s="227"/>
      <c r="G157" s="227"/>
      <c r="H157" s="227"/>
      <c r="I157" s="227"/>
      <c r="J157" s="281" t="str">
        <f>IFERROR(H157-F157,"")</f>
        <v>#ERROR!</v>
      </c>
      <c r="K157" s="281" t="str">
        <f>IFERROR(I157-G157,"")</f>
        <v>#ERROR!</v>
      </c>
      <c r="L157" s="233"/>
    </row>
    <row r="158">
      <c r="A158" s="303"/>
      <c r="B158" s="235"/>
      <c r="C158" s="235"/>
      <c r="D158" s="235"/>
      <c r="E158" s="235"/>
      <c r="F158" s="235"/>
      <c r="G158" s="235"/>
      <c r="H158" s="235"/>
      <c r="I158" s="235"/>
      <c r="J158" s="283" t="str">
        <f>IFERROR(H158-F158,"")</f>
        <v>#ERROR!</v>
      </c>
      <c r="K158" s="283" t="str">
        <f>IFERROR(I158-G158,"")</f>
        <v>#ERROR!</v>
      </c>
      <c r="L158" s="240"/>
    </row>
    <row r="159">
      <c r="A159" s="301"/>
      <c r="B159" s="227"/>
      <c r="C159" s="227"/>
      <c r="D159" s="227"/>
      <c r="E159" s="227"/>
      <c r="F159" s="227"/>
      <c r="G159" s="227"/>
      <c r="H159" s="227"/>
      <c r="I159" s="227"/>
      <c r="J159" s="281" t="str">
        <f>IFERROR(H159-F159,"")</f>
        <v>#ERROR!</v>
      </c>
      <c r="K159" s="281" t="str">
        <f>IFERROR(I159-G159,"")</f>
        <v>#ERROR!</v>
      </c>
      <c r="L159" s="233"/>
    </row>
    <row r="160">
      <c r="A160" s="303"/>
      <c r="B160" s="235"/>
      <c r="C160" s="235"/>
      <c r="D160" s="235"/>
      <c r="E160" s="235"/>
      <c r="F160" s="235"/>
      <c r="G160" s="235"/>
      <c r="H160" s="235"/>
      <c r="I160" s="235"/>
      <c r="J160" s="283" t="str">
        <f>IFERROR(H160-F160,"")</f>
        <v>#ERROR!</v>
      </c>
      <c r="K160" s="283" t="str">
        <f>IFERROR(I160-G160,"")</f>
        <v>#ERROR!</v>
      </c>
      <c r="L160" s="240"/>
    </row>
    <row r="161">
      <c r="A161" s="301"/>
      <c r="B161" s="227"/>
      <c r="C161" s="227"/>
      <c r="D161" s="227"/>
      <c r="E161" s="227"/>
      <c r="F161" s="227"/>
      <c r="G161" s="227"/>
      <c r="H161" s="227"/>
      <c r="I161" s="227"/>
      <c r="J161" s="281" t="str">
        <f>IFERROR(H161-F161,"")</f>
        <v>#ERROR!</v>
      </c>
      <c r="K161" s="281" t="str">
        <f>IFERROR(I161-G161,"")</f>
        <v>#ERROR!</v>
      </c>
      <c r="L161" s="233"/>
    </row>
    <row r="162">
      <c r="A162" s="303"/>
      <c r="B162" s="235"/>
      <c r="C162" s="235"/>
      <c r="D162" s="235"/>
      <c r="E162" s="235"/>
      <c r="F162" s="235"/>
      <c r="G162" s="235"/>
      <c r="H162" s="235"/>
      <c r="I162" s="235"/>
      <c r="J162" s="283" t="str">
        <f>IFERROR(H162-F162,"")</f>
        <v>#ERROR!</v>
      </c>
      <c r="K162" s="283" t="str">
        <f>IFERROR(I162-G162,"")</f>
        <v>#ERROR!</v>
      </c>
      <c r="L162" s="240"/>
    </row>
    <row r="163">
      <c r="A163" s="301"/>
      <c r="B163" s="227"/>
      <c r="C163" s="227"/>
      <c r="D163" s="227"/>
      <c r="E163" s="227"/>
      <c r="F163" s="227"/>
      <c r="G163" s="227"/>
      <c r="H163" s="227"/>
      <c r="I163" s="227"/>
      <c r="J163" s="281" t="str">
        <f>IFERROR(H163-F163,"")</f>
        <v>#ERROR!</v>
      </c>
      <c r="K163" s="281" t="str">
        <f>IFERROR(I163-G163,"")</f>
        <v>#ERROR!</v>
      </c>
      <c r="L163" s="233"/>
    </row>
    <row r="164">
      <c r="A164" s="303"/>
      <c r="B164" s="235"/>
      <c r="C164" s="235"/>
      <c r="D164" s="235"/>
      <c r="E164" s="235"/>
      <c r="F164" s="235"/>
      <c r="G164" s="235"/>
      <c r="H164" s="235"/>
      <c r="I164" s="235"/>
      <c r="J164" s="283" t="str">
        <f>IFERROR(H164-F164,"")</f>
        <v>#ERROR!</v>
      </c>
      <c r="K164" s="283" t="str">
        <f>IFERROR(I164-G164,"")</f>
        <v>#ERROR!</v>
      </c>
      <c r="L164" s="240"/>
    </row>
    <row r="165">
      <c r="A165" s="301"/>
      <c r="B165" s="227"/>
      <c r="C165" s="227"/>
      <c r="D165" s="227"/>
      <c r="E165" s="227"/>
      <c r="F165" s="227"/>
      <c r="G165" s="227"/>
      <c r="H165" s="227"/>
      <c r="I165" s="227"/>
      <c r="J165" s="281" t="str">
        <f>IFERROR(H165-F165,"")</f>
        <v>#ERROR!</v>
      </c>
      <c r="K165" s="281" t="str">
        <f>IFERROR(I165-G165,"")</f>
        <v>#ERROR!</v>
      </c>
      <c r="L165" s="233"/>
    </row>
    <row r="166">
      <c r="A166" s="303"/>
      <c r="B166" s="235"/>
      <c r="C166" s="235"/>
      <c r="D166" s="235"/>
      <c r="E166" s="235"/>
      <c r="F166" s="235"/>
      <c r="G166" s="235"/>
      <c r="H166" s="235"/>
      <c r="I166" s="235"/>
      <c r="J166" s="283" t="str">
        <f>IFERROR(H166-F166,"")</f>
        <v>#ERROR!</v>
      </c>
      <c r="K166" s="283" t="str">
        <f>IFERROR(I166-G166,"")</f>
        <v>#ERROR!</v>
      </c>
      <c r="L166" s="240"/>
    </row>
    <row r="167">
      <c r="A167" s="301"/>
      <c r="B167" s="227"/>
      <c r="C167" s="227"/>
      <c r="D167" s="227"/>
      <c r="E167" s="227"/>
      <c r="F167" s="227"/>
      <c r="G167" s="227"/>
      <c r="H167" s="227"/>
      <c r="I167" s="227"/>
      <c r="J167" s="281" t="str">
        <f>IFERROR(H167-F167,"")</f>
        <v>#ERROR!</v>
      </c>
      <c r="K167" s="281" t="str">
        <f>IFERROR(I167-G167,"")</f>
        <v>#ERROR!</v>
      </c>
      <c r="L167" s="233"/>
    </row>
    <row r="168">
      <c r="A168" s="303"/>
      <c r="B168" s="235"/>
      <c r="C168" s="235"/>
      <c r="D168" s="235"/>
      <c r="E168" s="235"/>
      <c r="F168" s="235"/>
      <c r="G168" s="235"/>
      <c r="H168" s="235"/>
      <c r="I168" s="235"/>
      <c r="J168" s="283" t="str">
        <f>IFERROR(H168-F168,"")</f>
        <v>#ERROR!</v>
      </c>
      <c r="K168" s="283" t="str">
        <f>IFERROR(I168-G168,"")</f>
        <v>#ERROR!</v>
      </c>
      <c r="L168" s="240"/>
    </row>
    <row r="169">
      <c r="A169" s="301"/>
      <c r="B169" s="227"/>
      <c r="C169" s="227"/>
      <c r="D169" s="227"/>
      <c r="E169" s="227"/>
      <c r="F169" s="227"/>
      <c r="G169" s="227"/>
      <c r="H169" s="227"/>
      <c r="I169" s="227"/>
      <c r="J169" s="281" t="str">
        <f>IFERROR(H169-F169,"")</f>
        <v>#ERROR!</v>
      </c>
      <c r="K169" s="281" t="str">
        <f>IFERROR(I169-G169,"")</f>
        <v>#ERROR!</v>
      </c>
      <c r="L169" s="233"/>
    </row>
    <row r="170">
      <c r="A170" s="303"/>
      <c r="B170" s="235"/>
      <c r="C170" s="235"/>
      <c r="D170" s="235"/>
      <c r="E170" s="235"/>
      <c r="F170" s="235"/>
      <c r="G170" s="235"/>
      <c r="H170" s="235"/>
      <c r="I170" s="235"/>
      <c r="J170" s="283" t="str">
        <f>IFERROR(H170-F170,"")</f>
        <v>#ERROR!</v>
      </c>
      <c r="K170" s="283" t="str">
        <f>IFERROR(I170-G170,"")</f>
        <v>#ERROR!</v>
      </c>
      <c r="L170" s="240"/>
    </row>
    <row r="171">
      <c r="A171" s="301"/>
      <c r="B171" s="227"/>
      <c r="C171" s="227"/>
      <c r="D171" s="227"/>
      <c r="E171" s="227"/>
      <c r="F171" s="227"/>
      <c r="G171" s="227"/>
      <c r="H171" s="227"/>
      <c r="I171" s="227"/>
      <c r="J171" s="281" t="str">
        <f>IFERROR(H171-F171,"")</f>
        <v>#ERROR!</v>
      </c>
      <c r="K171" s="281" t="str">
        <f>IFERROR(I171-G171,"")</f>
        <v>#ERROR!</v>
      </c>
      <c r="L171" s="233"/>
    </row>
    <row r="172">
      <c r="A172" s="303"/>
      <c r="B172" s="235"/>
      <c r="C172" s="235"/>
      <c r="D172" s="235"/>
      <c r="E172" s="235"/>
      <c r="F172" s="235"/>
      <c r="G172" s="235"/>
      <c r="H172" s="235"/>
      <c r="I172" s="235"/>
      <c r="J172" s="283" t="str">
        <f>IFERROR(H172-F172,"")</f>
        <v>#ERROR!</v>
      </c>
      <c r="K172" s="283" t="str">
        <f>IFERROR(I172-G172,"")</f>
        <v>#ERROR!</v>
      </c>
      <c r="L172" s="240"/>
    </row>
    <row r="173">
      <c r="A173" s="301"/>
      <c r="B173" s="227"/>
      <c r="C173" s="227"/>
      <c r="D173" s="227"/>
      <c r="E173" s="227"/>
      <c r="F173" s="227"/>
      <c r="G173" s="227"/>
      <c r="H173" s="227"/>
      <c r="I173" s="227"/>
      <c r="J173" s="281" t="str">
        <f>IFERROR(H173-F173,"")</f>
        <v>#ERROR!</v>
      </c>
      <c r="K173" s="281" t="str">
        <f>IFERROR(I173-G173,"")</f>
        <v>#ERROR!</v>
      </c>
      <c r="L173" s="233"/>
    </row>
    <row r="174">
      <c r="A174" s="303"/>
      <c r="B174" s="235"/>
      <c r="C174" s="235"/>
      <c r="D174" s="235"/>
      <c r="E174" s="235"/>
      <c r="F174" s="235"/>
      <c r="G174" s="235"/>
      <c r="H174" s="235"/>
      <c r="I174" s="235"/>
      <c r="J174" s="283" t="str">
        <f>IFERROR(H174-F174,"")</f>
        <v>#ERROR!</v>
      </c>
      <c r="K174" s="283" t="str">
        <f>IFERROR(I174-G174,"")</f>
        <v>#ERROR!</v>
      </c>
      <c r="L174" s="240"/>
    </row>
    <row r="175">
      <c r="A175" s="301"/>
      <c r="B175" s="227"/>
      <c r="C175" s="227"/>
      <c r="D175" s="227"/>
      <c r="E175" s="227"/>
      <c r="F175" s="227"/>
      <c r="G175" s="227"/>
      <c r="H175" s="227"/>
      <c r="I175" s="227"/>
      <c r="J175" s="281" t="str">
        <f>IFERROR(H175-F175,"")</f>
        <v>#ERROR!</v>
      </c>
      <c r="K175" s="281" t="str">
        <f>IFERROR(I175-G175,"")</f>
        <v>#ERROR!</v>
      </c>
      <c r="L175" s="233"/>
    </row>
    <row r="176">
      <c r="A176" s="303"/>
      <c r="B176" s="235"/>
      <c r="C176" s="235"/>
      <c r="D176" s="235"/>
      <c r="E176" s="235"/>
      <c r="F176" s="235"/>
      <c r="G176" s="235"/>
      <c r="H176" s="235"/>
      <c r="I176" s="235"/>
      <c r="J176" s="283" t="str">
        <f>IFERROR(H176-F176,"")</f>
        <v>#ERROR!</v>
      </c>
      <c r="K176" s="283" t="str">
        <f>IFERROR(I176-G176,"")</f>
        <v>#ERROR!</v>
      </c>
      <c r="L176" s="240"/>
    </row>
    <row r="177">
      <c r="A177" s="301"/>
      <c r="B177" s="227"/>
      <c r="C177" s="227"/>
      <c r="D177" s="227"/>
      <c r="E177" s="227"/>
      <c r="F177" s="227"/>
      <c r="G177" s="227"/>
      <c r="H177" s="227"/>
      <c r="I177" s="227"/>
      <c r="J177" s="281" t="str">
        <f>IFERROR(H177-F177,"")</f>
        <v>#ERROR!</v>
      </c>
      <c r="K177" s="281" t="str">
        <f>IFERROR(I177-G177,"")</f>
        <v>#ERROR!</v>
      </c>
      <c r="L177" s="233"/>
    </row>
    <row r="178">
      <c r="A178" s="303"/>
      <c r="B178" s="235"/>
      <c r="C178" s="235"/>
      <c r="D178" s="235"/>
      <c r="E178" s="235"/>
      <c r="F178" s="235"/>
      <c r="G178" s="235"/>
      <c r="H178" s="235"/>
      <c r="I178" s="235"/>
      <c r="J178" s="283" t="str">
        <f>IFERROR(H178-F178,"")</f>
        <v>#ERROR!</v>
      </c>
      <c r="K178" s="283" t="str">
        <f>IFERROR(I178-G178,"")</f>
        <v>#ERROR!</v>
      </c>
      <c r="L178" s="240"/>
    </row>
    <row r="179">
      <c r="A179" s="301"/>
      <c r="B179" s="227"/>
      <c r="C179" s="227"/>
      <c r="D179" s="227"/>
      <c r="E179" s="227"/>
      <c r="F179" s="227"/>
      <c r="G179" s="227"/>
      <c r="H179" s="227"/>
      <c r="I179" s="227"/>
      <c r="J179" s="281" t="str">
        <f>IFERROR(H179-F179,"")</f>
        <v>#ERROR!</v>
      </c>
      <c r="K179" s="281" t="str">
        <f>IFERROR(I179-G179,"")</f>
        <v>#ERROR!</v>
      </c>
      <c r="L179" s="233"/>
    </row>
    <row r="180">
      <c r="A180" s="303"/>
      <c r="B180" s="235"/>
      <c r="C180" s="235"/>
      <c r="D180" s="235"/>
      <c r="E180" s="235"/>
      <c r="F180" s="235"/>
      <c r="G180" s="235"/>
      <c r="H180" s="235"/>
      <c r="I180" s="235"/>
      <c r="J180" s="283" t="str">
        <f>IFERROR(H180-F180,"")</f>
        <v>#ERROR!</v>
      </c>
      <c r="K180" s="283" t="str">
        <f>IFERROR(I180-G180,"")</f>
        <v>#ERROR!</v>
      </c>
      <c r="L180" s="240"/>
    </row>
    <row r="181">
      <c r="A181" s="301"/>
      <c r="B181" s="227"/>
      <c r="C181" s="227"/>
      <c r="D181" s="227"/>
      <c r="E181" s="227"/>
      <c r="F181" s="227"/>
      <c r="G181" s="227"/>
      <c r="H181" s="227"/>
      <c r="I181" s="227"/>
      <c r="J181" s="281" t="str">
        <f>IFERROR(H181-F181,"")</f>
        <v>#ERROR!</v>
      </c>
      <c r="K181" s="281" t="str">
        <f>IFERROR(I181-G181,"")</f>
        <v>#ERROR!</v>
      </c>
      <c r="L181" s="233"/>
    </row>
    <row r="182">
      <c r="A182" s="303"/>
      <c r="B182" s="235"/>
      <c r="C182" s="235"/>
      <c r="D182" s="235"/>
      <c r="E182" s="235"/>
      <c r="F182" s="235"/>
      <c r="G182" s="235"/>
      <c r="H182" s="235"/>
      <c r="I182" s="235"/>
      <c r="J182" s="283" t="str">
        <f>IFERROR(H182-F182,"")</f>
        <v>#ERROR!</v>
      </c>
      <c r="K182" s="283" t="str">
        <f>IFERROR(I182-G182,"")</f>
        <v>#ERROR!</v>
      </c>
      <c r="L182" s="240"/>
    </row>
    <row r="183">
      <c r="A183" s="301"/>
      <c r="B183" s="227"/>
      <c r="C183" s="227"/>
      <c r="D183" s="227"/>
      <c r="E183" s="227"/>
      <c r="F183" s="227"/>
      <c r="G183" s="227"/>
      <c r="H183" s="227"/>
      <c r="I183" s="227"/>
      <c r="J183" s="281" t="str">
        <f>IFERROR(H183-F183,"")</f>
        <v>#ERROR!</v>
      </c>
      <c r="K183" s="281" t="str">
        <f>IFERROR(I183-G183,"")</f>
        <v>#ERROR!</v>
      </c>
      <c r="L183" s="233"/>
    </row>
    <row r="184">
      <c r="A184" s="303"/>
      <c r="B184" s="235"/>
      <c r="C184" s="235"/>
      <c r="D184" s="235"/>
      <c r="E184" s="235"/>
      <c r="F184" s="235"/>
      <c r="G184" s="235"/>
      <c r="H184" s="235"/>
      <c r="I184" s="235"/>
      <c r="J184" s="283" t="str">
        <f>IFERROR(H184-F184,"")</f>
        <v>#ERROR!</v>
      </c>
      <c r="K184" s="283" t="str">
        <f>IFERROR(I184-G184,"")</f>
        <v>#ERROR!</v>
      </c>
      <c r="L184" s="240"/>
    </row>
    <row r="185">
      <c r="A185" s="301"/>
      <c r="B185" s="227"/>
      <c r="C185" s="227"/>
      <c r="D185" s="227"/>
      <c r="E185" s="227"/>
      <c r="F185" s="227"/>
      <c r="G185" s="227"/>
      <c r="H185" s="227"/>
      <c r="I185" s="227"/>
      <c r="J185" s="281" t="str">
        <f>IFERROR(H185-F185,"")</f>
        <v>#ERROR!</v>
      </c>
      <c r="K185" s="281" t="str">
        <f>IFERROR(I185-G185,"")</f>
        <v>#ERROR!</v>
      </c>
      <c r="L185" s="233"/>
    </row>
    <row r="186">
      <c r="A186" s="303"/>
      <c r="B186" s="235"/>
      <c r="C186" s="235"/>
      <c r="D186" s="235"/>
      <c r="E186" s="235"/>
      <c r="F186" s="235"/>
      <c r="G186" s="235"/>
      <c r="H186" s="235"/>
      <c r="I186" s="235"/>
      <c r="J186" s="283" t="str">
        <f>IFERROR(H186-F186,"")</f>
        <v>#ERROR!</v>
      </c>
      <c r="K186" s="283" t="str">
        <f>IFERROR(I186-G186,"")</f>
        <v>#ERROR!</v>
      </c>
      <c r="L186" s="240"/>
    </row>
    <row r="187">
      <c r="A187" s="301"/>
      <c r="B187" s="227"/>
      <c r="C187" s="227"/>
      <c r="D187" s="227"/>
      <c r="E187" s="227"/>
      <c r="F187" s="227"/>
      <c r="G187" s="227"/>
      <c r="H187" s="227"/>
      <c r="I187" s="227"/>
      <c r="J187" s="281" t="str">
        <f>IFERROR(H187-F187,"")</f>
        <v>#ERROR!</v>
      </c>
      <c r="K187" s="281" t="str">
        <f>IFERROR(I187-G187,"")</f>
        <v>#ERROR!</v>
      </c>
      <c r="L187" s="233"/>
    </row>
    <row r="188">
      <c r="A188" s="303"/>
      <c r="B188" s="235"/>
      <c r="C188" s="235"/>
      <c r="D188" s="235"/>
      <c r="E188" s="235"/>
      <c r="F188" s="235"/>
      <c r="G188" s="235"/>
      <c r="H188" s="235"/>
      <c r="I188" s="235"/>
      <c r="J188" s="283" t="str">
        <f>IFERROR(H188-F188,"")</f>
        <v>#ERROR!</v>
      </c>
      <c r="K188" s="283" t="str">
        <f>IFERROR(I188-G188,"")</f>
        <v>#ERROR!</v>
      </c>
      <c r="L188" s="240"/>
    </row>
    <row r="189">
      <c r="A189" s="301"/>
      <c r="B189" s="227"/>
      <c r="C189" s="227"/>
      <c r="D189" s="227"/>
      <c r="E189" s="227"/>
      <c r="F189" s="227"/>
      <c r="G189" s="227"/>
      <c r="H189" s="227"/>
      <c r="I189" s="227"/>
      <c r="J189" s="281" t="str">
        <f>IFERROR(H189-F189,"")</f>
        <v>#ERROR!</v>
      </c>
      <c r="K189" s="281" t="str">
        <f>IFERROR(I189-G189,"")</f>
        <v>#ERROR!</v>
      </c>
      <c r="L189" s="233"/>
    </row>
    <row r="190">
      <c r="A190" s="303"/>
      <c r="B190" s="235"/>
      <c r="C190" s="235"/>
      <c r="D190" s="235"/>
      <c r="E190" s="235"/>
      <c r="F190" s="235"/>
      <c r="G190" s="235"/>
      <c r="H190" s="235"/>
      <c r="I190" s="235"/>
      <c r="J190" s="283" t="str">
        <f>IFERROR(H190-F190,"")</f>
        <v>#ERROR!</v>
      </c>
      <c r="K190" s="283" t="str">
        <f>IFERROR(I190-G190,"")</f>
        <v>#ERROR!</v>
      </c>
      <c r="L190" s="240"/>
    </row>
    <row r="191">
      <c r="A191" s="301"/>
      <c r="B191" s="227"/>
      <c r="C191" s="227"/>
      <c r="D191" s="227"/>
      <c r="E191" s="227"/>
      <c r="F191" s="227"/>
      <c r="G191" s="227"/>
      <c r="H191" s="227"/>
      <c r="I191" s="227"/>
      <c r="J191" s="281" t="str">
        <f>IFERROR(H191-F191,"")</f>
        <v>#ERROR!</v>
      </c>
      <c r="K191" s="281" t="str">
        <f>IFERROR(I191-G191,"")</f>
        <v>#ERROR!</v>
      </c>
      <c r="L191" s="233"/>
    </row>
    <row r="192">
      <c r="A192" s="303"/>
      <c r="B192" s="235"/>
      <c r="C192" s="235"/>
      <c r="D192" s="235"/>
      <c r="E192" s="235"/>
      <c r="F192" s="235"/>
      <c r="G192" s="235"/>
      <c r="H192" s="235"/>
      <c r="I192" s="235"/>
      <c r="J192" s="283" t="str">
        <f>IFERROR(H192-F192,"")</f>
        <v>#ERROR!</v>
      </c>
      <c r="K192" s="283" t="str">
        <f>IFERROR(I192-G192,"")</f>
        <v>#ERROR!</v>
      </c>
      <c r="L192" s="240"/>
    </row>
    <row r="193">
      <c r="A193" s="301"/>
      <c r="B193" s="227"/>
      <c r="C193" s="227"/>
      <c r="D193" s="227"/>
      <c r="E193" s="227"/>
      <c r="F193" s="227"/>
      <c r="G193" s="227"/>
      <c r="H193" s="227"/>
      <c r="I193" s="227"/>
      <c r="J193" s="281" t="str">
        <f>IFERROR(H193-F193,"")</f>
        <v>#ERROR!</v>
      </c>
      <c r="K193" s="281" t="str">
        <f>IFERROR(I193-G193,"")</f>
        <v>#ERROR!</v>
      </c>
      <c r="L193" s="233"/>
    </row>
    <row r="194">
      <c r="A194" s="303"/>
      <c r="B194" s="235"/>
      <c r="C194" s="235"/>
      <c r="D194" s="235"/>
      <c r="E194" s="235"/>
      <c r="F194" s="235"/>
      <c r="G194" s="235"/>
      <c r="H194" s="235"/>
      <c r="I194" s="235"/>
      <c r="J194" s="283" t="str">
        <f>IFERROR(H194-F194,"")</f>
        <v>#ERROR!</v>
      </c>
      <c r="K194" s="283" t="str">
        <f>IFERROR(I194-G194,"")</f>
        <v>#ERROR!</v>
      </c>
      <c r="L194" s="240"/>
    </row>
    <row r="195">
      <c r="A195" s="301"/>
      <c r="B195" s="227"/>
      <c r="C195" s="227"/>
      <c r="D195" s="227"/>
      <c r="E195" s="227"/>
      <c r="F195" s="227"/>
      <c r="G195" s="227"/>
      <c r="H195" s="227"/>
      <c r="I195" s="227"/>
      <c r="J195" s="281" t="str">
        <f>IFERROR(H195-F195,"")</f>
        <v>#ERROR!</v>
      </c>
      <c r="K195" s="281" t="str">
        <f>IFERROR(I195-G195,"")</f>
        <v>#ERROR!</v>
      </c>
      <c r="L195" s="233"/>
    </row>
    <row r="196">
      <c r="A196" s="303"/>
      <c r="B196" s="235"/>
      <c r="C196" s="235"/>
      <c r="D196" s="235"/>
      <c r="E196" s="235"/>
      <c r="F196" s="235"/>
      <c r="G196" s="235"/>
      <c r="H196" s="235"/>
      <c r="I196" s="235"/>
      <c r="J196" s="283" t="str">
        <f>IFERROR(H196-F196,"")</f>
        <v>#ERROR!</v>
      </c>
      <c r="K196" s="283" t="str">
        <f>IFERROR(I196-G196,"")</f>
        <v>#ERROR!</v>
      </c>
      <c r="L196" s="240"/>
    </row>
    <row r="197">
      <c r="A197" s="301"/>
      <c r="B197" s="227"/>
      <c r="C197" s="227"/>
      <c r="D197" s="227"/>
      <c r="E197" s="227"/>
      <c r="F197" s="227"/>
      <c r="G197" s="227"/>
      <c r="H197" s="227"/>
      <c r="I197" s="227"/>
      <c r="J197" s="281" t="str">
        <f>IFERROR(H197-F197,"")</f>
        <v>#ERROR!</v>
      </c>
      <c r="K197" s="281" t="str">
        <f>IFERROR(I197-G197,"")</f>
        <v>#ERROR!</v>
      </c>
      <c r="L197" s="233"/>
    </row>
    <row r="198">
      <c r="A198" s="303"/>
      <c r="B198" s="235"/>
      <c r="C198" s="235"/>
      <c r="D198" s="235"/>
      <c r="E198" s="235"/>
      <c r="F198" s="235"/>
      <c r="G198" s="235"/>
      <c r="H198" s="235"/>
      <c r="I198" s="235"/>
      <c r="J198" s="283" t="str">
        <f>IFERROR(H198-F198,"")</f>
        <v>#ERROR!</v>
      </c>
      <c r="K198" s="283" t="str">
        <f>IFERROR(I198-G198,"")</f>
        <v>#ERROR!</v>
      </c>
      <c r="L198" s="240"/>
    </row>
    <row r="199">
      <c r="A199" s="301"/>
      <c r="B199" s="227"/>
      <c r="C199" s="227"/>
      <c r="D199" s="227"/>
      <c r="E199" s="227"/>
      <c r="F199" s="227"/>
      <c r="G199" s="227"/>
      <c r="H199" s="227"/>
      <c r="I199" s="227"/>
      <c r="J199" s="281" t="str">
        <f>IFERROR(H199-F199,"")</f>
        <v>#ERROR!</v>
      </c>
      <c r="K199" s="281" t="str">
        <f>IFERROR(I199-G199,"")</f>
        <v>#ERROR!</v>
      </c>
      <c r="L199" s="233"/>
    </row>
    <row r="200">
      <c r="A200" s="303"/>
      <c r="B200" s="235"/>
      <c r="C200" s="235"/>
      <c r="D200" s="235"/>
      <c r="E200" s="235"/>
      <c r="F200" s="235"/>
      <c r="G200" s="235"/>
      <c r="H200" s="235"/>
      <c r="I200" s="235"/>
      <c r="J200" s="283" t="str">
        <f>IFERROR(H200-F200,"")</f>
        <v>#ERROR!</v>
      </c>
      <c r="K200" s="283" t="str">
        <f>IFERROR(I200-G200,"")</f>
        <v>#ERROR!</v>
      </c>
      <c r="L200" s="240"/>
    </row>
    <row r="201">
      <c r="A201" s="301"/>
      <c r="B201" s="227"/>
      <c r="C201" s="227"/>
      <c r="D201" s="227"/>
      <c r="E201" s="227"/>
      <c r="F201" s="227"/>
      <c r="G201" s="227"/>
      <c r="H201" s="227"/>
      <c r="I201" s="227"/>
      <c r="J201" s="281" t="str">
        <f>IFERROR(H201-F201,"")</f>
        <v>#ERROR!</v>
      </c>
      <c r="K201" s="281" t="str">
        <f>IFERROR(I201-G201,"")</f>
        <v>#ERROR!</v>
      </c>
      <c r="L201" s="233"/>
    </row>
    <row r="202">
      <c r="A202" s="303"/>
      <c r="B202" s="235"/>
      <c r="C202" s="235"/>
      <c r="D202" s="235"/>
      <c r="E202" s="235"/>
      <c r="F202" s="235"/>
      <c r="G202" s="235"/>
      <c r="H202" s="235"/>
      <c r="I202" s="235"/>
      <c r="J202" s="283" t="str">
        <f>IFERROR(H202-F202,"")</f>
        <v>#ERROR!</v>
      </c>
      <c r="K202" s="283" t="str">
        <f>IFERROR(I202-G202,"")</f>
        <v>#ERROR!</v>
      </c>
      <c r="L202" s="240"/>
    </row>
    <row r="203">
      <c r="A203" s="305"/>
      <c r="B203" s="246"/>
      <c r="C203" s="246"/>
      <c r="D203" s="246"/>
      <c r="E203" s="246"/>
      <c r="F203" s="246"/>
      <c r="G203" s="246"/>
      <c r="H203" s="246"/>
      <c r="I203" s="246"/>
      <c r="J203" s="285" t="str">
        <f>IFERROR(H203-F203,"")</f>
        <v>#ERROR!</v>
      </c>
      <c r="K203" s="285" t="str">
        <f>IFERROR(I203-G203,"")</f>
        <v>#ERROR!</v>
      </c>
      <c r="L203" s="251"/>
    </row>
  </sheetData>
  <mergeCells count="2">
    <mergeCell ref="A1:L1"/>
    <mergeCell ref="A2:L2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392B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0"/>
    <col customWidth="1" min="2" max="2" width="17.63"/>
    <col customWidth="1" min="3" max="3" width="27.63"/>
    <col customWidth="1" min="4" max="5" width="13.88"/>
    <col customWidth="1" min="6" max="6" width="12.63"/>
    <col customWidth="1" min="7" max="7" width="27.63"/>
    <col customWidth="1" min="8" max="8" width="16.38"/>
    <col customWidth="1" min="9" max="9" width="12.63"/>
    <col customWidth="1" min="10" max="10" width="22.63"/>
  </cols>
  <sheetData>
    <row r="1" ht="25.5" customHeight="1">
      <c r="A1" s="30" t="s">
        <v>993</v>
      </c>
    </row>
    <row r="2" ht="25.5" customHeight="1">
      <c r="A2" s="40" t="s">
        <v>994</v>
      </c>
    </row>
    <row r="3" ht="21.0" customHeight="1">
      <c r="A3" s="31" t="s">
        <v>73</v>
      </c>
      <c r="B3" s="31" t="s">
        <v>995</v>
      </c>
      <c r="C3" s="31" t="s">
        <v>996</v>
      </c>
      <c r="D3" s="31" t="s">
        <v>997</v>
      </c>
      <c r="E3" s="31" t="s">
        <v>998</v>
      </c>
      <c r="F3" s="31" t="s">
        <v>105</v>
      </c>
      <c r="G3" s="31" t="s">
        <v>999</v>
      </c>
      <c r="H3" s="31" t="s">
        <v>1000</v>
      </c>
      <c r="I3" s="31" t="s">
        <v>1001</v>
      </c>
      <c r="J3" s="31" t="s">
        <v>61</v>
      </c>
    </row>
    <row r="4">
      <c r="A4" s="290">
        <v>46107.04166666667</v>
      </c>
      <c r="B4" s="216" t="s">
        <v>1002</v>
      </c>
      <c r="C4" s="216" t="s">
        <v>1003</v>
      </c>
      <c r="D4" s="221">
        <v>2.0</v>
      </c>
      <c r="E4" s="217"/>
      <c r="F4" s="366" t="str">
        <f>IF(D4="","",IF(D4&gt;E4,"NC","OK"))</f>
        <v>#ERROR!</v>
      </c>
      <c r="G4" s="217"/>
      <c r="H4" s="216" t="s">
        <v>48</v>
      </c>
      <c r="I4" s="278"/>
      <c r="J4" s="223"/>
    </row>
    <row r="5">
      <c r="A5" s="293">
        <v>46107.04166666667</v>
      </c>
      <c r="B5" s="226" t="s">
        <v>1004</v>
      </c>
      <c r="C5" s="226" t="s">
        <v>1005</v>
      </c>
      <c r="D5" s="231">
        <v>2.0</v>
      </c>
      <c r="E5" s="231">
        <v>4.0</v>
      </c>
      <c r="F5" s="367" t="str">
        <f>IF(D5="","",IF(D5&gt;E5,"NC","OK"))</f>
        <v>#ERROR!</v>
      </c>
      <c r="G5" s="227"/>
      <c r="H5" s="226" t="s">
        <v>48</v>
      </c>
      <c r="I5" s="266"/>
      <c r="J5" s="233"/>
    </row>
    <row r="6">
      <c r="A6" s="296">
        <v>46112.08333333333</v>
      </c>
      <c r="B6" s="234" t="s">
        <v>1006</v>
      </c>
      <c r="C6" s="234" t="s">
        <v>1007</v>
      </c>
      <c r="D6" s="238">
        <v>115.0</v>
      </c>
      <c r="E6" s="238">
        <v>115.0</v>
      </c>
      <c r="F6" s="368" t="str">
        <f>IF(D6="","",IF(D6&gt;E6,"NC","OK"))</f>
        <v>#ERROR!</v>
      </c>
      <c r="G6" s="235"/>
      <c r="H6" s="235"/>
      <c r="I6" s="270"/>
      <c r="J6" s="240"/>
    </row>
    <row r="7">
      <c r="A7" s="293">
        <v>46112.08333333333</v>
      </c>
      <c r="B7" s="226" t="s">
        <v>1006</v>
      </c>
      <c r="C7" s="226" t="s">
        <v>1008</v>
      </c>
      <c r="D7" s="231">
        <v>116.0</v>
      </c>
      <c r="E7" s="231">
        <v>115.0</v>
      </c>
      <c r="F7" s="367" t="str">
        <f>IF(D7="","",IF(D7&gt;E7,"NC","OK"))</f>
        <v>#ERROR!</v>
      </c>
      <c r="G7" s="227"/>
      <c r="H7" s="227"/>
      <c r="I7" s="266"/>
      <c r="J7" s="233"/>
    </row>
    <row r="8">
      <c r="A8" s="296">
        <v>46113.08333333333</v>
      </c>
      <c r="B8" s="234" t="s">
        <v>1006</v>
      </c>
      <c r="C8" s="234" t="s">
        <v>1009</v>
      </c>
      <c r="D8" s="238">
        <v>115.0</v>
      </c>
      <c r="E8" s="238">
        <v>115.0</v>
      </c>
      <c r="F8" s="368" t="str">
        <f>IF(D8="","",IF(ISNUMBER(SEARCH("temp",LOWER(B8))),IF(D8&lt;E8,"NC","OK"),IF(D8&gt;E8,"NC","OK")))</f>
        <v>#ERROR!</v>
      </c>
      <c r="G8" s="235"/>
      <c r="H8" s="235"/>
      <c r="I8" s="270"/>
      <c r="J8" s="240"/>
    </row>
    <row r="9">
      <c r="A9" s="293">
        <v>46113.08333333333</v>
      </c>
      <c r="B9" s="226" t="s">
        <v>1006</v>
      </c>
      <c r="C9" s="226" t="s">
        <v>1010</v>
      </c>
      <c r="D9" s="231">
        <v>115.0</v>
      </c>
      <c r="E9" s="231">
        <v>115.0</v>
      </c>
      <c r="F9" s="367" t="str">
        <f>IF(D9="","",IF(ISNUMBER(SEARCH("temp",LOWER(B9))),IF(D9&lt;E9,"NC","OK"),IF(D9&gt;E9,"NC","OK")))</f>
        <v>#ERROR!</v>
      </c>
      <c r="G9" s="227"/>
      <c r="H9" s="227"/>
      <c r="I9" s="266"/>
      <c r="J9" s="233"/>
    </row>
    <row r="10">
      <c r="A10" s="296">
        <v>46114.08333333333</v>
      </c>
      <c r="B10" s="234" t="s">
        <v>1006</v>
      </c>
      <c r="C10" s="234" t="s">
        <v>1011</v>
      </c>
      <c r="D10" s="238">
        <v>115.0</v>
      </c>
      <c r="E10" s="238">
        <v>115.0</v>
      </c>
      <c r="F10" s="368" t="str">
        <f>IF(D10="","",IF(ISNUMBER(SEARCH("temp",LOWER(B10))),IF(D10&lt;E10,"NC","OK"),IF(D10&gt;E10,"NC","OK")))</f>
        <v>#ERROR!</v>
      </c>
      <c r="G10" s="235"/>
      <c r="H10" s="234" t="s">
        <v>48</v>
      </c>
      <c r="I10" s="270"/>
      <c r="J10" s="240"/>
    </row>
    <row r="11">
      <c r="A11" s="301"/>
      <c r="B11" s="227"/>
      <c r="C11" s="227"/>
      <c r="D11" s="227"/>
      <c r="E11" s="227"/>
      <c r="F11" s="367" t="str">
        <f>IF(D11="","",IF(D11&gt;E11,"NC","OK"))</f>
        <v>#ERROR!</v>
      </c>
      <c r="G11" s="227"/>
      <c r="H11" s="227"/>
      <c r="I11" s="266"/>
      <c r="J11" s="233"/>
    </row>
    <row r="12">
      <c r="A12" s="303"/>
      <c r="B12" s="235"/>
      <c r="C12" s="235"/>
      <c r="D12" s="235"/>
      <c r="E12" s="235"/>
      <c r="F12" s="368" t="str">
        <f>IF(D12="","",IF(D12&gt;E12,"NC","OK"))</f>
        <v>#ERROR!</v>
      </c>
      <c r="G12" s="235"/>
      <c r="H12" s="235"/>
      <c r="I12" s="270"/>
      <c r="J12" s="240"/>
    </row>
    <row r="13">
      <c r="A13" s="301"/>
      <c r="B13" s="227"/>
      <c r="C13" s="227"/>
      <c r="D13" s="227"/>
      <c r="E13" s="227"/>
      <c r="F13" s="367" t="str">
        <f>IF(D13="","",IF(D13&gt;E13,"NC","OK"))</f>
        <v>#ERROR!</v>
      </c>
      <c r="G13" s="227"/>
      <c r="H13" s="227"/>
      <c r="I13" s="266"/>
      <c r="J13" s="233"/>
    </row>
    <row r="14">
      <c r="A14" s="303"/>
      <c r="B14" s="235"/>
      <c r="C14" s="235"/>
      <c r="D14" s="235"/>
      <c r="E14" s="235"/>
      <c r="F14" s="368" t="str">
        <f>IF(D14="","",IF(D14&gt;E14,"NC","OK"))</f>
        <v>#ERROR!</v>
      </c>
      <c r="G14" s="235"/>
      <c r="H14" s="235"/>
      <c r="I14" s="270"/>
      <c r="J14" s="240"/>
    </row>
    <row r="15">
      <c r="A15" s="301"/>
      <c r="B15" s="227"/>
      <c r="C15" s="227"/>
      <c r="D15" s="227"/>
      <c r="E15" s="227"/>
      <c r="F15" s="367" t="str">
        <f>IF(D15="","",IF(D15&gt;E15,"NC","OK"))</f>
        <v>#ERROR!</v>
      </c>
      <c r="G15" s="227"/>
      <c r="H15" s="227"/>
      <c r="I15" s="266"/>
      <c r="J15" s="233"/>
    </row>
    <row r="16">
      <c r="A16" s="303"/>
      <c r="B16" s="235"/>
      <c r="C16" s="235"/>
      <c r="D16" s="235"/>
      <c r="E16" s="235"/>
      <c r="F16" s="368" t="str">
        <f>IF(D16="","",IF(D16&gt;E16,"NC","OK"))</f>
        <v>#ERROR!</v>
      </c>
      <c r="G16" s="235"/>
      <c r="H16" s="235"/>
      <c r="I16" s="270"/>
      <c r="J16" s="240"/>
    </row>
    <row r="17">
      <c r="A17" s="301"/>
      <c r="B17" s="227"/>
      <c r="C17" s="227"/>
      <c r="D17" s="227"/>
      <c r="E17" s="227"/>
      <c r="F17" s="367" t="str">
        <f>IF(D17="","",IF(D17&gt;E17,"NC","OK"))</f>
        <v>#ERROR!</v>
      </c>
      <c r="G17" s="227"/>
      <c r="H17" s="227"/>
      <c r="I17" s="266"/>
      <c r="J17" s="233"/>
    </row>
    <row r="18">
      <c r="A18" s="303"/>
      <c r="B18" s="235"/>
      <c r="C18" s="235"/>
      <c r="D18" s="235"/>
      <c r="E18" s="235"/>
      <c r="F18" s="368" t="str">
        <f>IF(D18="","",IF(D18&gt;E18,"NC","OK"))</f>
        <v>#ERROR!</v>
      </c>
      <c r="G18" s="235"/>
      <c r="H18" s="235"/>
      <c r="I18" s="270"/>
      <c r="J18" s="240"/>
    </row>
    <row r="19">
      <c r="A19" s="301"/>
      <c r="B19" s="227"/>
      <c r="C19" s="227"/>
      <c r="D19" s="227"/>
      <c r="E19" s="227"/>
      <c r="F19" s="367" t="str">
        <f>IF(D19="","",IF(D19&gt;E19,"NC","OK"))</f>
        <v>#ERROR!</v>
      </c>
      <c r="G19" s="227"/>
      <c r="H19" s="227"/>
      <c r="I19" s="266"/>
      <c r="J19" s="233"/>
    </row>
    <row r="20">
      <c r="A20" s="303"/>
      <c r="B20" s="235"/>
      <c r="C20" s="235"/>
      <c r="D20" s="235"/>
      <c r="E20" s="235"/>
      <c r="F20" s="368" t="str">
        <f>IF(D20="","",IF(D20&gt;E20,"NC","OK"))</f>
        <v>#ERROR!</v>
      </c>
      <c r="G20" s="235"/>
      <c r="H20" s="235"/>
      <c r="I20" s="270"/>
      <c r="J20" s="240"/>
    </row>
    <row r="21">
      <c r="A21" s="301"/>
      <c r="B21" s="227"/>
      <c r="C21" s="227"/>
      <c r="D21" s="227"/>
      <c r="E21" s="227"/>
      <c r="F21" s="367" t="str">
        <f>IF(D21="","",IF(D21&gt;E21,"NC","OK"))</f>
        <v>#ERROR!</v>
      </c>
      <c r="G21" s="227"/>
      <c r="H21" s="227"/>
      <c r="I21" s="266"/>
      <c r="J21" s="233"/>
    </row>
    <row r="22">
      <c r="A22" s="303"/>
      <c r="B22" s="235"/>
      <c r="C22" s="235"/>
      <c r="D22" s="235"/>
      <c r="E22" s="235"/>
      <c r="F22" s="368" t="str">
        <f>IF(D22="","",IF(D22&gt;E22,"NC","OK"))</f>
        <v>#ERROR!</v>
      </c>
      <c r="G22" s="235"/>
      <c r="H22" s="235"/>
      <c r="I22" s="270"/>
      <c r="J22" s="240"/>
    </row>
    <row r="23">
      <c r="A23" s="301"/>
      <c r="B23" s="227"/>
      <c r="C23" s="227"/>
      <c r="D23" s="227"/>
      <c r="E23" s="227"/>
      <c r="F23" s="367" t="str">
        <f>IF(D23="","",IF(D23&gt;E23,"NC","OK"))</f>
        <v>#ERROR!</v>
      </c>
      <c r="G23" s="227"/>
      <c r="H23" s="227"/>
      <c r="I23" s="266"/>
      <c r="J23" s="233"/>
    </row>
    <row r="24">
      <c r="A24" s="303"/>
      <c r="B24" s="235"/>
      <c r="C24" s="235"/>
      <c r="D24" s="235"/>
      <c r="E24" s="235"/>
      <c r="F24" s="368" t="str">
        <f>IF(D24="","",IF(D24&gt;E24,"NC","OK"))</f>
        <v>#ERROR!</v>
      </c>
      <c r="G24" s="235"/>
      <c r="H24" s="235"/>
      <c r="I24" s="270"/>
      <c r="J24" s="240"/>
    </row>
    <row r="25">
      <c r="A25" s="301"/>
      <c r="B25" s="227"/>
      <c r="C25" s="227"/>
      <c r="D25" s="227"/>
      <c r="E25" s="227"/>
      <c r="F25" s="367" t="str">
        <f>IF(D25="","",IF(D25&gt;E25,"NC","OK"))</f>
        <v>#ERROR!</v>
      </c>
      <c r="G25" s="227"/>
      <c r="H25" s="227"/>
      <c r="I25" s="266"/>
      <c r="J25" s="233"/>
    </row>
    <row r="26">
      <c r="A26" s="303"/>
      <c r="B26" s="235"/>
      <c r="C26" s="235"/>
      <c r="D26" s="235"/>
      <c r="E26" s="235"/>
      <c r="F26" s="368" t="str">
        <f>IF(D26="","",IF(D26&gt;E26,"NC","OK"))</f>
        <v>#ERROR!</v>
      </c>
      <c r="G26" s="235"/>
      <c r="H26" s="235"/>
      <c r="I26" s="270"/>
      <c r="J26" s="240"/>
    </row>
    <row r="27">
      <c r="A27" s="301"/>
      <c r="B27" s="227"/>
      <c r="C27" s="227"/>
      <c r="D27" s="227"/>
      <c r="E27" s="227"/>
      <c r="F27" s="367" t="str">
        <f>IF(D27="","",IF(D27&gt;E27,"NC","OK"))</f>
        <v>#ERROR!</v>
      </c>
      <c r="G27" s="227"/>
      <c r="H27" s="227"/>
      <c r="I27" s="266"/>
      <c r="J27" s="233"/>
    </row>
    <row r="28">
      <c r="A28" s="303"/>
      <c r="B28" s="235"/>
      <c r="C28" s="235"/>
      <c r="D28" s="235"/>
      <c r="E28" s="235"/>
      <c r="F28" s="368" t="str">
        <f>IF(D28="","",IF(D28&gt;E28,"NC","OK"))</f>
        <v>#ERROR!</v>
      </c>
      <c r="G28" s="235"/>
      <c r="H28" s="235"/>
      <c r="I28" s="270"/>
      <c r="J28" s="240"/>
    </row>
    <row r="29">
      <c r="A29" s="301"/>
      <c r="B29" s="227"/>
      <c r="C29" s="227"/>
      <c r="D29" s="227"/>
      <c r="E29" s="227"/>
      <c r="F29" s="367" t="str">
        <f>IF(D29="","",IF(D29&gt;E29,"NC","OK"))</f>
        <v>#ERROR!</v>
      </c>
      <c r="G29" s="227"/>
      <c r="H29" s="227"/>
      <c r="I29" s="266"/>
      <c r="J29" s="233"/>
    </row>
    <row r="30">
      <c r="A30" s="303"/>
      <c r="B30" s="235"/>
      <c r="C30" s="235"/>
      <c r="D30" s="235"/>
      <c r="E30" s="235"/>
      <c r="F30" s="368" t="str">
        <f>IF(D30="","",IF(D30&gt;E30,"NC","OK"))</f>
        <v>#ERROR!</v>
      </c>
      <c r="G30" s="235"/>
      <c r="H30" s="235"/>
      <c r="I30" s="270"/>
      <c r="J30" s="240"/>
    </row>
    <row r="31">
      <c r="A31" s="301"/>
      <c r="B31" s="227"/>
      <c r="C31" s="227"/>
      <c r="D31" s="227"/>
      <c r="E31" s="227"/>
      <c r="F31" s="367" t="str">
        <f>IF(D31="","",IF(D31&gt;E31,"NC","OK"))</f>
        <v>#ERROR!</v>
      </c>
      <c r="G31" s="227"/>
      <c r="H31" s="227"/>
      <c r="I31" s="266"/>
      <c r="J31" s="233"/>
    </row>
    <row r="32">
      <c r="A32" s="303"/>
      <c r="B32" s="235"/>
      <c r="C32" s="235"/>
      <c r="D32" s="235"/>
      <c r="E32" s="235"/>
      <c r="F32" s="368" t="str">
        <f>IF(D32="","",IF(D32&gt;E32,"NC","OK"))</f>
        <v>#ERROR!</v>
      </c>
      <c r="G32" s="235"/>
      <c r="H32" s="235"/>
      <c r="I32" s="270"/>
      <c r="J32" s="240"/>
    </row>
    <row r="33">
      <c r="A33" s="301"/>
      <c r="B33" s="227"/>
      <c r="C33" s="227"/>
      <c r="D33" s="227"/>
      <c r="E33" s="227"/>
      <c r="F33" s="367" t="str">
        <f>IF(D33="","",IF(D33&gt;E33,"NC","OK"))</f>
        <v>#ERROR!</v>
      </c>
      <c r="G33" s="227"/>
      <c r="H33" s="227"/>
      <c r="I33" s="266"/>
      <c r="J33" s="233"/>
    </row>
    <row r="34">
      <c r="A34" s="303"/>
      <c r="B34" s="235"/>
      <c r="C34" s="235"/>
      <c r="D34" s="235"/>
      <c r="E34" s="235"/>
      <c r="F34" s="368" t="str">
        <f>IF(D34="","",IF(D34&gt;E34,"NC","OK"))</f>
        <v>#ERROR!</v>
      </c>
      <c r="G34" s="235"/>
      <c r="H34" s="235"/>
      <c r="I34" s="270"/>
      <c r="J34" s="240"/>
    </row>
    <row r="35">
      <c r="A35" s="301"/>
      <c r="B35" s="227"/>
      <c r="C35" s="227"/>
      <c r="D35" s="227"/>
      <c r="E35" s="227"/>
      <c r="F35" s="367" t="str">
        <f>IF(D35="","",IF(D35&gt;E35,"NC","OK"))</f>
        <v>#ERROR!</v>
      </c>
      <c r="G35" s="227"/>
      <c r="H35" s="227"/>
      <c r="I35" s="266"/>
      <c r="J35" s="233"/>
    </row>
    <row r="36">
      <c r="A36" s="303"/>
      <c r="B36" s="235"/>
      <c r="C36" s="235"/>
      <c r="D36" s="235"/>
      <c r="E36" s="235"/>
      <c r="F36" s="368" t="str">
        <f>IF(D36="","",IF(D36&gt;E36,"NC","OK"))</f>
        <v>#ERROR!</v>
      </c>
      <c r="G36" s="235"/>
      <c r="H36" s="235"/>
      <c r="I36" s="270"/>
      <c r="J36" s="240"/>
    </row>
    <row r="37">
      <c r="A37" s="301"/>
      <c r="B37" s="227"/>
      <c r="C37" s="227"/>
      <c r="D37" s="227"/>
      <c r="E37" s="227"/>
      <c r="F37" s="367" t="str">
        <f>IF(D37="","",IF(D37&gt;E37,"NC","OK"))</f>
        <v>#ERROR!</v>
      </c>
      <c r="G37" s="227"/>
      <c r="H37" s="227"/>
      <c r="I37" s="266"/>
      <c r="J37" s="233"/>
    </row>
    <row r="38">
      <c r="A38" s="303"/>
      <c r="B38" s="235"/>
      <c r="C38" s="235"/>
      <c r="D38" s="235"/>
      <c r="E38" s="235"/>
      <c r="F38" s="368" t="str">
        <f>IF(D38="","",IF(D38&gt;E38,"NC","OK"))</f>
        <v>#ERROR!</v>
      </c>
      <c r="G38" s="235"/>
      <c r="H38" s="235"/>
      <c r="I38" s="270"/>
      <c r="J38" s="240"/>
    </row>
    <row r="39">
      <c r="A39" s="301"/>
      <c r="B39" s="227"/>
      <c r="C39" s="227"/>
      <c r="D39" s="227"/>
      <c r="E39" s="227"/>
      <c r="F39" s="367" t="str">
        <f>IF(D39="","",IF(D39&gt;E39,"NC","OK"))</f>
        <v>#ERROR!</v>
      </c>
      <c r="G39" s="227"/>
      <c r="H39" s="227"/>
      <c r="I39" s="266"/>
      <c r="J39" s="233"/>
    </row>
    <row r="40">
      <c r="A40" s="303"/>
      <c r="B40" s="235"/>
      <c r="C40" s="235"/>
      <c r="D40" s="235"/>
      <c r="E40" s="235"/>
      <c r="F40" s="368" t="str">
        <f>IF(D40="","",IF(D40&gt;E40,"NC","OK"))</f>
        <v>#ERROR!</v>
      </c>
      <c r="G40" s="235"/>
      <c r="H40" s="235"/>
      <c r="I40" s="270"/>
      <c r="J40" s="240"/>
    </row>
    <row r="41">
      <c r="A41" s="301"/>
      <c r="B41" s="227"/>
      <c r="C41" s="227"/>
      <c r="D41" s="227"/>
      <c r="E41" s="227"/>
      <c r="F41" s="367" t="str">
        <f>IF(D41="","",IF(D41&gt;E41,"NC","OK"))</f>
        <v>#ERROR!</v>
      </c>
      <c r="G41" s="227"/>
      <c r="H41" s="227"/>
      <c r="I41" s="266"/>
      <c r="J41" s="233"/>
    </row>
    <row r="42">
      <c r="A42" s="303"/>
      <c r="B42" s="235"/>
      <c r="C42" s="235"/>
      <c r="D42" s="235"/>
      <c r="E42" s="235"/>
      <c r="F42" s="368" t="str">
        <f>IF(D42="","",IF(D42&gt;E42,"NC","OK"))</f>
        <v>#ERROR!</v>
      </c>
      <c r="G42" s="235"/>
      <c r="H42" s="235"/>
      <c r="I42" s="270"/>
      <c r="J42" s="240"/>
    </row>
    <row r="43">
      <c r="A43" s="301"/>
      <c r="B43" s="227"/>
      <c r="C43" s="227"/>
      <c r="D43" s="227"/>
      <c r="E43" s="227"/>
      <c r="F43" s="367" t="str">
        <f>IF(D43="","",IF(D43&gt;E43,"NC","OK"))</f>
        <v>#ERROR!</v>
      </c>
      <c r="G43" s="227"/>
      <c r="H43" s="227"/>
      <c r="I43" s="266"/>
      <c r="J43" s="233"/>
    </row>
    <row r="44">
      <c r="A44" s="303"/>
      <c r="B44" s="235"/>
      <c r="C44" s="235"/>
      <c r="D44" s="235"/>
      <c r="E44" s="235"/>
      <c r="F44" s="368" t="str">
        <f>IF(D44="","",IF(D44&gt;E44,"NC","OK"))</f>
        <v>#ERROR!</v>
      </c>
      <c r="G44" s="235"/>
      <c r="H44" s="235"/>
      <c r="I44" s="270"/>
      <c r="J44" s="240"/>
    </row>
    <row r="45">
      <c r="A45" s="301"/>
      <c r="B45" s="227"/>
      <c r="C45" s="227"/>
      <c r="D45" s="227"/>
      <c r="E45" s="227"/>
      <c r="F45" s="367" t="str">
        <f>IF(D45="","",IF(D45&gt;E45,"NC","OK"))</f>
        <v>#ERROR!</v>
      </c>
      <c r="G45" s="227"/>
      <c r="H45" s="227"/>
      <c r="I45" s="266"/>
      <c r="J45" s="233"/>
    </row>
    <row r="46">
      <c r="A46" s="303"/>
      <c r="B46" s="235"/>
      <c r="C46" s="235"/>
      <c r="D46" s="235"/>
      <c r="E46" s="235"/>
      <c r="F46" s="368" t="str">
        <f>IF(D46="","",IF(D46&gt;E46,"NC","OK"))</f>
        <v>#ERROR!</v>
      </c>
      <c r="G46" s="235"/>
      <c r="H46" s="235"/>
      <c r="I46" s="270"/>
      <c r="J46" s="240"/>
    </row>
    <row r="47">
      <c r="A47" s="301"/>
      <c r="B47" s="227"/>
      <c r="C47" s="227"/>
      <c r="D47" s="227"/>
      <c r="E47" s="227"/>
      <c r="F47" s="367" t="str">
        <f>IF(D47="","",IF(D47&gt;E47,"NC","OK"))</f>
        <v>#ERROR!</v>
      </c>
      <c r="G47" s="227"/>
      <c r="H47" s="227"/>
      <c r="I47" s="266"/>
      <c r="J47" s="233"/>
    </row>
    <row r="48">
      <c r="A48" s="303"/>
      <c r="B48" s="235"/>
      <c r="C48" s="235"/>
      <c r="D48" s="235"/>
      <c r="E48" s="235"/>
      <c r="F48" s="368" t="str">
        <f>IF(D48="","",IF(D48&gt;E48,"NC","OK"))</f>
        <v>#ERROR!</v>
      </c>
      <c r="G48" s="235"/>
      <c r="H48" s="235"/>
      <c r="I48" s="270"/>
      <c r="J48" s="240"/>
    </row>
    <row r="49">
      <c r="A49" s="301"/>
      <c r="B49" s="227"/>
      <c r="C49" s="227"/>
      <c r="D49" s="227"/>
      <c r="E49" s="227"/>
      <c r="F49" s="367" t="str">
        <f>IF(D49="","",IF(D49&gt;E49,"NC","OK"))</f>
        <v>#ERROR!</v>
      </c>
      <c r="G49" s="227"/>
      <c r="H49" s="227"/>
      <c r="I49" s="266"/>
      <c r="J49" s="233"/>
    </row>
    <row r="50">
      <c r="A50" s="303"/>
      <c r="B50" s="235"/>
      <c r="C50" s="235"/>
      <c r="D50" s="235"/>
      <c r="E50" s="235"/>
      <c r="F50" s="368" t="str">
        <f>IF(D50="","",IF(D50&gt;E50,"NC","OK"))</f>
        <v>#ERROR!</v>
      </c>
      <c r="G50" s="235"/>
      <c r="H50" s="235"/>
      <c r="I50" s="270"/>
      <c r="J50" s="240"/>
    </row>
    <row r="51">
      <c r="A51" s="301"/>
      <c r="B51" s="227"/>
      <c r="C51" s="227"/>
      <c r="D51" s="227"/>
      <c r="E51" s="227"/>
      <c r="F51" s="367" t="str">
        <f>IF(D51="","",IF(D51&gt;E51,"NC","OK"))</f>
        <v>#ERROR!</v>
      </c>
      <c r="G51" s="227"/>
      <c r="H51" s="227"/>
      <c r="I51" s="266"/>
      <c r="J51" s="233"/>
    </row>
    <row r="52">
      <c r="A52" s="303"/>
      <c r="B52" s="235"/>
      <c r="C52" s="235"/>
      <c r="D52" s="235"/>
      <c r="E52" s="235"/>
      <c r="F52" s="368" t="str">
        <f>IF(D52="","",IF(D52&gt;E52,"NC","OK"))</f>
        <v>#ERROR!</v>
      </c>
      <c r="G52" s="235"/>
      <c r="H52" s="235"/>
      <c r="I52" s="270"/>
      <c r="J52" s="240"/>
    </row>
    <row r="53">
      <c r="A53" s="301"/>
      <c r="B53" s="227"/>
      <c r="C53" s="227"/>
      <c r="D53" s="227"/>
      <c r="E53" s="227"/>
      <c r="F53" s="367" t="str">
        <f>IF(D53="","",IF(D53&gt;E53,"NC","OK"))</f>
        <v>#ERROR!</v>
      </c>
      <c r="G53" s="227"/>
      <c r="H53" s="227"/>
      <c r="I53" s="266"/>
      <c r="J53" s="233"/>
    </row>
    <row r="54">
      <c r="A54" s="303"/>
      <c r="B54" s="235"/>
      <c r="C54" s="235"/>
      <c r="D54" s="235"/>
      <c r="E54" s="235"/>
      <c r="F54" s="368" t="str">
        <f>IF(D54="","",IF(D54&gt;E54,"NC","OK"))</f>
        <v>#ERROR!</v>
      </c>
      <c r="G54" s="235"/>
      <c r="H54" s="235"/>
      <c r="I54" s="270"/>
      <c r="J54" s="240"/>
    </row>
    <row r="55">
      <c r="A55" s="301"/>
      <c r="B55" s="227"/>
      <c r="C55" s="227"/>
      <c r="D55" s="227"/>
      <c r="E55" s="227"/>
      <c r="F55" s="367" t="str">
        <f>IF(D55="","",IF(D55&gt;E55,"NC","OK"))</f>
        <v>#ERROR!</v>
      </c>
      <c r="G55" s="227"/>
      <c r="H55" s="227"/>
      <c r="I55" s="266"/>
      <c r="J55" s="233"/>
    </row>
    <row r="56">
      <c r="A56" s="303"/>
      <c r="B56" s="235"/>
      <c r="C56" s="235"/>
      <c r="D56" s="235"/>
      <c r="E56" s="235"/>
      <c r="F56" s="368" t="str">
        <f>IF(D56="","",IF(D56&gt;E56,"NC","OK"))</f>
        <v>#ERROR!</v>
      </c>
      <c r="G56" s="235"/>
      <c r="H56" s="235"/>
      <c r="I56" s="270"/>
      <c r="J56" s="240"/>
    </row>
    <row r="57">
      <c r="A57" s="301"/>
      <c r="B57" s="227"/>
      <c r="C57" s="227"/>
      <c r="D57" s="227"/>
      <c r="E57" s="227"/>
      <c r="F57" s="367" t="str">
        <f>IF(D57="","",IF(D57&gt;E57,"NC","OK"))</f>
        <v>#ERROR!</v>
      </c>
      <c r="G57" s="227"/>
      <c r="H57" s="227"/>
      <c r="I57" s="266"/>
      <c r="J57" s="233"/>
    </row>
    <row r="58">
      <c r="A58" s="303"/>
      <c r="B58" s="235"/>
      <c r="C58" s="235"/>
      <c r="D58" s="235"/>
      <c r="E58" s="235"/>
      <c r="F58" s="368" t="str">
        <f>IF(D58="","",IF(D58&gt;E58,"NC","OK"))</f>
        <v>#ERROR!</v>
      </c>
      <c r="G58" s="235"/>
      <c r="H58" s="235"/>
      <c r="I58" s="270"/>
      <c r="J58" s="240"/>
    </row>
    <row r="59">
      <c r="A59" s="301"/>
      <c r="B59" s="227"/>
      <c r="C59" s="227"/>
      <c r="D59" s="227"/>
      <c r="E59" s="227"/>
      <c r="F59" s="367" t="str">
        <f>IF(D59="","",IF(D59&gt;E59,"NC","OK"))</f>
        <v>#ERROR!</v>
      </c>
      <c r="G59" s="227"/>
      <c r="H59" s="227"/>
      <c r="I59" s="266"/>
      <c r="J59" s="233"/>
    </row>
    <row r="60">
      <c r="A60" s="303"/>
      <c r="B60" s="235"/>
      <c r="C60" s="235"/>
      <c r="D60" s="235"/>
      <c r="E60" s="235"/>
      <c r="F60" s="368" t="str">
        <f>IF(D60="","",IF(D60&gt;E60,"NC","OK"))</f>
        <v>#ERROR!</v>
      </c>
      <c r="G60" s="235"/>
      <c r="H60" s="235"/>
      <c r="I60" s="270"/>
      <c r="J60" s="240"/>
    </row>
    <row r="61">
      <c r="A61" s="301"/>
      <c r="B61" s="227"/>
      <c r="C61" s="227"/>
      <c r="D61" s="227"/>
      <c r="E61" s="227"/>
      <c r="F61" s="367" t="str">
        <f>IF(D61="","",IF(D61&gt;E61,"NC","OK"))</f>
        <v>#ERROR!</v>
      </c>
      <c r="G61" s="227"/>
      <c r="H61" s="227"/>
      <c r="I61" s="266"/>
      <c r="J61" s="233"/>
    </row>
    <row r="62">
      <c r="A62" s="303"/>
      <c r="B62" s="235"/>
      <c r="C62" s="235"/>
      <c r="D62" s="235"/>
      <c r="E62" s="235"/>
      <c r="F62" s="368" t="str">
        <f>IF(D62="","",IF(D62&gt;E62,"NC","OK"))</f>
        <v>#ERROR!</v>
      </c>
      <c r="G62" s="235"/>
      <c r="H62" s="235"/>
      <c r="I62" s="270"/>
      <c r="J62" s="240"/>
    </row>
    <row r="63">
      <c r="A63" s="301"/>
      <c r="B63" s="227"/>
      <c r="C63" s="227"/>
      <c r="D63" s="227"/>
      <c r="E63" s="227"/>
      <c r="F63" s="367" t="str">
        <f>IF(D63="","",IF(D63&gt;E63,"NC","OK"))</f>
        <v>#ERROR!</v>
      </c>
      <c r="G63" s="227"/>
      <c r="H63" s="227"/>
      <c r="I63" s="266"/>
      <c r="J63" s="233"/>
    </row>
    <row r="64">
      <c r="A64" s="303"/>
      <c r="B64" s="235"/>
      <c r="C64" s="235"/>
      <c r="D64" s="235"/>
      <c r="E64" s="235"/>
      <c r="F64" s="368" t="str">
        <f>IF(D64="","",IF(D64&gt;E64,"NC","OK"))</f>
        <v>#ERROR!</v>
      </c>
      <c r="G64" s="235"/>
      <c r="H64" s="235"/>
      <c r="I64" s="270"/>
      <c r="J64" s="240"/>
    </row>
    <row r="65">
      <c r="A65" s="301"/>
      <c r="B65" s="227"/>
      <c r="C65" s="227"/>
      <c r="D65" s="227"/>
      <c r="E65" s="227"/>
      <c r="F65" s="367" t="str">
        <f>IF(D65="","",IF(D65&gt;E65,"NC","OK"))</f>
        <v>#ERROR!</v>
      </c>
      <c r="G65" s="227"/>
      <c r="H65" s="227"/>
      <c r="I65" s="266"/>
      <c r="J65" s="233"/>
    </row>
    <row r="66">
      <c r="A66" s="303"/>
      <c r="B66" s="235"/>
      <c r="C66" s="235"/>
      <c r="D66" s="235"/>
      <c r="E66" s="235"/>
      <c r="F66" s="368" t="str">
        <f>IF(D66="","",IF(D66&gt;E66,"NC","OK"))</f>
        <v>#ERROR!</v>
      </c>
      <c r="G66" s="235"/>
      <c r="H66" s="235"/>
      <c r="I66" s="270"/>
      <c r="J66" s="240"/>
    </row>
    <row r="67">
      <c r="A67" s="301"/>
      <c r="B67" s="227"/>
      <c r="C67" s="227"/>
      <c r="D67" s="227"/>
      <c r="E67" s="227"/>
      <c r="F67" s="367" t="str">
        <f>IF(D67="","",IF(D67&gt;E67,"NC","OK"))</f>
        <v>#ERROR!</v>
      </c>
      <c r="G67" s="227"/>
      <c r="H67" s="227"/>
      <c r="I67" s="266"/>
      <c r="J67" s="233"/>
    </row>
    <row r="68">
      <c r="A68" s="303"/>
      <c r="B68" s="235"/>
      <c r="C68" s="235"/>
      <c r="D68" s="235"/>
      <c r="E68" s="235"/>
      <c r="F68" s="368" t="str">
        <f>IF(D68="","",IF(D68&gt;E68,"NC","OK"))</f>
        <v>#ERROR!</v>
      </c>
      <c r="G68" s="235"/>
      <c r="H68" s="235"/>
      <c r="I68" s="270"/>
      <c r="J68" s="240"/>
    </row>
    <row r="69">
      <c r="A69" s="301"/>
      <c r="B69" s="227"/>
      <c r="C69" s="227"/>
      <c r="D69" s="227"/>
      <c r="E69" s="227"/>
      <c r="F69" s="367" t="str">
        <f>IF(D69="","",IF(D69&gt;E69,"NC","OK"))</f>
        <v>#ERROR!</v>
      </c>
      <c r="G69" s="227"/>
      <c r="H69" s="227"/>
      <c r="I69" s="266"/>
      <c r="J69" s="233"/>
    </row>
    <row r="70">
      <c r="A70" s="303"/>
      <c r="B70" s="235"/>
      <c r="C70" s="235"/>
      <c r="D70" s="235"/>
      <c r="E70" s="235"/>
      <c r="F70" s="368" t="str">
        <f>IF(D70="","",IF(D70&gt;E70,"NC","OK"))</f>
        <v>#ERROR!</v>
      </c>
      <c r="G70" s="235"/>
      <c r="H70" s="235"/>
      <c r="I70" s="270"/>
      <c r="J70" s="240"/>
    </row>
    <row r="71">
      <c r="A71" s="301"/>
      <c r="B71" s="227"/>
      <c r="C71" s="227"/>
      <c r="D71" s="227"/>
      <c r="E71" s="227"/>
      <c r="F71" s="367" t="str">
        <f>IF(D71="","",IF(D71&gt;E71,"NC","OK"))</f>
        <v>#ERROR!</v>
      </c>
      <c r="G71" s="227"/>
      <c r="H71" s="227"/>
      <c r="I71" s="266"/>
      <c r="J71" s="233"/>
    </row>
    <row r="72">
      <c r="A72" s="303"/>
      <c r="B72" s="235"/>
      <c r="C72" s="235"/>
      <c r="D72" s="235"/>
      <c r="E72" s="235"/>
      <c r="F72" s="368" t="str">
        <f>IF(D72="","",IF(D72&gt;E72,"NC","OK"))</f>
        <v>#ERROR!</v>
      </c>
      <c r="G72" s="235"/>
      <c r="H72" s="235"/>
      <c r="I72" s="270"/>
      <c r="J72" s="240"/>
    </row>
    <row r="73">
      <c r="A73" s="301"/>
      <c r="B73" s="227"/>
      <c r="C73" s="227"/>
      <c r="D73" s="227"/>
      <c r="E73" s="227"/>
      <c r="F73" s="367" t="str">
        <f>IF(D73="","",IF(D73&gt;E73,"NC","OK"))</f>
        <v>#ERROR!</v>
      </c>
      <c r="G73" s="227"/>
      <c r="H73" s="227"/>
      <c r="I73" s="266"/>
      <c r="J73" s="233"/>
    </row>
    <row r="74">
      <c r="A74" s="303"/>
      <c r="B74" s="235"/>
      <c r="C74" s="235"/>
      <c r="D74" s="235"/>
      <c r="E74" s="235"/>
      <c r="F74" s="368" t="str">
        <f>IF(D74="","",IF(D74&gt;E74,"NC","OK"))</f>
        <v>#ERROR!</v>
      </c>
      <c r="G74" s="235"/>
      <c r="H74" s="235"/>
      <c r="I74" s="270"/>
      <c r="J74" s="240"/>
    </row>
    <row r="75">
      <c r="A75" s="301"/>
      <c r="B75" s="227"/>
      <c r="C75" s="227"/>
      <c r="D75" s="227"/>
      <c r="E75" s="227"/>
      <c r="F75" s="367" t="str">
        <f>IF(D75="","",IF(D75&gt;E75,"NC","OK"))</f>
        <v>#ERROR!</v>
      </c>
      <c r="G75" s="227"/>
      <c r="H75" s="227"/>
      <c r="I75" s="266"/>
      <c r="J75" s="233"/>
    </row>
    <row r="76">
      <c r="A76" s="303"/>
      <c r="B76" s="235"/>
      <c r="C76" s="235"/>
      <c r="D76" s="235"/>
      <c r="E76" s="235"/>
      <c r="F76" s="368" t="str">
        <f>IF(D76="","",IF(D76&gt;E76,"NC","OK"))</f>
        <v>#ERROR!</v>
      </c>
      <c r="G76" s="235"/>
      <c r="H76" s="235"/>
      <c r="I76" s="270"/>
      <c r="J76" s="240"/>
    </row>
    <row r="77">
      <c r="A77" s="301"/>
      <c r="B77" s="227"/>
      <c r="C77" s="227"/>
      <c r="D77" s="227"/>
      <c r="E77" s="227"/>
      <c r="F77" s="367" t="str">
        <f>IF(D77="","",IF(D77&gt;E77,"NC","OK"))</f>
        <v>#ERROR!</v>
      </c>
      <c r="G77" s="227"/>
      <c r="H77" s="227"/>
      <c r="I77" s="266"/>
      <c r="J77" s="233"/>
    </row>
    <row r="78">
      <c r="A78" s="303"/>
      <c r="B78" s="235"/>
      <c r="C78" s="235"/>
      <c r="D78" s="235"/>
      <c r="E78" s="235"/>
      <c r="F78" s="368" t="str">
        <f>IF(D78="","",IF(D78&gt;E78,"NC","OK"))</f>
        <v>#ERROR!</v>
      </c>
      <c r="G78" s="235"/>
      <c r="H78" s="235"/>
      <c r="I78" s="270"/>
      <c r="J78" s="240"/>
    </row>
    <row r="79">
      <c r="A79" s="301"/>
      <c r="B79" s="227"/>
      <c r="C79" s="227"/>
      <c r="D79" s="227"/>
      <c r="E79" s="227"/>
      <c r="F79" s="367" t="str">
        <f>IF(D79="","",IF(D79&gt;E79,"NC","OK"))</f>
        <v>#ERROR!</v>
      </c>
      <c r="G79" s="227"/>
      <c r="H79" s="227"/>
      <c r="I79" s="266"/>
      <c r="J79" s="233"/>
    </row>
    <row r="80">
      <c r="A80" s="303"/>
      <c r="B80" s="235"/>
      <c r="C80" s="235"/>
      <c r="D80" s="235"/>
      <c r="E80" s="235"/>
      <c r="F80" s="368" t="str">
        <f>IF(D80="","",IF(D80&gt;E80,"NC","OK"))</f>
        <v>#ERROR!</v>
      </c>
      <c r="G80" s="235"/>
      <c r="H80" s="235"/>
      <c r="I80" s="270"/>
      <c r="J80" s="240"/>
    </row>
    <row r="81">
      <c r="A81" s="301"/>
      <c r="B81" s="227"/>
      <c r="C81" s="227"/>
      <c r="D81" s="227"/>
      <c r="E81" s="227"/>
      <c r="F81" s="367" t="str">
        <f>IF(D81="","",IF(D81&gt;E81,"NC","OK"))</f>
        <v>#ERROR!</v>
      </c>
      <c r="G81" s="227"/>
      <c r="H81" s="227"/>
      <c r="I81" s="266"/>
      <c r="J81" s="233"/>
    </row>
    <row r="82">
      <c r="A82" s="303"/>
      <c r="B82" s="235"/>
      <c r="C82" s="235"/>
      <c r="D82" s="235"/>
      <c r="E82" s="235"/>
      <c r="F82" s="368" t="str">
        <f>IF(D82="","",IF(D82&gt;E82,"NC","OK"))</f>
        <v>#ERROR!</v>
      </c>
      <c r="G82" s="235"/>
      <c r="H82" s="235"/>
      <c r="I82" s="270"/>
      <c r="J82" s="240"/>
    </row>
    <row r="83">
      <c r="A83" s="301"/>
      <c r="B83" s="227"/>
      <c r="C83" s="227"/>
      <c r="D83" s="227"/>
      <c r="E83" s="227"/>
      <c r="F83" s="367" t="str">
        <f>IF(D83="","",IF(D83&gt;E83,"NC","OK"))</f>
        <v>#ERROR!</v>
      </c>
      <c r="G83" s="227"/>
      <c r="H83" s="227"/>
      <c r="I83" s="266"/>
      <c r="J83" s="233"/>
    </row>
    <row r="84">
      <c r="A84" s="303"/>
      <c r="B84" s="235"/>
      <c r="C84" s="235"/>
      <c r="D84" s="235"/>
      <c r="E84" s="235"/>
      <c r="F84" s="368" t="str">
        <f>IF(D84="","",IF(D84&gt;E84,"NC","OK"))</f>
        <v>#ERROR!</v>
      </c>
      <c r="G84" s="235"/>
      <c r="H84" s="235"/>
      <c r="I84" s="270"/>
      <c r="J84" s="240"/>
    </row>
    <row r="85">
      <c r="A85" s="301"/>
      <c r="B85" s="227"/>
      <c r="C85" s="227"/>
      <c r="D85" s="227"/>
      <c r="E85" s="227"/>
      <c r="F85" s="367" t="str">
        <f>IF(D85="","",IF(D85&gt;E85,"NC","OK"))</f>
        <v>#ERROR!</v>
      </c>
      <c r="G85" s="227"/>
      <c r="H85" s="227"/>
      <c r="I85" s="266"/>
      <c r="J85" s="233"/>
    </row>
    <row r="86">
      <c r="A86" s="303"/>
      <c r="B86" s="235"/>
      <c r="C86" s="235"/>
      <c r="D86" s="235"/>
      <c r="E86" s="235"/>
      <c r="F86" s="368" t="str">
        <f>IF(D86="","",IF(D86&gt;E86,"NC","OK"))</f>
        <v>#ERROR!</v>
      </c>
      <c r="G86" s="235"/>
      <c r="H86" s="235"/>
      <c r="I86" s="270"/>
      <c r="J86" s="240"/>
    </row>
    <row r="87">
      <c r="A87" s="301"/>
      <c r="B87" s="227"/>
      <c r="C87" s="227"/>
      <c r="D87" s="227"/>
      <c r="E87" s="227"/>
      <c r="F87" s="367" t="str">
        <f>IF(D87="","",IF(D87&gt;E87,"NC","OK"))</f>
        <v>#ERROR!</v>
      </c>
      <c r="G87" s="227"/>
      <c r="H87" s="227"/>
      <c r="I87" s="266"/>
      <c r="J87" s="233"/>
    </row>
    <row r="88">
      <c r="A88" s="303"/>
      <c r="B88" s="235"/>
      <c r="C88" s="235"/>
      <c r="D88" s="235"/>
      <c r="E88" s="235"/>
      <c r="F88" s="368" t="str">
        <f>IF(D88="","",IF(D88&gt;E88,"NC","OK"))</f>
        <v>#ERROR!</v>
      </c>
      <c r="G88" s="235"/>
      <c r="H88" s="235"/>
      <c r="I88" s="270"/>
      <c r="J88" s="240"/>
    </row>
    <row r="89">
      <c r="A89" s="301"/>
      <c r="B89" s="227"/>
      <c r="C89" s="227"/>
      <c r="D89" s="227"/>
      <c r="E89" s="227"/>
      <c r="F89" s="367" t="str">
        <f>IF(D89="","",IF(D89&gt;E89,"NC","OK"))</f>
        <v>#ERROR!</v>
      </c>
      <c r="G89" s="227"/>
      <c r="H89" s="227"/>
      <c r="I89" s="266"/>
      <c r="J89" s="233"/>
    </row>
    <row r="90">
      <c r="A90" s="303"/>
      <c r="B90" s="235"/>
      <c r="C90" s="235"/>
      <c r="D90" s="235"/>
      <c r="E90" s="235"/>
      <c r="F90" s="368" t="str">
        <f>IF(D90="","",IF(D90&gt;E90,"NC","OK"))</f>
        <v>#ERROR!</v>
      </c>
      <c r="G90" s="235"/>
      <c r="H90" s="235"/>
      <c r="I90" s="270"/>
      <c r="J90" s="240"/>
    </row>
    <row r="91">
      <c r="A91" s="301"/>
      <c r="B91" s="227"/>
      <c r="C91" s="227"/>
      <c r="D91" s="227"/>
      <c r="E91" s="227"/>
      <c r="F91" s="367" t="str">
        <f>IF(D91="","",IF(D91&gt;E91,"NC","OK"))</f>
        <v>#ERROR!</v>
      </c>
      <c r="G91" s="227"/>
      <c r="H91" s="227"/>
      <c r="I91" s="266"/>
      <c r="J91" s="233"/>
    </row>
    <row r="92">
      <c r="A92" s="303"/>
      <c r="B92" s="235"/>
      <c r="C92" s="235"/>
      <c r="D92" s="235"/>
      <c r="E92" s="235"/>
      <c r="F92" s="368" t="str">
        <f>IF(D92="","",IF(D92&gt;E92,"NC","OK"))</f>
        <v>#ERROR!</v>
      </c>
      <c r="G92" s="235"/>
      <c r="H92" s="235"/>
      <c r="I92" s="270"/>
      <c r="J92" s="240"/>
    </row>
    <row r="93">
      <c r="A93" s="301"/>
      <c r="B93" s="227"/>
      <c r="C93" s="227"/>
      <c r="D93" s="227"/>
      <c r="E93" s="227"/>
      <c r="F93" s="367" t="str">
        <f>IF(D93="","",IF(D93&gt;E93,"NC","OK"))</f>
        <v>#ERROR!</v>
      </c>
      <c r="G93" s="227"/>
      <c r="H93" s="227"/>
      <c r="I93" s="266"/>
      <c r="J93" s="233"/>
    </row>
    <row r="94">
      <c r="A94" s="303"/>
      <c r="B94" s="235"/>
      <c r="C94" s="235"/>
      <c r="D94" s="235"/>
      <c r="E94" s="235"/>
      <c r="F94" s="368" t="str">
        <f>IF(D94="","",IF(D94&gt;E94,"NC","OK"))</f>
        <v>#ERROR!</v>
      </c>
      <c r="G94" s="235"/>
      <c r="H94" s="235"/>
      <c r="I94" s="270"/>
      <c r="J94" s="240"/>
    </row>
    <row r="95">
      <c r="A95" s="301"/>
      <c r="B95" s="227"/>
      <c r="C95" s="227"/>
      <c r="D95" s="227"/>
      <c r="E95" s="227"/>
      <c r="F95" s="367" t="str">
        <f>IF(D95="","",IF(D95&gt;E95,"NC","OK"))</f>
        <v>#ERROR!</v>
      </c>
      <c r="G95" s="227"/>
      <c r="H95" s="227"/>
      <c r="I95" s="266"/>
      <c r="J95" s="233"/>
    </row>
    <row r="96">
      <c r="A96" s="303"/>
      <c r="B96" s="235"/>
      <c r="C96" s="235"/>
      <c r="D96" s="235"/>
      <c r="E96" s="235"/>
      <c r="F96" s="368" t="str">
        <f>IF(D96="","",IF(D96&gt;E96,"NC","OK"))</f>
        <v>#ERROR!</v>
      </c>
      <c r="G96" s="235"/>
      <c r="H96" s="235"/>
      <c r="I96" s="270"/>
      <c r="J96" s="240"/>
    </row>
    <row r="97">
      <c r="A97" s="301"/>
      <c r="B97" s="227"/>
      <c r="C97" s="227"/>
      <c r="D97" s="227"/>
      <c r="E97" s="227"/>
      <c r="F97" s="367" t="str">
        <f>IF(D97="","",IF(D97&gt;E97,"NC","OK"))</f>
        <v>#ERROR!</v>
      </c>
      <c r="G97" s="227"/>
      <c r="H97" s="227"/>
      <c r="I97" s="266"/>
      <c r="J97" s="233"/>
    </row>
    <row r="98">
      <c r="A98" s="303"/>
      <c r="B98" s="235"/>
      <c r="C98" s="235"/>
      <c r="D98" s="235"/>
      <c r="E98" s="235"/>
      <c r="F98" s="368" t="str">
        <f>IF(D98="","",IF(D98&gt;E98,"NC","OK"))</f>
        <v>#ERROR!</v>
      </c>
      <c r="G98" s="235"/>
      <c r="H98" s="235"/>
      <c r="I98" s="270"/>
      <c r="J98" s="240"/>
    </row>
    <row r="99">
      <c r="A99" s="301"/>
      <c r="B99" s="227"/>
      <c r="C99" s="227"/>
      <c r="D99" s="227"/>
      <c r="E99" s="227"/>
      <c r="F99" s="367" t="str">
        <f>IF(D99="","",IF(D99&gt;E99,"NC","OK"))</f>
        <v>#ERROR!</v>
      </c>
      <c r="G99" s="227"/>
      <c r="H99" s="227"/>
      <c r="I99" s="266"/>
      <c r="J99" s="233"/>
    </row>
    <row r="100">
      <c r="A100" s="303"/>
      <c r="B100" s="235"/>
      <c r="C100" s="235"/>
      <c r="D100" s="235"/>
      <c r="E100" s="235"/>
      <c r="F100" s="368" t="str">
        <f>IF(D100="","",IF(D100&gt;E100,"NC","OK"))</f>
        <v>#ERROR!</v>
      </c>
      <c r="G100" s="235"/>
      <c r="H100" s="235"/>
      <c r="I100" s="270"/>
      <c r="J100" s="240"/>
    </row>
    <row r="101">
      <c r="A101" s="301"/>
      <c r="B101" s="227"/>
      <c r="C101" s="227"/>
      <c r="D101" s="227"/>
      <c r="E101" s="227"/>
      <c r="F101" s="367" t="str">
        <f>IF(D101="","",IF(D101&gt;E101,"NC","OK"))</f>
        <v>#ERROR!</v>
      </c>
      <c r="G101" s="227"/>
      <c r="H101" s="227"/>
      <c r="I101" s="266"/>
      <c r="J101" s="233"/>
    </row>
    <row r="102">
      <c r="A102" s="303"/>
      <c r="B102" s="235"/>
      <c r="C102" s="235"/>
      <c r="D102" s="235"/>
      <c r="E102" s="235"/>
      <c r="F102" s="368" t="str">
        <f>IF(D102="","",IF(D102&gt;E102,"NC","OK"))</f>
        <v>#ERROR!</v>
      </c>
      <c r="G102" s="235"/>
      <c r="H102" s="235"/>
      <c r="I102" s="270"/>
      <c r="J102" s="240"/>
    </row>
    <row r="103">
      <c r="A103" s="301"/>
      <c r="B103" s="227"/>
      <c r="C103" s="227"/>
      <c r="D103" s="227"/>
      <c r="E103" s="227"/>
      <c r="F103" s="367" t="str">
        <f>IF(D103="","",IF(D103&gt;E103,"NC","OK"))</f>
        <v>#ERROR!</v>
      </c>
      <c r="G103" s="227"/>
      <c r="H103" s="227"/>
      <c r="I103" s="266"/>
      <c r="J103" s="233"/>
    </row>
    <row r="104">
      <c r="A104" s="303"/>
      <c r="B104" s="235"/>
      <c r="C104" s="235"/>
      <c r="D104" s="235"/>
      <c r="E104" s="235"/>
      <c r="F104" s="368" t="str">
        <f>IF(D104="","",IF(D104&gt;E104,"NC","OK"))</f>
        <v>#ERROR!</v>
      </c>
      <c r="G104" s="235"/>
      <c r="H104" s="235"/>
      <c r="I104" s="270"/>
      <c r="J104" s="240"/>
    </row>
    <row r="105">
      <c r="A105" s="301"/>
      <c r="B105" s="227"/>
      <c r="C105" s="227"/>
      <c r="D105" s="227"/>
      <c r="E105" s="227"/>
      <c r="F105" s="367" t="str">
        <f>IF(D105="","",IF(D105&gt;E105,"NC","OK"))</f>
        <v>#ERROR!</v>
      </c>
      <c r="G105" s="227"/>
      <c r="H105" s="227"/>
      <c r="I105" s="266"/>
      <c r="J105" s="233"/>
    </row>
    <row r="106">
      <c r="A106" s="303"/>
      <c r="B106" s="235"/>
      <c r="C106" s="235"/>
      <c r="D106" s="235"/>
      <c r="E106" s="235"/>
      <c r="F106" s="368" t="str">
        <f>IF(D106="","",IF(D106&gt;E106,"NC","OK"))</f>
        <v>#ERROR!</v>
      </c>
      <c r="G106" s="235"/>
      <c r="H106" s="235"/>
      <c r="I106" s="270"/>
      <c r="J106" s="240"/>
    </row>
    <row r="107">
      <c r="A107" s="301"/>
      <c r="B107" s="227"/>
      <c r="C107" s="227"/>
      <c r="D107" s="227"/>
      <c r="E107" s="227"/>
      <c r="F107" s="367" t="str">
        <f>IF(D107="","",IF(D107&gt;E107,"NC","OK"))</f>
        <v>#ERROR!</v>
      </c>
      <c r="G107" s="227"/>
      <c r="H107" s="227"/>
      <c r="I107" s="266"/>
      <c r="J107" s="233"/>
    </row>
    <row r="108">
      <c r="A108" s="303"/>
      <c r="B108" s="235"/>
      <c r="C108" s="235"/>
      <c r="D108" s="235"/>
      <c r="E108" s="235"/>
      <c r="F108" s="368" t="str">
        <f>IF(D108="","",IF(D108&gt;E108,"NC","OK"))</f>
        <v>#ERROR!</v>
      </c>
      <c r="G108" s="235"/>
      <c r="H108" s="235"/>
      <c r="I108" s="270"/>
      <c r="J108" s="240"/>
    </row>
    <row r="109">
      <c r="A109" s="301"/>
      <c r="B109" s="227"/>
      <c r="C109" s="227"/>
      <c r="D109" s="227"/>
      <c r="E109" s="227"/>
      <c r="F109" s="367" t="str">
        <f>IF(D109="","",IF(D109&gt;E109,"NC","OK"))</f>
        <v>#ERROR!</v>
      </c>
      <c r="G109" s="227"/>
      <c r="H109" s="227"/>
      <c r="I109" s="266"/>
      <c r="J109" s="233"/>
    </row>
    <row r="110">
      <c r="A110" s="303"/>
      <c r="B110" s="235"/>
      <c r="C110" s="235"/>
      <c r="D110" s="235"/>
      <c r="E110" s="235"/>
      <c r="F110" s="368" t="str">
        <f>IF(D110="","",IF(D110&gt;E110,"NC","OK"))</f>
        <v>#ERROR!</v>
      </c>
      <c r="G110" s="235"/>
      <c r="H110" s="235"/>
      <c r="I110" s="270"/>
      <c r="J110" s="240"/>
    </row>
    <row r="111">
      <c r="A111" s="301"/>
      <c r="B111" s="227"/>
      <c r="C111" s="227"/>
      <c r="D111" s="227"/>
      <c r="E111" s="227"/>
      <c r="F111" s="367" t="str">
        <f>IF(D111="","",IF(D111&gt;E111,"NC","OK"))</f>
        <v>#ERROR!</v>
      </c>
      <c r="G111" s="227"/>
      <c r="H111" s="227"/>
      <c r="I111" s="266"/>
      <c r="J111" s="233"/>
    </row>
    <row r="112">
      <c r="A112" s="303"/>
      <c r="B112" s="235"/>
      <c r="C112" s="235"/>
      <c r="D112" s="235"/>
      <c r="E112" s="235"/>
      <c r="F112" s="368" t="str">
        <f>IF(D112="","",IF(D112&gt;E112,"NC","OK"))</f>
        <v>#ERROR!</v>
      </c>
      <c r="G112" s="235"/>
      <c r="H112" s="235"/>
      <c r="I112" s="270"/>
      <c r="J112" s="240"/>
    </row>
    <row r="113">
      <c r="A113" s="301"/>
      <c r="B113" s="227"/>
      <c r="C113" s="227"/>
      <c r="D113" s="227"/>
      <c r="E113" s="227"/>
      <c r="F113" s="367" t="str">
        <f>IF(D113="","",IF(D113&gt;E113,"NC","OK"))</f>
        <v>#ERROR!</v>
      </c>
      <c r="G113" s="227"/>
      <c r="H113" s="227"/>
      <c r="I113" s="266"/>
      <c r="J113" s="233"/>
    </row>
    <row r="114">
      <c r="A114" s="303"/>
      <c r="B114" s="235"/>
      <c r="C114" s="235"/>
      <c r="D114" s="235"/>
      <c r="E114" s="235"/>
      <c r="F114" s="368" t="str">
        <f>IF(D114="","",IF(D114&gt;E114,"NC","OK"))</f>
        <v>#ERROR!</v>
      </c>
      <c r="G114" s="235"/>
      <c r="H114" s="235"/>
      <c r="I114" s="270"/>
      <c r="J114" s="240"/>
    </row>
    <row r="115">
      <c r="A115" s="301"/>
      <c r="B115" s="227"/>
      <c r="C115" s="227"/>
      <c r="D115" s="227"/>
      <c r="E115" s="227"/>
      <c r="F115" s="367" t="str">
        <f>IF(D115="","",IF(D115&gt;E115,"NC","OK"))</f>
        <v>#ERROR!</v>
      </c>
      <c r="G115" s="227"/>
      <c r="H115" s="227"/>
      <c r="I115" s="266"/>
      <c r="J115" s="233"/>
    </row>
    <row r="116">
      <c r="A116" s="303"/>
      <c r="B116" s="235"/>
      <c r="C116" s="235"/>
      <c r="D116" s="235"/>
      <c r="E116" s="235"/>
      <c r="F116" s="368" t="str">
        <f>IF(D116="","",IF(D116&gt;E116,"NC","OK"))</f>
        <v>#ERROR!</v>
      </c>
      <c r="G116" s="235"/>
      <c r="H116" s="235"/>
      <c r="I116" s="270"/>
      <c r="J116" s="240"/>
    </row>
    <row r="117">
      <c r="A117" s="301"/>
      <c r="B117" s="227"/>
      <c r="C117" s="227"/>
      <c r="D117" s="227"/>
      <c r="E117" s="227"/>
      <c r="F117" s="367" t="str">
        <f>IF(D117="","",IF(D117&gt;E117,"NC","OK"))</f>
        <v>#ERROR!</v>
      </c>
      <c r="G117" s="227"/>
      <c r="H117" s="227"/>
      <c r="I117" s="266"/>
      <c r="J117" s="233"/>
    </row>
    <row r="118">
      <c r="A118" s="303"/>
      <c r="B118" s="235"/>
      <c r="C118" s="235"/>
      <c r="D118" s="235"/>
      <c r="E118" s="235"/>
      <c r="F118" s="368" t="str">
        <f>IF(D118="","",IF(D118&gt;E118,"NC","OK"))</f>
        <v>#ERROR!</v>
      </c>
      <c r="G118" s="235"/>
      <c r="H118" s="235"/>
      <c r="I118" s="270"/>
      <c r="J118" s="240"/>
    </row>
    <row r="119">
      <c r="A119" s="301"/>
      <c r="B119" s="227"/>
      <c r="C119" s="227"/>
      <c r="D119" s="227"/>
      <c r="E119" s="227"/>
      <c r="F119" s="367" t="str">
        <f>IF(D119="","",IF(D119&gt;E119,"NC","OK"))</f>
        <v>#ERROR!</v>
      </c>
      <c r="G119" s="227"/>
      <c r="H119" s="227"/>
      <c r="I119" s="266"/>
      <c r="J119" s="233"/>
    </row>
    <row r="120">
      <c r="A120" s="303"/>
      <c r="B120" s="235"/>
      <c r="C120" s="235"/>
      <c r="D120" s="235"/>
      <c r="E120" s="235"/>
      <c r="F120" s="368" t="str">
        <f>IF(D120="","",IF(D120&gt;E120,"NC","OK"))</f>
        <v>#ERROR!</v>
      </c>
      <c r="G120" s="235"/>
      <c r="H120" s="235"/>
      <c r="I120" s="270"/>
      <c r="J120" s="240"/>
    </row>
    <row r="121">
      <c r="A121" s="301"/>
      <c r="B121" s="227"/>
      <c r="C121" s="227"/>
      <c r="D121" s="227"/>
      <c r="E121" s="227"/>
      <c r="F121" s="367" t="str">
        <f>IF(D121="","",IF(D121&gt;E121,"NC","OK"))</f>
        <v>#ERROR!</v>
      </c>
      <c r="G121" s="227"/>
      <c r="H121" s="227"/>
      <c r="I121" s="266"/>
      <c r="J121" s="233"/>
    </row>
    <row r="122">
      <c r="A122" s="303"/>
      <c r="B122" s="235"/>
      <c r="C122" s="235"/>
      <c r="D122" s="235"/>
      <c r="E122" s="235"/>
      <c r="F122" s="368" t="str">
        <f>IF(D122="","",IF(D122&gt;E122,"NC","OK"))</f>
        <v>#ERROR!</v>
      </c>
      <c r="G122" s="235"/>
      <c r="H122" s="235"/>
      <c r="I122" s="270"/>
      <c r="J122" s="240"/>
    </row>
    <row r="123">
      <c r="A123" s="301"/>
      <c r="B123" s="227"/>
      <c r="C123" s="227"/>
      <c r="D123" s="227"/>
      <c r="E123" s="227"/>
      <c r="F123" s="367" t="str">
        <f>IF(D123="","",IF(D123&gt;E123,"NC","OK"))</f>
        <v>#ERROR!</v>
      </c>
      <c r="G123" s="227"/>
      <c r="H123" s="227"/>
      <c r="I123" s="266"/>
      <c r="J123" s="233"/>
    </row>
    <row r="124">
      <c r="A124" s="303"/>
      <c r="B124" s="235"/>
      <c r="C124" s="235"/>
      <c r="D124" s="235"/>
      <c r="E124" s="235"/>
      <c r="F124" s="368" t="str">
        <f>IF(D124="","",IF(D124&gt;E124,"NC","OK"))</f>
        <v>#ERROR!</v>
      </c>
      <c r="G124" s="235"/>
      <c r="H124" s="235"/>
      <c r="I124" s="270"/>
      <c r="J124" s="240"/>
    </row>
    <row r="125">
      <c r="A125" s="301"/>
      <c r="B125" s="227"/>
      <c r="C125" s="227"/>
      <c r="D125" s="227"/>
      <c r="E125" s="227"/>
      <c r="F125" s="367" t="str">
        <f>IF(D125="","",IF(D125&gt;E125,"NC","OK"))</f>
        <v>#ERROR!</v>
      </c>
      <c r="G125" s="227"/>
      <c r="H125" s="227"/>
      <c r="I125" s="266"/>
      <c r="J125" s="233"/>
    </row>
    <row r="126">
      <c r="A126" s="303"/>
      <c r="B126" s="235"/>
      <c r="C126" s="235"/>
      <c r="D126" s="235"/>
      <c r="E126" s="235"/>
      <c r="F126" s="368" t="str">
        <f>IF(D126="","",IF(D126&gt;E126,"NC","OK"))</f>
        <v>#ERROR!</v>
      </c>
      <c r="G126" s="235"/>
      <c r="H126" s="235"/>
      <c r="I126" s="270"/>
      <c r="J126" s="240"/>
    </row>
    <row r="127">
      <c r="A127" s="301"/>
      <c r="B127" s="227"/>
      <c r="C127" s="227"/>
      <c r="D127" s="227"/>
      <c r="E127" s="227"/>
      <c r="F127" s="367" t="str">
        <f>IF(D127="","",IF(D127&gt;E127,"NC","OK"))</f>
        <v>#ERROR!</v>
      </c>
      <c r="G127" s="227"/>
      <c r="H127" s="227"/>
      <c r="I127" s="266"/>
      <c r="J127" s="233"/>
    </row>
    <row r="128">
      <c r="A128" s="303"/>
      <c r="B128" s="235"/>
      <c r="C128" s="235"/>
      <c r="D128" s="235"/>
      <c r="E128" s="235"/>
      <c r="F128" s="368" t="str">
        <f>IF(D128="","",IF(D128&gt;E128,"NC","OK"))</f>
        <v>#ERROR!</v>
      </c>
      <c r="G128" s="235"/>
      <c r="H128" s="235"/>
      <c r="I128" s="270"/>
      <c r="J128" s="240"/>
    </row>
    <row r="129">
      <c r="A129" s="301"/>
      <c r="B129" s="227"/>
      <c r="C129" s="227"/>
      <c r="D129" s="227"/>
      <c r="E129" s="227"/>
      <c r="F129" s="367" t="str">
        <f>IF(D129="","",IF(D129&gt;E129,"NC","OK"))</f>
        <v>#ERROR!</v>
      </c>
      <c r="G129" s="227"/>
      <c r="H129" s="227"/>
      <c r="I129" s="266"/>
      <c r="J129" s="233"/>
    </row>
    <row r="130">
      <c r="A130" s="303"/>
      <c r="B130" s="235"/>
      <c r="C130" s="235"/>
      <c r="D130" s="235"/>
      <c r="E130" s="235"/>
      <c r="F130" s="368" t="str">
        <f>IF(D130="","",IF(D130&gt;E130,"NC","OK"))</f>
        <v>#ERROR!</v>
      </c>
      <c r="G130" s="235"/>
      <c r="H130" s="235"/>
      <c r="I130" s="270"/>
      <c r="J130" s="240"/>
    </row>
    <row r="131">
      <c r="A131" s="301"/>
      <c r="B131" s="227"/>
      <c r="C131" s="227"/>
      <c r="D131" s="227"/>
      <c r="E131" s="227"/>
      <c r="F131" s="367" t="str">
        <f>IF(D131="","",IF(D131&gt;E131,"NC","OK"))</f>
        <v>#ERROR!</v>
      </c>
      <c r="G131" s="227"/>
      <c r="H131" s="227"/>
      <c r="I131" s="266"/>
      <c r="J131" s="233"/>
    </row>
    <row r="132">
      <c r="A132" s="303"/>
      <c r="B132" s="235"/>
      <c r="C132" s="235"/>
      <c r="D132" s="235"/>
      <c r="E132" s="235"/>
      <c r="F132" s="368" t="str">
        <f>IF(D132="","",IF(D132&gt;E132,"NC","OK"))</f>
        <v>#ERROR!</v>
      </c>
      <c r="G132" s="235"/>
      <c r="H132" s="235"/>
      <c r="I132" s="270"/>
      <c r="J132" s="240"/>
    </row>
    <row r="133">
      <c r="A133" s="301"/>
      <c r="B133" s="227"/>
      <c r="C133" s="227"/>
      <c r="D133" s="227"/>
      <c r="E133" s="227"/>
      <c r="F133" s="367" t="str">
        <f>IF(D133="","",IF(D133&gt;E133,"NC","OK"))</f>
        <v>#ERROR!</v>
      </c>
      <c r="G133" s="227"/>
      <c r="H133" s="227"/>
      <c r="I133" s="266"/>
      <c r="J133" s="233"/>
    </row>
    <row r="134">
      <c r="A134" s="303"/>
      <c r="B134" s="235"/>
      <c r="C134" s="235"/>
      <c r="D134" s="235"/>
      <c r="E134" s="235"/>
      <c r="F134" s="368" t="str">
        <f>IF(D134="","",IF(D134&gt;E134,"NC","OK"))</f>
        <v>#ERROR!</v>
      </c>
      <c r="G134" s="235"/>
      <c r="H134" s="235"/>
      <c r="I134" s="270"/>
      <c r="J134" s="240"/>
    </row>
    <row r="135">
      <c r="A135" s="301"/>
      <c r="B135" s="227"/>
      <c r="C135" s="227"/>
      <c r="D135" s="227"/>
      <c r="E135" s="227"/>
      <c r="F135" s="367" t="str">
        <f>IF(D135="","",IF(D135&gt;E135,"NC","OK"))</f>
        <v>#ERROR!</v>
      </c>
      <c r="G135" s="227"/>
      <c r="H135" s="227"/>
      <c r="I135" s="266"/>
      <c r="J135" s="233"/>
    </row>
    <row r="136">
      <c r="A136" s="303"/>
      <c r="B136" s="235"/>
      <c r="C136" s="235"/>
      <c r="D136" s="235"/>
      <c r="E136" s="235"/>
      <c r="F136" s="368" t="str">
        <f>IF(D136="","",IF(D136&gt;E136,"NC","OK"))</f>
        <v>#ERROR!</v>
      </c>
      <c r="G136" s="235"/>
      <c r="H136" s="235"/>
      <c r="I136" s="270"/>
      <c r="J136" s="240"/>
    </row>
    <row r="137">
      <c r="A137" s="301"/>
      <c r="B137" s="227"/>
      <c r="C137" s="227"/>
      <c r="D137" s="227"/>
      <c r="E137" s="227"/>
      <c r="F137" s="367" t="str">
        <f>IF(D137="","",IF(D137&gt;E137,"NC","OK"))</f>
        <v>#ERROR!</v>
      </c>
      <c r="G137" s="227"/>
      <c r="H137" s="227"/>
      <c r="I137" s="266"/>
      <c r="J137" s="233"/>
    </row>
    <row r="138">
      <c r="A138" s="303"/>
      <c r="B138" s="235"/>
      <c r="C138" s="235"/>
      <c r="D138" s="235"/>
      <c r="E138" s="235"/>
      <c r="F138" s="368" t="str">
        <f>IF(D138="","",IF(D138&gt;E138,"NC","OK"))</f>
        <v>#ERROR!</v>
      </c>
      <c r="G138" s="235"/>
      <c r="H138" s="235"/>
      <c r="I138" s="270"/>
      <c r="J138" s="240"/>
    </row>
    <row r="139">
      <c r="A139" s="301"/>
      <c r="B139" s="227"/>
      <c r="C139" s="227"/>
      <c r="D139" s="227"/>
      <c r="E139" s="227"/>
      <c r="F139" s="367" t="str">
        <f>IF(D139="","",IF(D139&gt;E139,"NC","OK"))</f>
        <v>#ERROR!</v>
      </c>
      <c r="G139" s="227"/>
      <c r="H139" s="227"/>
      <c r="I139" s="266"/>
      <c r="J139" s="233"/>
    </row>
    <row r="140">
      <c r="A140" s="303"/>
      <c r="B140" s="235"/>
      <c r="C140" s="235"/>
      <c r="D140" s="235"/>
      <c r="E140" s="235"/>
      <c r="F140" s="368" t="str">
        <f>IF(D140="","",IF(D140&gt;E140,"NC","OK"))</f>
        <v>#ERROR!</v>
      </c>
      <c r="G140" s="235"/>
      <c r="H140" s="235"/>
      <c r="I140" s="270"/>
      <c r="J140" s="240"/>
    </row>
    <row r="141">
      <c r="A141" s="301"/>
      <c r="B141" s="227"/>
      <c r="C141" s="227"/>
      <c r="D141" s="227"/>
      <c r="E141" s="227"/>
      <c r="F141" s="367" t="str">
        <f>IF(D141="","",IF(D141&gt;E141,"NC","OK"))</f>
        <v>#ERROR!</v>
      </c>
      <c r="G141" s="227"/>
      <c r="H141" s="227"/>
      <c r="I141" s="266"/>
      <c r="J141" s="233"/>
    </row>
    <row r="142">
      <c r="A142" s="303"/>
      <c r="B142" s="235"/>
      <c r="C142" s="235"/>
      <c r="D142" s="235"/>
      <c r="E142" s="235"/>
      <c r="F142" s="368" t="str">
        <f>IF(D142="","",IF(D142&gt;E142,"NC","OK"))</f>
        <v>#ERROR!</v>
      </c>
      <c r="G142" s="235"/>
      <c r="H142" s="235"/>
      <c r="I142" s="270"/>
      <c r="J142" s="240"/>
    </row>
    <row r="143">
      <c r="A143" s="301"/>
      <c r="B143" s="227"/>
      <c r="C143" s="227"/>
      <c r="D143" s="227"/>
      <c r="E143" s="227"/>
      <c r="F143" s="367" t="str">
        <f>IF(D143="","",IF(D143&gt;E143,"NC","OK"))</f>
        <v>#ERROR!</v>
      </c>
      <c r="G143" s="227"/>
      <c r="H143" s="227"/>
      <c r="I143" s="266"/>
      <c r="J143" s="233"/>
    </row>
    <row r="144">
      <c r="A144" s="303"/>
      <c r="B144" s="235"/>
      <c r="C144" s="235"/>
      <c r="D144" s="235"/>
      <c r="E144" s="235"/>
      <c r="F144" s="368" t="str">
        <f>IF(D144="","",IF(D144&gt;E144,"NC","OK"))</f>
        <v>#ERROR!</v>
      </c>
      <c r="G144" s="235"/>
      <c r="H144" s="235"/>
      <c r="I144" s="270"/>
      <c r="J144" s="240"/>
    </row>
    <row r="145">
      <c r="A145" s="301"/>
      <c r="B145" s="227"/>
      <c r="C145" s="227"/>
      <c r="D145" s="227"/>
      <c r="E145" s="227"/>
      <c r="F145" s="367" t="str">
        <f>IF(D145="","",IF(D145&gt;E145,"NC","OK"))</f>
        <v>#ERROR!</v>
      </c>
      <c r="G145" s="227"/>
      <c r="H145" s="227"/>
      <c r="I145" s="266"/>
      <c r="J145" s="233"/>
    </row>
    <row r="146">
      <c r="A146" s="303"/>
      <c r="B146" s="235"/>
      <c r="C146" s="235"/>
      <c r="D146" s="235"/>
      <c r="E146" s="235"/>
      <c r="F146" s="368" t="str">
        <f>IF(D146="","",IF(D146&gt;E146,"NC","OK"))</f>
        <v>#ERROR!</v>
      </c>
      <c r="G146" s="235"/>
      <c r="H146" s="235"/>
      <c r="I146" s="270"/>
      <c r="J146" s="240"/>
    </row>
    <row r="147">
      <c r="A147" s="301"/>
      <c r="B147" s="227"/>
      <c r="C147" s="227"/>
      <c r="D147" s="227"/>
      <c r="E147" s="227"/>
      <c r="F147" s="367" t="str">
        <f>IF(D147="","",IF(D147&gt;E147,"NC","OK"))</f>
        <v>#ERROR!</v>
      </c>
      <c r="G147" s="227"/>
      <c r="H147" s="227"/>
      <c r="I147" s="266"/>
      <c r="J147" s="233"/>
    </row>
    <row r="148">
      <c r="A148" s="303"/>
      <c r="B148" s="235"/>
      <c r="C148" s="235"/>
      <c r="D148" s="235"/>
      <c r="E148" s="235"/>
      <c r="F148" s="368" t="str">
        <f>IF(D148="","",IF(D148&gt;E148,"NC","OK"))</f>
        <v>#ERROR!</v>
      </c>
      <c r="G148" s="235"/>
      <c r="H148" s="235"/>
      <c r="I148" s="270"/>
      <c r="J148" s="240"/>
    </row>
    <row r="149">
      <c r="A149" s="301"/>
      <c r="B149" s="227"/>
      <c r="C149" s="227"/>
      <c r="D149" s="227"/>
      <c r="E149" s="227"/>
      <c r="F149" s="367" t="str">
        <f>IF(D149="","",IF(D149&gt;E149,"NC","OK"))</f>
        <v>#ERROR!</v>
      </c>
      <c r="G149" s="227"/>
      <c r="H149" s="227"/>
      <c r="I149" s="266"/>
      <c r="J149" s="233"/>
    </row>
    <row r="150">
      <c r="A150" s="303"/>
      <c r="B150" s="235"/>
      <c r="C150" s="235"/>
      <c r="D150" s="235"/>
      <c r="E150" s="235"/>
      <c r="F150" s="368" t="str">
        <f>IF(D150="","",IF(D150&gt;E150,"NC","OK"))</f>
        <v>#ERROR!</v>
      </c>
      <c r="G150" s="235"/>
      <c r="H150" s="235"/>
      <c r="I150" s="270"/>
      <c r="J150" s="240"/>
    </row>
    <row r="151">
      <c r="A151" s="301"/>
      <c r="B151" s="227"/>
      <c r="C151" s="227"/>
      <c r="D151" s="227"/>
      <c r="E151" s="227"/>
      <c r="F151" s="367" t="str">
        <f>IF(D151="","",IF(D151&gt;E151,"NC","OK"))</f>
        <v>#ERROR!</v>
      </c>
      <c r="G151" s="227"/>
      <c r="H151" s="227"/>
      <c r="I151" s="266"/>
      <c r="J151" s="233"/>
    </row>
    <row r="152">
      <c r="A152" s="303"/>
      <c r="B152" s="235"/>
      <c r="C152" s="235"/>
      <c r="D152" s="235"/>
      <c r="E152" s="235"/>
      <c r="F152" s="368" t="str">
        <f>IF(D152="","",IF(D152&gt;E152,"NC","OK"))</f>
        <v>#ERROR!</v>
      </c>
      <c r="G152" s="235"/>
      <c r="H152" s="235"/>
      <c r="I152" s="270"/>
      <c r="J152" s="240"/>
    </row>
    <row r="153">
      <c r="A153" s="301"/>
      <c r="B153" s="227"/>
      <c r="C153" s="227"/>
      <c r="D153" s="227"/>
      <c r="E153" s="227"/>
      <c r="F153" s="367" t="str">
        <f>IF(D153="","",IF(D153&gt;E153,"NC","OK"))</f>
        <v>#ERROR!</v>
      </c>
      <c r="G153" s="227"/>
      <c r="H153" s="227"/>
      <c r="I153" s="266"/>
      <c r="J153" s="233"/>
    </row>
    <row r="154">
      <c r="A154" s="303"/>
      <c r="B154" s="235"/>
      <c r="C154" s="235"/>
      <c r="D154" s="235"/>
      <c r="E154" s="235"/>
      <c r="F154" s="368" t="str">
        <f>IF(D154="","",IF(D154&gt;E154,"NC","OK"))</f>
        <v>#ERROR!</v>
      </c>
      <c r="G154" s="235"/>
      <c r="H154" s="235"/>
      <c r="I154" s="270"/>
      <c r="J154" s="240"/>
    </row>
    <row r="155">
      <c r="A155" s="301"/>
      <c r="B155" s="227"/>
      <c r="C155" s="227"/>
      <c r="D155" s="227"/>
      <c r="E155" s="227"/>
      <c r="F155" s="367" t="str">
        <f>IF(D155="","",IF(D155&gt;E155,"NC","OK"))</f>
        <v>#ERROR!</v>
      </c>
      <c r="G155" s="227"/>
      <c r="H155" s="227"/>
      <c r="I155" s="266"/>
      <c r="J155" s="233"/>
    </row>
    <row r="156">
      <c r="A156" s="303"/>
      <c r="B156" s="235"/>
      <c r="C156" s="235"/>
      <c r="D156" s="235"/>
      <c r="E156" s="235"/>
      <c r="F156" s="368" t="str">
        <f>IF(D156="","",IF(D156&gt;E156,"NC","OK"))</f>
        <v>#ERROR!</v>
      </c>
      <c r="G156" s="235"/>
      <c r="H156" s="235"/>
      <c r="I156" s="270"/>
      <c r="J156" s="240"/>
    </row>
    <row r="157">
      <c r="A157" s="301"/>
      <c r="B157" s="227"/>
      <c r="C157" s="227"/>
      <c r="D157" s="227"/>
      <c r="E157" s="227"/>
      <c r="F157" s="367" t="str">
        <f>IF(D157="","",IF(D157&gt;E157,"NC","OK"))</f>
        <v>#ERROR!</v>
      </c>
      <c r="G157" s="227"/>
      <c r="H157" s="227"/>
      <c r="I157" s="266"/>
      <c r="J157" s="233"/>
    </row>
    <row r="158">
      <c r="A158" s="303"/>
      <c r="B158" s="235"/>
      <c r="C158" s="235"/>
      <c r="D158" s="235"/>
      <c r="E158" s="235"/>
      <c r="F158" s="368" t="str">
        <f>IF(D158="","",IF(D158&gt;E158,"NC","OK"))</f>
        <v>#ERROR!</v>
      </c>
      <c r="G158" s="235"/>
      <c r="H158" s="235"/>
      <c r="I158" s="270"/>
      <c r="J158" s="240"/>
    </row>
    <row r="159">
      <c r="A159" s="301"/>
      <c r="B159" s="227"/>
      <c r="C159" s="227"/>
      <c r="D159" s="227"/>
      <c r="E159" s="227"/>
      <c r="F159" s="367" t="str">
        <f>IF(D159="","",IF(D159&gt;E159,"NC","OK"))</f>
        <v>#ERROR!</v>
      </c>
      <c r="G159" s="227"/>
      <c r="H159" s="227"/>
      <c r="I159" s="266"/>
      <c r="J159" s="233"/>
    </row>
    <row r="160">
      <c r="A160" s="303"/>
      <c r="B160" s="235"/>
      <c r="C160" s="235"/>
      <c r="D160" s="235"/>
      <c r="E160" s="235"/>
      <c r="F160" s="368" t="str">
        <f>IF(D160="","",IF(D160&gt;E160,"NC","OK"))</f>
        <v>#ERROR!</v>
      </c>
      <c r="G160" s="235"/>
      <c r="H160" s="235"/>
      <c r="I160" s="270"/>
      <c r="J160" s="240"/>
    </row>
    <row r="161">
      <c r="A161" s="301"/>
      <c r="B161" s="227"/>
      <c r="C161" s="227"/>
      <c r="D161" s="227"/>
      <c r="E161" s="227"/>
      <c r="F161" s="367" t="str">
        <f>IF(D161="","",IF(D161&gt;E161,"NC","OK"))</f>
        <v>#ERROR!</v>
      </c>
      <c r="G161" s="227"/>
      <c r="H161" s="227"/>
      <c r="I161" s="266"/>
      <c r="J161" s="233"/>
    </row>
    <row r="162">
      <c r="A162" s="303"/>
      <c r="B162" s="235"/>
      <c r="C162" s="235"/>
      <c r="D162" s="235"/>
      <c r="E162" s="235"/>
      <c r="F162" s="368" t="str">
        <f>IF(D162="","",IF(D162&gt;E162,"NC","OK"))</f>
        <v>#ERROR!</v>
      </c>
      <c r="G162" s="235"/>
      <c r="H162" s="235"/>
      <c r="I162" s="270"/>
      <c r="J162" s="240"/>
    </row>
    <row r="163">
      <c r="A163" s="301"/>
      <c r="B163" s="227"/>
      <c r="C163" s="227"/>
      <c r="D163" s="227"/>
      <c r="E163" s="227"/>
      <c r="F163" s="367" t="str">
        <f>IF(D163="","",IF(D163&gt;E163,"NC","OK"))</f>
        <v>#ERROR!</v>
      </c>
      <c r="G163" s="227"/>
      <c r="H163" s="227"/>
      <c r="I163" s="266"/>
      <c r="J163" s="233"/>
    </row>
    <row r="164">
      <c r="A164" s="303"/>
      <c r="B164" s="235"/>
      <c r="C164" s="235"/>
      <c r="D164" s="235"/>
      <c r="E164" s="235"/>
      <c r="F164" s="368" t="str">
        <f>IF(D164="","",IF(D164&gt;E164,"NC","OK"))</f>
        <v>#ERROR!</v>
      </c>
      <c r="G164" s="235"/>
      <c r="H164" s="235"/>
      <c r="I164" s="270"/>
      <c r="J164" s="240"/>
    </row>
    <row r="165">
      <c r="A165" s="301"/>
      <c r="B165" s="227"/>
      <c r="C165" s="227"/>
      <c r="D165" s="227"/>
      <c r="E165" s="227"/>
      <c r="F165" s="367" t="str">
        <f>IF(D165="","",IF(D165&gt;E165,"NC","OK"))</f>
        <v>#ERROR!</v>
      </c>
      <c r="G165" s="227"/>
      <c r="H165" s="227"/>
      <c r="I165" s="266"/>
      <c r="J165" s="233"/>
    </row>
    <row r="166">
      <c r="A166" s="303"/>
      <c r="B166" s="235"/>
      <c r="C166" s="235"/>
      <c r="D166" s="235"/>
      <c r="E166" s="235"/>
      <c r="F166" s="368" t="str">
        <f>IF(D166="","",IF(D166&gt;E166,"NC","OK"))</f>
        <v>#ERROR!</v>
      </c>
      <c r="G166" s="235"/>
      <c r="H166" s="235"/>
      <c r="I166" s="270"/>
      <c r="J166" s="240"/>
    </row>
    <row r="167">
      <c r="A167" s="301"/>
      <c r="B167" s="227"/>
      <c r="C167" s="227"/>
      <c r="D167" s="227"/>
      <c r="E167" s="227"/>
      <c r="F167" s="367" t="str">
        <f>IF(D167="","",IF(D167&gt;E167,"NC","OK"))</f>
        <v>#ERROR!</v>
      </c>
      <c r="G167" s="227"/>
      <c r="H167" s="227"/>
      <c r="I167" s="266"/>
      <c r="J167" s="233"/>
    </row>
    <row r="168">
      <c r="A168" s="303"/>
      <c r="B168" s="235"/>
      <c r="C168" s="235"/>
      <c r="D168" s="235"/>
      <c r="E168" s="235"/>
      <c r="F168" s="368" t="str">
        <f>IF(D168="","",IF(D168&gt;E168,"NC","OK"))</f>
        <v>#ERROR!</v>
      </c>
      <c r="G168" s="235"/>
      <c r="H168" s="235"/>
      <c r="I168" s="270"/>
      <c r="J168" s="240"/>
    </row>
    <row r="169">
      <c r="A169" s="301"/>
      <c r="B169" s="227"/>
      <c r="C169" s="227"/>
      <c r="D169" s="227"/>
      <c r="E169" s="227"/>
      <c r="F169" s="367" t="str">
        <f>IF(D169="","",IF(D169&gt;E169,"NC","OK"))</f>
        <v>#ERROR!</v>
      </c>
      <c r="G169" s="227"/>
      <c r="H169" s="227"/>
      <c r="I169" s="266"/>
      <c r="J169" s="233"/>
    </row>
    <row r="170">
      <c r="A170" s="303"/>
      <c r="B170" s="235"/>
      <c r="C170" s="235"/>
      <c r="D170" s="235"/>
      <c r="E170" s="235"/>
      <c r="F170" s="368" t="str">
        <f>IF(D170="","",IF(D170&gt;E170,"NC","OK"))</f>
        <v>#ERROR!</v>
      </c>
      <c r="G170" s="235"/>
      <c r="H170" s="235"/>
      <c r="I170" s="270"/>
      <c r="J170" s="240"/>
    </row>
    <row r="171">
      <c r="A171" s="301"/>
      <c r="B171" s="227"/>
      <c r="C171" s="227"/>
      <c r="D171" s="227"/>
      <c r="E171" s="227"/>
      <c r="F171" s="367" t="str">
        <f>IF(D171="","",IF(D171&gt;E171,"NC","OK"))</f>
        <v>#ERROR!</v>
      </c>
      <c r="G171" s="227"/>
      <c r="H171" s="227"/>
      <c r="I171" s="266"/>
      <c r="J171" s="233"/>
    </row>
    <row r="172">
      <c r="A172" s="303"/>
      <c r="B172" s="235"/>
      <c r="C172" s="235"/>
      <c r="D172" s="235"/>
      <c r="E172" s="235"/>
      <c r="F172" s="368" t="str">
        <f>IF(D172="","",IF(D172&gt;E172,"NC","OK"))</f>
        <v>#ERROR!</v>
      </c>
      <c r="G172" s="235"/>
      <c r="H172" s="235"/>
      <c r="I172" s="270"/>
      <c r="J172" s="240"/>
    </row>
    <row r="173">
      <c r="A173" s="301"/>
      <c r="B173" s="227"/>
      <c r="C173" s="227"/>
      <c r="D173" s="227"/>
      <c r="E173" s="227"/>
      <c r="F173" s="367" t="str">
        <f>IF(D173="","",IF(D173&gt;E173,"NC","OK"))</f>
        <v>#ERROR!</v>
      </c>
      <c r="G173" s="227"/>
      <c r="H173" s="227"/>
      <c r="I173" s="266"/>
      <c r="J173" s="233"/>
    </row>
    <row r="174">
      <c r="A174" s="303"/>
      <c r="B174" s="235"/>
      <c r="C174" s="235"/>
      <c r="D174" s="235"/>
      <c r="E174" s="235"/>
      <c r="F174" s="368" t="str">
        <f>IF(D174="","",IF(D174&gt;E174,"NC","OK"))</f>
        <v>#ERROR!</v>
      </c>
      <c r="G174" s="235"/>
      <c r="H174" s="235"/>
      <c r="I174" s="270"/>
      <c r="J174" s="240"/>
    </row>
    <row r="175">
      <c r="A175" s="301"/>
      <c r="B175" s="227"/>
      <c r="C175" s="227"/>
      <c r="D175" s="227"/>
      <c r="E175" s="227"/>
      <c r="F175" s="367" t="str">
        <f>IF(D175="","",IF(D175&gt;E175,"NC","OK"))</f>
        <v>#ERROR!</v>
      </c>
      <c r="G175" s="227"/>
      <c r="H175" s="227"/>
      <c r="I175" s="266"/>
      <c r="J175" s="233"/>
    </row>
    <row r="176">
      <c r="A176" s="303"/>
      <c r="B176" s="235"/>
      <c r="C176" s="235"/>
      <c r="D176" s="235"/>
      <c r="E176" s="235"/>
      <c r="F176" s="368" t="str">
        <f>IF(D176="","",IF(D176&gt;E176,"NC","OK"))</f>
        <v>#ERROR!</v>
      </c>
      <c r="G176" s="235"/>
      <c r="H176" s="235"/>
      <c r="I176" s="270"/>
      <c r="J176" s="240"/>
    </row>
    <row r="177">
      <c r="A177" s="301"/>
      <c r="B177" s="227"/>
      <c r="C177" s="227"/>
      <c r="D177" s="227"/>
      <c r="E177" s="227"/>
      <c r="F177" s="367" t="str">
        <f>IF(D177="","",IF(D177&gt;E177,"NC","OK"))</f>
        <v>#ERROR!</v>
      </c>
      <c r="G177" s="227"/>
      <c r="H177" s="227"/>
      <c r="I177" s="266"/>
      <c r="J177" s="233"/>
    </row>
    <row r="178">
      <c r="A178" s="303"/>
      <c r="B178" s="235"/>
      <c r="C178" s="235"/>
      <c r="D178" s="235"/>
      <c r="E178" s="235"/>
      <c r="F178" s="368" t="str">
        <f>IF(D178="","",IF(D178&gt;E178,"NC","OK"))</f>
        <v>#ERROR!</v>
      </c>
      <c r="G178" s="235"/>
      <c r="H178" s="235"/>
      <c r="I178" s="270"/>
      <c r="J178" s="240"/>
    </row>
    <row r="179">
      <c r="A179" s="301"/>
      <c r="B179" s="227"/>
      <c r="C179" s="227"/>
      <c r="D179" s="227"/>
      <c r="E179" s="227"/>
      <c r="F179" s="367" t="str">
        <f>IF(D179="","",IF(D179&gt;E179,"NC","OK"))</f>
        <v>#ERROR!</v>
      </c>
      <c r="G179" s="227"/>
      <c r="H179" s="227"/>
      <c r="I179" s="266"/>
      <c r="J179" s="233"/>
    </row>
    <row r="180">
      <c r="A180" s="303"/>
      <c r="B180" s="235"/>
      <c r="C180" s="235"/>
      <c r="D180" s="235"/>
      <c r="E180" s="235"/>
      <c r="F180" s="368" t="str">
        <f>IF(D180="","",IF(D180&gt;E180,"NC","OK"))</f>
        <v>#ERROR!</v>
      </c>
      <c r="G180" s="235"/>
      <c r="H180" s="235"/>
      <c r="I180" s="270"/>
      <c r="J180" s="240"/>
    </row>
    <row r="181">
      <c r="A181" s="301"/>
      <c r="B181" s="227"/>
      <c r="C181" s="227"/>
      <c r="D181" s="227"/>
      <c r="E181" s="227"/>
      <c r="F181" s="367" t="str">
        <f>IF(D181="","",IF(D181&gt;E181,"NC","OK"))</f>
        <v>#ERROR!</v>
      </c>
      <c r="G181" s="227"/>
      <c r="H181" s="227"/>
      <c r="I181" s="266"/>
      <c r="J181" s="233"/>
    </row>
    <row r="182">
      <c r="A182" s="303"/>
      <c r="B182" s="235"/>
      <c r="C182" s="235"/>
      <c r="D182" s="235"/>
      <c r="E182" s="235"/>
      <c r="F182" s="368" t="str">
        <f>IF(D182="","",IF(D182&gt;E182,"NC","OK"))</f>
        <v>#ERROR!</v>
      </c>
      <c r="G182" s="235"/>
      <c r="H182" s="235"/>
      <c r="I182" s="270"/>
      <c r="J182" s="240"/>
    </row>
    <row r="183">
      <c r="A183" s="301"/>
      <c r="B183" s="227"/>
      <c r="C183" s="227"/>
      <c r="D183" s="227"/>
      <c r="E183" s="227"/>
      <c r="F183" s="367" t="str">
        <f>IF(D183="","",IF(D183&gt;E183,"NC","OK"))</f>
        <v>#ERROR!</v>
      </c>
      <c r="G183" s="227"/>
      <c r="H183" s="227"/>
      <c r="I183" s="266"/>
      <c r="J183" s="233"/>
    </row>
    <row r="184">
      <c r="A184" s="303"/>
      <c r="B184" s="235"/>
      <c r="C184" s="235"/>
      <c r="D184" s="235"/>
      <c r="E184" s="235"/>
      <c r="F184" s="368" t="str">
        <f>IF(D184="","",IF(D184&gt;E184,"NC","OK"))</f>
        <v>#ERROR!</v>
      </c>
      <c r="G184" s="235"/>
      <c r="H184" s="235"/>
      <c r="I184" s="270"/>
      <c r="J184" s="240"/>
    </row>
    <row r="185">
      <c r="A185" s="301"/>
      <c r="B185" s="227"/>
      <c r="C185" s="227"/>
      <c r="D185" s="227"/>
      <c r="E185" s="227"/>
      <c r="F185" s="367" t="str">
        <f>IF(D185="","",IF(D185&gt;E185,"NC","OK"))</f>
        <v>#ERROR!</v>
      </c>
      <c r="G185" s="227"/>
      <c r="H185" s="227"/>
      <c r="I185" s="266"/>
      <c r="J185" s="233"/>
    </row>
    <row r="186">
      <c r="A186" s="303"/>
      <c r="B186" s="235"/>
      <c r="C186" s="235"/>
      <c r="D186" s="235"/>
      <c r="E186" s="235"/>
      <c r="F186" s="368" t="str">
        <f>IF(D186="","",IF(D186&gt;E186,"NC","OK"))</f>
        <v>#ERROR!</v>
      </c>
      <c r="G186" s="235"/>
      <c r="H186" s="235"/>
      <c r="I186" s="270"/>
      <c r="J186" s="240"/>
    </row>
    <row r="187">
      <c r="A187" s="301"/>
      <c r="B187" s="227"/>
      <c r="C187" s="227"/>
      <c r="D187" s="227"/>
      <c r="E187" s="227"/>
      <c r="F187" s="367" t="str">
        <f>IF(D187="","",IF(D187&gt;E187,"NC","OK"))</f>
        <v>#ERROR!</v>
      </c>
      <c r="G187" s="227"/>
      <c r="H187" s="227"/>
      <c r="I187" s="266"/>
      <c r="J187" s="233"/>
    </row>
    <row r="188">
      <c r="A188" s="303"/>
      <c r="B188" s="235"/>
      <c r="C188" s="235"/>
      <c r="D188" s="235"/>
      <c r="E188" s="235"/>
      <c r="F188" s="368" t="str">
        <f>IF(D188="","",IF(D188&gt;E188,"NC","OK"))</f>
        <v>#ERROR!</v>
      </c>
      <c r="G188" s="235"/>
      <c r="H188" s="235"/>
      <c r="I188" s="270"/>
      <c r="J188" s="240"/>
    </row>
    <row r="189">
      <c r="A189" s="301"/>
      <c r="B189" s="227"/>
      <c r="C189" s="227"/>
      <c r="D189" s="227"/>
      <c r="E189" s="227"/>
      <c r="F189" s="367" t="str">
        <f>IF(D189="","",IF(D189&gt;E189,"NC","OK"))</f>
        <v>#ERROR!</v>
      </c>
      <c r="G189" s="227"/>
      <c r="H189" s="227"/>
      <c r="I189" s="266"/>
      <c r="J189" s="233"/>
    </row>
    <row r="190">
      <c r="A190" s="303"/>
      <c r="B190" s="235"/>
      <c r="C190" s="235"/>
      <c r="D190" s="235"/>
      <c r="E190" s="235"/>
      <c r="F190" s="368" t="str">
        <f>IF(D190="","",IF(D190&gt;E190,"NC","OK"))</f>
        <v>#ERROR!</v>
      </c>
      <c r="G190" s="235"/>
      <c r="H190" s="235"/>
      <c r="I190" s="270"/>
      <c r="J190" s="240"/>
    </row>
    <row r="191">
      <c r="A191" s="301"/>
      <c r="B191" s="227"/>
      <c r="C191" s="227"/>
      <c r="D191" s="227"/>
      <c r="E191" s="227"/>
      <c r="F191" s="367" t="str">
        <f>IF(D191="","",IF(D191&gt;E191,"NC","OK"))</f>
        <v>#ERROR!</v>
      </c>
      <c r="G191" s="227"/>
      <c r="H191" s="227"/>
      <c r="I191" s="266"/>
      <c r="J191" s="233"/>
    </row>
    <row r="192">
      <c r="A192" s="303"/>
      <c r="B192" s="235"/>
      <c r="C192" s="235"/>
      <c r="D192" s="235"/>
      <c r="E192" s="235"/>
      <c r="F192" s="368" t="str">
        <f>IF(D192="","",IF(D192&gt;E192,"NC","OK"))</f>
        <v>#ERROR!</v>
      </c>
      <c r="G192" s="235"/>
      <c r="H192" s="235"/>
      <c r="I192" s="270"/>
      <c r="J192" s="240"/>
    </row>
    <row r="193">
      <c r="A193" s="301"/>
      <c r="B193" s="227"/>
      <c r="C193" s="227"/>
      <c r="D193" s="227"/>
      <c r="E193" s="227"/>
      <c r="F193" s="367" t="str">
        <f>IF(D193="","",IF(D193&gt;E193,"NC","OK"))</f>
        <v>#ERROR!</v>
      </c>
      <c r="G193" s="227"/>
      <c r="H193" s="227"/>
      <c r="I193" s="266"/>
      <c r="J193" s="233"/>
    </row>
    <row r="194">
      <c r="A194" s="303"/>
      <c r="B194" s="235"/>
      <c r="C194" s="235"/>
      <c r="D194" s="235"/>
      <c r="E194" s="235"/>
      <c r="F194" s="368" t="str">
        <f>IF(D194="","",IF(D194&gt;E194,"NC","OK"))</f>
        <v>#ERROR!</v>
      </c>
      <c r="G194" s="235"/>
      <c r="H194" s="235"/>
      <c r="I194" s="270"/>
      <c r="J194" s="240"/>
    </row>
    <row r="195">
      <c r="A195" s="301"/>
      <c r="B195" s="227"/>
      <c r="C195" s="227"/>
      <c r="D195" s="227"/>
      <c r="E195" s="227"/>
      <c r="F195" s="367" t="str">
        <f>IF(D195="","",IF(D195&gt;E195,"NC","OK"))</f>
        <v>#ERROR!</v>
      </c>
      <c r="G195" s="227"/>
      <c r="H195" s="227"/>
      <c r="I195" s="266"/>
      <c r="J195" s="233"/>
    </row>
    <row r="196">
      <c r="A196" s="303"/>
      <c r="B196" s="235"/>
      <c r="C196" s="235"/>
      <c r="D196" s="235"/>
      <c r="E196" s="235"/>
      <c r="F196" s="368" t="str">
        <f>IF(D196="","",IF(D196&gt;E196,"NC","OK"))</f>
        <v>#ERROR!</v>
      </c>
      <c r="G196" s="235"/>
      <c r="H196" s="235"/>
      <c r="I196" s="270"/>
      <c r="J196" s="240"/>
    </row>
    <row r="197">
      <c r="A197" s="301"/>
      <c r="B197" s="227"/>
      <c r="C197" s="227"/>
      <c r="D197" s="227"/>
      <c r="E197" s="227"/>
      <c r="F197" s="367" t="str">
        <f>IF(D197="","",IF(D197&gt;E197,"NC","OK"))</f>
        <v>#ERROR!</v>
      </c>
      <c r="G197" s="227"/>
      <c r="H197" s="227"/>
      <c r="I197" s="266"/>
      <c r="J197" s="233"/>
    </row>
    <row r="198">
      <c r="A198" s="303"/>
      <c r="B198" s="235"/>
      <c r="C198" s="235"/>
      <c r="D198" s="235"/>
      <c r="E198" s="235"/>
      <c r="F198" s="368" t="str">
        <f>IF(D198="","",IF(D198&gt;E198,"NC","OK"))</f>
        <v>#ERROR!</v>
      </c>
      <c r="G198" s="235"/>
      <c r="H198" s="235"/>
      <c r="I198" s="270"/>
      <c r="J198" s="240"/>
    </row>
    <row r="199">
      <c r="A199" s="301"/>
      <c r="B199" s="227"/>
      <c r="C199" s="227"/>
      <c r="D199" s="227"/>
      <c r="E199" s="227"/>
      <c r="F199" s="367" t="str">
        <f>IF(D199="","",IF(D199&gt;E199,"NC","OK"))</f>
        <v>#ERROR!</v>
      </c>
      <c r="G199" s="227"/>
      <c r="H199" s="227"/>
      <c r="I199" s="266"/>
      <c r="J199" s="233"/>
    </row>
    <row r="200">
      <c r="A200" s="303"/>
      <c r="B200" s="235"/>
      <c r="C200" s="235"/>
      <c r="D200" s="235"/>
      <c r="E200" s="235"/>
      <c r="F200" s="368" t="str">
        <f>IF(D200="","",IF(D200&gt;E200,"NC","OK"))</f>
        <v>#ERROR!</v>
      </c>
      <c r="G200" s="235"/>
      <c r="H200" s="235"/>
      <c r="I200" s="270"/>
      <c r="J200" s="240"/>
    </row>
    <row r="201">
      <c r="A201" s="301"/>
      <c r="B201" s="227"/>
      <c r="C201" s="227"/>
      <c r="D201" s="227"/>
      <c r="E201" s="227"/>
      <c r="F201" s="367" t="str">
        <f>IF(D201="","",IF(D201&gt;E201,"NC","OK"))</f>
        <v>#ERROR!</v>
      </c>
      <c r="G201" s="227"/>
      <c r="H201" s="227"/>
      <c r="I201" s="266"/>
      <c r="J201" s="233"/>
    </row>
    <row r="202">
      <c r="A202" s="303"/>
      <c r="B202" s="235"/>
      <c r="C202" s="235"/>
      <c r="D202" s="235"/>
      <c r="E202" s="235"/>
      <c r="F202" s="368" t="str">
        <f>IF(D202="","",IF(D202&gt;E202,"NC","OK"))</f>
        <v>#ERROR!</v>
      </c>
      <c r="G202" s="235"/>
      <c r="H202" s="235"/>
      <c r="I202" s="270"/>
      <c r="J202" s="240"/>
    </row>
    <row r="203">
      <c r="A203" s="301"/>
      <c r="B203" s="227"/>
      <c r="C203" s="227"/>
      <c r="D203" s="227"/>
      <c r="E203" s="227"/>
      <c r="F203" s="367" t="str">
        <f>IF(D203="","",IF(D203&gt;E203,"NC","OK"))</f>
        <v>#ERROR!</v>
      </c>
      <c r="G203" s="227"/>
      <c r="H203" s="227"/>
      <c r="I203" s="266"/>
      <c r="J203" s="233"/>
    </row>
    <row r="204">
      <c r="A204" s="303"/>
      <c r="B204" s="235"/>
      <c r="C204" s="235"/>
      <c r="D204" s="235"/>
      <c r="E204" s="235"/>
      <c r="F204" s="368" t="str">
        <f>IF(D204="","",IF(D204&gt;E204,"NC","OK"))</f>
        <v>#ERROR!</v>
      </c>
      <c r="G204" s="235"/>
      <c r="H204" s="235"/>
      <c r="I204" s="270"/>
      <c r="J204" s="240"/>
    </row>
    <row r="205">
      <c r="A205" s="301"/>
      <c r="B205" s="227"/>
      <c r="C205" s="227"/>
      <c r="D205" s="227"/>
      <c r="E205" s="227"/>
      <c r="F205" s="367" t="str">
        <f>IF(D205="","",IF(D205&gt;E205,"NC","OK"))</f>
        <v>#ERROR!</v>
      </c>
      <c r="G205" s="227"/>
      <c r="H205" s="227"/>
      <c r="I205" s="266"/>
      <c r="J205" s="233"/>
    </row>
    <row r="206">
      <c r="A206" s="303"/>
      <c r="B206" s="235"/>
      <c r="C206" s="235"/>
      <c r="D206" s="235"/>
      <c r="E206" s="235"/>
      <c r="F206" s="368" t="str">
        <f>IF(D206="","",IF(D206&gt;E206,"NC","OK"))</f>
        <v>#ERROR!</v>
      </c>
      <c r="G206" s="235"/>
      <c r="H206" s="235"/>
      <c r="I206" s="270"/>
      <c r="J206" s="240"/>
    </row>
    <row r="207">
      <c r="A207" s="301"/>
      <c r="B207" s="227"/>
      <c r="C207" s="227"/>
      <c r="D207" s="227"/>
      <c r="E207" s="227"/>
      <c r="F207" s="367" t="str">
        <f>IF(D207="","",IF(D207&gt;E207,"NC","OK"))</f>
        <v>#ERROR!</v>
      </c>
      <c r="G207" s="227"/>
      <c r="H207" s="227"/>
      <c r="I207" s="266"/>
      <c r="J207" s="233"/>
    </row>
    <row r="208">
      <c r="A208" s="303"/>
      <c r="B208" s="235"/>
      <c r="C208" s="235"/>
      <c r="D208" s="235"/>
      <c r="E208" s="235"/>
      <c r="F208" s="368" t="str">
        <f>IF(D208="","",IF(D208&gt;E208,"NC","OK"))</f>
        <v>#ERROR!</v>
      </c>
      <c r="G208" s="235"/>
      <c r="H208" s="235"/>
      <c r="I208" s="270"/>
      <c r="J208" s="240"/>
    </row>
    <row r="209">
      <c r="A209" s="301"/>
      <c r="B209" s="227"/>
      <c r="C209" s="227"/>
      <c r="D209" s="227"/>
      <c r="E209" s="227"/>
      <c r="F209" s="367" t="str">
        <f>IF(D209="","",IF(D209&gt;E209,"NC","OK"))</f>
        <v>#ERROR!</v>
      </c>
      <c r="G209" s="227"/>
      <c r="H209" s="227"/>
      <c r="I209" s="266"/>
      <c r="J209" s="233"/>
    </row>
    <row r="210">
      <c r="A210" s="303"/>
      <c r="B210" s="235"/>
      <c r="C210" s="235"/>
      <c r="D210" s="235"/>
      <c r="E210" s="235"/>
      <c r="F210" s="368" t="str">
        <f>IF(D210="","",IF(D210&gt;E210,"NC","OK"))</f>
        <v>#ERROR!</v>
      </c>
      <c r="G210" s="235"/>
      <c r="H210" s="235"/>
      <c r="I210" s="270"/>
      <c r="J210" s="240"/>
    </row>
    <row r="211">
      <c r="A211" s="301"/>
      <c r="B211" s="227"/>
      <c r="C211" s="227"/>
      <c r="D211" s="227"/>
      <c r="E211" s="227"/>
      <c r="F211" s="367" t="str">
        <f>IF(D211="","",IF(D211&gt;E211,"NC","OK"))</f>
        <v>#ERROR!</v>
      </c>
      <c r="G211" s="227"/>
      <c r="H211" s="227"/>
      <c r="I211" s="266"/>
      <c r="J211" s="233"/>
    </row>
    <row r="212">
      <c r="A212" s="303"/>
      <c r="B212" s="235"/>
      <c r="C212" s="235"/>
      <c r="D212" s="235"/>
      <c r="E212" s="235"/>
      <c r="F212" s="368" t="str">
        <f>IF(D212="","",IF(D212&gt;E212,"NC","OK"))</f>
        <v>#ERROR!</v>
      </c>
      <c r="G212" s="235"/>
      <c r="H212" s="235"/>
      <c r="I212" s="270"/>
      <c r="J212" s="240"/>
    </row>
    <row r="213">
      <c r="A213" s="301"/>
      <c r="B213" s="227"/>
      <c r="C213" s="227"/>
      <c r="D213" s="227"/>
      <c r="E213" s="227"/>
      <c r="F213" s="367" t="str">
        <f>IF(D213="","",IF(D213&gt;E213,"NC","OK"))</f>
        <v>#ERROR!</v>
      </c>
      <c r="G213" s="227"/>
      <c r="H213" s="227"/>
      <c r="I213" s="266"/>
      <c r="J213" s="233"/>
    </row>
    <row r="214">
      <c r="A214" s="303"/>
      <c r="B214" s="235"/>
      <c r="C214" s="235"/>
      <c r="D214" s="235"/>
      <c r="E214" s="235"/>
      <c r="F214" s="368" t="str">
        <f>IF(D214="","",IF(D214&gt;E214,"NC","OK"))</f>
        <v>#ERROR!</v>
      </c>
      <c r="G214" s="235"/>
      <c r="H214" s="235"/>
      <c r="I214" s="270"/>
      <c r="J214" s="240"/>
    </row>
    <row r="215">
      <c r="A215" s="301"/>
      <c r="B215" s="227"/>
      <c r="C215" s="227"/>
      <c r="D215" s="227"/>
      <c r="E215" s="227"/>
      <c r="F215" s="367" t="str">
        <f>IF(D215="","",IF(D215&gt;E215,"NC","OK"))</f>
        <v>#ERROR!</v>
      </c>
      <c r="G215" s="227"/>
      <c r="H215" s="227"/>
      <c r="I215" s="266"/>
      <c r="J215" s="233"/>
    </row>
    <row r="216">
      <c r="A216" s="303"/>
      <c r="B216" s="235"/>
      <c r="C216" s="235"/>
      <c r="D216" s="235"/>
      <c r="E216" s="235"/>
      <c r="F216" s="368" t="str">
        <f>IF(D216="","",IF(D216&gt;E216,"NC","OK"))</f>
        <v>#ERROR!</v>
      </c>
      <c r="G216" s="235"/>
      <c r="H216" s="235"/>
      <c r="I216" s="270"/>
      <c r="J216" s="240"/>
    </row>
    <row r="217">
      <c r="A217" s="301"/>
      <c r="B217" s="227"/>
      <c r="C217" s="227"/>
      <c r="D217" s="227"/>
      <c r="E217" s="227"/>
      <c r="F217" s="367" t="str">
        <f>IF(D217="","",IF(D217&gt;E217,"NC","OK"))</f>
        <v>#ERROR!</v>
      </c>
      <c r="G217" s="227"/>
      <c r="H217" s="227"/>
      <c r="I217" s="266"/>
      <c r="J217" s="233"/>
    </row>
    <row r="218">
      <c r="A218" s="303"/>
      <c r="B218" s="235"/>
      <c r="C218" s="235"/>
      <c r="D218" s="235"/>
      <c r="E218" s="235"/>
      <c r="F218" s="368" t="str">
        <f>IF(D218="","",IF(D218&gt;E218,"NC","OK"))</f>
        <v>#ERROR!</v>
      </c>
      <c r="G218" s="235"/>
      <c r="H218" s="235"/>
      <c r="I218" s="270"/>
      <c r="J218" s="240"/>
    </row>
    <row r="219">
      <c r="A219" s="301"/>
      <c r="B219" s="227"/>
      <c r="C219" s="227"/>
      <c r="D219" s="227"/>
      <c r="E219" s="227"/>
      <c r="F219" s="367" t="str">
        <f>IF(D219="","",IF(D219&gt;E219,"NC","OK"))</f>
        <v>#ERROR!</v>
      </c>
      <c r="G219" s="227"/>
      <c r="H219" s="227"/>
      <c r="I219" s="266"/>
      <c r="J219" s="233"/>
    </row>
    <row r="220">
      <c r="A220" s="303"/>
      <c r="B220" s="235"/>
      <c r="C220" s="235"/>
      <c r="D220" s="235"/>
      <c r="E220" s="235"/>
      <c r="F220" s="368" t="str">
        <f>IF(D220="","",IF(D220&gt;E220,"NC","OK"))</f>
        <v>#ERROR!</v>
      </c>
      <c r="G220" s="235"/>
      <c r="H220" s="235"/>
      <c r="I220" s="270"/>
      <c r="J220" s="240"/>
    </row>
    <row r="221">
      <c r="A221" s="301"/>
      <c r="B221" s="227"/>
      <c r="C221" s="227"/>
      <c r="D221" s="227"/>
      <c r="E221" s="227"/>
      <c r="F221" s="367" t="str">
        <f>IF(D221="","",IF(D221&gt;E221,"NC","OK"))</f>
        <v>#ERROR!</v>
      </c>
      <c r="G221" s="227"/>
      <c r="H221" s="227"/>
      <c r="I221" s="266"/>
      <c r="J221" s="233"/>
    </row>
    <row r="222">
      <c r="A222" s="303"/>
      <c r="B222" s="235"/>
      <c r="C222" s="235"/>
      <c r="D222" s="235"/>
      <c r="E222" s="235"/>
      <c r="F222" s="368" t="str">
        <f>IF(D222="","",IF(D222&gt;E222,"NC","OK"))</f>
        <v>#ERROR!</v>
      </c>
      <c r="G222" s="235"/>
      <c r="H222" s="235"/>
      <c r="I222" s="270"/>
      <c r="J222" s="240"/>
    </row>
    <row r="223">
      <c r="A223" s="301"/>
      <c r="B223" s="227"/>
      <c r="C223" s="227"/>
      <c r="D223" s="227"/>
      <c r="E223" s="227"/>
      <c r="F223" s="367" t="str">
        <f>IF(D223="","",IF(D223&gt;E223,"NC","OK"))</f>
        <v>#ERROR!</v>
      </c>
      <c r="G223" s="227"/>
      <c r="H223" s="227"/>
      <c r="I223" s="266"/>
      <c r="J223" s="233"/>
    </row>
    <row r="224">
      <c r="A224" s="303"/>
      <c r="B224" s="235"/>
      <c r="C224" s="235"/>
      <c r="D224" s="235"/>
      <c r="E224" s="235"/>
      <c r="F224" s="368" t="str">
        <f>IF(D224="","",IF(D224&gt;E224,"NC","OK"))</f>
        <v>#ERROR!</v>
      </c>
      <c r="G224" s="235"/>
      <c r="H224" s="235"/>
      <c r="I224" s="270"/>
      <c r="J224" s="240"/>
    </row>
    <row r="225">
      <c r="A225" s="301"/>
      <c r="B225" s="227"/>
      <c r="C225" s="227"/>
      <c r="D225" s="227"/>
      <c r="E225" s="227"/>
      <c r="F225" s="367" t="str">
        <f>IF(D225="","",IF(D225&gt;E225,"NC","OK"))</f>
        <v>#ERROR!</v>
      </c>
      <c r="G225" s="227"/>
      <c r="H225" s="227"/>
      <c r="I225" s="266"/>
      <c r="J225" s="233"/>
    </row>
    <row r="226">
      <c r="A226" s="303"/>
      <c r="B226" s="235"/>
      <c r="C226" s="235"/>
      <c r="D226" s="235"/>
      <c r="E226" s="235"/>
      <c r="F226" s="368" t="str">
        <f>IF(D226="","",IF(D226&gt;E226,"NC","OK"))</f>
        <v>#ERROR!</v>
      </c>
      <c r="G226" s="235"/>
      <c r="H226" s="235"/>
      <c r="I226" s="270"/>
      <c r="J226" s="240"/>
    </row>
    <row r="227">
      <c r="A227" s="301"/>
      <c r="B227" s="227"/>
      <c r="C227" s="227"/>
      <c r="D227" s="227"/>
      <c r="E227" s="227"/>
      <c r="F227" s="367" t="str">
        <f>IF(D227="","",IF(D227&gt;E227,"NC","OK"))</f>
        <v>#ERROR!</v>
      </c>
      <c r="G227" s="227"/>
      <c r="H227" s="227"/>
      <c r="I227" s="266"/>
      <c r="J227" s="233"/>
    </row>
    <row r="228">
      <c r="A228" s="303"/>
      <c r="B228" s="235"/>
      <c r="C228" s="235"/>
      <c r="D228" s="235"/>
      <c r="E228" s="235"/>
      <c r="F228" s="368" t="str">
        <f>IF(D228="","",IF(D228&gt;E228,"NC","OK"))</f>
        <v>#ERROR!</v>
      </c>
      <c r="G228" s="235"/>
      <c r="H228" s="235"/>
      <c r="I228" s="270"/>
      <c r="J228" s="240"/>
    </row>
    <row r="229">
      <c r="A229" s="301"/>
      <c r="B229" s="227"/>
      <c r="C229" s="227"/>
      <c r="D229" s="227"/>
      <c r="E229" s="227"/>
      <c r="F229" s="367" t="str">
        <f>IF(D229="","",IF(D229&gt;E229,"NC","OK"))</f>
        <v>#ERROR!</v>
      </c>
      <c r="G229" s="227"/>
      <c r="H229" s="227"/>
      <c r="I229" s="266"/>
      <c r="J229" s="233"/>
    </row>
    <row r="230">
      <c r="A230" s="303"/>
      <c r="B230" s="235"/>
      <c r="C230" s="235"/>
      <c r="D230" s="235"/>
      <c r="E230" s="235"/>
      <c r="F230" s="368" t="str">
        <f>IF(D230="","",IF(D230&gt;E230,"NC","OK"))</f>
        <v>#ERROR!</v>
      </c>
      <c r="G230" s="235"/>
      <c r="H230" s="235"/>
      <c r="I230" s="270"/>
      <c r="J230" s="240"/>
    </row>
    <row r="231">
      <c r="A231" s="301"/>
      <c r="B231" s="227"/>
      <c r="C231" s="227"/>
      <c r="D231" s="227"/>
      <c r="E231" s="227"/>
      <c r="F231" s="367" t="str">
        <f>IF(D231="","",IF(D231&gt;E231,"NC","OK"))</f>
        <v>#ERROR!</v>
      </c>
      <c r="G231" s="227"/>
      <c r="H231" s="227"/>
      <c r="I231" s="266"/>
      <c r="J231" s="233"/>
    </row>
    <row r="232">
      <c r="A232" s="303"/>
      <c r="B232" s="235"/>
      <c r="C232" s="235"/>
      <c r="D232" s="235"/>
      <c r="E232" s="235"/>
      <c r="F232" s="368" t="str">
        <f>IF(D232="","",IF(D232&gt;E232,"NC","OK"))</f>
        <v>#ERROR!</v>
      </c>
      <c r="G232" s="235"/>
      <c r="H232" s="235"/>
      <c r="I232" s="270"/>
      <c r="J232" s="240"/>
    </row>
    <row r="233">
      <c r="A233" s="301"/>
      <c r="B233" s="227"/>
      <c r="C233" s="227"/>
      <c r="D233" s="227"/>
      <c r="E233" s="227"/>
      <c r="F233" s="367" t="str">
        <f>IF(D233="","",IF(D233&gt;E233,"NC","OK"))</f>
        <v>#ERROR!</v>
      </c>
      <c r="G233" s="227"/>
      <c r="H233" s="227"/>
      <c r="I233" s="266"/>
      <c r="J233" s="233"/>
    </row>
    <row r="234">
      <c r="A234" s="303"/>
      <c r="B234" s="235"/>
      <c r="C234" s="235"/>
      <c r="D234" s="235"/>
      <c r="E234" s="235"/>
      <c r="F234" s="368" t="str">
        <f>IF(D234="","",IF(D234&gt;E234,"NC","OK"))</f>
        <v>#ERROR!</v>
      </c>
      <c r="G234" s="235"/>
      <c r="H234" s="235"/>
      <c r="I234" s="270"/>
      <c r="J234" s="240"/>
    </row>
    <row r="235">
      <c r="A235" s="301"/>
      <c r="B235" s="227"/>
      <c r="C235" s="227"/>
      <c r="D235" s="227"/>
      <c r="E235" s="227"/>
      <c r="F235" s="367" t="str">
        <f>IF(D235="","",IF(D235&gt;E235,"NC","OK"))</f>
        <v>#ERROR!</v>
      </c>
      <c r="G235" s="227"/>
      <c r="H235" s="227"/>
      <c r="I235" s="266"/>
      <c r="J235" s="233"/>
    </row>
    <row r="236">
      <c r="A236" s="303"/>
      <c r="B236" s="235"/>
      <c r="C236" s="235"/>
      <c r="D236" s="235"/>
      <c r="E236" s="235"/>
      <c r="F236" s="368" t="str">
        <f>IF(D236="","",IF(D236&gt;E236,"NC","OK"))</f>
        <v>#ERROR!</v>
      </c>
      <c r="G236" s="235"/>
      <c r="H236" s="235"/>
      <c r="I236" s="270"/>
      <c r="J236" s="240"/>
    </row>
    <row r="237">
      <c r="A237" s="301"/>
      <c r="B237" s="227"/>
      <c r="C237" s="227"/>
      <c r="D237" s="227"/>
      <c r="E237" s="227"/>
      <c r="F237" s="367" t="str">
        <f>IF(D237="","",IF(D237&gt;E237,"NC","OK"))</f>
        <v>#ERROR!</v>
      </c>
      <c r="G237" s="227"/>
      <c r="H237" s="227"/>
      <c r="I237" s="266"/>
      <c r="J237" s="233"/>
    </row>
    <row r="238">
      <c r="A238" s="303"/>
      <c r="B238" s="235"/>
      <c r="C238" s="235"/>
      <c r="D238" s="235"/>
      <c r="E238" s="235"/>
      <c r="F238" s="368" t="str">
        <f>IF(D238="","",IF(D238&gt;E238,"NC","OK"))</f>
        <v>#ERROR!</v>
      </c>
      <c r="G238" s="235"/>
      <c r="H238" s="235"/>
      <c r="I238" s="270"/>
      <c r="J238" s="240"/>
    </row>
    <row r="239">
      <c r="A239" s="301"/>
      <c r="B239" s="227"/>
      <c r="C239" s="227"/>
      <c r="D239" s="227"/>
      <c r="E239" s="227"/>
      <c r="F239" s="367" t="str">
        <f>IF(D239="","",IF(D239&gt;E239,"NC","OK"))</f>
        <v>#ERROR!</v>
      </c>
      <c r="G239" s="227"/>
      <c r="H239" s="227"/>
      <c r="I239" s="266"/>
      <c r="J239" s="233"/>
    </row>
    <row r="240">
      <c r="A240" s="303"/>
      <c r="B240" s="235"/>
      <c r="C240" s="235"/>
      <c r="D240" s="235"/>
      <c r="E240" s="235"/>
      <c r="F240" s="368" t="str">
        <f>IF(D240="","",IF(D240&gt;E240,"NC","OK"))</f>
        <v>#ERROR!</v>
      </c>
      <c r="G240" s="235"/>
      <c r="H240" s="235"/>
      <c r="I240" s="270"/>
      <c r="J240" s="240"/>
    </row>
    <row r="241">
      <c r="A241" s="301"/>
      <c r="B241" s="227"/>
      <c r="C241" s="227"/>
      <c r="D241" s="227"/>
      <c r="E241" s="227"/>
      <c r="F241" s="367" t="str">
        <f>IF(D241="","",IF(D241&gt;E241,"NC","OK"))</f>
        <v>#ERROR!</v>
      </c>
      <c r="G241" s="227"/>
      <c r="H241" s="227"/>
      <c r="I241" s="266"/>
      <c r="J241" s="233"/>
    </row>
    <row r="242">
      <c r="A242" s="303"/>
      <c r="B242" s="235"/>
      <c r="C242" s="235"/>
      <c r="D242" s="235"/>
      <c r="E242" s="235"/>
      <c r="F242" s="368" t="str">
        <f>IF(D242="","",IF(D242&gt;E242,"NC","OK"))</f>
        <v>#ERROR!</v>
      </c>
      <c r="G242" s="235"/>
      <c r="H242" s="235"/>
      <c r="I242" s="270"/>
      <c r="J242" s="240"/>
    </row>
    <row r="243">
      <c r="A243" s="301"/>
      <c r="B243" s="227"/>
      <c r="C243" s="227"/>
      <c r="D243" s="227"/>
      <c r="E243" s="227"/>
      <c r="F243" s="367" t="str">
        <f>IF(D243="","",IF(D243&gt;E243,"NC","OK"))</f>
        <v>#ERROR!</v>
      </c>
      <c r="G243" s="227"/>
      <c r="H243" s="227"/>
      <c r="I243" s="266"/>
      <c r="J243" s="233"/>
    </row>
    <row r="244">
      <c r="A244" s="303"/>
      <c r="B244" s="235"/>
      <c r="C244" s="235"/>
      <c r="D244" s="235"/>
      <c r="E244" s="235"/>
      <c r="F244" s="368" t="str">
        <f>IF(D244="","",IF(D244&gt;E244,"NC","OK"))</f>
        <v>#ERROR!</v>
      </c>
      <c r="G244" s="235"/>
      <c r="H244" s="235"/>
      <c r="I244" s="270"/>
      <c r="J244" s="240"/>
    </row>
    <row r="245">
      <c r="A245" s="301"/>
      <c r="B245" s="227"/>
      <c r="C245" s="227"/>
      <c r="D245" s="227"/>
      <c r="E245" s="227"/>
      <c r="F245" s="367" t="str">
        <f>IF(D245="","",IF(D245&gt;E245,"NC","OK"))</f>
        <v>#ERROR!</v>
      </c>
      <c r="G245" s="227"/>
      <c r="H245" s="227"/>
      <c r="I245" s="266"/>
      <c r="J245" s="233"/>
    </row>
    <row r="246">
      <c r="A246" s="303"/>
      <c r="B246" s="235"/>
      <c r="C246" s="235"/>
      <c r="D246" s="235"/>
      <c r="E246" s="235"/>
      <c r="F246" s="368" t="str">
        <f>IF(D246="","",IF(D246&gt;E246,"NC","OK"))</f>
        <v>#ERROR!</v>
      </c>
      <c r="G246" s="235"/>
      <c r="H246" s="235"/>
      <c r="I246" s="270"/>
      <c r="J246" s="240"/>
    </row>
    <row r="247">
      <c r="A247" s="301"/>
      <c r="B247" s="227"/>
      <c r="C247" s="227"/>
      <c r="D247" s="227"/>
      <c r="E247" s="227"/>
      <c r="F247" s="367" t="str">
        <f>IF(D247="","",IF(D247&gt;E247,"NC","OK"))</f>
        <v>#ERROR!</v>
      </c>
      <c r="G247" s="227"/>
      <c r="H247" s="227"/>
      <c r="I247" s="266"/>
      <c r="J247" s="233"/>
    </row>
    <row r="248">
      <c r="A248" s="303"/>
      <c r="B248" s="235"/>
      <c r="C248" s="235"/>
      <c r="D248" s="235"/>
      <c r="E248" s="235"/>
      <c r="F248" s="368" t="str">
        <f>IF(D248="","",IF(D248&gt;E248,"NC","OK"))</f>
        <v>#ERROR!</v>
      </c>
      <c r="G248" s="235"/>
      <c r="H248" s="235"/>
      <c r="I248" s="270"/>
      <c r="J248" s="240"/>
    </row>
    <row r="249">
      <c r="A249" s="301"/>
      <c r="B249" s="227"/>
      <c r="C249" s="227"/>
      <c r="D249" s="227"/>
      <c r="E249" s="227"/>
      <c r="F249" s="367" t="str">
        <f>IF(D249="","",IF(D249&gt;E249,"NC","OK"))</f>
        <v>#ERROR!</v>
      </c>
      <c r="G249" s="227"/>
      <c r="H249" s="227"/>
      <c r="I249" s="266"/>
      <c r="J249" s="233"/>
    </row>
    <row r="250">
      <c r="A250" s="303"/>
      <c r="B250" s="235"/>
      <c r="C250" s="235"/>
      <c r="D250" s="235"/>
      <c r="E250" s="235"/>
      <c r="F250" s="368" t="str">
        <f>IF(D250="","",IF(D250&gt;E250,"NC","OK"))</f>
        <v>#ERROR!</v>
      </c>
      <c r="G250" s="235"/>
      <c r="H250" s="235"/>
      <c r="I250" s="270"/>
      <c r="J250" s="240"/>
    </row>
    <row r="251">
      <c r="A251" s="301"/>
      <c r="B251" s="227"/>
      <c r="C251" s="227"/>
      <c r="D251" s="227"/>
      <c r="E251" s="227"/>
      <c r="F251" s="367" t="str">
        <f>IF(D251="","",IF(D251&gt;E251,"NC","OK"))</f>
        <v>#ERROR!</v>
      </c>
      <c r="G251" s="227"/>
      <c r="H251" s="227"/>
      <c r="I251" s="266"/>
      <c r="J251" s="233"/>
    </row>
    <row r="252">
      <c r="A252" s="303"/>
      <c r="B252" s="235"/>
      <c r="C252" s="235"/>
      <c r="D252" s="235"/>
      <c r="E252" s="235"/>
      <c r="F252" s="368" t="str">
        <f>IF(D252="","",IF(D252&gt;E252,"NC","OK"))</f>
        <v>#ERROR!</v>
      </c>
      <c r="G252" s="235"/>
      <c r="H252" s="235"/>
      <c r="I252" s="270"/>
      <c r="J252" s="240"/>
    </row>
    <row r="253">
      <c r="A253" s="301"/>
      <c r="B253" s="227"/>
      <c r="C253" s="227"/>
      <c r="D253" s="227"/>
      <c r="E253" s="227"/>
      <c r="F253" s="367" t="str">
        <f>IF(D253="","",IF(D253&gt;E253,"NC","OK"))</f>
        <v>#ERROR!</v>
      </c>
      <c r="G253" s="227"/>
      <c r="H253" s="227"/>
      <c r="I253" s="266"/>
      <c r="J253" s="233"/>
    </row>
    <row r="254">
      <c r="A254" s="303"/>
      <c r="B254" s="235"/>
      <c r="C254" s="235"/>
      <c r="D254" s="235"/>
      <c r="E254" s="235"/>
      <c r="F254" s="368" t="str">
        <f>IF(D254="","",IF(D254&gt;E254,"NC","OK"))</f>
        <v>#ERROR!</v>
      </c>
      <c r="G254" s="235"/>
      <c r="H254" s="235"/>
      <c r="I254" s="270"/>
      <c r="J254" s="240"/>
    </row>
    <row r="255">
      <c r="A255" s="301"/>
      <c r="B255" s="227"/>
      <c r="C255" s="227"/>
      <c r="D255" s="227"/>
      <c r="E255" s="227"/>
      <c r="F255" s="367" t="str">
        <f>IF(D255="","",IF(D255&gt;E255,"NC","OK"))</f>
        <v>#ERROR!</v>
      </c>
      <c r="G255" s="227"/>
      <c r="H255" s="227"/>
      <c r="I255" s="266"/>
      <c r="J255" s="233"/>
    </row>
    <row r="256">
      <c r="A256" s="303"/>
      <c r="B256" s="235"/>
      <c r="C256" s="235"/>
      <c r="D256" s="235"/>
      <c r="E256" s="235"/>
      <c r="F256" s="368" t="str">
        <f>IF(D256="","",IF(D256&gt;E256,"NC","OK"))</f>
        <v>#ERROR!</v>
      </c>
      <c r="G256" s="235"/>
      <c r="H256" s="235"/>
      <c r="I256" s="270"/>
      <c r="J256" s="240"/>
    </row>
    <row r="257">
      <c r="A257" s="301"/>
      <c r="B257" s="227"/>
      <c r="C257" s="227"/>
      <c r="D257" s="227"/>
      <c r="E257" s="227"/>
      <c r="F257" s="367" t="str">
        <f>IF(D257="","",IF(D257&gt;E257,"NC","OK"))</f>
        <v>#ERROR!</v>
      </c>
      <c r="G257" s="227"/>
      <c r="H257" s="227"/>
      <c r="I257" s="266"/>
      <c r="J257" s="233"/>
    </row>
    <row r="258">
      <c r="A258" s="303"/>
      <c r="B258" s="235"/>
      <c r="C258" s="235"/>
      <c r="D258" s="235"/>
      <c r="E258" s="235"/>
      <c r="F258" s="368" t="str">
        <f>IF(D258="","",IF(D258&gt;E258,"NC","OK"))</f>
        <v>#ERROR!</v>
      </c>
      <c r="G258" s="235"/>
      <c r="H258" s="235"/>
      <c r="I258" s="270"/>
      <c r="J258" s="240"/>
    </row>
    <row r="259">
      <c r="A259" s="301"/>
      <c r="B259" s="227"/>
      <c r="C259" s="227"/>
      <c r="D259" s="227"/>
      <c r="E259" s="227"/>
      <c r="F259" s="367" t="str">
        <f>IF(D259="","",IF(D259&gt;E259,"NC","OK"))</f>
        <v>#ERROR!</v>
      </c>
      <c r="G259" s="227"/>
      <c r="H259" s="227"/>
      <c r="I259" s="266"/>
      <c r="J259" s="233"/>
    </row>
    <row r="260">
      <c r="A260" s="303"/>
      <c r="B260" s="235"/>
      <c r="C260" s="235"/>
      <c r="D260" s="235"/>
      <c r="E260" s="235"/>
      <c r="F260" s="368" t="str">
        <f>IF(D260="","",IF(D260&gt;E260,"NC","OK"))</f>
        <v>#ERROR!</v>
      </c>
      <c r="G260" s="235"/>
      <c r="H260" s="235"/>
      <c r="I260" s="270"/>
      <c r="J260" s="240"/>
    </row>
    <row r="261">
      <c r="A261" s="301"/>
      <c r="B261" s="227"/>
      <c r="C261" s="227"/>
      <c r="D261" s="227"/>
      <c r="E261" s="227"/>
      <c r="F261" s="367" t="str">
        <f>IF(D261="","",IF(D261&gt;E261,"NC","OK"))</f>
        <v>#ERROR!</v>
      </c>
      <c r="G261" s="227"/>
      <c r="H261" s="227"/>
      <c r="I261" s="266"/>
      <c r="J261" s="233"/>
    </row>
    <row r="262">
      <c r="A262" s="303"/>
      <c r="B262" s="235"/>
      <c r="C262" s="235"/>
      <c r="D262" s="235"/>
      <c r="E262" s="235"/>
      <c r="F262" s="368" t="str">
        <f>IF(D262="","",IF(D262&gt;E262,"NC","OK"))</f>
        <v>#ERROR!</v>
      </c>
      <c r="G262" s="235"/>
      <c r="H262" s="235"/>
      <c r="I262" s="270"/>
      <c r="J262" s="240"/>
    </row>
    <row r="263">
      <c r="A263" s="301"/>
      <c r="B263" s="227"/>
      <c r="C263" s="227"/>
      <c r="D263" s="227"/>
      <c r="E263" s="227"/>
      <c r="F263" s="367" t="str">
        <f>IF(D263="","",IF(D263&gt;E263,"NC","OK"))</f>
        <v>#ERROR!</v>
      </c>
      <c r="G263" s="227"/>
      <c r="H263" s="227"/>
      <c r="I263" s="266"/>
      <c r="J263" s="233"/>
    </row>
    <row r="264">
      <c r="A264" s="303"/>
      <c r="B264" s="235"/>
      <c r="C264" s="235"/>
      <c r="D264" s="235"/>
      <c r="E264" s="235"/>
      <c r="F264" s="368" t="str">
        <f>IF(D264="","",IF(D264&gt;E264,"NC","OK"))</f>
        <v>#ERROR!</v>
      </c>
      <c r="G264" s="235"/>
      <c r="H264" s="235"/>
      <c r="I264" s="270"/>
      <c r="J264" s="240"/>
    </row>
    <row r="265">
      <c r="A265" s="301"/>
      <c r="B265" s="227"/>
      <c r="C265" s="227"/>
      <c r="D265" s="227"/>
      <c r="E265" s="227"/>
      <c r="F265" s="367" t="str">
        <f>IF(D265="","",IF(D265&gt;E265,"NC","OK"))</f>
        <v>#ERROR!</v>
      </c>
      <c r="G265" s="227"/>
      <c r="H265" s="227"/>
      <c r="I265" s="266"/>
      <c r="J265" s="233"/>
    </row>
    <row r="266">
      <c r="A266" s="303"/>
      <c r="B266" s="235"/>
      <c r="C266" s="235"/>
      <c r="D266" s="235"/>
      <c r="E266" s="235"/>
      <c r="F266" s="368" t="str">
        <f>IF(D266="","",IF(D266&gt;E266,"NC","OK"))</f>
        <v>#ERROR!</v>
      </c>
      <c r="G266" s="235"/>
      <c r="H266" s="235"/>
      <c r="I266" s="270"/>
      <c r="J266" s="240"/>
    </row>
    <row r="267">
      <c r="A267" s="301"/>
      <c r="B267" s="227"/>
      <c r="C267" s="227"/>
      <c r="D267" s="227"/>
      <c r="E267" s="227"/>
      <c r="F267" s="367" t="str">
        <f>IF(D267="","",IF(D267&gt;E267,"NC","OK"))</f>
        <v>#ERROR!</v>
      </c>
      <c r="G267" s="227"/>
      <c r="H267" s="227"/>
      <c r="I267" s="266"/>
      <c r="J267" s="233"/>
    </row>
    <row r="268">
      <c r="A268" s="303"/>
      <c r="B268" s="235"/>
      <c r="C268" s="235"/>
      <c r="D268" s="235"/>
      <c r="E268" s="235"/>
      <c r="F268" s="368" t="str">
        <f>IF(D268="","",IF(D268&gt;E268,"NC","OK"))</f>
        <v>#ERROR!</v>
      </c>
      <c r="G268" s="235"/>
      <c r="H268" s="235"/>
      <c r="I268" s="270"/>
      <c r="J268" s="240"/>
    </row>
    <row r="269">
      <c r="A269" s="301"/>
      <c r="B269" s="227"/>
      <c r="C269" s="227"/>
      <c r="D269" s="227"/>
      <c r="E269" s="227"/>
      <c r="F269" s="367" t="str">
        <f>IF(D269="","",IF(D269&gt;E269,"NC","OK"))</f>
        <v>#ERROR!</v>
      </c>
      <c r="G269" s="227"/>
      <c r="H269" s="227"/>
      <c r="I269" s="266"/>
      <c r="J269" s="233"/>
    </row>
    <row r="270">
      <c r="A270" s="303"/>
      <c r="B270" s="235"/>
      <c r="C270" s="235"/>
      <c r="D270" s="235"/>
      <c r="E270" s="235"/>
      <c r="F270" s="368" t="str">
        <f>IF(D270="","",IF(D270&gt;E270,"NC","OK"))</f>
        <v>#ERROR!</v>
      </c>
      <c r="G270" s="235"/>
      <c r="H270" s="235"/>
      <c r="I270" s="270"/>
      <c r="J270" s="240"/>
    </row>
    <row r="271">
      <c r="A271" s="301"/>
      <c r="B271" s="227"/>
      <c r="C271" s="227"/>
      <c r="D271" s="227"/>
      <c r="E271" s="227"/>
      <c r="F271" s="367" t="str">
        <f>IF(D271="","",IF(D271&gt;E271,"NC","OK"))</f>
        <v>#ERROR!</v>
      </c>
      <c r="G271" s="227"/>
      <c r="H271" s="227"/>
      <c r="I271" s="266"/>
      <c r="J271" s="233"/>
    </row>
    <row r="272">
      <c r="A272" s="303"/>
      <c r="B272" s="235"/>
      <c r="C272" s="235"/>
      <c r="D272" s="235"/>
      <c r="E272" s="235"/>
      <c r="F272" s="368" t="str">
        <f>IF(D272="","",IF(D272&gt;E272,"NC","OK"))</f>
        <v>#ERROR!</v>
      </c>
      <c r="G272" s="235"/>
      <c r="H272" s="235"/>
      <c r="I272" s="270"/>
      <c r="J272" s="240"/>
    </row>
    <row r="273">
      <c r="A273" s="301"/>
      <c r="B273" s="227"/>
      <c r="C273" s="227"/>
      <c r="D273" s="227"/>
      <c r="E273" s="227"/>
      <c r="F273" s="367" t="str">
        <f>IF(D273="","",IF(D273&gt;E273,"NC","OK"))</f>
        <v>#ERROR!</v>
      </c>
      <c r="G273" s="227"/>
      <c r="H273" s="227"/>
      <c r="I273" s="266"/>
      <c r="J273" s="233"/>
    </row>
    <row r="274">
      <c r="A274" s="303"/>
      <c r="B274" s="235"/>
      <c r="C274" s="235"/>
      <c r="D274" s="235"/>
      <c r="E274" s="235"/>
      <c r="F274" s="368" t="str">
        <f>IF(D274="","",IF(D274&gt;E274,"NC","OK"))</f>
        <v>#ERROR!</v>
      </c>
      <c r="G274" s="235"/>
      <c r="H274" s="235"/>
      <c r="I274" s="270"/>
      <c r="J274" s="240"/>
    </row>
    <row r="275">
      <c r="A275" s="301"/>
      <c r="B275" s="227"/>
      <c r="C275" s="227"/>
      <c r="D275" s="227"/>
      <c r="E275" s="227"/>
      <c r="F275" s="367" t="str">
        <f>IF(D275="","",IF(D275&gt;E275,"NC","OK"))</f>
        <v>#ERROR!</v>
      </c>
      <c r="G275" s="227"/>
      <c r="H275" s="227"/>
      <c r="I275" s="266"/>
      <c r="J275" s="233"/>
    </row>
    <row r="276">
      <c r="A276" s="303"/>
      <c r="B276" s="235"/>
      <c r="C276" s="235"/>
      <c r="D276" s="235"/>
      <c r="E276" s="235"/>
      <c r="F276" s="368" t="str">
        <f>IF(D276="","",IF(D276&gt;E276,"NC","OK"))</f>
        <v>#ERROR!</v>
      </c>
      <c r="G276" s="235"/>
      <c r="H276" s="235"/>
      <c r="I276" s="270"/>
      <c r="J276" s="240"/>
    </row>
    <row r="277">
      <c r="A277" s="301"/>
      <c r="B277" s="227"/>
      <c r="C277" s="227"/>
      <c r="D277" s="227"/>
      <c r="E277" s="227"/>
      <c r="F277" s="367" t="str">
        <f>IF(D277="","",IF(D277&gt;E277,"NC","OK"))</f>
        <v>#ERROR!</v>
      </c>
      <c r="G277" s="227"/>
      <c r="H277" s="227"/>
      <c r="I277" s="266"/>
      <c r="J277" s="233"/>
    </row>
    <row r="278">
      <c r="A278" s="303"/>
      <c r="B278" s="235"/>
      <c r="C278" s="235"/>
      <c r="D278" s="235"/>
      <c r="E278" s="235"/>
      <c r="F278" s="368" t="str">
        <f>IF(D278="","",IF(D278&gt;E278,"NC","OK"))</f>
        <v>#ERROR!</v>
      </c>
      <c r="G278" s="235"/>
      <c r="H278" s="235"/>
      <c r="I278" s="270"/>
      <c r="J278" s="240"/>
    </row>
    <row r="279">
      <c r="A279" s="301"/>
      <c r="B279" s="227"/>
      <c r="C279" s="227"/>
      <c r="D279" s="227"/>
      <c r="E279" s="227"/>
      <c r="F279" s="367" t="str">
        <f>IF(D279="","",IF(D279&gt;E279,"NC","OK"))</f>
        <v>#ERROR!</v>
      </c>
      <c r="G279" s="227"/>
      <c r="H279" s="227"/>
      <c r="I279" s="266"/>
      <c r="J279" s="233"/>
    </row>
    <row r="280">
      <c r="A280" s="303"/>
      <c r="B280" s="235"/>
      <c r="C280" s="235"/>
      <c r="D280" s="235"/>
      <c r="E280" s="235"/>
      <c r="F280" s="368" t="str">
        <f>IF(D280="","",IF(D280&gt;E280,"NC","OK"))</f>
        <v>#ERROR!</v>
      </c>
      <c r="G280" s="235"/>
      <c r="H280" s="235"/>
      <c r="I280" s="270"/>
      <c r="J280" s="240"/>
    </row>
    <row r="281">
      <c r="A281" s="301"/>
      <c r="B281" s="227"/>
      <c r="C281" s="227"/>
      <c r="D281" s="227"/>
      <c r="E281" s="227"/>
      <c r="F281" s="367" t="str">
        <f>IF(D281="","",IF(D281&gt;E281,"NC","OK"))</f>
        <v>#ERROR!</v>
      </c>
      <c r="G281" s="227"/>
      <c r="H281" s="227"/>
      <c r="I281" s="266"/>
      <c r="J281" s="233"/>
    </row>
    <row r="282">
      <c r="A282" s="303"/>
      <c r="B282" s="235"/>
      <c r="C282" s="235"/>
      <c r="D282" s="235"/>
      <c r="E282" s="235"/>
      <c r="F282" s="368" t="str">
        <f>IF(D282="","",IF(D282&gt;E282,"NC","OK"))</f>
        <v>#ERROR!</v>
      </c>
      <c r="G282" s="235"/>
      <c r="H282" s="235"/>
      <c r="I282" s="270"/>
      <c r="J282" s="240"/>
    </row>
    <row r="283">
      <c r="A283" s="301"/>
      <c r="B283" s="227"/>
      <c r="C283" s="227"/>
      <c r="D283" s="227"/>
      <c r="E283" s="227"/>
      <c r="F283" s="367" t="str">
        <f>IF(D283="","",IF(D283&gt;E283,"NC","OK"))</f>
        <v>#ERROR!</v>
      </c>
      <c r="G283" s="227"/>
      <c r="H283" s="227"/>
      <c r="I283" s="266"/>
      <c r="J283" s="233"/>
    </row>
    <row r="284">
      <c r="A284" s="303"/>
      <c r="B284" s="235"/>
      <c r="C284" s="235"/>
      <c r="D284" s="235"/>
      <c r="E284" s="235"/>
      <c r="F284" s="368" t="str">
        <f>IF(D284="","",IF(D284&gt;E284,"NC","OK"))</f>
        <v>#ERROR!</v>
      </c>
      <c r="G284" s="235"/>
      <c r="H284" s="235"/>
      <c r="I284" s="270"/>
      <c r="J284" s="240"/>
    </row>
    <row r="285">
      <c r="A285" s="301"/>
      <c r="B285" s="227"/>
      <c r="C285" s="227"/>
      <c r="D285" s="227"/>
      <c r="E285" s="227"/>
      <c r="F285" s="367" t="str">
        <f>IF(D285="","",IF(D285&gt;E285,"NC","OK"))</f>
        <v>#ERROR!</v>
      </c>
      <c r="G285" s="227"/>
      <c r="H285" s="227"/>
      <c r="I285" s="266"/>
      <c r="J285" s="233"/>
    </row>
    <row r="286">
      <c r="A286" s="303"/>
      <c r="B286" s="235"/>
      <c r="C286" s="235"/>
      <c r="D286" s="235"/>
      <c r="E286" s="235"/>
      <c r="F286" s="368" t="str">
        <f>IF(D286="","",IF(D286&gt;E286,"NC","OK"))</f>
        <v>#ERROR!</v>
      </c>
      <c r="G286" s="235"/>
      <c r="H286" s="235"/>
      <c r="I286" s="270"/>
      <c r="J286" s="240"/>
    </row>
    <row r="287">
      <c r="A287" s="301"/>
      <c r="B287" s="227"/>
      <c r="C287" s="227"/>
      <c r="D287" s="227"/>
      <c r="E287" s="227"/>
      <c r="F287" s="367" t="str">
        <f>IF(D287="","",IF(D287&gt;E287,"NC","OK"))</f>
        <v>#ERROR!</v>
      </c>
      <c r="G287" s="227"/>
      <c r="H287" s="227"/>
      <c r="I287" s="266"/>
      <c r="J287" s="233"/>
    </row>
    <row r="288">
      <c r="A288" s="303"/>
      <c r="B288" s="235"/>
      <c r="C288" s="235"/>
      <c r="D288" s="235"/>
      <c r="E288" s="235"/>
      <c r="F288" s="368" t="str">
        <f>IF(D288="","",IF(D288&gt;E288,"NC","OK"))</f>
        <v>#ERROR!</v>
      </c>
      <c r="G288" s="235"/>
      <c r="H288" s="235"/>
      <c r="I288" s="270"/>
      <c r="J288" s="240"/>
    </row>
    <row r="289">
      <c r="A289" s="301"/>
      <c r="B289" s="227"/>
      <c r="C289" s="227"/>
      <c r="D289" s="227"/>
      <c r="E289" s="227"/>
      <c r="F289" s="367" t="str">
        <f>IF(D289="","",IF(D289&gt;E289,"NC","OK"))</f>
        <v>#ERROR!</v>
      </c>
      <c r="G289" s="227"/>
      <c r="H289" s="227"/>
      <c r="I289" s="266"/>
      <c r="J289" s="233"/>
    </row>
    <row r="290">
      <c r="A290" s="303"/>
      <c r="B290" s="235"/>
      <c r="C290" s="235"/>
      <c r="D290" s="235"/>
      <c r="E290" s="235"/>
      <c r="F290" s="368" t="str">
        <f>IF(D290="","",IF(D290&gt;E290,"NC","OK"))</f>
        <v>#ERROR!</v>
      </c>
      <c r="G290" s="235"/>
      <c r="H290" s="235"/>
      <c r="I290" s="270"/>
      <c r="J290" s="240"/>
    </row>
    <row r="291">
      <c r="A291" s="301"/>
      <c r="B291" s="227"/>
      <c r="C291" s="227"/>
      <c r="D291" s="227"/>
      <c r="E291" s="227"/>
      <c r="F291" s="367" t="str">
        <f>IF(D291="","",IF(D291&gt;E291,"NC","OK"))</f>
        <v>#ERROR!</v>
      </c>
      <c r="G291" s="227"/>
      <c r="H291" s="227"/>
      <c r="I291" s="266"/>
      <c r="J291" s="233"/>
    </row>
    <row r="292">
      <c r="A292" s="303"/>
      <c r="B292" s="235"/>
      <c r="C292" s="235"/>
      <c r="D292" s="235"/>
      <c r="E292" s="235"/>
      <c r="F292" s="368" t="str">
        <f>IF(D292="","",IF(D292&gt;E292,"NC","OK"))</f>
        <v>#ERROR!</v>
      </c>
      <c r="G292" s="235"/>
      <c r="H292" s="235"/>
      <c r="I292" s="270"/>
      <c r="J292" s="240"/>
    </row>
    <row r="293">
      <c r="A293" s="301"/>
      <c r="B293" s="227"/>
      <c r="C293" s="227"/>
      <c r="D293" s="227"/>
      <c r="E293" s="227"/>
      <c r="F293" s="367" t="str">
        <f>IF(D293="","",IF(D293&gt;E293,"NC","OK"))</f>
        <v>#ERROR!</v>
      </c>
      <c r="G293" s="227"/>
      <c r="H293" s="227"/>
      <c r="I293" s="266"/>
      <c r="J293" s="233"/>
    </row>
    <row r="294">
      <c r="A294" s="303"/>
      <c r="B294" s="235"/>
      <c r="C294" s="235"/>
      <c r="D294" s="235"/>
      <c r="E294" s="235"/>
      <c r="F294" s="368" t="str">
        <f>IF(D294="","",IF(D294&gt;E294,"NC","OK"))</f>
        <v>#ERROR!</v>
      </c>
      <c r="G294" s="235"/>
      <c r="H294" s="235"/>
      <c r="I294" s="270"/>
      <c r="J294" s="240"/>
    </row>
    <row r="295">
      <c r="A295" s="301"/>
      <c r="B295" s="227"/>
      <c r="C295" s="227"/>
      <c r="D295" s="227"/>
      <c r="E295" s="227"/>
      <c r="F295" s="367" t="str">
        <f>IF(D295="","",IF(D295&gt;E295,"NC","OK"))</f>
        <v>#ERROR!</v>
      </c>
      <c r="G295" s="227"/>
      <c r="H295" s="227"/>
      <c r="I295" s="266"/>
      <c r="J295" s="233"/>
    </row>
    <row r="296">
      <c r="A296" s="303"/>
      <c r="B296" s="235"/>
      <c r="C296" s="235"/>
      <c r="D296" s="235"/>
      <c r="E296" s="235"/>
      <c r="F296" s="368" t="str">
        <f>IF(D296="","",IF(D296&gt;E296,"NC","OK"))</f>
        <v>#ERROR!</v>
      </c>
      <c r="G296" s="235"/>
      <c r="H296" s="235"/>
      <c r="I296" s="270"/>
      <c r="J296" s="240"/>
    </row>
    <row r="297">
      <c r="A297" s="301"/>
      <c r="B297" s="227"/>
      <c r="C297" s="227"/>
      <c r="D297" s="227"/>
      <c r="E297" s="227"/>
      <c r="F297" s="367" t="str">
        <f>IF(D297="","",IF(D297&gt;E297,"NC","OK"))</f>
        <v>#ERROR!</v>
      </c>
      <c r="G297" s="227"/>
      <c r="H297" s="227"/>
      <c r="I297" s="266"/>
      <c r="J297" s="233"/>
    </row>
    <row r="298">
      <c r="A298" s="303"/>
      <c r="B298" s="235"/>
      <c r="C298" s="235"/>
      <c r="D298" s="235"/>
      <c r="E298" s="235"/>
      <c r="F298" s="368" t="str">
        <f>IF(D298="","",IF(D298&gt;E298,"NC","OK"))</f>
        <v>#ERROR!</v>
      </c>
      <c r="G298" s="235"/>
      <c r="H298" s="235"/>
      <c r="I298" s="270"/>
      <c r="J298" s="240"/>
    </row>
    <row r="299">
      <c r="A299" s="301"/>
      <c r="B299" s="227"/>
      <c r="C299" s="227"/>
      <c r="D299" s="227"/>
      <c r="E299" s="227"/>
      <c r="F299" s="367" t="str">
        <f>IF(D299="","",IF(D299&gt;E299,"NC","OK"))</f>
        <v>#ERROR!</v>
      </c>
      <c r="G299" s="227"/>
      <c r="H299" s="227"/>
      <c r="I299" s="266"/>
      <c r="J299" s="233"/>
    </row>
    <row r="300">
      <c r="A300" s="303"/>
      <c r="B300" s="235"/>
      <c r="C300" s="235"/>
      <c r="D300" s="235"/>
      <c r="E300" s="235"/>
      <c r="F300" s="368" t="str">
        <f>IF(D300="","",IF(D300&gt;E300,"NC","OK"))</f>
        <v>#ERROR!</v>
      </c>
      <c r="G300" s="235"/>
      <c r="H300" s="235"/>
      <c r="I300" s="270"/>
      <c r="J300" s="240"/>
    </row>
    <row r="301">
      <c r="A301" s="301"/>
      <c r="B301" s="227"/>
      <c r="C301" s="227"/>
      <c r="D301" s="227"/>
      <c r="E301" s="227"/>
      <c r="F301" s="367" t="str">
        <f>IF(D301="","",IF(D301&gt;E301,"NC","OK"))</f>
        <v>#ERROR!</v>
      </c>
      <c r="G301" s="227"/>
      <c r="H301" s="227"/>
      <c r="I301" s="266"/>
      <c r="J301" s="233"/>
    </row>
    <row r="302">
      <c r="A302" s="303"/>
      <c r="B302" s="235"/>
      <c r="C302" s="235"/>
      <c r="D302" s="235"/>
      <c r="E302" s="235"/>
      <c r="F302" s="368" t="str">
        <f>IF(D302="","",IF(D302&gt;E302,"NC","OK"))</f>
        <v>#ERROR!</v>
      </c>
      <c r="G302" s="235"/>
      <c r="H302" s="235"/>
      <c r="I302" s="270"/>
      <c r="J302" s="240"/>
    </row>
    <row r="303">
      <c r="A303" s="301"/>
      <c r="B303" s="227"/>
      <c r="C303" s="227"/>
      <c r="D303" s="227"/>
      <c r="E303" s="227"/>
      <c r="F303" s="367" t="str">
        <f>IF(D303="","",IF(D303&gt;E303,"NC","OK"))</f>
        <v>#ERROR!</v>
      </c>
      <c r="G303" s="227"/>
      <c r="H303" s="227"/>
      <c r="I303" s="266"/>
      <c r="J303" s="233"/>
    </row>
    <row r="304">
      <c r="A304" s="303"/>
      <c r="B304" s="235"/>
      <c r="C304" s="235"/>
      <c r="D304" s="235"/>
      <c r="E304" s="235"/>
      <c r="F304" s="368" t="str">
        <f>IF(D304="","",IF(D304&gt;E304,"NC","OK"))</f>
        <v>#ERROR!</v>
      </c>
      <c r="G304" s="235"/>
      <c r="H304" s="235"/>
      <c r="I304" s="270"/>
      <c r="J304" s="240"/>
    </row>
    <row r="305">
      <c r="A305" s="301"/>
      <c r="B305" s="227"/>
      <c r="C305" s="227"/>
      <c r="D305" s="227"/>
      <c r="E305" s="227"/>
      <c r="F305" s="367" t="str">
        <f>IF(D305="","",IF(D305&gt;E305,"NC","OK"))</f>
        <v>#ERROR!</v>
      </c>
      <c r="G305" s="227"/>
      <c r="H305" s="227"/>
      <c r="I305" s="266"/>
      <c r="J305" s="233"/>
    </row>
    <row r="306">
      <c r="A306" s="303"/>
      <c r="B306" s="235"/>
      <c r="C306" s="235"/>
      <c r="D306" s="235"/>
      <c r="E306" s="235"/>
      <c r="F306" s="368" t="str">
        <f>IF(D306="","",IF(D306&gt;E306,"NC","OK"))</f>
        <v>#ERROR!</v>
      </c>
      <c r="G306" s="235"/>
      <c r="H306" s="235"/>
      <c r="I306" s="270"/>
      <c r="J306" s="240"/>
    </row>
    <row r="307">
      <c r="A307" s="301"/>
      <c r="B307" s="227"/>
      <c r="C307" s="227"/>
      <c r="D307" s="227"/>
      <c r="E307" s="227"/>
      <c r="F307" s="367" t="str">
        <f>IF(D307="","",IF(D307&gt;E307,"NC","OK"))</f>
        <v>#ERROR!</v>
      </c>
      <c r="G307" s="227"/>
      <c r="H307" s="227"/>
      <c r="I307" s="266"/>
      <c r="J307" s="233"/>
    </row>
    <row r="308">
      <c r="A308" s="303"/>
      <c r="B308" s="235"/>
      <c r="C308" s="235"/>
      <c r="D308" s="235"/>
      <c r="E308" s="235"/>
      <c r="F308" s="368" t="str">
        <f>IF(D308="","",IF(D308&gt;E308,"NC","OK"))</f>
        <v>#ERROR!</v>
      </c>
      <c r="G308" s="235"/>
      <c r="H308" s="235"/>
      <c r="I308" s="270"/>
      <c r="J308" s="240"/>
    </row>
    <row r="309">
      <c r="A309" s="301"/>
      <c r="B309" s="227"/>
      <c r="C309" s="227"/>
      <c r="D309" s="227"/>
      <c r="E309" s="227"/>
      <c r="F309" s="367" t="str">
        <f>IF(D309="","",IF(D309&gt;E309,"NC","OK"))</f>
        <v>#ERROR!</v>
      </c>
      <c r="G309" s="227"/>
      <c r="H309" s="227"/>
      <c r="I309" s="266"/>
      <c r="J309" s="233"/>
    </row>
    <row r="310">
      <c r="A310" s="303"/>
      <c r="B310" s="235"/>
      <c r="C310" s="235"/>
      <c r="D310" s="235"/>
      <c r="E310" s="235"/>
      <c r="F310" s="368" t="str">
        <f>IF(D310="","",IF(D310&gt;E310,"NC","OK"))</f>
        <v>#ERROR!</v>
      </c>
      <c r="G310" s="235"/>
      <c r="H310" s="235"/>
      <c r="I310" s="270"/>
      <c r="J310" s="240"/>
    </row>
    <row r="311">
      <c r="A311" s="301"/>
      <c r="B311" s="227"/>
      <c r="C311" s="227"/>
      <c r="D311" s="227"/>
      <c r="E311" s="227"/>
      <c r="F311" s="367" t="str">
        <f>IF(D311="","",IF(D311&gt;E311,"NC","OK"))</f>
        <v>#ERROR!</v>
      </c>
      <c r="G311" s="227"/>
      <c r="H311" s="227"/>
      <c r="I311" s="266"/>
      <c r="J311" s="233"/>
    </row>
    <row r="312">
      <c r="A312" s="303"/>
      <c r="B312" s="235"/>
      <c r="C312" s="235"/>
      <c r="D312" s="235"/>
      <c r="E312" s="235"/>
      <c r="F312" s="368" t="str">
        <f>IF(D312="","",IF(D312&gt;E312,"NC","OK"))</f>
        <v>#ERROR!</v>
      </c>
      <c r="G312" s="235"/>
      <c r="H312" s="235"/>
      <c r="I312" s="270"/>
      <c r="J312" s="240"/>
    </row>
    <row r="313">
      <c r="A313" s="301"/>
      <c r="B313" s="227"/>
      <c r="C313" s="227"/>
      <c r="D313" s="227"/>
      <c r="E313" s="227"/>
      <c r="F313" s="367" t="str">
        <f>IF(D313="","",IF(D313&gt;E313,"NC","OK"))</f>
        <v>#ERROR!</v>
      </c>
      <c r="G313" s="227"/>
      <c r="H313" s="227"/>
      <c r="I313" s="266"/>
      <c r="J313" s="233"/>
    </row>
    <row r="314">
      <c r="A314" s="303"/>
      <c r="B314" s="235"/>
      <c r="C314" s="235"/>
      <c r="D314" s="235"/>
      <c r="E314" s="235"/>
      <c r="F314" s="368" t="str">
        <f>IF(D314="","",IF(D314&gt;E314,"NC","OK"))</f>
        <v>#ERROR!</v>
      </c>
      <c r="G314" s="235"/>
      <c r="H314" s="235"/>
      <c r="I314" s="270"/>
      <c r="J314" s="240"/>
    </row>
    <row r="315">
      <c r="A315" s="301"/>
      <c r="B315" s="227"/>
      <c r="C315" s="227"/>
      <c r="D315" s="227"/>
      <c r="E315" s="227"/>
      <c r="F315" s="367" t="str">
        <f>IF(D315="","",IF(D315&gt;E315,"NC","OK"))</f>
        <v>#ERROR!</v>
      </c>
      <c r="G315" s="227"/>
      <c r="H315" s="227"/>
      <c r="I315" s="266"/>
      <c r="J315" s="233"/>
    </row>
    <row r="316">
      <c r="A316" s="303"/>
      <c r="B316" s="235"/>
      <c r="C316" s="235"/>
      <c r="D316" s="235"/>
      <c r="E316" s="235"/>
      <c r="F316" s="368" t="str">
        <f>IF(D316="","",IF(D316&gt;E316,"NC","OK"))</f>
        <v>#ERROR!</v>
      </c>
      <c r="G316" s="235"/>
      <c r="H316" s="235"/>
      <c r="I316" s="270"/>
      <c r="J316" s="240"/>
    </row>
    <row r="317">
      <c r="A317" s="301"/>
      <c r="B317" s="227"/>
      <c r="C317" s="227"/>
      <c r="D317" s="227"/>
      <c r="E317" s="227"/>
      <c r="F317" s="367" t="str">
        <f>IF(D317="","",IF(D317&gt;E317,"NC","OK"))</f>
        <v>#ERROR!</v>
      </c>
      <c r="G317" s="227"/>
      <c r="H317" s="227"/>
      <c r="I317" s="266"/>
      <c r="J317" s="233"/>
    </row>
    <row r="318">
      <c r="A318" s="303"/>
      <c r="B318" s="235"/>
      <c r="C318" s="235"/>
      <c r="D318" s="235"/>
      <c r="E318" s="235"/>
      <c r="F318" s="368" t="str">
        <f>IF(D318="","",IF(D318&gt;E318,"NC","OK"))</f>
        <v>#ERROR!</v>
      </c>
      <c r="G318" s="235"/>
      <c r="H318" s="235"/>
      <c r="I318" s="270"/>
      <c r="J318" s="240"/>
    </row>
    <row r="319">
      <c r="A319" s="301"/>
      <c r="B319" s="227"/>
      <c r="C319" s="227"/>
      <c r="D319" s="227"/>
      <c r="E319" s="227"/>
      <c r="F319" s="367" t="str">
        <f>IF(D319="","",IF(D319&gt;E319,"NC","OK"))</f>
        <v>#ERROR!</v>
      </c>
      <c r="G319" s="227"/>
      <c r="H319" s="227"/>
      <c r="I319" s="266"/>
      <c r="J319" s="233"/>
    </row>
    <row r="320">
      <c r="A320" s="303"/>
      <c r="B320" s="235"/>
      <c r="C320" s="235"/>
      <c r="D320" s="235"/>
      <c r="E320" s="235"/>
      <c r="F320" s="368" t="str">
        <f>IF(D320="","",IF(D320&gt;E320,"NC","OK"))</f>
        <v>#ERROR!</v>
      </c>
      <c r="G320" s="235"/>
      <c r="H320" s="235"/>
      <c r="I320" s="270"/>
      <c r="J320" s="240"/>
    </row>
    <row r="321">
      <c r="A321" s="301"/>
      <c r="B321" s="227"/>
      <c r="C321" s="227"/>
      <c r="D321" s="227"/>
      <c r="E321" s="227"/>
      <c r="F321" s="367" t="str">
        <f>IF(D321="","",IF(D321&gt;E321,"NC","OK"))</f>
        <v>#ERROR!</v>
      </c>
      <c r="G321" s="227"/>
      <c r="H321" s="227"/>
      <c r="I321" s="266"/>
      <c r="J321" s="233"/>
    </row>
    <row r="322">
      <c r="A322" s="303"/>
      <c r="B322" s="235"/>
      <c r="C322" s="235"/>
      <c r="D322" s="235"/>
      <c r="E322" s="235"/>
      <c r="F322" s="368" t="str">
        <f>IF(D322="","",IF(D322&gt;E322,"NC","OK"))</f>
        <v>#ERROR!</v>
      </c>
      <c r="G322" s="235"/>
      <c r="H322" s="235"/>
      <c r="I322" s="270"/>
      <c r="J322" s="240"/>
    </row>
    <row r="323">
      <c r="A323" s="301"/>
      <c r="B323" s="227"/>
      <c r="C323" s="227"/>
      <c r="D323" s="227"/>
      <c r="E323" s="227"/>
      <c r="F323" s="367" t="str">
        <f>IF(D323="","",IF(D323&gt;E323,"NC","OK"))</f>
        <v>#ERROR!</v>
      </c>
      <c r="G323" s="227"/>
      <c r="H323" s="227"/>
      <c r="I323" s="266"/>
      <c r="J323" s="233"/>
    </row>
    <row r="324">
      <c r="A324" s="303"/>
      <c r="B324" s="235"/>
      <c r="C324" s="235"/>
      <c r="D324" s="235"/>
      <c r="E324" s="235"/>
      <c r="F324" s="368" t="str">
        <f>IF(D324="","",IF(D324&gt;E324,"NC","OK"))</f>
        <v>#ERROR!</v>
      </c>
      <c r="G324" s="235"/>
      <c r="H324" s="235"/>
      <c r="I324" s="270"/>
      <c r="J324" s="240"/>
    </row>
    <row r="325">
      <c r="A325" s="301"/>
      <c r="B325" s="227"/>
      <c r="C325" s="227"/>
      <c r="D325" s="227"/>
      <c r="E325" s="227"/>
      <c r="F325" s="367" t="str">
        <f>IF(D325="","",IF(D325&gt;E325,"NC","OK"))</f>
        <v>#ERROR!</v>
      </c>
      <c r="G325" s="227"/>
      <c r="H325" s="227"/>
      <c r="I325" s="266"/>
      <c r="J325" s="233"/>
    </row>
    <row r="326">
      <c r="A326" s="303"/>
      <c r="B326" s="235"/>
      <c r="C326" s="235"/>
      <c r="D326" s="235"/>
      <c r="E326" s="235"/>
      <c r="F326" s="368" t="str">
        <f>IF(D326="","",IF(D326&gt;E326,"NC","OK"))</f>
        <v>#ERROR!</v>
      </c>
      <c r="G326" s="235"/>
      <c r="H326" s="235"/>
      <c r="I326" s="270"/>
      <c r="J326" s="240"/>
    </row>
    <row r="327">
      <c r="A327" s="301"/>
      <c r="B327" s="227"/>
      <c r="C327" s="227"/>
      <c r="D327" s="227"/>
      <c r="E327" s="227"/>
      <c r="F327" s="367" t="str">
        <f>IF(D327="","",IF(D327&gt;E327,"NC","OK"))</f>
        <v>#ERROR!</v>
      </c>
      <c r="G327" s="227"/>
      <c r="H327" s="227"/>
      <c r="I327" s="266"/>
      <c r="J327" s="233"/>
    </row>
    <row r="328">
      <c r="A328" s="303"/>
      <c r="B328" s="235"/>
      <c r="C328" s="235"/>
      <c r="D328" s="235"/>
      <c r="E328" s="235"/>
      <c r="F328" s="368" t="str">
        <f>IF(D328="","",IF(D328&gt;E328,"NC","OK"))</f>
        <v>#ERROR!</v>
      </c>
      <c r="G328" s="235"/>
      <c r="H328" s="235"/>
      <c r="I328" s="270"/>
      <c r="J328" s="240"/>
    </row>
    <row r="329">
      <c r="A329" s="301"/>
      <c r="B329" s="227"/>
      <c r="C329" s="227"/>
      <c r="D329" s="227"/>
      <c r="E329" s="227"/>
      <c r="F329" s="367" t="str">
        <f>IF(D329="","",IF(D329&gt;E329,"NC","OK"))</f>
        <v>#ERROR!</v>
      </c>
      <c r="G329" s="227"/>
      <c r="H329" s="227"/>
      <c r="I329" s="266"/>
      <c r="J329" s="233"/>
    </row>
    <row r="330">
      <c r="A330" s="303"/>
      <c r="B330" s="235"/>
      <c r="C330" s="235"/>
      <c r="D330" s="235"/>
      <c r="E330" s="235"/>
      <c r="F330" s="368" t="str">
        <f>IF(D330="","",IF(D330&gt;E330,"NC","OK"))</f>
        <v>#ERROR!</v>
      </c>
      <c r="G330" s="235"/>
      <c r="H330" s="235"/>
      <c r="I330" s="270"/>
      <c r="J330" s="240"/>
    </row>
    <row r="331">
      <c r="A331" s="301"/>
      <c r="B331" s="227"/>
      <c r="C331" s="227"/>
      <c r="D331" s="227"/>
      <c r="E331" s="227"/>
      <c r="F331" s="367" t="str">
        <f>IF(D331="","",IF(D331&gt;E331,"NC","OK"))</f>
        <v>#ERROR!</v>
      </c>
      <c r="G331" s="227"/>
      <c r="H331" s="227"/>
      <c r="I331" s="266"/>
      <c r="J331" s="233"/>
    </row>
    <row r="332">
      <c r="A332" s="303"/>
      <c r="B332" s="235"/>
      <c r="C332" s="235"/>
      <c r="D332" s="235"/>
      <c r="E332" s="235"/>
      <c r="F332" s="368" t="str">
        <f>IF(D332="","",IF(D332&gt;E332,"NC","OK"))</f>
        <v>#ERROR!</v>
      </c>
      <c r="G332" s="235"/>
      <c r="H332" s="235"/>
      <c r="I332" s="270"/>
      <c r="J332" s="240"/>
    </row>
    <row r="333">
      <c r="A333" s="301"/>
      <c r="B333" s="227"/>
      <c r="C333" s="227"/>
      <c r="D333" s="227"/>
      <c r="E333" s="227"/>
      <c r="F333" s="367" t="str">
        <f>IF(D333="","",IF(D333&gt;E333,"NC","OK"))</f>
        <v>#ERROR!</v>
      </c>
      <c r="G333" s="227"/>
      <c r="H333" s="227"/>
      <c r="I333" s="266"/>
      <c r="J333" s="233"/>
    </row>
    <row r="334">
      <c r="A334" s="303"/>
      <c r="B334" s="235"/>
      <c r="C334" s="235"/>
      <c r="D334" s="235"/>
      <c r="E334" s="235"/>
      <c r="F334" s="368" t="str">
        <f>IF(D334="","",IF(D334&gt;E334,"NC","OK"))</f>
        <v>#ERROR!</v>
      </c>
      <c r="G334" s="235"/>
      <c r="H334" s="235"/>
      <c r="I334" s="270"/>
      <c r="J334" s="240"/>
    </row>
    <row r="335">
      <c r="A335" s="301"/>
      <c r="B335" s="227"/>
      <c r="C335" s="227"/>
      <c r="D335" s="227"/>
      <c r="E335" s="227"/>
      <c r="F335" s="367" t="str">
        <f>IF(D335="","",IF(D335&gt;E335,"NC","OK"))</f>
        <v>#ERROR!</v>
      </c>
      <c r="G335" s="227"/>
      <c r="H335" s="227"/>
      <c r="I335" s="266"/>
      <c r="J335" s="233"/>
    </row>
    <row r="336">
      <c r="A336" s="303"/>
      <c r="B336" s="235"/>
      <c r="C336" s="235"/>
      <c r="D336" s="235"/>
      <c r="E336" s="235"/>
      <c r="F336" s="368" t="str">
        <f>IF(D336="","",IF(D336&gt;E336,"NC","OK"))</f>
        <v>#ERROR!</v>
      </c>
      <c r="G336" s="235"/>
      <c r="H336" s="235"/>
      <c r="I336" s="270"/>
      <c r="J336" s="240"/>
    </row>
    <row r="337">
      <c r="A337" s="301"/>
      <c r="B337" s="227"/>
      <c r="C337" s="227"/>
      <c r="D337" s="227"/>
      <c r="E337" s="227"/>
      <c r="F337" s="367" t="str">
        <f>IF(D337="","",IF(D337&gt;E337,"NC","OK"))</f>
        <v>#ERROR!</v>
      </c>
      <c r="G337" s="227"/>
      <c r="H337" s="227"/>
      <c r="I337" s="266"/>
      <c r="J337" s="233"/>
    </row>
    <row r="338">
      <c r="A338" s="303"/>
      <c r="B338" s="235"/>
      <c r="C338" s="235"/>
      <c r="D338" s="235"/>
      <c r="E338" s="235"/>
      <c r="F338" s="368" t="str">
        <f>IF(D338="","",IF(D338&gt;E338,"NC","OK"))</f>
        <v>#ERROR!</v>
      </c>
      <c r="G338" s="235"/>
      <c r="H338" s="235"/>
      <c r="I338" s="270"/>
      <c r="J338" s="240"/>
    </row>
    <row r="339">
      <c r="A339" s="301"/>
      <c r="B339" s="227"/>
      <c r="C339" s="227"/>
      <c r="D339" s="227"/>
      <c r="E339" s="227"/>
      <c r="F339" s="367" t="str">
        <f>IF(D339="","",IF(D339&gt;E339,"NC","OK"))</f>
        <v>#ERROR!</v>
      </c>
      <c r="G339" s="227"/>
      <c r="H339" s="227"/>
      <c r="I339" s="266"/>
      <c r="J339" s="233"/>
    </row>
    <row r="340">
      <c r="A340" s="303"/>
      <c r="B340" s="235"/>
      <c r="C340" s="235"/>
      <c r="D340" s="235"/>
      <c r="E340" s="235"/>
      <c r="F340" s="368" t="str">
        <f>IF(D340="","",IF(D340&gt;E340,"NC","OK"))</f>
        <v>#ERROR!</v>
      </c>
      <c r="G340" s="235"/>
      <c r="H340" s="235"/>
      <c r="I340" s="270"/>
      <c r="J340" s="240"/>
    </row>
    <row r="341">
      <c r="A341" s="301"/>
      <c r="B341" s="227"/>
      <c r="C341" s="227"/>
      <c r="D341" s="227"/>
      <c r="E341" s="227"/>
      <c r="F341" s="367" t="str">
        <f>IF(D341="","",IF(D341&gt;E341,"NC","OK"))</f>
        <v>#ERROR!</v>
      </c>
      <c r="G341" s="227"/>
      <c r="H341" s="227"/>
      <c r="I341" s="266"/>
      <c r="J341" s="233"/>
    </row>
    <row r="342">
      <c r="A342" s="303"/>
      <c r="B342" s="235"/>
      <c r="C342" s="235"/>
      <c r="D342" s="235"/>
      <c r="E342" s="235"/>
      <c r="F342" s="368" t="str">
        <f>IF(D342="","",IF(D342&gt;E342,"NC","OK"))</f>
        <v>#ERROR!</v>
      </c>
      <c r="G342" s="235"/>
      <c r="H342" s="235"/>
      <c r="I342" s="270"/>
      <c r="J342" s="240"/>
    </row>
    <row r="343">
      <c r="A343" s="301"/>
      <c r="B343" s="227"/>
      <c r="C343" s="227"/>
      <c r="D343" s="227"/>
      <c r="E343" s="227"/>
      <c r="F343" s="367" t="str">
        <f>IF(D343="","",IF(D343&gt;E343,"NC","OK"))</f>
        <v>#ERROR!</v>
      </c>
      <c r="G343" s="227"/>
      <c r="H343" s="227"/>
      <c r="I343" s="266"/>
      <c r="J343" s="233"/>
    </row>
    <row r="344">
      <c r="A344" s="303"/>
      <c r="B344" s="235"/>
      <c r="C344" s="235"/>
      <c r="D344" s="235"/>
      <c r="E344" s="235"/>
      <c r="F344" s="368" t="str">
        <f>IF(D344="","",IF(D344&gt;E344,"NC","OK"))</f>
        <v>#ERROR!</v>
      </c>
      <c r="G344" s="235"/>
      <c r="H344" s="235"/>
      <c r="I344" s="270"/>
      <c r="J344" s="240"/>
    </row>
    <row r="345">
      <c r="A345" s="301"/>
      <c r="B345" s="227"/>
      <c r="C345" s="227"/>
      <c r="D345" s="227"/>
      <c r="E345" s="227"/>
      <c r="F345" s="367" t="str">
        <f>IF(D345="","",IF(D345&gt;E345,"NC","OK"))</f>
        <v>#ERROR!</v>
      </c>
      <c r="G345" s="227"/>
      <c r="H345" s="227"/>
      <c r="I345" s="266"/>
      <c r="J345" s="233"/>
    </row>
    <row r="346">
      <c r="A346" s="303"/>
      <c r="B346" s="235"/>
      <c r="C346" s="235"/>
      <c r="D346" s="235"/>
      <c r="E346" s="235"/>
      <c r="F346" s="368" t="str">
        <f>IF(D346="","",IF(D346&gt;E346,"NC","OK"))</f>
        <v>#ERROR!</v>
      </c>
      <c r="G346" s="235"/>
      <c r="H346" s="235"/>
      <c r="I346" s="270"/>
      <c r="J346" s="240"/>
    </row>
    <row r="347">
      <c r="A347" s="301"/>
      <c r="B347" s="227"/>
      <c r="C347" s="227"/>
      <c r="D347" s="227"/>
      <c r="E347" s="227"/>
      <c r="F347" s="367" t="str">
        <f>IF(D347="","",IF(D347&gt;E347,"NC","OK"))</f>
        <v>#ERROR!</v>
      </c>
      <c r="G347" s="227"/>
      <c r="H347" s="227"/>
      <c r="I347" s="266"/>
      <c r="J347" s="233"/>
    </row>
    <row r="348">
      <c r="A348" s="303"/>
      <c r="B348" s="235"/>
      <c r="C348" s="235"/>
      <c r="D348" s="235"/>
      <c r="E348" s="235"/>
      <c r="F348" s="368" t="str">
        <f>IF(D348="","",IF(D348&gt;E348,"NC","OK"))</f>
        <v>#ERROR!</v>
      </c>
      <c r="G348" s="235"/>
      <c r="H348" s="235"/>
      <c r="I348" s="270"/>
      <c r="J348" s="240"/>
    </row>
    <row r="349">
      <c r="A349" s="301"/>
      <c r="B349" s="227"/>
      <c r="C349" s="227"/>
      <c r="D349" s="227"/>
      <c r="E349" s="227"/>
      <c r="F349" s="367" t="str">
        <f>IF(D349="","",IF(D349&gt;E349,"NC","OK"))</f>
        <v>#ERROR!</v>
      </c>
      <c r="G349" s="227"/>
      <c r="H349" s="227"/>
      <c r="I349" s="266"/>
      <c r="J349" s="233"/>
    </row>
    <row r="350">
      <c r="A350" s="303"/>
      <c r="B350" s="235"/>
      <c r="C350" s="235"/>
      <c r="D350" s="235"/>
      <c r="E350" s="235"/>
      <c r="F350" s="368" t="str">
        <f>IF(D350="","",IF(D350&gt;E350,"NC","OK"))</f>
        <v>#ERROR!</v>
      </c>
      <c r="G350" s="235"/>
      <c r="H350" s="235"/>
      <c r="I350" s="270"/>
      <c r="J350" s="240"/>
    </row>
    <row r="351">
      <c r="A351" s="301"/>
      <c r="B351" s="227"/>
      <c r="C351" s="227"/>
      <c r="D351" s="227"/>
      <c r="E351" s="227"/>
      <c r="F351" s="367" t="str">
        <f>IF(D351="","",IF(D351&gt;E351,"NC","OK"))</f>
        <v>#ERROR!</v>
      </c>
      <c r="G351" s="227"/>
      <c r="H351" s="227"/>
      <c r="I351" s="266"/>
      <c r="J351" s="233"/>
    </row>
    <row r="352">
      <c r="A352" s="303"/>
      <c r="B352" s="235"/>
      <c r="C352" s="235"/>
      <c r="D352" s="235"/>
      <c r="E352" s="235"/>
      <c r="F352" s="368" t="str">
        <f>IF(D352="","",IF(D352&gt;E352,"NC","OK"))</f>
        <v>#ERROR!</v>
      </c>
      <c r="G352" s="235"/>
      <c r="H352" s="235"/>
      <c r="I352" s="270"/>
      <c r="J352" s="240"/>
    </row>
    <row r="353">
      <c r="A353" s="301"/>
      <c r="B353" s="227"/>
      <c r="C353" s="227"/>
      <c r="D353" s="227"/>
      <c r="E353" s="227"/>
      <c r="F353" s="367" t="str">
        <f>IF(D353="","",IF(D353&gt;E353,"NC","OK"))</f>
        <v>#ERROR!</v>
      </c>
      <c r="G353" s="227"/>
      <c r="H353" s="227"/>
      <c r="I353" s="266"/>
      <c r="J353" s="233"/>
    </row>
    <row r="354">
      <c r="A354" s="303"/>
      <c r="B354" s="235"/>
      <c r="C354" s="235"/>
      <c r="D354" s="235"/>
      <c r="E354" s="235"/>
      <c r="F354" s="368" t="str">
        <f>IF(D354="","",IF(D354&gt;E354,"NC","OK"))</f>
        <v>#ERROR!</v>
      </c>
      <c r="G354" s="235"/>
      <c r="H354" s="235"/>
      <c r="I354" s="270"/>
      <c r="J354" s="240"/>
    </row>
    <row r="355">
      <c r="A355" s="301"/>
      <c r="B355" s="227"/>
      <c r="C355" s="227"/>
      <c r="D355" s="227"/>
      <c r="E355" s="227"/>
      <c r="F355" s="367" t="str">
        <f>IF(D355="","",IF(D355&gt;E355,"NC","OK"))</f>
        <v>#ERROR!</v>
      </c>
      <c r="G355" s="227"/>
      <c r="H355" s="227"/>
      <c r="I355" s="266"/>
      <c r="J355" s="233"/>
    </row>
    <row r="356">
      <c r="A356" s="303"/>
      <c r="B356" s="235"/>
      <c r="C356" s="235"/>
      <c r="D356" s="235"/>
      <c r="E356" s="235"/>
      <c r="F356" s="368" t="str">
        <f>IF(D356="","",IF(D356&gt;E356,"NC","OK"))</f>
        <v>#ERROR!</v>
      </c>
      <c r="G356" s="235"/>
      <c r="H356" s="235"/>
      <c r="I356" s="270"/>
      <c r="J356" s="240"/>
    </row>
    <row r="357">
      <c r="A357" s="301"/>
      <c r="B357" s="227"/>
      <c r="C357" s="227"/>
      <c r="D357" s="227"/>
      <c r="E357" s="227"/>
      <c r="F357" s="367" t="str">
        <f>IF(D357="","",IF(D357&gt;E357,"NC","OK"))</f>
        <v>#ERROR!</v>
      </c>
      <c r="G357" s="227"/>
      <c r="H357" s="227"/>
      <c r="I357" s="266"/>
      <c r="J357" s="233"/>
    </row>
    <row r="358">
      <c r="A358" s="303"/>
      <c r="B358" s="235"/>
      <c r="C358" s="235"/>
      <c r="D358" s="235"/>
      <c r="E358" s="235"/>
      <c r="F358" s="368" t="str">
        <f>IF(D358="","",IF(D358&gt;E358,"NC","OK"))</f>
        <v>#ERROR!</v>
      </c>
      <c r="G358" s="235"/>
      <c r="H358" s="235"/>
      <c r="I358" s="270"/>
      <c r="J358" s="240"/>
    </row>
    <row r="359">
      <c r="A359" s="301"/>
      <c r="B359" s="227"/>
      <c r="C359" s="227"/>
      <c r="D359" s="227"/>
      <c r="E359" s="227"/>
      <c r="F359" s="367" t="str">
        <f>IF(D359="","",IF(D359&gt;E359,"NC","OK"))</f>
        <v>#ERROR!</v>
      </c>
      <c r="G359" s="227"/>
      <c r="H359" s="227"/>
      <c r="I359" s="266"/>
      <c r="J359" s="233"/>
    </row>
    <row r="360">
      <c r="A360" s="303"/>
      <c r="B360" s="235"/>
      <c r="C360" s="235"/>
      <c r="D360" s="235"/>
      <c r="E360" s="235"/>
      <c r="F360" s="368" t="str">
        <f>IF(D360="","",IF(D360&gt;E360,"NC","OK"))</f>
        <v>#ERROR!</v>
      </c>
      <c r="G360" s="235"/>
      <c r="H360" s="235"/>
      <c r="I360" s="270"/>
      <c r="J360" s="240"/>
    </row>
    <row r="361">
      <c r="A361" s="301"/>
      <c r="B361" s="227"/>
      <c r="C361" s="227"/>
      <c r="D361" s="227"/>
      <c r="E361" s="227"/>
      <c r="F361" s="367" t="str">
        <f>IF(D361="","",IF(D361&gt;E361,"NC","OK"))</f>
        <v>#ERROR!</v>
      </c>
      <c r="G361" s="227"/>
      <c r="H361" s="227"/>
      <c r="I361" s="266"/>
      <c r="J361" s="233"/>
    </row>
    <row r="362">
      <c r="A362" s="303"/>
      <c r="B362" s="235"/>
      <c r="C362" s="235"/>
      <c r="D362" s="235"/>
      <c r="E362" s="235"/>
      <c r="F362" s="368" t="str">
        <f>IF(D362="","",IF(D362&gt;E362,"NC","OK"))</f>
        <v>#ERROR!</v>
      </c>
      <c r="G362" s="235"/>
      <c r="H362" s="235"/>
      <c r="I362" s="270"/>
      <c r="J362" s="240"/>
    </row>
    <row r="363">
      <c r="A363" s="301"/>
      <c r="B363" s="227"/>
      <c r="C363" s="227"/>
      <c r="D363" s="227"/>
      <c r="E363" s="227"/>
      <c r="F363" s="367" t="str">
        <f>IF(D363="","",IF(D363&gt;E363,"NC","OK"))</f>
        <v>#ERROR!</v>
      </c>
      <c r="G363" s="227"/>
      <c r="H363" s="227"/>
      <c r="I363" s="266"/>
      <c r="J363" s="233"/>
    </row>
    <row r="364">
      <c r="A364" s="303"/>
      <c r="B364" s="235"/>
      <c r="C364" s="235"/>
      <c r="D364" s="235"/>
      <c r="E364" s="235"/>
      <c r="F364" s="368" t="str">
        <f>IF(D364="","",IF(D364&gt;E364,"NC","OK"))</f>
        <v>#ERROR!</v>
      </c>
      <c r="G364" s="235"/>
      <c r="H364" s="235"/>
      <c r="I364" s="270"/>
      <c r="J364" s="240"/>
    </row>
    <row r="365">
      <c r="A365" s="301"/>
      <c r="B365" s="227"/>
      <c r="C365" s="227"/>
      <c r="D365" s="227"/>
      <c r="E365" s="227"/>
      <c r="F365" s="367" t="str">
        <f>IF(D365="","",IF(D365&gt;E365,"NC","OK"))</f>
        <v>#ERROR!</v>
      </c>
      <c r="G365" s="227"/>
      <c r="H365" s="227"/>
      <c r="I365" s="266"/>
      <c r="J365" s="233"/>
    </row>
    <row r="366">
      <c r="A366" s="303"/>
      <c r="B366" s="235"/>
      <c r="C366" s="235"/>
      <c r="D366" s="235"/>
      <c r="E366" s="235"/>
      <c r="F366" s="368" t="str">
        <f>IF(D366="","",IF(D366&gt;E366,"NC","OK"))</f>
        <v>#ERROR!</v>
      </c>
      <c r="G366" s="235"/>
      <c r="H366" s="235"/>
      <c r="I366" s="270"/>
      <c r="J366" s="240"/>
    </row>
    <row r="367">
      <c r="A367" s="301"/>
      <c r="B367" s="227"/>
      <c r="C367" s="227"/>
      <c r="D367" s="227"/>
      <c r="E367" s="227"/>
      <c r="F367" s="367" t="str">
        <f>IF(D367="","",IF(D367&gt;E367,"NC","OK"))</f>
        <v>#ERROR!</v>
      </c>
      <c r="G367" s="227"/>
      <c r="H367" s="227"/>
      <c r="I367" s="266"/>
      <c r="J367" s="233"/>
    </row>
    <row r="368">
      <c r="A368" s="303"/>
      <c r="B368" s="235"/>
      <c r="C368" s="235"/>
      <c r="D368" s="235"/>
      <c r="E368" s="235"/>
      <c r="F368" s="368" t="str">
        <f>IF(D368="","",IF(D368&gt;E368,"NC","OK"))</f>
        <v>#ERROR!</v>
      </c>
      <c r="G368" s="235"/>
      <c r="H368" s="235"/>
      <c r="I368" s="270"/>
      <c r="J368" s="240"/>
    </row>
    <row r="369">
      <c r="A369" s="301"/>
      <c r="B369" s="227"/>
      <c r="C369" s="227"/>
      <c r="D369" s="227"/>
      <c r="E369" s="227"/>
      <c r="F369" s="367" t="str">
        <f>IF(D369="","",IF(D369&gt;E369,"NC","OK"))</f>
        <v>#ERROR!</v>
      </c>
      <c r="G369" s="227"/>
      <c r="H369" s="227"/>
      <c r="I369" s="266"/>
      <c r="J369" s="233"/>
    </row>
    <row r="370">
      <c r="A370" s="303"/>
      <c r="B370" s="235"/>
      <c r="C370" s="235"/>
      <c r="D370" s="235"/>
      <c r="E370" s="235"/>
      <c r="F370" s="368" t="str">
        <f>IF(D370="","",IF(D370&gt;E370,"NC","OK"))</f>
        <v>#ERROR!</v>
      </c>
      <c r="G370" s="235"/>
      <c r="H370" s="235"/>
      <c r="I370" s="270"/>
      <c r="J370" s="240"/>
    </row>
    <row r="371">
      <c r="A371" s="301"/>
      <c r="B371" s="227"/>
      <c r="C371" s="227"/>
      <c r="D371" s="227"/>
      <c r="E371" s="227"/>
      <c r="F371" s="367" t="str">
        <f>IF(D371="","",IF(D371&gt;E371,"NC","OK"))</f>
        <v>#ERROR!</v>
      </c>
      <c r="G371" s="227"/>
      <c r="H371" s="227"/>
      <c r="I371" s="266"/>
      <c r="J371" s="233"/>
    </row>
    <row r="372">
      <c r="A372" s="303"/>
      <c r="B372" s="235"/>
      <c r="C372" s="235"/>
      <c r="D372" s="235"/>
      <c r="E372" s="235"/>
      <c r="F372" s="368" t="str">
        <f>IF(D372="","",IF(D372&gt;E372,"NC","OK"))</f>
        <v>#ERROR!</v>
      </c>
      <c r="G372" s="235"/>
      <c r="H372" s="235"/>
      <c r="I372" s="270"/>
      <c r="J372" s="240"/>
    </row>
    <row r="373">
      <c r="A373" s="301"/>
      <c r="B373" s="227"/>
      <c r="C373" s="227"/>
      <c r="D373" s="227"/>
      <c r="E373" s="227"/>
      <c r="F373" s="367" t="str">
        <f>IF(D373="","",IF(D373&gt;E373,"NC","OK"))</f>
        <v>#ERROR!</v>
      </c>
      <c r="G373" s="227"/>
      <c r="H373" s="227"/>
      <c r="I373" s="266"/>
      <c r="J373" s="233"/>
    </row>
    <row r="374">
      <c r="A374" s="303"/>
      <c r="B374" s="235"/>
      <c r="C374" s="235"/>
      <c r="D374" s="235"/>
      <c r="E374" s="235"/>
      <c r="F374" s="368" t="str">
        <f>IF(D374="","",IF(D374&gt;E374,"NC","OK"))</f>
        <v>#ERROR!</v>
      </c>
      <c r="G374" s="235"/>
      <c r="H374" s="235"/>
      <c r="I374" s="270"/>
      <c r="J374" s="240"/>
    </row>
    <row r="375">
      <c r="A375" s="301"/>
      <c r="B375" s="227"/>
      <c r="C375" s="227"/>
      <c r="D375" s="227"/>
      <c r="E375" s="227"/>
      <c r="F375" s="367" t="str">
        <f>IF(D375="","",IF(D375&gt;E375,"NC","OK"))</f>
        <v>#ERROR!</v>
      </c>
      <c r="G375" s="227"/>
      <c r="H375" s="227"/>
      <c r="I375" s="266"/>
      <c r="J375" s="233"/>
    </row>
    <row r="376">
      <c r="A376" s="303"/>
      <c r="B376" s="235"/>
      <c r="C376" s="235"/>
      <c r="D376" s="235"/>
      <c r="E376" s="235"/>
      <c r="F376" s="368" t="str">
        <f>IF(D376="","",IF(D376&gt;E376,"NC","OK"))</f>
        <v>#ERROR!</v>
      </c>
      <c r="G376" s="235"/>
      <c r="H376" s="235"/>
      <c r="I376" s="270"/>
      <c r="J376" s="240"/>
    </row>
    <row r="377">
      <c r="A377" s="301"/>
      <c r="B377" s="227"/>
      <c r="C377" s="227"/>
      <c r="D377" s="227"/>
      <c r="E377" s="227"/>
      <c r="F377" s="367" t="str">
        <f>IF(D377="","",IF(D377&gt;E377,"NC","OK"))</f>
        <v>#ERROR!</v>
      </c>
      <c r="G377" s="227"/>
      <c r="H377" s="227"/>
      <c r="I377" s="266"/>
      <c r="J377" s="233"/>
    </row>
    <row r="378">
      <c r="A378" s="303"/>
      <c r="B378" s="235"/>
      <c r="C378" s="235"/>
      <c r="D378" s="235"/>
      <c r="E378" s="235"/>
      <c r="F378" s="368" t="str">
        <f>IF(D378="","",IF(D378&gt;E378,"NC","OK"))</f>
        <v>#ERROR!</v>
      </c>
      <c r="G378" s="235"/>
      <c r="H378" s="235"/>
      <c r="I378" s="270"/>
      <c r="J378" s="240"/>
    </row>
    <row r="379">
      <c r="A379" s="301"/>
      <c r="B379" s="227"/>
      <c r="C379" s="227"/>
      <c r="D379" s="227"/>
      <c r="E379" s="227"/>
      <c r="F379" s="367" t="str">
        <f>IF(D379="","",IF(D379&gt;E379,"NC","OK"))</f>
        <v>#ERROR!</v>
      </c>
      <c r="G379" s="227"/>
      <c r="H379" s="227"/>
      <c r="I379" s="266"/>
      <c r="J379" s="233"/>
    </row>
    <row r="380">
      <c r="A380" s="303"/>
      <c r="B380" s="235"/>
      <c r="C380" s="235"/>
      <c r="D380" s="235"/>
      <c r="E380" s="235"/>
      <c r="F380" s="368" t="str">
        <f>IF(D380="","",IF(D380&gt;E380,"NC","OK"))</f>
        <v>#ERROR!</v>
      </c>
      <c r="G380" s="235"/>
      <c r="H380" s="235"/>
      <c r="I380" s="270"/>
      <c r="J380" s="240"/>
    </row>
    <row r="381">
      <c r="A381" s="301"/>
      <c r="B381" s="227"/>
      <c r="C381" s="227"/>
      <c r="D381" s="227"/>
      <c r="E381" s="227"/>
      <c r="F381" s="367" t="str">
        <f>IF(D381="","",IF(D381&gt;E381,"NC","OK"))</f>
        <v>#ERROR!</v>
      </c>
      <c r="G381" s="227"/>
      <c r="H381" s="227"/>
      <c r="I381" s="266"/>
      <c r="J381" s="233"/>
    </row>
    <row r="382">
      <c r="A382" s="303"/>
      <c r="B382" s="235"/>
      <c r="C382" s="235"/>
      <c r="D382" s="235"/>
      <c r="E382" s="235"/>
      <c r="F382" s="368" t="str">
        <f>IF(D382="","",IF(D382&gt;E382,"NC","OK"))</f>
        <v>#ERROR!</v>
      </c>
      <c r="G382" s="235"/>
      <c r="H382" s="235"/>
      <c r="I382" s="270"/>
      <c r="J382" s="240"/>
    </row>
    <row r="383">
      <c r="A383" s="301"/>
      <c r="B383" s="227"/>
      <c r="C383" s="227"/>
      <c r="D383" s="227"/>
      <c r="E383" s="227"/>
      <c r="F383" s="367" t="str">
        <f>IF(D383="","",IF(D383&gt;E383,"NC","OK"))</f>
        <v>#ERROR!</v>
      </c>
      <c r="G383" s="227"/>
      <c r="H383" s="227"/>
      <c r="I383" s="266"/>
      <c r="J383" s="233"/>
    </row>
    <row r="384">
      <c r="A384" s="303"/>
      <c r="B384" s="235"/>
      <c r="C384" s="235"/>
      <c r="D384" s="235"/>
      <c r="E384" s="235"/>
      <c r="F384" s="368" t="str">
        <f>IF(D384="","",IF(D384&gt;E384,"NC","OK"))</f>
        <v>#ERROR!</v>
      </c>
      <c r="G384" s="235"/>
      <c r="H384" s="235"/>
      <c r="I384" s="270"/>
      <c r="J384" s="240"/>
    </row>
    <row r="385">
      <c r="A385" s="301"/>
      <c r="B385" s="227"/>
      <c r="C385" s="227"/>
      <c r="D385" s="227"/>
      <c r="E385" s="227"/>
      <c r="F385" s="367" t="str">
        <f>IF(D385="","",IF(D385&gt;E385,"NC","OK"))</f>
        <v>#ERROR!</v>
      </c>
      <c r="G385" s="227"/>
      <c r="H385" s="227"/>
      <c r="I385" s="266"/>
      <c r="J385" s="233"/>
    </row>
    <row r="386">
      <c r="A386" s="303"/>
      <c r="B386" s="235"/>
      <c r="C386" s="235"/>
      <c r="D386" s="235"/>
      <c r="E386" s="235"/>
      <c r="F386" s="368" t="str">
        <f>IF(D386="","",IF(D386&gt;E386,"NC","OK"))</f>
        <v>#ERROR!</v>
      </c>
      <c r="G386" s="235"/>
      <c r="H386" s="235"/>
      <c r="I386" s="270"/>
      <c r="J386" s="240"/>
    </row>
    <row r="387">
      <c r="A387" s="301"/>
      <c r="B387" s="227"/>
      <c r="C387" s="227"/>
      <c r="D387" s="227"/>
      <c r="E387" s="227"/>
      <c r="F387" s="367" t="str">
        <f>IF(D387="","",IF(D387&gt;E387,"NC","OK"))</f>
        <v>#ERROR!</v>
      </c>
      <c r="G387" s="227"/>
      <c r="H387" s="227"/>
      <c r="I387" s="266"/>
      <c r="J387" s="233"/>
    </row>
    <row r="388">
      <c r="A388" s="303"/>
      <c r="B388" s="235"/>
      <c r="C388" s="235"/>
      <c r="D388" s="235"/>
      <c r="E388" s="235"/>
      <c r="F388" s="368" t="str">
        <f>IF(D388="","",IF(D388&gt;E388,"NC","OK"))</f>
        <v>#ERROR!</v>
      </c>
      <c r="G388" s="235"/>
      <c r="H388" s="235"/>
      <c r="I388" s="270"/>
      <c r="J388" s="240"/>
    </row>
    <row r="389">
      <c r="A389" s="301"/>
      <c r="B389" s="227"/>
      <c r="C389" s="227"/>
      <c r="D389" s="227"/>
      <c r="E389" s="227"/>
      <c r="F389" s="367" t="str">
        <f>IF(D389="","",IF(D389&gt;E389,"NC","OK"))</f>
        <v>#ERROR!</v>
      </c>
      <c r="G389" s="227"/>
      <c r="H389" s="227"/>
      <c r="I389" s="266"/>
      <c r="J389" s="233"/>
    </row>
    <row r="390">
      <c r="A390" s="303"/>
      <c r="B390" s="235"/>
      <c r="C390" s="235"/>
      <c r="D390" s="235"/>
      <c r="E390" s="235"/>
      <c r="F390" s="368" t="str">
        <f>IF(D390="","",IF(D390&gt;E390,"NC","OK"))</f>
        <v>#ERROR!</v>
      </c>
      <c r="G390" s="235"/>
      <c r="H390" s="235"/>
      <c r="I390" s="270"/>
      <c r="J390" s="240"/>
    </row>
    <row r="391">
      <c r="A391" s="301"/>
      <c r="B391" s="227"/>
      <c r="C391" s="227"/>
      <c r="D391" s="227"/>
      <c r="E391" s="227"/>
      <c r="F391" s="367" t="str">
        <f>IF(D391="","",IF(D391&gt;E391,"NC","OK"))</f>
        <v>#ERROR!</v>
      </c>
      <c r="G391" s="227"/>
      <c r="H391" s="227"/>
      <c r="I391" s="266"/>
      <c r="J391" s="233"/>
    </row>
    <row r="392">
      <c r="A392" s="303"/>
      <c r="B392" s="235"/>
      <c r="C392" s="235"/>
      <c r="D392" s="235"/>
      <c r="E392" s="235"/>
      <c r="F392" s="368" t="str">
        <f>IF(D392="","",IF(D392&gt;E392,"NC","OK"))</f>
        <v>#ERROR!</v>
      </c>
      <c r="G392" s="235"/>
      <c r="H392" s="235"/>
      <c r="I392" s="270"/>
      <c r="J392" s="240"/>
    </row>
    <row r="393">
      <c r="A393" s="301"/>
      <c r="B393" s="227"/>
      <c r="C393" s="227"/>
      <c r="D393" s="227"/>
      <c r="E393" s="227"/>
      <c r="F393" s="367" t="str">
        <f>IF(D393="","",IF(D393&gt;E393,"NC","OK"))</f>
        <v>#ERROR!</v>
      </c>
      <c r="G393" s="227"/>
      <c r="H393" s="227"/>
      <c r="I393" s="266"/>
      <c r="J393" s="233"/>
    </row>
    <row r="394">
      <c r="A394" s="303"/>
      <c r="B394" s="235"/>
      <c r="C394" s="235"/>
      <c r="D394" s="235"/>
      <c r="E394" s="235"/>
      <c r="F394" s="368" t="str">
        <f>IF(D394="","",IF(D394&gt;E394,"NC","OK"))</f>
        <v>#ERROR!</v>
      </c>
      <c r="G394" s="235"/>
      <c r="H394" s="235"/>
      <c r="I394" s="270"/>
      <c r="J394" s="240"/>
    </row>
    <row r="395">
      <c r="A395" s="301"/>
      <c r="B395" s="227"/>
      <c r="C395" s="227"/>
      <c r="D395" s="227"/>
      <c r="E395" s="227"/>
      <c r="F395" s="367" t="str">
        <f>IF(D395="","",IF(D395&gt;E395,"NC","OK"))</f>
        <v>#ERROR!</v>
      </c>
      <c r="G395" s="227"/>
      <c r="H395" s="227"/>
      <c r="I395" s="266"/>
      <c r="J395" s="233"/>
    </row>
    <row r="396">
      <c r="A396" s="303"/>
      <c r="B396" s="235"/>
      <c r="C396" s="235"/>
      <c r="D396" s="235"/>
      <c r="E396" s="235"/>
      <c r="F396" s="368" t="str">
        <f>IF(D396="","",IF(D396&gt;E396,"NC","OK"))</f>
        <v>#ERROR!</v>
      </c>
      <c r="G396" s="235"/>
      <c r="H396" s="235"/>
      <c r="I396" s="270"/>
      <c r="J396" s="240"/>
    </row>
    <row r="397">
      <c r="A397" s="301"/>
      <c r="B397" s="227"/>
      <c r="C397" s="227"/>
      <c r="D397" s="227"/>
      <c r="E397" s="227"/>
      <c r="F397" s="367" t="str">
        <f>IF(D397="","",IF(D397&gt;E397,"NC","OK"))</f>
        <v>#ERROR!</v>
      </c>
      <c r="G397" s="227"/>
      <c r="H397" s="227"/>
      <c r="I397" s="266"/>
      <c r="J397" s="233"/>
    </row>
    <row r="398">
      <c r="A398" s="303"/>
      <c r="B398" s="235"/>
      <c r="C398" s="235"/>
      <c r="D398" s="235"/>
      <c r="E398" s="235"/>
      <c r="F398" s="368" t="str">
        <f>IF(D398="","",IF(D398&gt;E398,"NC","OK"))</f>
        <v>#ERROR!</v>
      </c>
      <c r="G398" s="235"/>
      <c r="H398" s="235"/>
      <c r="I398" s="270"/>
      <c r="J398" s="240"/>
    </row>
    <row r="399">
      <c r="A399" s="301"/>
      <c r="B399" s="227"/>
      <c r="C399" s="227"/>
      <c r="D399" s="227"/>
      <c r="E399" s="227"/>
      <c r="F399" s="367" t="str">
        <f>IF(D399="","",IF(D399&gt;E399,"NC","OK"))</f>
        <v>#ERROR!</v>
      </c>
      <c r="G399" s="227"/>
      <c r="H399" s="227"/>
      <c r="I399" s="266"/>
      <c r="J399" s="233"/>
    </row>
    <row r="400">
      <c r="A400" s="303"/>
      <c r="B400" s="235"/>
      <c r="C400" s="235"/>
      <c r="D400" s="235"/>
      <c r="E400" s="235"/>
      <c r="F400" s="368" t="str">
        <f>IF(D400="","",IF(D400&gt;E400,"NC","OK"))</f>
        <v>#ERROR!</v>
      </c>
      <c r="G400" s="235"/>
      <c r="H400" s="235"/>
      <c r="I400" s="270"/>
      <c r="J400" s="240"/>
    </row>
    <row r="401">
      <c r="A401" s="301"/>
      <c r="B401" s="227"/>
      <c r="C401" s="227"/>
      <c r="D401" s="227"/>
      <c r="E401" s="227"/>
      <c r="F401" s="367" t="str">
        <f>IF(D401="","",IF(D401&gt;E401,"NC","OK"))</f>
        <v>#ERROR!</v>
      </c>
      <c r="G401" s="227"/>
      <c r="H401" s="227"/>
      <c r="I401" s="266"/>
      <c r="J401" s="233"/>
    </row>
    <row r="402">
      <c r="A402" s="303"/>
      <c r="B402" s="235"/>
      <c r="C402" s="235"/>
      <c r="D402" s="235"/>
      <c r="E402" s="235"/>
      <c r="F402" s="368" t="str">
        <f>IF(D402="","",IF(D402&gt;E402,"NC","OK"))</f>
        <v>#ERROR!</v>
      </c>
      <c r="G402" s="235"/>
      <c r="H402" s="235"/>
      <c r="I402" s="270"/>
      <c r="J402" s="240"/>
    </row>
    <row r="403">
      <c r="A403" s="305"/>
      <c r="B403" s="246"/>
      <c r="C403" s="246"/>
      <c r="D403" s="246"/>
      <c r="E403" s="246"/>
      <c r="F403" s="369" t="str">
        <f>IF(D403="","",IF(D403&gt;E403,"NC","OK"))</f>
        <v>#ERROR!</v>
      </c>
      <c r="G403" s="246"/>
      <c r="H403" s="246"/>
      <c r="I403" s="272"/>
      <c r="J403" s="251"/>
    </row>
  </sheetData>
  <mergeCells count="2">
    <mergeCell ref="A1:L1"/>
    <mergeCell ref="A2:L2"/>
  </mergeCells>
  <conditionalFormatting sqref="F4:F403">
    <cfRule type="cellIs" dxfId="2" priority="1" stopIfTrue="1" operator="equal">
      <formula>"Rupture"</formula>
    </cfRule>
  </conditionalFormatting>
  <conditionalFormatting sqref="F4:F403">
    <cfRule type="cellIs" dxfId="2" priority="2" stopIfTrue="1" operator="equal">
      <formula>"NC"</formula>
    </cfRule>
  </conditionalFormatting>
  <conditionalFormatting sqref="F4:F403">
    <cfRule type="cellIs" dxfId="2" priority="3" stopIfTrue="1" operator="equal">
      <formula>"Expire"</formula>
    </cfRule>
  </conditionalFormatting>
  <conditionalFormatting sqref="F4:F403">
    <cfRule type="cellIs" dxfId="2" priority="4" stopIfTrue="1" operator="equal">
      <formula>"URGENT"</formula>
    </cfRule>
  </conditionalFormatting>
  <conditionalFormatting sqref="F4:F403">
    <cfRule type="cellIs" dxfId="2" priority="5" stopIfTrue="1" operator="equal">
      <formula>"Bloque"</formula>
    </cfRule>
  </conditionalFormatting>
  <conditionalFormatting sqref="F4:F403">
    <cfRule type="cellIs" dxfId="3" priority="6" stopIfTrue="1" operator="equal">
      <formula>"Proche"</formula>
    </cfRule>
  </conditionalFormatting>
  <conditionalFormatting sqref="F4:F403">
    <cfRule type="cellIs" dxfId="3" priority="7" stopIfTrue="1" operator="equal">
      <formula>"A PRODUIRE"</formula>
    </cfRule>
  </conditionalFormatting>
  <conditionalFormatting sqref="F4:F403">
    <cfRule type="cellIs" dxfId="3" priority="8" stopIfTrue="1" operator="equal">
      <formula>"Sous-temperature"</formula>
    </cfRule>
  </conditionalFormatting>
  <conditionalFormatting sqref="F4:F403">
    <cfRule type="cellIs" dxfId="4" priority="9" stopIfTrue="1" operator="equal">
      <formula>"OK"</formula>
    </cfRule>
  </conditionalFormatting>
  <conditionalFormatting sqref="F4:F403">
    <cfRule type="cellIs" dxfId="4" priority="10" stopIfTrue="1" operator="equal">
      <formula>"Valide"</formula>
    </cfRule>
  </conditionalFormatting>
  <conditionalFormatting sqref="F4:F403">
    <cfRule type="cellIs" dxfId="4" priority="11" stopIfTrue="1" operator="equal">
      <formula>"Termine"</formula>
    </cfRule>
  </conditionalFormatting>
  <conditionalFormatting sqref="F4:F403">
    <cfRule type="cellIs" dxfId="4" priority="12" stopIfTrue="1" operator="equal">
      <formula>"Actif"</formula>
    </cfRule>
  </conditionalFormatting>
  <dataValidations>
    <dataValidation type="list" allowBlank="1" sqref="B4:B403">
      <formula1>"Temperature reception MP,Temperature stockage frigo,Temperature coeur cuisson,Temperature autoclave,Controle visuel produit fini,Controle etancheite bocal,Controle etiquetage,Non-conformite fournisseur,Autre"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392B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13"/>
    <col customWidth="1" min="2" max="2" width="22.63"/>
    <col customWidth="1" min="3" max="3" width="18.88"/>
    <col customWidth="1" min="4" max="4" width="22.63"/>
    <col customWidth="1" min="5" max="5" width="15.13"/>
    <col customWidth="1" min="6" max="6" width="16.38"/>
    <col customWidth="1" min="7" max="10" width="11.38"/>
    <col customWidth="1" min="11" max="11" width="13.88"/>
    <col customWidth="1" min="12" max="12" width="22.63"/>
  </cols>
  <sheetData>
    <row r="1" ht="25.5" customHeight="1">
      <c r="A1" s="30" t="s">
        <v>1012</v>
      </c>
    </row>
    <row r="2" ht="25.5" customHeight="1">
      <c r="A2" s="40" t="s">
        <v>1013</v>
      </c>
    </row>
    <row r="3">
      <c r="A3" s="370" t="s">
        <v>1014</v>
      </c>
    </row>
    <row r="4" ht="21.0" customHeight="1">
      <c r="A4" s="31" t="s">
        <v>1015</v>
      </c>
      <c r="B4" s="31" t="s">
        <v>1016</v>
      </c>
      <c r="C4" s="31" t="s">
        <v>1017</v>
      </c>
      <c r="D4" s="31" t="s">
        <v>1018</v>
      </c>
      <c r="E4" s="31" t="s">
        <v>1019</v>
      </c>
      <c r="F4" s="31" t="s">
        <v>1000</v>
      </c>
      <c r="G4" s="31" t="s">
        <v>1020</v>
      </c>
      <c r="H4" s="31" t="s">
        <v>1021</v>
      </c>
      <c r="I4" s="31" t="s">
        <v>1022</v>
      </c>
      <c r="J4" s="31" t="s">
        <v>1023</v>
      </c>
      <c r="K4" s="31" t="s">
        <v>1024</v>
      </c>
      <c r="L4" s="31" t="s">
        <v>61</v>
      </c>
    </row>
    <row r="5" ht="16.5" customHeight="1">
      <c r="A5" s="14" t="s">
        <v>1025</v>
      </c>
      <c r="B5" s="129" t="s">
        <v>1026</v>
      </c>
      <c r="C5" s="371" t="s">
        <v>1027</v>
      </c>
      <c r="D5" s="196" t="s">
        <v>1028</v>
      </c>
      <c r="E5" s="372" t="s">
        <v>1029</v>
      </c>
      <c r="F5" s="196" t="s">
        <v>673</v>
      </c>
      <c r="G5" s="373"/>
      <c r="H5" s="373"/>
      <c r="I5" s="373"/>
      <c r="J5" s="373"/>
      <c r="K5" s="348" t="str">
        <f>IF(AND(G5&lt;&gt;"",H5&lt;&gt;"",I5&lt;&gt;"",J5&lt;&gt;""),"OK","A faire")</f>
        <v>#ERROR!</v>
      </c>
      <c r="L5" s="128"/>
    </row>
    <row r="6" ht="16.5" customHeight="1">
      <c r="A6" s="14" t="s">
        <v>1030</v>
      </c>
      <c r="B6" s="60" t="s">
        <v>1031</v>
      </c>
      <c r="C6" s="374" t="s">
        <v>1032</v>
      </c>
      <c r="D6" s="169" t="s">
        <v>1028</v>
      </c>
      <c r="E6" s="375" t="s">
        <v>1029</v>
      </c>
      <c r="F6" s="169" t="s">
        <v>673</v>
      </c>
      <c r="G6" s="373"/>
      <c r="H6" s="373"/>
      <c r="I6" s="373"/>
      <c r="J6" s="373"/>
      <c r="K6" s="347" t="str">
        <f>IF(AND(G6&lt;&gt;"",H6&lt;&gt;"",I6&lt;&gt;"",J6&lt;&gt;""),"OK","A faire")</f>
        <v>#ERROR!</v>
      </c>
      <c r="L6" s="62"/>
    </row>
    <row r="7" ht="16.5" customHeight="1">
      <c r="A7" s="14" t="s">
        <v>1033</v>
      </c>
      <c r="B7" s="129" t="s">
        <v>1034</v>
      </c>
      <c r="C7" s="371" t="s">
        <v>1035</v>
      </c>
      <c r="D7" s="196" t="s">
        <v>1036</v>
      </c>
      <c r="E7" s="372" t="s">
        <v>1037</v>
      </c>
      <c r="F7" s="196" t="s">
        <v>673</v>
      </c>
      <c r="G7" s="373"/>
      <c r="H7" s="373"/>
      <c r="I7" s="373"/>
      <c r="J7" s="373"/>
      <c r="K7" s="348" t="str">
        <f>IF(AND(G7&lt;&gt;"",H7&lt;&gt;"",I7&lt;&gt;"",J7&lt;&gt;""),"OK","A faire")</f>
        <v>#ERROR!</v>
      </c>
      <c r="L7" s="128"/>
    </row>
    <row r="8" ht="16.5" customHeight="1">
      <c r="A8" s="14" t="s">
        <v>1038</v>
      </c>
      <c r="B8" s="60" t="s">
        <v>1039</v>
      </c>
      <c r="C8" s="374" t="s">
        <v>1040</v>
      </c>
      <c r="D8" s="169" t="s">
        <v>1041</v>
      </c>
      <c r="E8" s="375" t="s">
        <v>1042</v>
      </c>
      <c r="F8" s="169" t="s">
        <v>673</v>
      </c>
      <c r="G8" s="373"/>
      <c r="H8" s="373"/>
      <c r="I8" s="373"/>
      <c r="J8" s="373"/>
      <c r="K8" s="347" t="str">
        <f>IF(AND(G8&lt;&gt;"",H8&lt;&gt;"",I8&lt;&gt;"",J8&lt;&gt;""),"OK","A faire")</f>
        <v>#ERROR!</v>
      </c>
      <c r="L8" s="62"/>
    </row>
    <row r="9" ht="16.5" customHeight="1">
      <c r="A9" s="14" t="s">
        <v>1043</v>
      </c>
      <c r="B9" s="129" t="s">
        <v>1044</v>
      </c>
      <c r="C9" s="371" t="s">
        <v>1027</v>
      </c>
      <c r="D9" s="196" t="s">
        <v>1045</v>
      </c>
      <c r="E9" s="372" t="s">
        <v>1046</v>
      </c>
      <c r="F9" s="196" t="s">
        <v>673</v>
      </c>
      <c r="G9" s="373"/>
      <c r="H9" s="373"/>
      <c r="I9" s="373"/>
      <c r="J9" s="373"/>
      <c r="K9" s="348" t="str">
        <f>IF(AND(G9&lt;&gt;"",H9&lt;&gt;"",I9&lt;&gt;"",J9&lt;&gt;""),"OK","A faire")</f>
        <v>#ERROR!</v>
      </c>
      <c r="L9" s="128"/>
    </row>
    <row r="10" ht="16.5" customHeight="1">
      <c r="A10" s="14" t="s">
        <v>1047</v>
      </c>
      <c r="B10" s="60" t="s">
        <v>1048</v>
      </c>
      <c r="C10" s="374" t="s">
        <v>1040</v>
      </c>
      <c r="D10" s="169" t="s">
        <v>1028</v>
      </c>
      <c r="E10" s="375" t="s">
        <v>1029</v>
      </c>
      <c r="F10" s="169" t="s">
        <v>1049</v>
      </c>
      <c r="G10" s="373"/>
      <c r="H10" s="373"/>
      <c r="I10" s="373"/>
      <c r="J10" s="373"/>
      <c r="K10" s="347" t="str">
        <f>IF(AND(G10&lt;&gt;"",H10&lt;&gt;"",I10&lt;&gt;"",J10&lt;&gt;""),"OK","A faire")</f>
        <v>#ERROR!</v>
      </c>
      <c r="L10" s="62"/>
    </row>
    <row r="11" ht="16.5" customHeight="1">
      <c r="A11" s="14" t="s">
        <v>1050</v>
      </c>
      <c r="B11" s="129" t="s">
        <v>1051</v>
      </c>
      <c r="C11" s="371" t="s">
        <v>1040</v>
      </c>
      <c r="D11" s="196" t="s">
        <v>1052</v>
      </c>
      <c r="E11" s="372" t="s">
        <v>1053</v>
      </c>
      <c r="F11" s="196" t="s">
        <v>673</v>
      </c>
      <c r="G11" s="373"/>
      <c r="H11" s="373"/>
      <c r="I11" s="373"/>
      <c r="J11" s="373"/>
      <c r="K11" s="348" t="str">
        <f>IF(AND(G11&lt;&gt;"",H11&lt;&gt;"",I11&lt;&gt;"",J11&lt;&gt;""),"OK","A faire")</f>
        <v>#ERROR!</v>
      </c>
      <c r="L11" s="128"/>
    </row>
    <row r="12" ht="16.5" customHeight="1">
      <c r="A12" s="14" t="s">
        <v>1054</v>
      </c>
      <c r="B12" s="60" t="s">
        <v>1055</v>
      </c>
      <c r="C12" s="374" t="s">
        <v>1032</v>
      </c>
      <c r="D12" s="169" t="s">
        <v>1056</v>
      </c>
      <c r="E12" s="375" t="s">
        <v>1057</v>
      </c>
      <c r="F12" s="169" t="s">
        <v>673</v>
      </c>
      <c r="G12" s="373"/>
      <c r="H12" s="373"/>
      <c r="I12" s="373"/>
      <c r="J12" s="373"/>
      <c r="K12" s="347" t="str">
        <f>IF(AND(G12&lt;&gt;"",H12&lt;&gt;"",I12&lt;&gt;"",J12&lt;&gt;""),"OK","A faire")</f>
        <v>#ERROR!</v>
      </c>
      <c r="L12" s="62"/>
    </row>
    <row r="13" ht="16.5" customHeight="1">
      <c r="A13" s="14" t="s">
        <v>1058</v>
      </c>
      <c r="B13" s="129" t="s">
        <v>1059</v>
      </c>
      <c r="C13" s="371" t="s">
        <v>1060</v>
      </c>
      <c r="D13" s="196" t="s">
        <v>1061</v>
      </c>
      <c r="E13" s="372" t="s">
        <v>1042</v>
      </c>
      <c r="F13" s="196" t="s">
        <v>1049</v>
      </c>
      <c r="G13" s="373"/>
      <c r="H13" s="373"/>
      <c r="I13" s="373"/>
      <c r="J13" s="373"/>
      <c r="K13" s="348" t="str">
        <f>IF(AND(G13&lt;&gt;"",H13&lt;&gt;"",I13&lt;&gt;"",J13&lt;&gt;""),"OK","A faire")</f>
        <v>#ERROR!</v>
      </c>
      <c r="L13" s="128"/>
    </row>
    <row r="14" ht="16.5" customHeight="1">
      <c r="A14" s="14" t="s">
        <v>1062</v>
      </c>
      <c r="B14" s="60" t="s">
        <v>1048</v>
      </c>
      <c r="C14" s="374" t="s">
        <v>1063</v>
      </c>
      <c r="D14" s="169" t="s">
        <v>1041</v>
      </c>
      <c r="E14" s="375" t="s">
        <v>1042</v>
      </c>
      <c r="F14" s="169" t="s">
        <v>673</v>
      </c>
      <c r="G14" s="373"/>
      <c r="H14" s="373"/>
      <c r="I14" s="373"/>
      <c r="J14" s="373"/>
      <c r="K14" s="347" t="str">
        <f>IF(AND(G14&lt;&gt;"",H14&lt;&gt;"",I14&lt;&gt;"",J14&lt;&gt;""),"OK","A faire")</f>
        <v>#ERROR!</v>
      </c>
      <c r="L14" s="62"/>
    </row>
    <row r="15" ht="16.5" customHeight="1">
      <c r="A15" s="14" t="s">
        <v>1064</v>
      </c>
      <c r="B15" s="129" t="s">
        <v>1065</v>
      </c>
      <c r="C15" s="371" t="s">
        <v>1066</v>
      </c>
      <c r="D15" s="196" t="s">
        <v>1067</v>
      </c>
      <c r="E15" s="372" t="s">
        <v>1037</v>
      </c>
      <c r="F15" s="196" t="s">
        <v>673</v>
      </c>
      <c r="G15" s="373"/>
      <c r="H15" s="373"/>
      <c r="I15" s="373"/>
      <c r="J15" s="373"/>
      <c r="K15" s="348" t="str">
        <f>IF(AND(G15&lt;&gt;"",H15&lt;&gt;"",I15&lt;&gt;"",J15&lt;&gt;""),"OK","A faire")</f>
        <v>#ERROR!</v>
      </c>
      <c r="L15" s="128"/>
    </row>
    <row r="16" ht="16.5" customHeight="1">
      <c r="A16" s="14" t="s">
        <v>1068</v>
      </c>
      <c r="B16" s="60" t="s">
        <v>1069</v>
      </c>
      <c r="C16" s="374" t="s">
        <v>1070</v>
      </c>
      <c r="D16" s="169" t="s">
        <v>1061</v>
      </c>
      <c r="E16" s="375" t="s">
        <v>1046</v>
      </c>
      <c r="F16" s="169" t="s">
        <v>1049</v>
      </c>
      <c r="G16" s="373"/>
      <c r="H16" s="373"/>
      <c r="I16" s="373"/>
      <c r="J16" s="373"/>
      <c r="K16" s="347" t="str">
        <f>IF(AND(G16&lt;&gt;"",H16&lt;&gt;"",I16&lt;&gt;"",J16&lt;&gt;""),"OK","A faire")</f>
        <v>#ERROR!</v>
      </c>
      <c r="L16" s="62"/>
    </row>
    <row r="17" ht="16.5" customHeight="1">
      <c r="A17" s="14" t="s">
        <v>1071</v>
      </c>
      <c r="B17" s="129" t="s">
        <v>1072</v>
      </c>
      <c r="C17" s="371" t="s">
        <v>1073</v>
      </c>
      <c r="D17" s="196" t="s">
        <v>1052</v>
      </c>
      <c r="E17" s="372" t="s">
        <v>1053</v>
      </c>
      <c r="F17" s="196" t="s">
        <v>673</v>
      </c>
      <c r="G17" s="373"/>
      <c r="H17" s="373"/>
      <c r="I17" s="373"/>
      <c r="J17" s="373"/>
      <c r="K17" s="348" t="str">
        <f>IF(AND(G17&lt;&gt;"",H17&lt;&gt;"",I17&lt;&gt;"",J17&lt;&gt;""),"OK","A faire")</f>
        <v>#ERROR!</v>
      </c>
      <c r="L17" s="128"/>
    </row>
    <row r="18" ht="16.5" customHeight="1">
      <c r="A18" s="14" t="s">
        <v>1074</v>
      </c>
      <c r="B18" s="60" t="s">
        <v>1075</v>
      </c>
      <c r="C18" s="374" t="s">
        <v>1027</v>
      </c>
      <c r="D18" s="169" t="s">
        <v>1028</v>
      </c>
      <c r="E18" s="375" t="s">
        <v>1029</v>
      </c>
      <c r="F18" s="169" t="s">
        <v>673</v>
      </c>
      <c r="G18" s="373"/>
      <c r="H18" s="373"/>
      <c r="I18" s="373"/>
      <c r="J18" s="373"/>
      <c r="K18" s="347" t="str">
        <f>IF(AND(G18&lt;&gt;"",H18&lt;&gt;"",I18&lt;&gt;"",J18&lt;&gt;""),"OK","A faire")</f>
        <v>#ERROR!</v>
      </c>
      <c r="L18" s="62"/>
    </row>
    <row r="20" ht="18.0" customHeight="1">
      <c r="A20" s="56" t="s">
        <v>1076</v>
      </c>
    </row>
    <row r="21" ht="16.5" customHeight="1">
      <c r="A21" s="376"/>
      <c r="B21" s="376"/>
      <c r="C21" s="376"/>
      <c r="D21" s="376"/>
      <c r="E21" s="376"/>
      <c r="F21" s="376"/>
      <c r="G21" s="376"/>
      <c r="H21" s="376"/>
      <c r="I21" s="376"/>
      <c r="J21" s="376"/>
      <c r="K21" s="377" t="str">
        <f>IF(AND(G21&lt;&gt;"",H21&lt;&gt;"",I21&lt;&gt;"",J21&lt;&gt;""),"OK","A faire")</f>
        <v>#ERROR!</v>
      </c>
      <c r="L21" s="376"/>
    </row>
    <row r="22" ht="16.5" customHeight="1">
      <c r="A22" s="62"/>
      <c r="B22" s="62"/>
      <c r="C22" s="62"/>
      <c r="D22" s="62"/>
      <c r="E22" s="62"/>
      <c r="F22" s="62"/>
      <c r="G22" s="376"/>
      <c r="H22" s="376"/>
      <c r="I22" s="376"/>
      <c r="J22" s="376"/>
      <c r="K22" s="347" t="str">
        <f>IF(AND(G22&lt;&gt;"",H22&lt;&gt;"",I22&lt;&gt;"",J22&lt;&gt;""),"OK","A faire")</f>
        <v>#ERROR!</v>
      </c>
      <c r="L22" s="62"/>
    </row>
    <row r="23" ht="16.5" customHeight="1">
      <c r="A23" s="376"/>
      <c r="B23" s="376"/>
      <c r="C23" s="376"/>
      <c r="D23" s="376"/>
      <c r="E23" s="376"/>
      <c r="F23" s="376"/>
      <c r="G23" s="376"/>
      <c r="H23" s="376"/>
      <c r="I23" s="376"/>
      <c r="J23" s="376"/>
      <c r="K23" s="377" t="str">
        <f>IF(AND(G23&lt;&gt;"",H23&lt;&gt;"",I23&lt;&gt;"",J23&lt;&gt;""),"OK","A faire")</f>
        <v>#ERROR!</v>
      </c>
      <c r="L23" s="376"/>
    </row>
    <row r="24" ht="16.5" customHeight="1">
      <c r="A24" s="62"/>
      <c r="B24" s="62"/>
      <c r="C24" s="62"/>
      <c r="D24" s="62"/>
      <c r="E24" s="62"/>
      <c r="F24" s="62"/>
      <c r="G24" s="376"/>
      <c r="H24" s="376"/>
      <c r="I24" s="376"/>
      <c r="J24" s="376"/>
      <c r="K24" s="347" t="str">
        <f>IF(AND(G24&lt;&gt;"",H24&lt;&gt;"",I24&lt;&gt;"",J24&lt;&gt;""),"OK","A faire")</f>
        <v>#ERROR!</v>
      </c>
      <c r="L24" s="62"/>
    </row>
    <row r="25" ht="16.5" customHeight="1">
      <c r="A25" s="376"/>
      <c r="B25" s="376"/>
      <c r="C25" s="376"/>
      <c r="D25" s="376"/>
      <c r="E25" s="376"/>
      <c r="F25" s="376"/>
      <c r="G25" s="376"/>
      <c r="H25" s="376"/>
      <c r="I25" s="376"/>
      <c r="J25" s="376"/>
      <c r="K25" s="377" t="str">
        <f>IF(AND(G25&lt;&gt;"",H25&lt;&gt;"",I25&lt;&gt;"",J25&lt;&gt;""),"OK","A faire")</f>
        <v>#ERROR!</v>
      </c>
      <c r="L25" s="376"/>
    </row>
    <row r="26" ht="16.5" customHeight="1">
      <c r="A26" s="62"/>
      <c r="B26" s="62"/>
      <c r="C26" s="62"/>
      <c r="D26" s="62"/>
      <c r="E26" s="62"/>
      <c r="F26" s="62"/>
      <c r="G26" s="376"/>
      <c r="H26" s="376"/>
      <c r="I26" s="376"/>
      <c r="J26" s="376"/>
      <c r="K26" s="347" t="str">
        <f>IF(AND(G26&lt;&gt;"",H26&lt;&gt;"",I26&lt;&gt;"",J26&lt;&gt;""),"OK","A faire")</f>
        <v>#ERROR!</v>
      </c>
      <c r="L26" s="62"/>
    </row>
    <row r="27" ht="16.5" customHeight="1">
      <c r="A27" s="376"/>
      <c r="B27" s="376"/>
      <c r="C27" s="376"/>
      <c r="D27" s="376"/>
      <c r="E27" s="376"/>
      <c r="F27" s="376"/>
      <c r="G27" s="376"/>
      <c r="H27" s="376"/>
      <c r="I27" s="376"/>
      <c r="J27" s="376"/>
      <c r="K27" s="377" t="str">
        <f>IF(AND(G27&lt;&gt;"",H27&lt;&gt;"",I27&lt;&gt;"",J27&lt;&gt;""),"OK","A faire")</f>
        <v>#ERROR!</v>
      </c>
      <c r="L27" s="376"/>
    </row>
    <row r="28" ht="16.5" customHeight="1">
      <c r="A28" s="62"/>
      <c r="B28" s="62"/>
      <c r="C28" s="62"/>
      <c r="D28" s="62"/>
      <c r="E28" s="62"/>
      <c r="F28" s="62"/>
      <c r="G28" s="376"/>
      <c r="H28" s="376"/>
      <c r="I28" s="376"/>
      <c r="J28" s="376"/>
      <c r="K28" s="347" t="str">
        <f>IF(AND(G28&lt;&gt;"",H28&lt;&gt;"",I28&lt;&gt;"",J28&lt;&gt;""),"OK","A faire")</f>
        <v>#ERROR!</v>
      </c>
      <c r="L28" s="62"/>
    </row>
    <row r="29" ht="16.5" customHeight="1">
      <c r="A29" s="376"/>
      <c r="B29" s="376"/>
      <c r="C29" s="376"/>
      <c r="D29" s="376"/>
      <c r="E29" s="376"/>
      <c r="F29" s="376"/>
      <c r="G29" s="376"/>
      <c r="H29" s="376"/>
      <c r="I29" s="376"/>
      <c r="J29" s="376"/>
      <c r="K29" s="377" t="str">
        <f>IF(AND(G29&lt;&gt;"",H29&lt;&gt;"",I29&lt;&gt;"",J29&lt;&gt;""),"OK","A faire")</f>
        <v>#ERROR!</v>
      </c>
      <c r="L29" s="376"/>
    </row>
    <row r="30" ht="16.5" customHeight="1">
      <c r="A30" s="62"/>
      <c r="B30" s="62"/>
      <c r="C30" s="62"/>
      <c r="D30" s="62"/>
      <c r="E30" s="62"/>
      <c r="F30" s="62"/>
      <c r="G30" s="376"/>
      <c r="H30" s="376"/>
      <c r="I30" s="376"/>
      <c r="J30" s="376"/>
      <c r="K30" s="347" t="str">
        <f>IF(AND(G30&lt;&gt;"",H30&lt;&gt;"",I30&lt;&gt;"",J30&lt;&gt;""),"OK","A faire")</f>
        <v>#ERROR!</v>
      </c>
      <c r="L30" s="62"/>
    </row>
    <row r="31" ht="16.5" customHeight="1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7" t="str">
        <f>IF(AND(G31&lt;&gt;"",H31&lt;&gt;"",I31&lt;&gt;"",J31&lt;&gt;""),"OK","A faire")</f>
        <v>#ERROR!</v>
      </c>
      <c r="L31" s="376"/>
    </row>
    <row r="32" ht="16.5" customHeight="1">
      <c r="A32" s="62"/>
      <c r="B32" s="62"/>
      <c r="C32" s="62"/>
      <c r="D32" s="62"/>
      <c r="E32" s="62"/>
      <c r="F32" s="62"/>
      <c r="G32" s="376"/>
      <c r="H32" s="376"/>
      <c r="I32" s="376"/>
      <c r="J32" s="376"/>
      <c r="K32" s="347" t="str">
        <f>IF(AND(G32&lt;&gt;"",H32&lt;&gt;"",I32&lt;&gt;"",J32&lt;&gt;""),"OK","A faire")</f>
        <v>#ERROR!</v>
      </c>
      <c r="L32" s="62"/>
    </row>
    <row r="33" ht="16.5" customHeight="1">
      <c r="A33" s="376"/>
      <c r="B33" s="376"/>
      <c r="C33" s="376"/>
      <c r="D33" s="376"/>
      <c r="E33" s="376"/>
      <c r="F33" s="376"/>
      <c r="G33" s="376"/>
      <c r="H33" s="376"/>
      <c r="I33" s="376"/>
      <c r="J33" s="376"/>
      <c r="K33" s="377" t="str">
        <f>IF(AND(G33&lt;&gt;"",H33&lt;&gt;"",I33&lt;&gt;"",J33&lt;&gt;""),"OK","A faire")</f>
        <v>#ERROR!</v>
      </c>
      <c r="L33" s="376"/>
    </row>
    <row r="34" ht="16.5" customHeight="1">
      <c r="A34" s="62"/>
      <c r="B34" s="62"/>
      <c r="C34" s="62"/>
      <c r="D34" s="62"/>
      <c r="E34" s="62"/>
      <c r="F34" s="62"/>
      <c r="G34" s="376"/>
      <c r="H34" s="376"/>
      <c r="I34" s="376"/>
      <c r="J34" s="376"/>
      <c r="K34" s="347" t="str">
        <f>IF(AND(G34&lt;&gt;"",H34&lt;&gt;"",I34&lt;&gt;"",J34&lt;&gt;""),"OK","A faire")</f>
        <v>#ERROR!</v>
      </c>
      <c r="L34" s="62"/>
    </row>
    <row r="35" ht="16.5" customHeight="1">
      <c r="A35" s="376"/>
      <c r="B35" s="376"/>
      <c r="C35" s="376"/>
      <c r="D35" s="376"/>
      <c r="E35" s="376"/>
      <c r="F35" s="376"/>
      <c r="G35" s="376"/>
      <c r="H35" s="376"/>
      <c r="I35" s="376"/>
      <c r="J35" s="376"/>
      <c r="K35" s="377" t="str">
        <f>IF(AND(G35&lt;&gt;"",H35&lt;&gt;"",I35&lt;&gt;"",J35&lt;&gt;""),"OK","A faire")</f>
        <v>#ERROR!</v>
      </c>
      <c r="L35" s="376"/>
    </row>
    <row r="36" ht="16.5" customHeight="1">
      <c r="A36" s="62"/>
      <c r="B36" s="62"/>
      <c r="C36" s="62"/>
      <c r="D36" s="62"/>
      <c r="E36" s="62"/>
      <c r="F36" s="62"/>
      <c r="G36" s="376"/>
      <c r="H36" s="376"/>
      <c r="I36" s="376"/>
      <c r="J36" s="376"/>
      <c r="K36" s="347" t="str">
        <f>IF(AND(G36&lt;&gt;"",H36&lt;&gt;"",I36&lt;&gt;"",J36&lt;&gt;""),"OK","A faire")</f>
        <v>#ERROR!</v>
      </c>
      <c r="L36" s="62"/>
    </row>
    <row r="37" ht="16.5" customHeight="1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7" t="str">
        <f>IF(AND(G37&lt;&gt;"",H37&lt;&gt;"",I37&lt;&gt;"",J37&lt;&gt;""),"OK","A faire")</f>
        <v>#ERROR!</v>
      </c>
      <c r="L37" s="376"/>
    </row>
    <row r="38" ht="16.5" customHeight="1">
      <c r="A38" s="62"/>
      <c r="B38" s="62"/>
      <c r="C38" s="62"/>
      <c r="D38" s="62"/>
      <c r="E38" s="62"/>
      <c r="F38" s="62"/>
      <c r="G38" s="376"/>
      <c r="H38" s="376"/>
      <c r="I38" s="376"/>
      <c r="J38" s="376"/>
      <c r="K38" s="347" t="str">
        <f>IF(AND(G38&lt;&gt;"",H38&lt;&gt;"",I38&lt;&gt;"",J38&lt;&gt;""),"OK","A faire")</f>
        <v>#ERROR!</v>
      </c>
      <c r="L38" s="62"/>
    </row>
    <row r="39" ht="16.5" customHeight="1">
      <c r="A39" s="376"/>
      <c r="B39" s="376"/>
      <c r="C39" s="376"/>
      <c r="D39" s="376"/>
      <c r="E39" s="376"/>
      <c r="F39" s="376"/>
      <c r="G39" s="376"/>
      <c r="H39" s="376"/>
      <c r="I39" s="376"/>
      <c r="J39" s="376"/>
      <c r="K39" s="377" t="str">
        <f>IF(AND(G39&lt;&gt;"",H39&lt;&gt;"",I39&lt;&gt;"",J39&lt;&gt;""),"OK","A faire")</f>
        <v>#ERROR!</v>
      </c>
      <c r="L39" s="376"/>
    </row>
    <row r="40" ht="16.5" customHeight="1">
      <c r="A40" s="62"/>
      <c r="B40" s="62"/>
      <c r="C40" s="62"/>
      <c r="D40" s="62"/>
      <c r="E40" s="62"/>
      <c r="F40" s="62"/>
      <c r="G40" s="376"/>
      <c r="H40" s="376"/>
      <c r="I40" s="376"/>
      <c r="J40" s="376"/>
      <c r="K40" s="347" t="str">
        <f>IF(AND(G40&lt;&gt;"",H40&lt;&gt;"",I40&lt;&gt;"",J40&lt;&gt;""),"OK","A faire")</f>
        <v>#ERROR!</v>
      </c>
      <c r="L40" s="62"/>
    </row>
  </sheetData>
  <mergeCells count="4">
    <mergeCell ref="A1:L1"/>
    <mergeCell ref="A2:L2"/>
    <mergeCell ref="A3:L3"/>
    <mergeCell ref="A20:L20"/>
  </mergeCells>
  <conditionalFormatting sqref="K5:K39">
    <cfRule type="cellIs" dxfId="2" priority="1" stopIfTrue="1" operator="equal">
      <formula>"Rupture"</formula>
    </cfRule>
  </conditionalFormatting>
  <conditionalFormatting sqref="K5:K39">
    <cfRule type="cellIs" dxfId="2" priority="2" stopIfTrue="1" operator="equal">
      <formula>"NC"</formula>
    </cfRule>
  </conditionalFormatting>
  <conditionalFormatting sqref="K5:K39">
    <cfRule type="cellIs" dxfId="2" priority="3" stopIfTrue="1" operator="equal">
      <formula>"Expire"</formula>
    </cfRule>
  </conditionalFormatting>
  <conditionalFormatting sqref="K5:K39">
    <cfRule type="cellIs" dxfId="2" priority="4" stopIfTrue="1" operator="equal">
      <formula>"URGENT"</formula>
    </cfRule>
  </conditionalFormatting>
  <conditionalFormatting sqref="K5:K39">
    <cfRule type="cellIs" dxfId="2" priority="5" stopIfTrue="1" operator="equal">
      <formula>"Bloque"</formula>
    </cfRule>
  </conditionalFormatting>
  <conditionalFormatting sqref="K5:K39">
    <cfRule type="cellIs" dxfId="3" priority="6" stopIfTrue="1" operator="equal">
      <formula>"Proche"</formula>
    </cfRule>
  </conditionalFormatting>
  <conditionalFormatting sqref="K5:K39">
    <cfRule type="cellIs" dxfId="3" priority="7" stopIfTrue="1" operator="equal">
      <formula>"A PRODUIRE"</formula>
    </cfRule>
  </conditionalFormatting>
  <conditionalFormatting sqref="K5:K39">
    <cfRule type="cellIs" dxfId="3" priority="8" stopIfTrue="1" operator="equal">
      <formula>"Sous-temperature"</formula>
    </cfRule>
  </conditionalFormatting>
  <conditionalFormatting sqref="K5:K39">
    <cfRule type="cellIs" dxfId="4" priority="9" stopIfTrue="1" operator="equal">
      <formula>"OK"</formula>
    </cfRule>
  </conditionalFormatting>
  <conditionalFormatting sqref="K5:K39">
    <cfRule type="cellIs" dxfId="4" priority="10" stopIfTrue="1" operator="equal">
      <formula>"Valide"</formula>
    </cfRule>
  </conditionalFormatting>
  <conditionalFormatting sqref="K5:K39">
    <cfRule type="cellIs" dxfId="4" priority="11" stopIfTrue="1" operator="equal">
      <formula>"Termine"</formula>
    </cfRule>
  </conditionalFormatting>
  <conditionalFormatting sqref="K5:K39">
    <cfRule type="cellIs" dxfId="4" priority="12" stopIfTrue="1" operator="equal">
      <formula>"Actif"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3" width="15.13"/>
    <col customWidth="1" min="4" max="4" width="11.38"/>
    <col customWidth="1" min="5" max="6" width="13.88"/>
    <col customWidth="1" min="7" max="7" width="12.63"/>
    <col customWidth="1" min="8" max="8" width="31.38"/>
    <col customWidth="1" min="9" max="9" width="25.13"/>
  </cols>
  <sheetData>
    <row r="1" ht="25.5" customHeight="1">
      <c r="A1" s="30" t="s">
        <v>1077</v>
      </c>
    </row>
    <row r="2" ht="25.5" customHeight="1">
      <c r="A2" s="359" t="s">
        <v>1078</v>
      </c>
    </row>
    <row r="3" ht="19.5" customHeight="1">
      <c r="A3" s="31" t="s">
        <v>696</v>
      </c>
      <c r="B3" s="31" t="s">
        <v>1079</v>
      </c>
      <c r="C3" s="31" t="s">
        <v>1080</v>
      </c>
      <c r="D3" s="31" t="s">
        <v>1081</v>
      </c>
      <c r="E3" s="31" t="s">
        <v>672</v>
      </c>
      <c r="F3" s="31" t="s">
        <v>1082</v>
      </c>
      <c r="G3" s="31" t="s">
        <v>105</v>
      </c>
      <c r="H3" s="31" t="s">
        <v>1083</v>
      </c>
      <c r="I3" s="31" t="s">
        <v>61</v>
      </c>
    </row>
    <row r="4" ht="15.0" customHeight="1">
      <c r="A4" s="378"/>
      <c r="B4" s="217" t="str">
        <f>IFERROR(INDEX('Fiche Lot'!C:C,MATCH(A4,'Fiche Lot'!A:A,0)),"")</f>
        <v>#ERROR!</v>
      </c>
      <c r="C4" s="217" t="str">
        <f>IFERROR(INDEX('Fiche Lot'!E:E,MATCH(A4,'Fiche Lot'!A:A,0)),"")</f>
        <v>#ERROR!</v>
      </c>
      <c r="D4" s="217" t="str">
        <f>IFERROR(INDEX('Fiche Lot'!H:H,MATCH(A4,'Fiche Lot'!A:A,0)),"")</f>
        <v>#ERROR!</v>
      </c>
      <c r="E4" s="379" t="str">
        <f>IFERROR(INDEX('Fiche Lot'!L:L,MATCH(A4,'Fiche Lot'!A:A,0)),"")</f>
        <v>#ERROR!</v>
      </c>
      <c r="F4" s="380" t="str">
        <f>IF(E4="","",E4-TODAY())</f>
        <v>#ERROR!</v>
      </c>
      <c r="G4" s="381" t="str">
        <f>IF(F4="","",IF(F4&lt;0,"Expire",IF(F4&lt;INDEX(Config!B:B,MATCH("Seuil alerte DDM (jours)",Config!A:A,0)),"Proche","OK")))</f>
        <v>#ERROR!</v>
      </c>
      <c r="H4" s="381" t="str">
        <f>IF(G4="","",IF(G4="Expire","Detruire ou reanalyse urgent",IF(G4="Proche","Priorite vente / marche prochain","RAS")))</f>
        <v>#ERROR!</v>
      </c>
      <c r="I4" s="382"/>
    </row>
    <row r="5" ht="15.0" customHeight="1">
      <c r="A5" s="282"/>
      <c r="B5" s="227" t="str">
        <f>IFERROR(INDEX('Fiche Lot'!C:C,MATCH(A5,'Fiche Lot'!A:A,0)),"")</f>
        <v>#ERROR!</v>
      </c>
      <c r="C5" s="227" t="str">
        <f>IFERROR(INDEX('Fiche Lot'!E:E,MATCH(A5,'Fiche Lot'!A:A,0)),"")</f>
        <v>#ERROR!</v>
      </c>
      <c r="D5" s="227" t="str">
        <f>IFERROR(INDEX('Fiche Lot'!H:H,MATCH(A5,'Fiche Lot'!A:A,0)),"")</f>
        <v>#ERROR!</v>
      </c>
      <c r="E5" s="383" t="str">
        <f>IFERROR(INDEX('Fiche Lot'!L:L,MATCH(A5,'Fiche Lot'!A:A,0)),"")</f>
        <v>#ERROR!</v>
      </c>
      <c r="F5" s="384" t="str">
        <f>IF(E5="","",E5-TODAY())</f>
        <v>#ERROR!</v>
      </c>
      <c r="G5" s="385" t="str">
        <f>IF(F5="","",IF(F5&lt;0,"Expire",IF(F5&lt;INDEX(Config!B:B,MATCH("Seuil alerte DDM (jours)",Config!A:A,0)),"Proche","OK")))</f>
        <v>#ERROR!</v>
      </c>
      <c r="H5" s="385" t="str">
        <f>IF(G5="","",IF(G5="Expire","Detruire ou reanalyse urgent",IF(G5="Proche","Priorite vente / marche prochain","RAS")))</f>
        <v>#ERROR!</v>
      </c>
      <c r="I5" s="386"/>
    </row>
    <row r="6" ht="15.0" customHeight="1">
      <c r="A6" s="282"/>
      <c r="B6" s="235" t="str">
        <f>IFERROR(INDEX('Fiche Lot'!C:C,MATCH(A6,'Fiche Lot'!A:A,0)),"")</f>
        <v>#ERROR!</v>
      </c>
      <c r="C6" s="235" t="str">
        <f>IFERROR(INDEX('Fiche Lot'!E:E,MATCH(A6,'Fiche Lot'!A:A,0)),"")</f>
        <v>#ERROR!</v>
      </c>
      <c r="D6" s="235" t="str">
        <f>IFERROR(INDEX('Fiche Lot'!H:H,MATCH(A6,'Fiche Lot'!A:A,0)),"")</f>
        <v>#ERROR!</v>
      </c>
      <c r="E6" s="387" t="str">
        <f>IFERROR(INDEX('Fiche Lot'!L:L,MATCH(A6,'Fiche Lot'!A:A,0)),"")</f>
        <v>#ERROR!</v>
      </c>
      <c r="F6" s="388" t="str">
        <f>IF(E6="","",E6-TODAY())</f>
        <v>#ERROR!</v>
      </c>
      <c r="G6" s="389" t="str">
        <f>IF(F6="","",IF(F6&lt;0,"Expire",IF(F6&lt;INDEX(Config!B:B,MATCH("Seuil alerte DDM (jours)",Config!A:A,0)),"Proche","OK")))</f>
        <v>#ERROR!</v>
      </c>
      <c r="H6" s="389" t="str">
        <f>IF(G6="","",IF(G6="Expire","Detruire ou reanalyse urgent",IF(G6="Proche","Priorite vente / marche prochain","RAS")))</f>
        <v>#ERROR!</v>
      </c>
      <c r="I6" s="390"/>
    </row>
    <row r="7" ht="15.0" customHeight="1">
      <c r="A7" s="282"/>
      <c r="B7" s="227" t="str">
        <f>IFERROR(INDEX('Fiche Lot'!C:C,MATCH(A7,'Fiche Lot'!A:A,0)),"")</f>
        <v>#ERROR!</v>
      </c>
      <c r="C7" s="227" t="str">
        <f>IFERROR(INDEX('Fiche Lot'!E:E,MATCH(A7,'Fiche Lot'!A:A,0)),"")</f>
        <v>#ERROR!</v>
      </c>
      <c r="D7" s="227" t="str">
        <f>IFERROR(INDEX('Fiche Lot'!H:H,MATCH(A7,'Fiche Lot'!A:A,0)),"")</f>
        <v>#ERROR!</v>
      </c>
      <c r="E7" s="383" t="str">
        <f>IFERROR(INDEX('Fiche Lot'!L:L,MATCH(A7,'Fiche Lot'!A:A,0)),"")</f>
        <v>#ERROR!</v>
      </c>
      <c r="F7" s="384" t="str">
        <f>IF(E7="","",E7-TODAY())</f>
        <v>#ERROR!</v>
      </c>
      <c r="G7" s="385" t="str">
        <f>IF(F7="","",IF(F7&lt;0,"Expire",IF(F7&lt;INDEX(Config!B:B,MATCH("Seuil alerte DDM (jours)",Config!A:A,0)),"Proche","OK")))</f>
        <v>#ERROR!</v>
      </c>
      <c r="H7" s="385" t="str">
        <f>IF(G7="","",IF(G7="Expire","Detruire ou reanalyse urgent",IF(G7="Proche","Priorite vente / marche prochain","RAS")))</f>
        <v>#ERROR!</v>
      </c>
      <c r="I7" s="386"/>
    </row>
    <row r="8" ht="15.0" customHeight="1">
      <c r="A8" s="282"/>
      <c r="B8" s="235" t="str">
        <f>IFERROR(INDEX('Fiche Lot'!C:C,MATCH(A8,'Fiche Lot'!A:A,0)),"")</f>
        <v>#ERROR!</v>
      </c>
      <c r="C8" s="235" t="str">
        <f>IFERROR(INDEX('Fiche Lot'!E:E,MATCH(A8,'Fiche Lot'!A:A,0)),"")</f>
        <v>#ERROR!</v>
      </c>
      <c r="D8" s="235" t="str">
        <f>IFERROR(INDEX('Fiche Lot'!H:H,MATCH(A8,'Fiche Lot'!A:A,0)),"")</f>
        <v>#ERROR!</v>
      </c>
      <c r="E8" s="387" t="str">
        <f>IFERROR(INDEX('Fiche Lot'!L:L,MATCH(A8,'Fiche Lot'!A:A,0)),"")</f>
        <v>#ERROR!</v>
      </c>
      <c r="F8" s="388" t="str">
        <f>IF(E8="","",E8-TODAY())</f>
        <v>#ERROR!</v>
      </c>
      <c r="G8" s="389" t="str">
        <f>IF(F8="","",IF(F8&lt;0,"Expire",IF(F8&lt;INDEX(Config!B:B,MATCH("Seuil alerte DDM (jours)",Config!A:A,0)),"Proche","OK")))</f>
        <v>#ERROR!</v>
      </c>
      <c r="H8" s="389" t="str">
        <f>IF(G8="","",IF(G8="Expire","Detruire ou reanalyse urgent",IF(G8="Proche","Priorite vente / marche prochain","RAS")))</f>
        <v>#ERROR!</v>
      </c>
      <c r="I8" s="390"/>
    </row>
    <row r="9" ht="15.0" customHeight="1">
      <c r="A9" s="282"/>
      <c r="B9" s="227" t="str">
        <f>IFERROR(INDEX('Fiche Lot'!C:C,MATCH(A9,'Fiche Lot'!A:A,0)),"")</f>
        <v>#ERROR!</v>
      </c>
      <c r="C9" s="227" t="str">
        <f>IFERROR(INDEX('Fiche Lot'!E:E,MATCH(A9,'Fiche Lot'!A:A,0)),"")</f>
        <v>#ERROR!</v>
      </c>
      <c r="D9" s="227" t="str">
        <f>IFERROR(INDEX('Fiche Lot'!H:H,MATCH(A9,'Fiche Lot'!A:A,0)),"")</f>
        <v>#ERROR!</v>
      </c>
      <c r="E9" s="383" t="str">
        <f>IFERROR(INDEX('Fiche Lot'!L:L,MATCH(A9,'Fiche Lot'!A:A,0)),"")</f>
        <v>#ERROR!</v>
      </c>
      <c r="F9" s="384" t="str">
        <f>IF(E9="","",E9-TODAY())</f>
        <v>#ERROR!</v>
      </c>
      <c r="G9" s="385" t="str">
        <f>IF(F9="","",IF(F9&lt;0,"Expire",IF(F9&lt;INDEX(Config!B:B,MATCH("Seuil alerte DDM (jours)",Config!A:A,0)),"Proche","OK")))</f>
        <v>#ERROR!</v>
      </c>
      <c r="H9" s="385" t="str">
        <f>IF(G9="","",IF(G9="Expire","Detruire ou reanalyse urgent",IF(G9="Proche","Priorite vente / marche prochain","RAS")))</f>
        <v>#ERROR!</v>
      </c>
      <c r="I9" s="386"/>
    </row>
    <row r="10" ht="15.0" customHeight="1">
      <c r="A10" s="282"/>
      <c r="B10" s="235" t="str">
        <f>IFERROR(INDEX('Fiche Lot'!C:C,MATCH(A10,'Fiche Lot'!A:A,0)),"")</f>
        <v>#ERROR!</v>
      </c>
      <c r="C10" s="235" t="str">
        <f>IFERROR(INDEX('Fiche Lot'!E:E,MATCH(A10,'Fiche Lot'!A:A,0)),"")</f>
        <v>#ERROR!</v>
      </c>
      <c r="D10" s="235" t="str">
        <f>IFERROR(INDEX('Fiche Lot'!H:H,MATCH(A10,'Fiche Lot'!A:A,0)),"")</f>
        <v>#ERROR!</v>
      </c>
      <c r="E10" s="387" t="str">
        <f>IFERROR(INDEX('Fiche Lot'!L:L,MATCH(A10,'Fiche Lot'!A:A,0)),"")</f>
        <v>#ERROR!</v>
      </c>
      <c r="F10" s="388" t="str">
        <f>IF(E10="","",E10-TODAY())</f>
        <v>#ERROR!</v>
      </c>
      <c r="G10" s="389" t="str">
        <f>IF(F10="","",IF(F10&lt;0,"Expire",IF(F10&lt;INDEX(Config!B:B,MATCH("Seuil alerte DDM (jours)",Config!A:A,0)),"Proche","OK")))</f>
        <v>#ERROR!</v>
      </c>
      <c r="H10" s="389" t="str">
        <f>IF(G10="","",IF(G10="Expire","Detruire ou reanalyse urgent",IF(G10="Proche","Priorite vente / marche prochain","RAS")))</f>
        <v>#ERROR!</v>
      </c>
      <c r="I10" s="390"/>
    </row>
    <row r="11" ht="15.0" customHeight="1">
      <c r="A11" s="282"/>
      <c r="B11" s="227" t="str">
        <f>IFERROR(INDEX('Fiche Lot'!C:C,MATCH(A11,'Fiche Lot'!A:A,0)),"")</f>
        <v>#ERROR!</v>
      </c>
      <c r="C11" s="227" t="str">
        <f>IFERROR(INDEX('Fiche Lot'!E:E,MATCH(A11,'Fiche Lot'!A:A,0)),"")</f>
        <v>#ERROR!</v>
      </c>
      <c r="D11" s="227" t="str">
        <f>IFERROR(INDEX('Fiche Lot'!H:H,MATCH(A11,'Fiche Lot'!A:A,0)),"")</f>
        <v>#ERROR!</v>
      </c>
      <c r="E11" s="383" t="str">
        <f>IFERROR(INDEX('Fiche Lot'!L:L,MATCH(A11,'Fiche Lot'!A:A,0)),"")</f>
        <v>#ERROR!</v>
      </c>
      <c r="F11" s="384" t="str">
        <f>IF(E11="","",E11-TODAY())</f>
        <v>#ERROR!</v>
      </c>
      <c r="G11" s="385" t="str">
        <f>IF(F11="","",IF(F11&lt;0,"Expire",IF(F11&lt;INDEX(Config!B:B,MATCH("Seuil alerte DDM (jours)",Config!A:A,0)),"Proche","OK")))</f>
        <v>#ERROR!</v>
      </c>
      <c r="H11" s="385" t="str">
        <f>IF(G11="","",IF(G11="Expire","Detruire ou reanalyse urgent",IF(G11="Proche","Priorite vente / marche prochain","RAS")))</f>
        <v>#ERROR!</v>
      </c>
      <c r="I11" s="386"/>
    </row>
    <row r="12" ht="15.0" customHeight="1">
      <c r="A12" s="282"/>
      <c r="B12" s="235" t="str">
        <f>IFERROR(INDEX('Fiche Lot'!C:C,MATCH(A12,'Fiche Lot'!A:A,0)),"")</f>
        <v>#ERROR!</v>
      </c>
      <c r="C12" s="235" t="str">
        <f>IFERROR(INDEX('Fiche Lot'!E:E,MATCH(A12,'Fiche Lot'!A:A,0)),"")</f>
        <v>#ERROR!</v>
      </c>
      <c r="D12" s="235" t="str">
        <f>IFERROR(INDEX('Fiche Lot'!H:H,MATCH(A12,'Fiche Lot'!A:A,0)),"")</f>
        <v>#ERROR!</v>
      </c>
      <c r="E12" s="387" t="str">
        <f>IFERROR(INDEX('Fiche Lot'!L:L,MATCH(A12,'Fiche Lot'!A:A,0)),"")</f>
        <v>#ERROR!</v>
      </c>
      <c r="F12" s="388" t="str">
        <f>IF(E12="","",E12-TODAY())</f>
        <v>#ERROR!</v>
      </c>
      <c r="G12" s="389" t="str">
        <f>IF(F12="","",IF(F12&lt;0,"Expire",IF(F12&lt;INDEX(Config!B:B,MATCH("Seuil alerte DDM (jours)",Config!A:A,0)),"Proche","OK")))</f>
        <v>#ERROR!</v>
      </c>
      <c r="H12" s="389" t="str">
        <f>IF(G12="","",IF(G12="Expire","Detruire ou reanalyse urgent",IF(G12="Proche","Priorite vente / marche prochain","RAS")))</f>
        <v>#ERROR!</v>
      </c>
      <c r="I12" s="390"/>
    </row>
    <row r="13" ht="15.0" customHeight="1">
      <c r="A13" s="282"/>
      <c r="B13" s="227" t="str">
        <f>IFERROR(INDEX('Fiche Lot'!C:C,MATCH(A13,'Fiche Lot'!A:A,0)),"")</f>
        <v>#ERROR!</v>
      </c>
      <c r="C13" s="227" t="str">
        <f>IFERROR(INDEX('Fiche Lot'!E:E,MATCH(A13,'Fiche Lot'!A:A,0)),"")</f>
        <v>#ERROR!</v>
      </c>
      <c r="D13" s="227" t="str">
        <f>IFERROR(INDEX('Fiche Lot'!H:H,MATCH(A13,'Fiche Lot'!A:A,0)),"")</f>
        <v>#ERROR!</v>
      </c>
      <c r="E13" s="383" t="str">
        <f>IFERROR(INDEX('Fiche Lot'!L:L,MATCH(A13,'Fiche Lot'!A:A,0)),"")</f>
        <v>#ERROR!</v>
      </c>
      <c r="F13" s="384" t="str">
        <f>IF(E13="","",E13-TODAY())</f>
        <v>#ERROR!</v>
      </c>
      <c r="G13" s="385" t="str">
        <f>IF(F13="","",IF(F13&lt;0,"Expire",IF(F13&lt;INDEX(Config!B:B,MATCH("Seuil alerte DDM (jours)",Config!A:A,0)),"Proche","OK")))</f>
        <v>#ERROR!</v>
      </c>
      <c r="H13" s="385" t="str">
        <f>IF(G13="","",IF(G13="Expire","Detruire ou reanalyse urgent",IF(G13="Proche","Priorite vente / marche prochain","RAS")))</f>
        <v>#ERROR!</v>
      </c>
      <c r="I13" s="386"/>
    </row>
    <row r="14" ht="15.0" customHeight="1">
      <c r="A14" s="282"/>
      <c r="B14" s="235" t="str">
        <f>IFERROR(INDEX('Fiche Lot'!C:C,MATCH(A14,'Fiche Lot'!A:A,0)),"")</f>
        <v>#ERROR!</v>
      </c>
      <c r="C14" s="235" t="str">
        <f>IFERROR(INDEX('Fiche Lot'!E:E,MATCH(A14,'Fiche Lot'!A:A,0)),"")</f>
        <v>#ERROR!</v>
      </c>
      <c r="D14" s="235" t="str">
        <f>IFERROR(INDEX('Fiche Lot'!H:H,MATCH(A14,'Fiche Lot'!A:A,0)),"")</f>
        <v>#ERROR!</v>
      </c>
      <c r="E14" s="387" t="str">
        <f>IFERROR(INDEX('Fiche Lot'!L:L,MATCH(A14,'Fiche Lot'!A:A,0)),"")</f>
        <v>#ERROR!</v>
      </c>
      <c r="F14" s="388" t="str">
        <f>IF(E14="","",E14-TODAY())</f>
        <v>#ERROR!</v>
      </c>
      <c r="G14" s="389" t="str">
        <f>IF(F14="","",IF(F14&lt;0,"Expire",IF(F14&lt;INDEX(Config!B:B,MATCH("Seuil alerte DDM (jours)",Config!A:A,0)),"Proche","OK")))</f>
        <v>#ERROR!</v>
      </c>
      <c r="H14" s="389" t="str">
        <f>IF(G14="","",IF(G14="Expire","Detruire ou reanalyse urgent",IF(G14="Proche","Priorite vente / marche prochain","RAS")))</f>
        <v>#ERROR!</v>
      </c>
      <c r="I14" s="390"/>
    </row>
    <row r="15" ht="15.0" customHeight="1">
      <c r="A15" s="282"/>
      <c r="B15" s="227" t="str">
        <f>IFERROR(INDEX('Fiche Lot'!C:C,MATCH(A15,'Fiche Lot'!A:A,0)),"")</f>
        <v>#ERROR!</v>
      </c>
      <c r="C15" s="227" t="str">
        <f>IFERROR(INDEX('Fiche Lot'!E:E,MATCH(A15,'Fiche Lot'!A:A,0)),"")</f>
        <v>#ERROR!</v>
      </c>
      <c r="D15" s="227" t="str">
        <f>IFERROR(INDEX('Fiche Lot'!H:H,MATCH(A15,'Fiche Lot'!A:A,0)),"")</f>
        <v>#ERROR!</v>
      </c>
      <c r="E15" s="383" t="str">
        <f>IFERROR(INDEX('Fiche Lot'!L:L,MATCH(A15,'Fiche Lot'!A:A,0)),"")</f>
        <v>#ERROR!</v>
      </c>
      <c r="F15" s="384" t="str">
        <f>IF(E15="","",E15-TODAY())</f>
        <v>#ERROR!</v>
      </c>
      <c r="G15" s="385" t="str">
        <f>IF(F15="","",IF(F15&lt;0,"Expire",IF(F15&lt;INDEX(Config!B:B,MATCH("Seuil alerte DDM (jours)",Config!A:A,0)),"Proche","OK")))</f>
        <v>#ERROR!</v>
      </c>
      <c r="H15" s="385" t="str">
        <f>IF(G15="","",IF(G15="Expire","Detruire ou reanalyse urgent",IF(G15="Proche","Priorite vente / marche prochain","RAS")))</f>
        <v>#ERROR!</v>
      </c>
      <c r="I15" s="386"/>
    </row>
    <row r="16" ht="15.0" customHeight="1">
      <c r="A16" s="282"/>
      <c r="B16" s="235" t="str">
        <f>IFERROR(INDEX('Fiche Lot'!C:C,MATCH(A16,'Fiche Lot'!A:A,0)),"")</f>
        <v>#ERROR!</v>
      </c>
      <c r="C16" s="235" t="str">
        <f>IFERROR(INDEX('Fiche Lot'!E:E,MATCH(A16,'Fiche Lot'!A:A,0)),"")</f>
        <v>#ERROR!</v>
      </c>
      <c r="D16" s="235" t="str">
        <f>IFERROR(INDEX('Fiche Lot'!H:H,MATCH(A16,'Fiche Lot'!A:A,0)),"")</f>
        <v>#ERROR!</v>
      </c>
      <c r="E16" s="387" t="str">
        <f>IFERROR(INDEX('Fiche Lot'!L:L,MATCH(A16,'Fiche Lot'!A:A,0)),"")</f>
        <v>#ERROR!</v>
      </c>
      <c r="F16" s="388" t="str">
        <f>IF(E16="","",E16-TODAY())</f>
        <v>#ERROR!</v>
      </c>
      <c r="G16" s="389" t="str">
        <f>IF(F16="","",IF(F16&lt;0,"Expire",IF(F16&lt;INDEX(Config!B:B,MATCH("Seuil alerte DDM (jours)",Config!A:A,0)),"Proche","OK")))</f>
        <v>#ERROR!</v>
      </c>
      <c r="H16" s="389" t="str">
        <f>IF(G16="","",IF(G16="Expire","Detruire ou reanalyse urgent",IF(G16="Proche","Priorite vente / marche prochain","RAS")))</f>
        <v>#ERROR!</v>
      </c>
      <c r="I16" s="390"/>
    </row>
    <row r="17" ht="15.0" customHeight="1">
      <c r="A17" s="282"/>
      <c r="B17" s="227" t="str">
        <f>IFERROR(INDEX('Fiche Lot'!C:C,MATCH(A17,'Fiche Lot'!A:A,0)),"")</f>
        <v>#ERROR!</v>
      </c>
      <c r="C17" s="227" t="str">
        <f>IFERROR(INDEX('Fiche Lot'!E:E,MATCH(A17,'Fiche Lot'!A:A,0)),"")</f>
        <v>#ERROR!</v>
      </c>
      <c r="D17" s="227" t="str">
        <f>IFERROR(INDEX('Fiche Lot'!H:H,MATCH(A17,'Fiche Lot'!A:A,0)),"")</f>
        <v>#ERROR!</v>
      </c>
      <c r="E17" s="383" t="str">
        <f>IFERROR(INDEX('Fiche Lot'!L:L,MATCH(A17,'Fiche Lot'!A:A,0)),"")</f>
        <v>#ERROR!</v>
      </c>
      <c r="F17" s="384" t="str">
        <f>IF(E17="","",E17-TODAY())</f>
        <v>#ERROR!</v>
      </c>
      <c r="G17" s="385" t="str">
        <f>IF(F17="","",IF(F17&lt;0,"Expire",IF(F17&lt;INDEX(Config!B:B,MATCH("Seuil alerte DDM (jours)",Config!A:A,0)),"Proche","OK")))</f>
        <v>#ERROR!</v>
      </c>
      <c r="H17" s="385" t="str">
        <f>IF(G17="","",IF(G17="Expire","Detruire ou reanalyse urgent",IF(G17="Proche","Priorite vente / marche prochain","RAS")))</f>
        <v>#ERROR!</v>
      </c>
      <c r="I17" s="386"/>
    </row>
    <row r="18" ht="15.0" customHeight="1">
      <c r="A18" s="282"/>
      <c r="B18" s="235" t="str">
        <f>IFERROR(INDEX('Fiche Lot'!C:C,MATCH(A18,'Fiche Lot'!A:A,0)),"")</f>
        <v>#ERROR!</v>
      </c>
      <c r="C18" s="235" t="str">
        <f>IFERROR(INDEX('Fiche Lot'!E:E,MATCH(A18,'Fiche Lot'!A:A,0)),"")</f>
        <v>#ERROR!</v>
      </c>
      <c r="D18" s="235" t="str">
        <f>IFERROR(INDEX('Fiche Lot'!H:H,MATCH(A18,'Fiche Lot'!A:A,0)),"")</f>
        <v>#ERROR!</v>
      </c>
      <c r="E18" s="387" t="str">
        <f>IFERROR(INDEX('Fiche Lot'!L:L,MATCH(A18,'Fiche Lot'!A:A,0)),"")</f>
        <v>#ERROR!</v>
      </c>
      <c r="F18" s="388" t="str">
        <f>IF(E18="","",E18-TODAY())</f>
        <v>#ERROR!</v>
      </c>
      <c r="G18" s="389" t="str">
        <f>IF(F18="","",IF(F18&lt;0,"Expire",IF(F18&lt;INDEX(Config!B:B,MATCH("Seuil alerte DDM (jours)",Config!A:A,0)),"Proche","OK")))</f>
        <v>#ERROR!</v>
      </c>
      <c r="H18" s="389" t="str">
        <f>IF(G18="","",IF(G18="Expire","Detruire ou reanalyse urgent",IF(G18="Proche","Priorite vente / marche prochain","RAS")))</f>
        <v>#ERROR!</v>
      </c>
      <c r="I18" s="390"/>
    </row>
    <row r="19" ht="15.0" customHeight="1">
      <c r="A19" s="282"/>
      <c r="B19" s="227" t="str">
        <f>IFERROR(INDEX('Fiche Lot'!C:C,MATCH(A19,'Fiche Lot'!A:A,0)),"")</f>
        <v>#ERROR!</v>
      </c>
      <c r="C19" s="227" t="str">
        <f>IFERROR(INDEX('Fiche Lot'!E:E,MATCH(A19,'Fiche Lot'!A:A,0)),"")</f>
        <v>#ERROR!</v>
      </c>
      <c r="D19" s="227" t="str">
        <f>IFERROR(INDEX('Fiche Lot'!H:H,MATCH(A19,'Fiche Lot'!A:A,0)),"")</f>
        <v>#ERROR!</v>
      </c>
      <c r="E19" s="383" t="str">
        <f>IFERROR(INDEX('Fiche Lot'!L:L,MATCH(A19,'Fiche Lot'!A:A,0)),"")</f>
        <v>#ERROR!</v>
      </c>
      <c r="F19" s="384" t="str">
        <f>IF(E19="","",E19-TODAY())</f>
        <v>#ERROR!</v>
      </c>
      <c r="G19" s="385" t="str">
        <f>IF(F19="","",IF(F19&lt;0,"Expire",IF(F19&lt;INDEX(Config!B:B,MATCH("Seuil alerte DDM (jours)",Config!A:A,0)),"Proche","OK")))</f>
        <v>#ERROR!</v>
      </c>
      <c r="H19" s="385" t="str">
        <f>IF(G19="","",IF(G19="Expire","Detruire ou reanalyse urgent",IF(G19="Proche","Priorite vente / marche prochain","RAS")))</f>
        <v>#ERROR!</v>
      </c>
      <c r="I19" s="386"/>
    </row>
    <row r="20" ht="15.0" customHeight="1">
      <c r="A20" s="282"/>
      <c r="B20" s="235" t="str">
        <f>IFERROR(INDEX('Fiche Lot'!C:C,MATCH(A20,'Fiche Lot'!A:A,0)),"")</f>
        <v>#ERROR!</v>
      </c>
      <c r="C20" s="235" t="str">
        <f>IFERROR(INDEX('Fiche Lot'!E:E,MATCH(A20,'Fiche Lot'!A:A,0)),"")</f>
        <v>#ERROR!</v>
      </c>
      <c r="D20" s="235" t="str">
        <f>IFERROR(INDEX('Fiche Lot'!H:H,MATCH(A20,'Fiche Lot'!A:A,0)),"")</f>
        <v>#ERROR!</v>
      </c>
      <c r="E20" s="387" t="str">
        <f>IFERROR(INDEX('Fiche Lot'!L:L,MATCH(A20,'Fiche Lot'!A:A,0)),"")</f>
        <v>#ERROR!</v>
      </c>
      <c r="F20" s="388" t="str">
        <f>IF(E20="","",E20-TODAY())</f>
        <v>#ERROR!</v>
      </c>
      <c r="G20" s="389" t="str">
        <f>IF(F20="","",IF(F20&lt;0,"Expire",IF(F20&lt;INDEX(Config!B:B,MATCH("Seuil alerte DDM (jours)",Config!A:A,0)),"Proche","OK")))</f>
        <v>#ERROR!</v>
      </c>
      <c r="H20" s="389" t="str">
        <f>IF(G20="","",IF(G20="Expire","Detruire ou reanalyse urgent",IF(G20="Proche","Priorite vente / marche prochain","RAS")))</f>
        <v>#ERROR!</v>
      </c>
      <c r="I20" s="390"/>
    </row>
    <row r="21" ht="15.0" customHeight="1">
      <c r="A21" s="282"/>
      <c r="B21" s="227" t="str">
        <f>IFERROR(INDEX('Fiche Lot'!C:C,MATCH(A21,'Fiche Lot'!A:A,0)),"")</f>
        <v>#ERROR!</v>
      </c>
      <c r="C21" s="227" t="str">
        <f>IFERROR(INDEX('Fiche Lot'!E:E,MATCH(A21,'Fiche Lot'!A:A,0)),"")</f>
        <v>#ERROR!</v>
      </c>
      <c r="D21" s="227" t="str">
        <f>IFERROR(INDEX('Fiche Lot'!H:H,MATCH(A21,'Fiche Lot'!A:A,0)),"")</f>
        <v>#ERROR!</v>
      </c>
      <c r="E21" s="383" t="str">
        <f>IFERROR(INDEX('Fiche Lot'!L:L,MATCH(A21,'Fiche Lot'!A:A,0)),"")</f>
        <v>#ERROR!</v>
      </c>
      <c r="F21" s="384" t="str">
        <f>IF(E21="","",E21-TODAY())</f>
        <v>#ERROR!</v>
      </c>
      <c r="G21" s="385" t="str">
        <f>IF(F21="","",IF(F21&lt;0,"Expire",IF(F21&lt;INDEX(Config!B:B,MATCH("Seuil alerte DDM (jours)",Config!A:A,0)),"Proche","OK")))</f>
        <v>#ERROR!</v>
      </c>
      <c r="H21" s="385" t="str">
        <f>IF(G21="","",IF(G21="Expire","Detruire ou reanalyse urgent",IF(G21="Proche","Priorite vente / marche prochain","RAS")))</f>
        <v>#ERROR!</v>
      </c>
      <c r="I21" s="386"/>
    </row>
    <row r="22" ht="15.0" customHeight="1">
      <c r="A22" s="282"/>
      <c r="B22" s="235" t="str">
        <f>IFERROR(INDEX('Fiche Lot'!C:C,MATCH(A22,'Fiche Lot'!A:A,0)),"")</f>
        <v>#ERROR!</v>
      </c>
      <c r="C22" s="235" t="str">
        <f>IFERROR(INDEX('Fiche Lot'!E:E,MATCH(A22,'Fiche Lot'!A:A,0)),"")</f>
        <v>#ERROR!</v>
      </c>
      <c r="D22" s="235" t="str">
        <f>IFERROR(INDEX('Fiche Lot'!H:H,MATCH(A22,'Fiche Lot'!A:A,0)),"")</f>
        <v>#ERROR!</v>
      </c>
      <c r="E22" s="387" t="str">
        <f>IFERROR(INDEX('Fiche Lot'!L:L,MATCH(A22,'Fiche Lot'!A:A,0)),"")</f>
        <v>#ERROR!</v>
      </c>
      <c r="F22" s="388" t="str">
        <f>IF(E22="","",E22-TODAY())</f>
        <v>#ERROR!</v>
      </c>
      <c r="G22" s="389" t="str">
        <f>IF(F22="","",IF(F22&lt;0,"Expire",IF(F22&lt;INDEX(Config!B:B,MATCH("Seuil alerte DDM (jours)",Config!A:A,0)),"Proche","OK")))</f>
        <v>#ERROR!</v>
      </c>
      <c r="H22" s="389" t="str">
        <f>IF(G22="","",IF(G22="Expire","Detruire ou reanalyse urgent",IF(G22="Proche","Priorite vente / marche prochain","RAS")))</f>
        <v>#ERROR!</v>
      </c>
      <c r="I22" s="390"/>
    </row>
    <row r="23" ht="15.0" customHeight="1">
      <c r="A23" s="282"/>
      <c r="B23" s="227" t="str">
        <f>IFERROR(INDEX('Fiche Lot'!C:C,MATCH(A23,'Fiche Lot'!A:A,0)),"")</f>
        <v>#ERROR!</v>
      </c>
      <c r="C23" s="227" t="str">
        <f>IFERROR(INDEX('Fiche Lot'!E:E,MATCH(A23,'Fiche Lot'!A:A,0)),"")</f>
        <v>#ERROR!</v>
      </c>
      <c r="D23" s="227" t="str">
        <f>IFERROR(INDEX('Fiche Lot'!H:H,MATCH(A23,'Fiche Lot'!A:A,0)),"")</f>
        <v>#ERROR!</v>
      </c>
      <c r="E23" s="383" t="str">
        <f>IFERROR(INDEX('Fiche Lot'!L:L,MATCH(A23,'Fiche Lot'!A:A,0)),"")</f>
        <v>#ERROR!</v>
      </c>
      <c r="F23" s="384" t="str">
        <f>IF(E23="","",E23-TODAY())</f>
        <v>#ERROR!</v>
      </c>
      <c r="G23" s="385" t="str">
        <f>IF(F23="","",IF(F23&lt;0,"Expire",IF(F23&lt;INDEX(Config!B:B,MATCH("Seuil alerte DDM (jours)",Config!A:A,0)),"Proche","OK")))</f>
        <v>#ERROR!</v>
      </c>
      <c r="H23" s="385" t="str">
        <f>IF(G23="","",IF(G23="Expire","Detruire ou reanalyse urgent",IF(G23="Proche","Priorite vente / marche prochain","RAS")))</f>
        <v>#ERROR!</v>
      </c>
      <c r="I23" s="386"/>
    </row>
    <row r="24" ht="15.0" customHeight="1">
      <c r="A24" s="282"/>
      <c r="B24" s="235" t="str">
        <f>IFERROR(INDEX('Fiche Lot'!C:C,MATCH(A24,'Fiche Lot'!A:A,0)),"")</f>
        <v>#ERROR!</v>
      </c>
      <c r="C24" s="235" t="str">
        <f>IFERROR(INDEX('Fiche Lot'!E:E,MATCH(A24,'Fiche Lot'!A:A,0)),"")</f>
        <v>#ERROR!</v>
      </c>
      <c r="D24" s="235" t="str">
        <f>IFERROR(INDEX('Fiche Lot'!H:H,MATCH(A24,'Fiche Lot'!A:A,0)),"")</f>
        <v>#ERROR!</v>
      </c>
      <c r="E24" s="387" t="str">
        <f>IFERROR(INDEX('Fiche Lot'!L:L,MATCH(A24,'Fiche Lot'!A:A,0)),"")</f>
        <v>#ERROR!</v>
      </c>
      <c r="F24" s="388" t="str">
        <f>IF(E24="","",E24-TODAY())</f>
        <v>#ERROR!</v>
      </c>
      <c r="G24" s="389" t="str">
        <f>IF(F24="","",IF(F24&lt;0,"Expire",IF(F24&lt;INDEX(Config!B:B,MATCH("Seuil alerte DDM (jours)",Config!A:A,0)),"Proche","OK")))</f>
        <v>#ERROR!</v>
      </c>
      <c r="H24" s="389" t="str">
        <f>IF(G24="","",IF(G24="Expire","Detruire ou reanalyse urgent",IF(G24="Proche","Priorite vente / marche prochain","RAS")))</f>
        <v>#ERROR!</v>
      </c>
      <c r="I24" s="390"/>
    </row>
    <row r="25" ht="15.0" customHeight="1">
      <c r="A25" s="282"/>
      <c r="B25" s="227" t="str">
        <f>IFERROR(INDEX('Fiche Lot'!C:C,MATCH(A25,'Fiche Lot'!A:A,0)),"")</f>
        <v>#ERROR!</v>
      </c>
      <c r="C25" s="227" t="str">
        <f>IFERROR(INDEX('Fiche Lot'!E:E,MATCH(A25,'Fiche Lot'!A:A,0)),"")</f>
        <v>#ERROR!</v>
      </c>
      <c r="D25" s="227" t="str">
        <f>IFERROR(INDEX('Fiche Lot'!H:H,MATCH(A25,'Fiche Lot'!A:A,0)),"")</f>
        <v>#ERROR!</v>
      </c>
      <c r="E25" s="383" t="str">
        <f>IFERROR(INDEX('Fiche Lot'!L:L,MATCH(A25,'Fiche Lot'!A:A,0)),"")</f>
        <v>#ERROR!</v>
      </c>
      <c r="F25" s="384" t="str">
        <f>IF(E25="","",E25-TODAY())</f>
        <v>#ERROR!</v>
      </c>
      <c r="G25" s="385" t="str">
        <f>IF(F25="","",IF(F25&lt;0,"Expire",IF(F25&lt;INDEX(Config!B:B,MATCH("Seuil alerte DDM (jours)",Config!A:A,0)),"Proche","OK")))</f>
        <v>#ERROR!</v>
      </c>
      <c r="H25" s="385" t="str">
        <f>IF(G25="","",IF(G25="Expire","Detruire ou reanalyse urgent",IF(G25="Proche","Priorite vente / marche prochain","RAS")))</f>
        <v>#ERROR!</v>
      </c>
      <c r="I25" s="386"/>
    </row>
    <row r="26" ht="15.0" customHeight="1">
      <c r="A26" s="282"/>
      <c r="B26" s="235" t="str">
        <f>IFERROR(INDEX('Fiche Lot'!C:C,MATCH(A26,'Fiche Lot'!A:A,0)),"")</f>
        <v>#ERROR!</v>
      </c>
      <c r="C26" s="235" t="str">
        <f>IFERROR(INDEX('Fiche Lot'!E:E,MATCH(A26,'Fiche Lot'!A:A,0)),"")</f>
        <v>#ERROR!</v>
      </c>
      <c r="D26" s="235" t="str">
        <f>IFERROR(INDEX('Fiche Lot'!H:H,MATCH(A26,'Fiche Lot'!A:A,0)),"")</f>
        <v>#ERROR!</v>
      </c>
      <c r="E26" s="387" t="str">
        <f>IFERROR(INDEX('Fiche Lot'!L:L,MATCH(A26,'Fiche Lot'!A:A,0)),"")</f>
        <v>#ERROR!</v>
      </c>
      <c r="F26" s="388" t="str">
        <f>IF(E26="","",E26-TODAY())</f>
        <v>#ERROR!</v>
      </c>
      <c r="G26" s="389" t="str">
        <f>IF(F26="","",IF(F26&lt;0,"Expire",IF(F26&lt;INDEX(Config!B:B,MATCH("Seuil alerte DDM (jours)",Config!A:A,0)),"Proche","OK")))</f>
        <v>#ERROR!</v>
      </c>
      <c r="H26" s="389" t="str">
        <f>IF(G26="","",IF(G26="Expire","Detruire ou reanalyse urgent",IF(G26="Proche","Priorite vente / marche prochain","RAS")))</f>
        <v>#ERROR!</v>
      </c>
      <c r="I26" s="390"/>
    </row>
    <row r="27" ht="15.0" customHeight="1">
      <c r="A27" s="282"/>
      <c r="B27" s="227" t="str">
        <f>IFERROR(INDEX('Fiche Lot'!C:C,MATCH(A27,'Fiche Lot'!A:A,0)),"")</f>
        <v>#ERROR!</v>
      </c>
      <c r="C27" s="227" t="str">
        <f>IFERROR(INDEX('Fiche Lot'!E:E,MATCH(A27,'Fiche Lot'!A:A,0)),"")</f>
        <v>#ERROR!</v>
      </c>
      <c r="D27" s="227" t="str">
        <f>IFERROR(INDEX('Fiche Lot'!H:H,MATCH(A27,'Fiche Lot'!A:A,0)),"")</f>
        <v>#ERROR!</v>
      </c>
      <c r="E27" s="383" t="str">
        <f>IFERROR(INDEX('Fiche Lot'!L:L,MATCH(A27,'Fiche Lot'!A:A,0)),"")</f>
        <v>#ERROR!</v>
      </c>
      <c r="F27" s="384" t="str">
        <f>IF(E27="","",E27-TODAY())</f>
        <v>#ERROR!</v>
      </c>
      <c r="G27" s="385" t="str">
        <f>IF(F27="","",IF(F27&lt;0,"Expire",IF(F27&lt;INDEX(Config!B:B,MATCH("Seuil alerte DDM (jours)",Config!A:A,0)),"Proche","OK")))</f>
        <v>#ERROR!</v>
      </c>
      <c r="H27" s="385" t="str">
        <f>IF(G27="","",IF(G27="Expire","Detruire ou reanalyse urgent",IF(G27="Proche","Priorite vente / marche prochain","RAS")))</f>
        <v>#ERROR!</v>
      </c>
      <c r="I27" s="386"/>
    </row>
    <row r="28" ht="15.0" customHeight="1">
      <c r="A28" s="282"/>
      <c r="B28" s="235" t="str">
        <f>IFERROR(INDEX('Fiche Lot'!C:C,MATCH(A28,'Fiche Lot'!A:A,0)),"")</f>
        <v>#ERROR!</v>
      </c>
      <c r="C28" s="235" t="str">
        <f>IFERROR(INDEX('Fiche Lot'!E:E,MATCH(A28,'Fiche Lot'!A:A,0)),"")</f>
        <v>#ERROR!</v>
      </c>
      <c r="D28" s="235" t="str">
        <f>IFERROR(INDEX('Fiche Lot'!H:H,MATCH(A28,'Fiche Lot'!A:A,0)),"")</f>
        <v>#ERROR!</v>
      </c>
      <c r="E28" s="387" t="str">
        <f>IFERROR(INDEX('Fiche Lot'!L:L,MATCH(A28,'Fiche Lot'!A:A,0)),"")</f>
        <v>#ERROR!</v>
      </c>
      <c r="F28" s="388" t="str">
        <f>IF(E28="","",E28-TODAY())</f>
        <v>#ERROR!</v>
      </c>
      <c r="G28" s="389" t="str">
        <f>IF(F28="","",IF(F28&lt;0,"Expire",IF(F28&lt;INDEX(Config!B:B,MATCH("Seuil alerte DDM (jours)",Config!A:A,0)),"Proche","OK")))</f>
        <v>#ERROR!</v>
      </c>
      <c r="H28" s="389" t="str">
        <f>IF(G28="","",IF(G28="Expire","Detruire ou reanalyse urgent",IF(G28="Proche","Priorite vente / marche prochain","RAS")))</f>
        <v>#ERROR!</v>
      </c>
      <c r="I28" s="390"/>
    </row>
    <row r="29" ht="15.0" customHeight="1">
      <c r="A29" s="282"/>
      <c r="B29" s="227" t="str">
        <f>IFERROR(INDEX('Fiche Lot'!C:C,MATCH(A29,'Fiche Lot'!A:A,0)),"")</f>
        <v>#ERROR!</v>
      </c>
      <c r="C29" s="227" t="str">
        <f>IFERROR(INDEX('Fiche Lot'!E:E,MATCH(A29,'Fiche Lot'!A:A,0)),"")</f>
        <v>#ERROR!</v>
      </c>
      <c r="D29" s="227" t="str">
        <f>IFERROR(INDEX('Fiche Lot'!H:H,MATCH(A29,'Fiche Lot'!A:A,0)),"")</f>
        <v>#ERROR!</v>
      </c>
      <c r="E29" s="383" t="str">
        <f>IFERROR(INDEX('Fiche Lot'!L:L,MATCH(A29,'Fiche Lot'!A:A,0)),"")</f>
        <v>#ERROR!</v>
      </c>
      <c r="F29" s="384" t="str">
        <f>IF(E29="","",E29-TODAY())</f>
        <v>#ERROR!</v>
      </c>
      <c r="G29" s="385" t="str">
        <f>IF(F29="","",IF(F29&lt;0,"Expire",IF(F29&lt;INDEX(Config!B:B,MATCH("Seuil alerte DDM (jours)",Config!A:A,0)),"Proche","OK")))</f>
        <v>#ERROR!</v>
      </c>
      <c r="H29" s="385" t="str">
        <f>IF(G29="","",IF(G29="Expire","Detruire ou reanalyse urgent",IF(G29="Proche","Priorite vente / marche prochain","RAS")))</f>
        <v>#ERROR!</v>
      </c>
      <c r="I29" s="386"/>
    </row>
    <row r="30" ht="15.0" customHeight="1">
      <c r="A30" s="282"/>
      <c r="B30" s="235" t="str">
        <f>IFERROR(INDEX('Fiche Lot'!C:C,MATCH(A30,'Fiche Lot'!A:A,0)),"")</f>
        <v>#ERROR!</v>
      </c>
      <c r="C30" s="235" t="str">
        <f>IFERROR(INDEX('Fiche Lot'!E:E,MATCH(A30,'Fiche Lot'!A:A,0)),"")</f>
        <v>#ERROR!</v>
      </c>
      <c r="D30" s="235" t="str">
        <f>IFERROR(INDEX('Fiche Lot'!H:H,MATCH(A30,'Fiche Lot'!A:A,0)),"")</f>
        <v>#ERROR!</v>
      </c>
      <c r="E30" s="387" t="str">
        <f>IFERROR(INDEX('Fiche Lot'!L:L,MATCH(A30,'Fiche Lot'!A:A,0)),"")</f>
        <v>#ERROR!</v>
      </c>
      <c r="F30" s="388" t="str">
        <f>IF(E30="","",E30-TODAY())</f>
        <v>#ERROR!</v>
      </c>
      <c r="G30" s="389" t="str">
        <f>IF(F30="","",IF(F30&lt;0,"Expire",IF(F30&lt;INDEX(Config!B:B,MATCH("Seuil alerte DDM (jours)",Config!A:A,0)),"Proche","OK")))</f>
        <v>#ERROR!</v>
      </c>
      <c r="H30" s="389" t="str">
        <f>IF(G30="","",IF(G30="Expire","Detruire ou reanalyse urgent",IF(G30="Proche","Priorite vente / marche prochain","RAS")))</f>
        <v>#ERROR!</v>
      </c>
      <c r="I30" s="390"/>
    </row>
    <row r="31" ht="15.0" customHeight="1">
      <c r="A31" s="282"/>
      <c r="B31" s="227" t="str">
        <f>IFERROR(INDEX('Fiche Lot'!C:C,MATCH(A31,'Fiche Lot'!A:A,0)),"")</f>
        <v>#ERROR!</v>
      </c>
      <c r="C31" s="227" t="str">
        <f>IFERROR(INDEX('Fiche Lot'!E:E,MATCH(A31,'Fiche Lot'!A:A,0)),"")</f>
        <v>#ERROR!</v>
      </c>
      <c r="D31" s="227" t="str">
        <f>IFERROR(INDEX('Fiche Lot'!H:H,MATCH(A31,'Fiche Lot'!A:A,0)),"")</f>
        <v>#ERROR!</v>
      </c>
      <c r="E31" s="383" t="str">
        <f>IFERROR(INDEX('Fiche Lot'!L:L,MATCH(A31,'Fiche Lot'!A:A,0)),"")</f>
        <v>#ERROR!</v>
      </c>
      <c r="F31" s="384" t="str">
        <f>IF(E31="","",E31-TODAY())</f>
        <v>#ERROR!</v>
      </c>
      <c r="G31" s="385" t="str">
        <f>IF(F31="","",IF(F31&lt;0,"Expire",IF(F31&lt;INDEX(Config!B:B,MATCH("Seuil alerte DDM (jours)",Config!A:A,0)),"Proche","OK")))</f>
        <v>#ERROR!</v>
      </c>
      <c r="H31" s="385" t="str">
        <f>IF(G31="","",IF(G31="Expire","Detruire ou reanalyse urgent",IF(G31="Proche","Priorite vente / marche prochain","RAS")))</f>
        <v>#ERROR!</v>
      </c>
      <c r="I31" s="386"/>
    </row>
    <row r="32" ht="15.0" customHeight="1">
      <c r="A32" s="282"/>
      <c r="B32" s="235" t="str">
        <f>IFERROR(INDEX('Fiche Lot'!C:C,MATCH(A32,'Fiche Lot'!A:A,0)),"")</f>
        <v>#ERROR!</v>
      </c>
      <c r="C32" s="235" t="str">
        <f>IFERROR(INDEX('Fiche Lot'!E:E,MATCH(A32,'Fiche Lot'!A:A,0)),"")</f>
        <v>#ERROR!</v>
      </c>
      <c r="D32" s="235" t="str">
        <f>IFERROR(INDEX('Fiche Lot'!H:H,MATCH(A32,'Fiche Lot'!A:A,0)),"")</f>
        <v>#ERROR!</v>
      </c>
      <c r="E32" s="387" t="str">
        <f>IFERROR(INDEX('Fiche Lot'!L:L,MATCH(A32,'Fiche Lot'!A:A,0)),"")</f>
        <v>#ERROR!</v>
      </c>
      <c r="F32" s="388" t="str">
        <f>IF(E32="","",E32-TODAY())</f>
        <v>#ERROR!</v>
      </c>
      <c r="G32" s="389" t="str">
        <f>IF(F32="","",IF(F32&lt;0,"Expire",IF(F32&lt;INDEX(Config!B:B,MATCH("Seuil alerte DDM (jours)",Config!A:A,0)),"Proche","OK")))</f>
        <v>#ERROR!</v>
      </c>
      <c r="H32" s="389" t="str">
        <f>IF(G32="","",IF(G32="Expire","Detruire ou reanalyse urgent",IF(G32="Proche","Priorite vente / marche prochain","RAS")))</f>
        <v>#ERROR!</v>
      </c>
      <c r="I32" s="390"/>
    </row>
    <row r="33" ht="15.0" customHeight="1">
      <c r="A33" s="282"/>
      <c r="B33" s="227" t="str">
        <f>IFERROR(INDEX('Fiche Lot'!C:C,MATCH(A33,'Fiche Lot'!A:A,0)),"")</f>
        <v>#ERROR!</v>
      </c>
      <c r="C33" s="227" t="str">
        <f>IFERROR(INDEX('Fiche Lot'!E:E,MATCH(A33,'Fiche Lot'!A:A,0)),"")</f>
        <v>#ERROR!</v>
      </c>
      <c r="D33" s="227" t="str">
        <f>IFERROR(INDEX('Fiche Lot'!H:H,MATCH(A33,'Fiche Lot'!A:A,0)),"")</f>
        <v>#ERROR!</v>
      </c>
      <c r="E33" s="383" t="str">
        <f>IFERROR(INDEX('Fiche Lot'!L:L,MATCH(A33,'Fiche Lot'!A:A,0)),"")</f>
        <v>#ERROR!</v>
      </c>
      <c r="F33" s="384" t="str">
        <f>IF(E33="","",E33-TODAY())</f>
        <v>#ERROR!</v>
      </c>
      <c r="G33" s="385" t="str">
        <f>IF(F33="","",IF(F33&lt;0,"Expire",IF(F33&lt;INDEX(Config!B:B,MATCH("Seuil alerte DDM (jours)",Config!A:A,0)),"Proche","OK")))</f>
        <v>#ERROR!</v>
      </c>
      <c r="H33" s="385" t="str">
        <f>IF(G33="","",IF(G33="Expire","Detruire ou reanalyse urgent",IF(G33="Proche","Priorite vente / marche prochain","RAS")))</f>
        <v>#ERROR!</v>
      </c>
      <c r="I33" s="386"/>
    </row>
    <row r="34" ht="15.0" customHeight="1">
      <c r="A34" s="282"/>
      <c r="B34" s="235" t="str">
        <f>IFERROR(INDEX('Fiche Lot'!C:C,MATCH(A34,'Fiche Lot'!A:A,0)),"")</f>
        <v>#ERROR!</v>
      </c>
      <c r="C34" s="235" t="str">
        <f>IFERROR(INDEX('Fiche Lot'!E:E,MATCH(A34,'Fiche Lot'!A:A,0)),"")</f>
        <v>#ERROR!</v>
      </c>
      <c r="D34" s="235" t="str">
        <f>IFERROR(INDEX('Fiche Lot'!H:H,MATCH(A34,'Fiche Lot'!A:A,0)),"")</f>
        <v>#ERROR!</v>
      </c>
      <c r="E34" s="387" t="str">
        <f>IFERROR(INDEX('Fiche Lot'!L:L,MATCH(A34,'Fiche Lot'!A:A,0)),"")</f>
        <v>#ERROR!</v>
      </c>
      <c r="F34" s="388" t="str">
        <f>IF(E34="","",E34-TODAY())</f>
        <v>#ERROR!</v>
      </c>
      <c r="G34" s="389" t="str">
        <f>IF(F34="","",IF(F34&lt;0,"Expire",IF(F34&lt;INDEX(Config!B:B,MATCH("Seuil alerte DDM (jours)",Config!A:A,0)),"Proche","OK")))</f>
        <v>#ERROR!</v>
      </c>
      <c r="H34" s="389" t="str">
        <f>IF(G34="","",IF(G34="Expire","Detruire ou reanalyse urgent",IF(G34="Proche","Priorite vente / marche prochain","RAS")))</f>
        <v>#ERROR!</v>
      </c>
      <c r="I34" s="390"/>
    </row>
    <row r="35" ht="15.0" customHeight="1">
      <c r="A35" s="282"/>
      <c r="B35" s="227" t="str">
        <f>IFERROR(INDEX('Fiche Lot'!C:C,MATCH(A35,'Fiche Lot'!A:A,0)),"")</f>
        <v>#ERROR!</v>
      </c>
      <c r="C35" s="227" t="str">
        <f>IFERROR(INDEX('Fiche Lot'!E:E,MATCH(A35,'Fiche Lot'!A:A,0)),"")</f>
        <v>#ERROR!</v>
      </c>
      <c r="D35" s="227" t="str">
        <f>IFERROR(INDEX('Fiche Lot'!H:H,MATCH(A35,'Fiche Lot'!A:A,0)),"")</f>
        <v>#ERROR!</v>
      </c>
      <c r="E35" s="383" t="str">
        <f>IFERROR(INDEX('Fiche Lot'!L:L,MATCH(A35,'Fiche Lot'!A:A,0)),"")</f>
        <v>#ERROR!</v>
      </c>
      <c r="F35" s="384" t="str">
        <f>IF(E35="","",E35-TODAY())</f>
        <v>#ERROR!</v>
      </c>
      <c r="G35" s="385" t="str">
        <f>IF(F35="","",IF(F35&lt;0,"Expire",IF(F35&lt;INDEX(Config!B:B,MATCH("Seuil alerte DDM (jours)",Config!A:A,0)),"Proche","OK")))</f>
        <v>#ERROR!</v>
      </c>
      <c r="H35" s="385" t="str">
        <f>IF(G35="","",IF(G35="Expire","Detruire ou reanalyse urgent",IF(G35="Proche","Priorite vente / marche prochain","RAS")))</f>
        <v>#ERROR!</v>
      </c>
      <c r="I35" s="386"/>
    </row>
    <row r="36" ht="15.0" customHeight="1">
      <c r="A36" s="282"/>
      <c r="B36" s="235" t="str">
        <f>IFERROR(INDEX('Fiche Lot'!C:C,MATCH(A36,'Fiche Lot'!A:A,0)),"")</f>
        <v>#ERROR!</v>
      </c>
      <c r="C36" s="235" t="str">
        <f>IFERROR(INDEX('Fiche Lot'!E:E,MATCH(A36,'Fiche Lot'!A:A,0)),"")</f>
        <v>#ERROR!</v>
      </c>
      <c r="D36" s="235" t="str">
        <f>IFERROR(INDEX('Fiche Lot'!H:H,MATCH(A36,'Fiche Lot'!A:A,0)),"")</f>
        <v>#ERROR!</v>
      </c>
      <c r="E36" s="387" t="str">
        <f>IFERROR(INDEX('Fiche Lot'!L:L,MATCH(A36,'Fiche Lot'!A:A,0)),"")</f>
        <v>#ERROR!</v>
      </c>
      <c r="F36" s="388" t="str">
        <f>IF(E36="","",E36-TODAY())</f>
        <v>#ERROR!</v>
      </c>
      <c r="G36" s="389" t="str">
        <f>IF(F36="","",IF(F36&lt;0,"Expire",IF(F36&lt;INDEX(Config!B:B,MATCH("Seuil alerte DDM (jours)",Config!A:A,0)),"Proche","OK")))</f>
        <v>#ERROR!</v>
      </c>
      <c r="H36" s="389" t="str">
        <f>IF(G36="","",IF(G36="Expire","Detruire ou reanalyse urgent",IF(G36="Proche","Priorite vente / marche prochain","RAS")))</f>
        <v>#ERROR!</v>
      </c>
      <c r="I36" s="390"/>
    </row>
    <row r="37" ht="15.0" customHeight="1">
      <c r="A37" s="282"/>
      <c r="B37" s="227" t="str">
        <f>IFERROR(INDEX('Fiche Lot'!C:C,MATCH(A37,'Fiche Lot'!A:A,0)),"")</f>
        <v>#ERROR!</v>
      </c>
      <c r="C37" s="227" t="str">
        <f>IFERROR(INDEX('Fiche Lot'!E:E,MATCH(A37,'Fiche Lot'!A:A,0)),"")</f>
        <v>#ERROR!</v>
      </c>
      <c r="D37" s="227" t="str">
        <f>IFERROR(INDEX('Fiche Lot'!H:H,MATCH(A37,'Fiche Lot'!A:A,0)),"")</f>
        <v>#ERROR!</v>
      </c>
      <c r="E37" s="383" t="str">
        <f>IFERROR(INDEX('Fiche Lot'!L:L,MATCH(A37,'Fiche Lot'!A:A,0)),"")</f>
        <v>#ERROR!</v>
      </c>
      <c r="F37" s="384" t="str">
        <f>IF(E37="","",E37-TODAY())</f>
        <v>#ERROR!</v>
      </c>
      <c r="G37" s="385" t="str">
        <f>IF(F37="","",IF(F37&lt;0,"Expire",IF(F37&lt;INDEX(Config!B:B,MATCH("Seuil alerte DDM (jours)",Config!A:A,0)),"Proche","OK")))</f>
        <v>#ERROR!</v>
      </c>
      <c r="H37" s="385" t="str">
        <f>IF(G37="","",IF(G37="Expire","Detruire ou reanalyse urgent",IF(G37="Proche","Priorite vente / marche prochain","RAS")))</f>
        <v>#ERROR!</v>
      </c>
      <c r="I37" s="386"/>
    </row>
    <row r="38" ht="15.0" customHeight="1">
      <c r="A38" s="282"/>
      <c r="B38" s="235" t="str">
        <f>IFERROR(INDEX('Fiche Lot'!C:C,MATCH(A38,'Fiche Lot'!A:A,0)),"")</f>
        <v>#ERROR!</v>
      </c>
      <c r="C38" s="235" t="str">
        <f>IFERROR(INDEX('Fiche Lot'!E:E,MATCH(A38,'Fiche Lot'!A:A,0)),"")</f>
        <v>#ERROR!</v>
      </c>
      <c r="D38" s="235" t="str">
        <f>IFERROR(INDEX('Fiche Lot'!H:H,MATCH(A38,'Fiche Lot'!A:A,0)),"")</f>
        <v>#ERROR!</v>
      </c>
      <c r="E38" s="387" t="str">
        <f>IFERROR(INDEX('Fiche Lot'!L:L,MATCH(A38,'Fiche Lot'!A:A,0)),"")</f>
        <v>#ERROR!</v>
      </c>
      <c r="F38" s="388" t="str">
        <f>IF(E38="","",E38-TODAY())</f>
        <v>#ERROR!</v>
      </c>
      <c r="G38" s="389" t="str">
        <f>IF(F38="","",IF(F38&lt;0,"Expire",IF(F38&lt;INDEX(Config!B:B,MATCH("Seuil alerte DDM (jours)",Config!A:A,0)),"Proche","OK")))</f>
        <v>#ERROR!</v>
      </c>
      <c r="H38" s="389" t="str">
        <f>IF(G38="","",IF(G38="Expire","Detruire ou reanalyse urgent",IF(G38="Proche","Priorite vente / marche prochain","RAS")))</f>
        <v>#ERROR!</v>
      </c>
      <c r="I38" s="390"/>
    </row>
    <row r="39" ht="15.0" customHeight="1">
      <c r="A39" s="282"/>
      <c r="B39" s="227" t="str">
        <f>IFERROR(INDEX('Fiche Lot'!C:C,MATCH(A39,'Fiche Lot'!A:A,0)),"")</f>
        <v>#ERROR!</v>
      </c>
      <c r="C39" s="227" t="str">
        <f>IFERROR(INDEX('Fiche Lot'!E:E,MATCH(A39,'Fiche Lot'!A:A,0)),"")</f>
        <v>#ERROR!</v>
      </c>
      <c r="D39" s="227" t="str">
        <f>IFERROR(INDEX('Fiche Lot'!H:H,MATCH(A39,'Fiche Lot'!A:A,0)),"")</f>
        <v>#ERROR!</v>
      </c>
      <c r="E39" s="383" t="str">
        <f>IFERROR(INDEX('Fiche Lot'!L:L,MATCH(A39,'Fiche Lot'!A:A,0)),"")</f>
        <v>#ERROR!</v>
      </c>
      <c r="F39" s="384" t="str">
        <f>IF(E39="","",E39-TODAY())</f>
        <v>#ERROR!</v>
      </c>
      <c r="G39" s="385" t="str">
        <f>IF(F39="","",IF(F39&lt;0,"Expire",IF(F39&lt;INDEX(Config!B:B,MATCH("Seuil alerte DDM (jours)",Config!A:A,0)),"Proche","OK")))</f>
        <v>#ERROR!</v>
      </c>
      <c r="H39" s="385" t="str">
        <f>IF(G39="","",IF(G39="Expire","Detruire ou reanalyse urgent",IF(G39="Proche","Priorite vente / marche prochain","RAS")))</f>
        <v>#ERROR!</v>
      </c>
      <c r="I39" s="386"/>
    </row>
    <row r="40" ht="15.0" customHeight="1">
      <c r="A40" s="282"/>
      <c r="B40" s="235" t="str">
        <f>IFERROR(INDEX('Fiche Lot'!C:C,MATCH(A40,'Fiche Lot'!A:A,0)),"")</f>
        <v>#ERROR!</v>
      </c>
      <c r="C40" s="235" t="str">
        <f>IFERROR(INDEX('Fiche Lot'!E:E,MATCH(A40,'Fiche Lot'!A:A,0)),"")</f>
        <v>#ERROR!</v>
      </c>
      <c r="D40" s="235" t="str">
        <f>IFERROR(INDEX('Fiche Lot'!H:H,MATCH(A40,'Fiche Lot'!A:A,0)),"")</f>
        <v>#ERROR!</v>
      </c>
      <c r="E40" s="387" t="str">
        <f>IFERROR(INDEX('Fiche Lot'!L:L,MATCH(A40,'Fiche Lot'!A:A,0)),"")</f>
        <v>#ERROR!</v>
      </c>
      <c r="F40" s="388" t="str">
        <f>IF(E40="","",E40-TODAY())</f>
        <v>#ERROR!</v>
      </c>
      <c r="G40" s="389" t="str">
        <f>IF(F40="","",IF(F40&lt;0,"Expire",IF(F40&lt;INDEX(Config!B:B,MATCH("Seuil alerte DDM (jours)",Config!A:A,0)),"Proche","OK")))</f>
        <v>#ERROR!</v>
      </c>
      <c r="H40" s="389" t="str">
        <f>IF(G40="","",IF(G40="Expire","Detruire ou reanalyse urgent",IF(G40="Proche","Priorite vente / marche prochain","RAS")))</f>
        <v>#ERROR!</v>
      </c>
      <c r="I40" s="390"/>
    </row>
    <row r="41" ht="15.0" customHeight="1">
      <c r="A41" s="282"/>
      <c r="B41" s="227" t="str">
        <f>IFERROR(INDEX('Fiche Lot'!C:C,MATCH(A41,'Fiche Lot'!A:A,0)),"")</f>
        <v>#ERROR!</v>
      </c>
      <c r="C41" s="227" t="str">
        <f>IFERROR(INDEX('Fiche Lot'!E:E,MATCH(A41,'Fiche Lot'!A:A,0)),"")</f>
        <v>#ERROR!</v>
      </c>
      <c r="D41" s="227" t="str">
        <f>IFERROR(INDEX('Fiche Lot'!H:H,MATCH(A41,'Fiche Lot'!A:A,0)),"")</f>
        <v>#ERROR!</v>
      </c>
      <c r="E41" s="383" t="str">
        <f>IFERROR(INDEX('Fiche Lot'!L:L,MATCH(A41,'Fiche Lot'!A:A,0)),"")</f>
        <v>#ERROR!</v>
      </c>
      <c r="F41" s="384" t="str">
        <f>IF(E41="","",E41-TODAY())</f>
        <v>#ERROR!</v>
      </c>
      <c r="G41" s="385" t="str">
        <f>IF(F41="","",IF(F41&lt;0,"Expire",IF(F41&lt;INDEX(Config!B:B,MATCH("Seuil alerte DDM (jours)",Config!A:A,0)),"Proche","OK")))</f>
        <v>#ERROR!</v>
      </c>
      <c r="H41" s="385" t="str">
        <f>IF(G41="","",IF(G41="Expire","Detruire ou reanalyse urgent",IF(G41="Proche","Priorite vente / marche prochain","RAS")))</f>
        <v>#ERROR!</v>
      </c>
      <c r="I41" s="386"/>
    </row>
    <row r="42" ht="15.0" customHeight="1">
      <c r="A42" s="282"/>
      <c r="B42" s="235" t="str">
        <f>IFERROR(INDEX('Fiche Lot'!C:C,MATCH(A42,'Fiche Lot'!A:A,0)),"")</f>
        <v>#ERROR!</v>
      </c>
      <c r="C42" s="235" t="str">
        <f>IFERROR(INDEX('Fiche Lot'!E:E,MATCH(A42,'Fiche Lot'!A:A,0)),"")</f>
        <v>#ERROR!</v>
      </c>
      <c r="D42" s="235" t="str">
        <f>IFERROR(INDEX('Fiche Lot'!H:H,MATCH(A42,'Fiche Lot'!A:A,0)),"")</f>
        <v>#ERROR!</v>
      </c>
      <c r="E42" s="387" t="str">
        <f>IFERROR(INDEX('Fiche Lot'!L:L,MATCH(A42,'Fiche Lot'!A:A,0)),"")</f>
        <v>#ERROR!</v>
      </c>
      <c r="F42" s="388" t="str">
        <f>IF(E42="","",E42-TODAY())</f>
        <v>#ERROR!</v>
      </c>
      <c r="G42" s="389" t="str">
        <f>IF(F42="","",IF(F42&lt;0,"Expire",IF(F42&lt;INDEX(Config!B:B,MATCH("Seuil alerte DDM (jours)",Config!A:A,0)),"Proche","OK")))</f>
        <v>#ERROR!</v>
      </c>
      <c r="H42" s="389" t="str">
        <f>IF(G42="","",IF(G42="Expire","Detruire ou reanalyse urgent",IF(G42="Proche","Priorite vente / marche prochain","RAS")))</f>
        <v>#ERROR!</v>
      </c>
      <c r="I42" s="390"/>
    </row>
    <row r="43" ht="15.0" customHeight="1">
      <c r="A43" s="282"/>
      <c r="B43" s="227" t="str">
        <f>IFERROR(INDEX('Fiche Lot'!C:C,MATCH(A43,'Fiche Lot'!A:A,0)),"")</f>
        <v>#ERROR!</v>
      </c>
      <c r="C43" s="227" t="str">
        <f>IFERROR(INDEX('Fiche Lot'!E:E,MATCH(A43,'Fiche Lot'!A:A,0)),"")</f>
        <v>#ERROR!</v>
      </c>
      <c r="D43" s="227" t="str">
        <f>IFERROR(INDEX('Fiche Lot'!H:H,MATCH(A43,'Fiche Lot'!A:A,0)),"")</f>
        <v>#ERROR!</v>
      </c>
      <c r="E43" s="383" t="str">
        <f>IFERROR(INDEX('Fiche Lot'!L:L,MATCH(A43,'Fiche Lot'!A:A,0)),"")</f>
        <v>#ERROR!</v>
      </c>
      <c r="F43" s="384" t="str">
        <f>IF(E43="","",E43-TODAY())</f>
        <v>#ERROR!</v>
      </c>
      <c r="G43" s="385" t="str">
        <f>IF(F43="","",IF(F43&lt;0,"Expire",IF(F43&lt;INDEX(Config!B:B,MATCH("Seuil alerte DDM (jours)",Config!A:A,0)),"Proche","OK")))</f>
        <v>#ERROR!</v>
      </c>
      <c r="H43" s="385" t="str">
        <f>IF(G43="","",IF(G43="Expire","Detruire ou reanalyse urgent",IF(G43="Proche","Priorite vente / marche prochain","RAS")))</f>
        <v>#ERROR!</v>
      </c>
      <c r="I43" s="386"/>
    </row>
    <row r="44" ht="15.0" customHeight="1">
      <c r="A44" s="282"/>
      <c r="B44" s="235" t="str">
        <f>IFERROR(INDEX('Fiche Lot'!C:C,MATCH(A44,'Fiche Lot'!A:A,0)),"")</f>
        <v>#ERROR!</v>
      </c>
      <c r="C44" s="235" t="str">
        <f>IFERROR(INDEX('Fiche Lot'!E:E,MATCH(A44,'Fiche Lot'!A:A,0)),"")</f>
        <v>#ERROR!</v>
      </c>
      <c r="D44" s="235" t="str">
        <f>IFERROR(INDEX('Fiche Lot'!H:H,MATCH(A44,'Fiche Lot'!A:A,0)),"")</f>
        <v>#ERROR!</v>
      </c>
      <c r="E44" s="387" t="str">
        <f>IFERROR(INDEX('Fiche Lot'!L:L,MATCH(A44,'Fiche Lot'!A:A,0)),"")</f>
        <v>#ERROR!</v>
      </c>
      <c r="F44" s="388" t="str">
        <f>IF(E44="","",E44-TODAY())</f>
        <v>#ERROR!</v>
      </c>
      <c r="G44" s="389" t="str">
        <f>IF(F44="","",IF(F44&lt;0,"Expire",IF(F44&lt;INDEX(Config!B:B,MATCH("Seuil alerte DDM (jours)",Config!A:A,0)),"Proche","OK")))</f>
        <v>#ERROR!</v>
      </c>
      <c r="H44" s="389" t="str">
        <f>IF(G44="","",IF(G44="Expire","Detruire ou reanalyse urgent",IF(G44="Proche","Priorite vente / marche prochain","RAS")))</f>
        <v>#ERROR!</v>
      </c>
      <c r="I44" s="390"/>
    </row>
    <row r="45" ht="15.0" customHeight="1">
      <c r="A45" s="282"/>
      <c r="B45" s="227" t="str">
        <f>IFERROR(INDEX('Fiche Lot'!C:C,MATCH(A45,'Fiche Lot'!A:A,0)),"")</f>
        <v>#ERROR!</v>
      </c>
      <c r="C45" s="227" t="str">
        <f>IFERROR(INDEX('Fiche Lot'!E:E,MATCH(A45,'Fiche Lot'!A:A,0)),"")</f>
        <v>#ERROR!</v>
      </c>
      <c r="D45" s="227" t="str">
        <f>IFERROR(INDEX('Fiche Lot'!H:H,MATCH(A45,'Fiche Lot'!A:A,0)),"")</f>
        <v>#ERROR!</v>
      </c>
      <c r="E45" s="383" t="str">
        <f>IFERROR(INDEX('Fiche Lot'!L:L,MATCH(A45,'Fiche Lot'!A:A,0)),"")</f>
        <v>#ERROR!</v>
      </c>
      <c r="F45" s="384" t="str">
        <f>IF(E45="","",E45-TODAY())</f>
        <v>#ERROR!</v>
      </c>
      <c r="G45" s="385" t="str">
        <f>IF(F45="","",IF(F45&lt;0,"Expire",IF(F45&lt;INDEX(Config!B:B,MATCH("Seuil alerte DDM (jours)",Config!A:A,0)),"Proche","OK")))</f>
        <v>#ERROR!</v>
      </c>
      <c r="H45" s="385" t="str">
        <f>IF(G45="","",IF(G45="Expire","Detruire ou reanalyse urgent",IF(G45="Proche","Priorite vente / marche prochain","RAS")))</f>
        <v>#ERROR!</v>
      </c>
      <c r="I45" s="386"/>
    </row>
    <row r="46" ht="15.0" customHeight="1">
      <c r="A46" s="282"/>
      <c r="B46" s="235" t="str">
        <f>IFERROR(INDEX('Fiche Lot'!C:C,MATCH(A46,'Fiche Lot'!A:A,0)),"")</f>
        <v>#ERROR!</v>
      </c>
      <c r="C46" s="235" t="str">
        <f>IFERROR(INDEX('Fiche Lot'!E:E,MATCH(A46,'Fiche Lot'!A:A,0)),"")</f>
        <v>#ERROR!</v>
      </c>
      <c r="D46" s="235" t="str">
        <f>IFERROR(INDEX('Fiche Lot'!H:H,MATCH(A46,'Fiche Lot'!A:A,0)),"")</f>
        <v>#ERROR!</v>
      </c>
      <c r="E46" s="387" t="str">
        <f>IFERROR(INDEX('Fiche Lot'!L:L,MATCH(A46,'Fiche Lot'!A:A,0)),"")</f>
        <v>#ERROR!</v>
      </c>
      <c r="F46" s="388" t="str">
        <f>IF(E46="","",E46-TODAY())</f>
        <v>#ERROR!</v>
      </c>
      <c r="G46" s="389" t="str">
        <f>IF(F46="","",IF(F46&lt;0,"Expire",IF(F46&lt;INDEX(Config!B:B,MATCH("Seuil alerte DDM (jours)",Config!A:A,0)),"Proche","OK")))</f>
        <v>#ERROR!</v>
      </c>
      <c r="H46" s="389" t="str">
        <f>IF(G46="","",IF(G46="Expire","Detruire ou reanalyse urgent",IF(G46="Proche","Priorite vente / marche prochain","RAS")))</f>
        <v>#ERROR!</v>
      </c>
      <c r="I46" s="390"/>
    </row>
    <row r="47" ht="15.0" customHeight="1">
      <c r="A47" s="282"/>
      <c r="B47" s="227" t="str">
        <f>IFERROR(INDEX('Fiche Lot'!C:C,MATCH(A47,'Fiche Lot'!A:A,0)),"")</f>
        <v>#ERROR!</v>
      </c>
      <c r="C47" s="227" t="str">
        <f>IFERROR(INDEX('Fiche Lot'!E:E,MATCH(A47,'Fiche Lot'!A:A,0)),"")</f>
        <v>#ERROR!</v>
      </c>
      <c r="D47" s="227" t="str">
        <f>IFERROR(INDEX('Fiche Lot'!H:H,MATCH(A47,'Fiche Lot'!A:A,0)),"")</f>
        <v>#ERROR!</v>
      </c>
      <c r="E47" s="383" t="str">
        <f>IFERROR(INDEX('Fiche Lot'!L:L,MATCH(A47,'Fiche Lot'!A:A,0)),"")</f>
        <v>#ERROR!</v>
      </c>
      <c r="F47" s="384" t="str">
        <f>IF(E47="","",E47-TODAY())</f>
        <v>#ERROR!</v>
      </c>
      <c r="G47" s="385" t="str">
        <f>IF(F47="","",IF(F47&lt;0,"Expire",IF(F47&lt;INDEX(Config!B:B,MATCH("Seuil alerte DDM (jours)",Config!A:A,0)),"Proche","OK")))</f>
        <v>#ERROR!</v>
      </c>
      <c r="H47" s="385" t="str">
        <f>IF(G47="","",IF(G47="Expire","Detruire ou reanalyse urgent",IF(G47="Proche","Priorite vente / marche prochain","RAS")))</f>
        <v>#ERROR!</v>
      </c>
      <c r="I47" s="386"/>
    </row>
    <row r="48" ht="15.0" customHeight="1">
      <c r="A48" s="282"/>
      <c r="B48" s="235" t="str">
        <f>IFERROR(INDEX('Fiche Lot'!C:C,MATCH(A48,'Fiche Lot'!A:A,0)),"")</f>
        <v>#ERROR!</v>
      </c>
      <c r="C48" s="235" t="str">
        <f>IFERROR(INDEX('Fiche Lot'!E:E,MATCH(A48,'Fiche Lot'!A:A,0)),"")</f>
        <v>#ERROR!</v>
      </c>
      <c r="D48" s="235" t="str">
        <f>IFERROR(INDEX('Fiche Lot'!H:H,MATCH(A48,'Fiche Lot'!A:A,0)),"")</f>
        <v>#ERROR!</v>
      </c>
      <c r="E48" s="387" t="str">
        <f>IFERROR(INDEX('Fiche Lot'!L:L,MATCH(A48,'Fiche Lot'!A:A,0)),"")</f>
        <v>#ERROR!</v>
      </c>
      <c r="F48" s="388" t="str">
        <f>IF(E48="","",E48-TODAY())</f>
        <v>#ERROR!</v>
      </c>
      <c r="G48" s="389" t="str">
        <f>IF(F48="","",IF(F48&lt;0,"Expire",IF(F48&lt;INDEX(Config!B:B,MATCH("Seuil alerte DDM (jours)",Config!A:A,0)),"Proche","OK")))</f>
        <v>#ERROR!</v>
      </c>
      <c r="H48" s="389" t="str">
        <f>IF(G48="","",IF(G48="Expire","Detruire ou reanalyse urgent",IF(G48="Proche","Priorite vente / marche prochain","RAS")))</f>
        <v>#ERROR!</v>
      </c>
      <c r="I48" s="390"/>
    </row>
    <row r="49" ht="15.0" customHeight="1">
      <c r="A49" s="282"/>
      <c r="B49" s="227" t="str">
        <f>IFERROR(INDEX('Fiche Lot'!C:C,MATCH(A49,'Fiche Lot'!A:A,0)),"")</f>
        <v>#ERROR!</v>
      </c>
      <c r="C49" s="227" t="str">
        <f>IFERROR(INDEX('Fiche Lot'!E:E,MATCH(A49,'Fiche Lot'!A:A,0)),"")</f>
        <v>#ERROR!</v>
      </c>
      <c r="D49" s="227" t="str">
        <f>IFERROR(INDEX('Fiche Lot'!H:H,MATCH(A49,'Fiche Lot'!A:A,0)),"")</f>
        <v>#ERROR!</v>
      </c>
      <c r="E49" s="383" t="str">
        <f>IFERROR(INDEX('Fiche Lot'!L:L,MATCH(A49,'Fiche Lot'!A:A,0)),"")</f>
        <v>#ERROR!</v>
      </c>
      <c r="F49" s="384" t="str">
        <f>IF(E49="","",E49-TODAY())</f>
        <v>#ERROR!</v>
      </c>
      <c r="G49" s="385" t="str">
        <f>IF(F49="","",IF(F49&lt;0,"Expire",IF(F49&lt;INDEX(Config!B:B,MATCH("Seuil alerte DDM (jours)",Config!A:A,0)),"Proche","OK")))</f>
        <v>#ERROR!</v>
      </c>
      <c r="H49" s="385" t="str">
        <f>IF(G49="","",IF(G49="Expire","Detruire ou reanalyse urgent",IF(G49="Proche","Priorite vente / marche prochain","RAS")))</f>
        <v>#ERROR!</v>
      </c>
      <c r="I49" s="386"/>
    </row>
    <row r="50" ht="15.0" customHeight="1">
      <c r="A50" s="282"/>
      <c r="B50" s="235" t="str">
        <f>IFERROR(INDEX('Fiche Lot'!C:C,MATCH(A50,'Fiche Lot'!A:A,0)),"")</f>
        <v>#ERROR!</v>
      </c>
      <c r="C50" s="235" t="str">
        <f>IFERROR(INDEX('Fiche Lot'!E:E,MATCH(A50,'Fiche Lot'!A:A,0)),"")</f>
        <v>#ERROR!</v>
      </c>
      <c r="D50" s="235" t="str">
        <f>IFERROR(INDEX('Fiche Lot'!H:H,MATCH(A50,'Fiche Lot'!A:A,0)),"")</f>
        <v>#ERROR!</v>
      </c>
      <c r="E50" s="387" t="str">
        <f>IFERROR(INDEX('Fiche Lot'!L:L,MATCH(A50,'Fiche Lot'!A:A,0)),"")</f>
        <v>#ERROR!</v>
      </c>
      <c r="F50" s="388" t="str">
        <f>IF(E50="","",E50-TODAY())</f>
        <v>#ERROR!</v>
      </c>
      <c r="G50" s="389" t="str">
        <f>IF(F50="","",IF(F50&lt;0,"Expire",IF(F50&lt;INDEX(Config!B:B,MATCH("Seuil alerte DDM (jours)",Config!A:A,0)),"Proche","OK")))</f>
        <v>#ERROR!</v>
      </c>
      <c r="H50" s="389" t="str">
        <f>IF(G50="","",IF(G50="Expire","Detruire ou reanalyse urgent",IF(G50="Proche","Priorite vente / marche prochain","RAS")))</f>
        <v>#ERROR!</v>
      </c>
      <c r="I50" s="390"/>
    </row>
    <row r="51" ht="15.0" customHeight="1">
      <c r="A51" s="282"/>
      <c r="B51" s="227" t="str">
        <f>IFERROR(INDEX('Fiche Lot'!C:C,MATCH(A51,'Fiche Lot'!A:A,0)),"")</f>
        <v>#ERROR!</v>
      </c>
      <c r="C51" s="227" t="str">
        <f>IFERROR(INDEX('Fiche Lot'!E:E,MATCH(A51,'Fiche Lot'!A:A,0)),"")</f>
        <v>#ERROR!</v>
      </c>
      <c r="D51" s="227" t="str">
        <f>IFERROR(INDEX('Fiche Lot'!H:H,MATCH(A51,'Fiche Lot'!A:A,0)),"")</f>
        <v>#ERROR!</v>
      </c>
      <c r="E51" s="383" t="str">
        <f>IFERROR(INDEX('Fiche Lot'!L:L,MATCH(A51,'Fiche Lot'!A:A,0)),"")</f>
        <v>#ERROR!</v>
      </c>
      <c r="F51" s="384" t="str">
        <f>IF(E51="","",E51-TODAY())</f>
        <v>#ERROR!</v>
      </c>
      <c r="G51" s="385" t="str">
        <f>IF(F51="","",IF(F51&lt;0,"Expire",IF(F51&lt;INDEX(Config!B:B,MATCH("Seuil alerte DDM (jours)",Config!A:A,0)),"Proche","OK")))</f>
        <v>#ERROR!</v>
      </c>
      <c r="H51" s="385" t="str">
        <f>IF(G51="","",IF(G51="Expire","Detruire ou reanalyse urgent",IF(G51="Proche","Priorite vente / marche prochain","RAS")))</f>
        <v>#ERROR!</v>
      </c>
      <c r="I51" s="386"/>
    </row>
    <row r="52" ht="15.0" customHeight="1">
      <c r="A52" s="282"/>
      <c r="B52" s="235" t="str">
        <f>IFERROR(INDEX('Fiche Lot'!C:C,MATCH(A52,'Fiche Lot'!A:A,0)),"")</f>
        <v>#ERROR!</v>
      </c>
      <c r="C52" s="235" t="str">
        <f>IFERROR(INDEX('Fiche Lot'!E:E,MATCH(A52,'Fiche Lot'!A:A,0)),"")</f>
        <v>#ERROR!</v>
      </c>
      <c r="D52" s="235" t="str">
        <f>IFERROR(INDEX('Fiche Lot'!H:H,MATCH(A52,'Fiche Lot'!A:A,0)),"")</f>
        <v>#ERROR!</v>
      </c>
      <c r="E52" s="387" t="str">
        <f>IFERROR(INDEX('Fiche Lot'!L:L,MATCH(A52,'Fiche Lot'!A:A,0)),"")</f>
        <v>#ERROR!</v>
      </c>
      <c r="F52" s="388" t="str">
        <f>IF(E52="","",E52-TODAY())</f>
        <v>#ERROR!</v>
      </c>
      <c r="G52" s="389" t="str">
        <f>IF(F52="","",IF(F52&lt;0,"Expire",IF(F52&lt;INDEX(Config!B:B,MATCH("Seuil alerte DDM (jours)",Config!A:A,0)),"Proche","OK")))</f>
        <v>#ERROR!</v>
      </c>
      <c r="H52" s="389" t="str">
        <f>IF(G52="","",IF(G52="Expire","Detruire ou reanalyse urgent",IF(G52="Proche","Priorite vente / marche prochain","RAS")))</f>
        <v>#ERROR!</v>
      </c>
      <c r="I52" s="390"/>
    </row>
    <row r="53" ht="15.0" customHeight="1">
      <c r="A53" s="282"/>
      <c r="B53" s="227" t="str">
        <f>IFERROR(INDEX('Fiche Lot'!C:C,MATCH(A53,'Fiche Lot'!A:A,0)),"")</f>
        <v>#ERROR!</v>
      </c>
      <c r="C53" s="227" t="str">
        <f>IFERROR(INDEX('Fiche Lot'!E:E,MATCH(A53,'Fiche Lot'!A:A,0)),"")</f>
        <v>#ERROR!</v>
      </c>
      <c r="D53" s="227" t="str">
        <f>IFERROR(INDEX('Fiche Lot'!H:H,MATCH(A53,'Fiche Lot'!A:A,0)),"")</f>
        <v>#ERROR!</v>
      </c>
      <c r="E53" s="383" t="str">
        <f>IFERROR(INDEX('Fiche Lot'!L:L,MATCH(A53,'Fiche Lot'!A:A,0)),"")</f>
        <v>#ERROR!</v>
      </c>
      <c r="F53" s="384" t="str">
        <f>IF(E53="","",E53-TODAY())</f>
        <v>#ERROR!</v>
      </c>
      <c r="G53" s="385" t="str">
        <f>IF(F53="","",IF(F53&lt;0,"Expire",IF(F53&lt;INDEX(Config!B:B,MATCH("Seuil alerte DDM (jours)",Config!A:A,0)),"Proche","OK")))</f>
        <v>#ERROR!</v>
      </c>
      <c r="H53" s="385" t="str">
        <f>IF(G53="","",IF(G53="Expire","Detruire ou reanalyse urgent",IF(G53="Proche","Priorite vente / marche prochain","RAS")))</f>
        <v>#ERROR!</v>
      </c>
      <c r="I53" s="386"/>
    </row>
    <row r="54" ht="15.0" customHeight="1">
      <c r="A54" s="282"/>
      <c r="B54" s="235" t="str">
        <f>IFERROR(INDEX('Fiche Lot'!C:C,MATCH(A54,'Fiche Lot'!A:A,0)),"")</f>
        <v>#ERROR!</v>
      </c>
      <c r="C54" s="235" t="str">
        <f>IFERROR(INDEX('Fiche Lot'!E:E,MATCH(A54,'Fiche Lot'!A:A,0)),"")</f>
        <v>#ERROR!</v>
      </c>
      <c r="D54" s="235" t="str">
        <f>IFERROR(INDEX('Fiche Lot'!H:H,MATCH(A54,'Fiche Lot'!A:A,0)),"")</f>
        <v>#ERROR!</v>
      </c>
      <c r="E54" s="387" t="str">
        <f>IFERROR(INDEX('Fiche Lot'!L:L,MATCH(A54,'Fiche Lot'!A:A,0)),"")</f>
        <v>#ERROR!</v>
      </c>
      <c r="F54" s="388" t="str">
        <f>IF(E54="","",E54-TODAY())</f>
        <v>#ERROR!</v>
      </c>
      <c r="G54" s="389" t="str">
        <f>IF(F54="","",IF(F54&lt;0,"Expire",IF(F54&lt;INDEX(Config!B:B,MATCH("Seuil alerte DDM (jours)",Config!A:A,0)),"Proche","OK")))</f>
        <v>#ERROR!</v>
      </c>
      <c r="H54" s="389" t="str">
        <f>IF(G54="","",IF(G54="Expire","Detruire ou reanalyse urgent",IF(G54="Proche","Priorite vente / marche prochain","RAS")))</f>
        <v>#ERROR!</v>
      </c>
      <c r="I54" s="390"/>
    </row>
    <row r="55" ht="15.0" customHeight="1">
      <c r="A55" s="282"/>
      <c r="B55" s="227" t="str">
        <f>IFERROR(INDEX('Fiche Lot'!C:C,MATCH(A55,'Fiche Lot'!A:A,0)),"")</f>
        <v>#ERROR!</v>
      </c>
      <c r="C55" s="227" t="str">
        <f>IFERROR(INDEX('Fiche Lot'!E:E,MATCH(A55,'Fiche Lot'!A:A,0)),"")</f>
        <v>#ERROR!</v>
      </c>
      <c r="D55" s="227" t="str">
        <f>IFERROR(INDEX('Fiche Lot'!H:H,MATCH(A55,'Fiche Lot'!A:A,0)),"")</f>
        <v>#ERROR!</v>
      </c>
      <c r="E55" s="383" t="str">
        <f>IFERROR(INDEX('Fiche Lot'!L:L,MATCH(A55,'Fiche Lot'!A:A,0)),"")</f>
        <v>#ERROR!</v>
      </c>
      <c r="F55" s="384" t="str">
        <f>IF(E55="","",E55-TODAY())</f>
        <v>#ERROR!</v>
      </c>
      <c r="G55" s="385" t="str">
        <f>IF(F55="","",IF(F55&lt;0,"Expire",IF(F55&lt;INDEX(Config!B:B,MATCH("Seuil alerte DDM (jours)",Config!A:A,0)),"Proche","OK")))</f>
        <v>#ERROR!</v>
      </c>
      <c r="H55" s="385" t="str">
        <f>IF(G55="","",IF(G55="Expire","Detruire ou reanalyse urgent",IF(G55="Proche","Priorite vente / marche prochain","RAS")))</f>
        <v>#ERROR!</v>
      </c>
      <c r="I55" s="386"/>
    </row>
    <row r="56" ht="15.0" customHeight="1">
      <c r="A56" s="282"/>
      <c r="B56" s="235" t="str">
        <f>IFERROR(INDEX('Fiche Lot'!C:C,MATCH(A56,'Fiche Lot'!A:A,0)),"")</f>
        <v>#ERROR!</v>
      </c>
      <c r="C56" s="235" t="str">
        <f>IFERROR(INDEX('Fiche Lot'!E:E,MATCH(A56,'Fiche Lot'!A:A,0)),"")</f>
        <v>#ERROR!</v>
      </c>
      <c r="D56" s="235" t="str">
        <f>IFERROR(INDEX('Fiche Lot'!H:H,MATCH(A56,'Fiche Lot'!A:A,0)),"")</f>
        <v>#ERROR!</v>
      </c>
      <c r="E56" s="387" t="str">
        <f>IFERROR(INDEX('Fiche Lot'!L:L,MATCH(A56,'Fiche Lot'!A:A,0)),"")</f>
        <v>#ERROR!</v>
      </c>
      <c r="F56" s="388" t="str">
        <f>IF(E56="","",E56-TODAY())</f>
        <v>#ERROR!</v>
      </c>
      <c r="G56" s="389" t="str">
        <f>IF(F56="","",IF(F56&lt;0,"Expire",IF(F56&lt;INDEX(Config!B:B,MATCH("Seuil alerte DDM (jours)",Config!A:A,0)),"Proche","OK")))</f>
        <v>#ERROR!</v>
      </c>
      <c r="H56" s="389" t="str">
        <f>IF(G56="","",IF(G56="Expire","Detruire ou reanalyse urgent",IF(G56="Proche","Priorite vente / marche prochain","RAS")))</f>
        <v>#ERROR!</v>
      </c>
      <c r="I56" s="390"/>
    </row>
    <row r="57" ht="15.0" customHeight="1">
      <c r="A57" s="282"/>
      <c r="B57" s="227" t="str">
        <f>IFERROR(INDEX('Fiche Lot'!C:C,MATCH(A57,'Fiche Lot'!A:A,0)),"")</f>
        <v>#ERROR!</v>
      </c>
      <c r="C57" s="227" t="str">
        <f>IFERROR(INDEX('Fiche Lot'!E:E,MATCH(A57,'Fiche Lot'!A:A,0)),"")</f>
        <v>#ERROR!</v>
      </c>
      <c r="D57" s="227" t="str">
        <f>IFERROR(INDEX('Fiche Lot'!H:H,MATCH(A57,'Fiche Lot'!A:A,0)),"")</f>
        <v>#ERROR!</v>
      </c>
      <c r="E57" s="383" t="str">
        <f>IFERROR(INDEX('Fiche Lot'!L:L,MATCH(A57,'Fiche Lot'!A:A,0)),"")</f>
        <v>#ERROR!</v>
      </c>
      <c r="F57" s="384" t="str">
        <f>IF(E57="","",E57-TODAY())</f>
        <v>#ERROR!</v>
      </c>
      <c r="G57" s="385" t="str">
        <f>IF(F57="","",IF(F57&lt;0,"Expire",IF(F57&lt;INDEX(Config!B:B,MATCH("Seuil alerte DDM (jours)",Config!A:A,0)),"Proche","OK")))</f>
        <v>#ERROR!</v>
      </c>
      <c r="H57" s="385" t="str">
        <f>IF(G57="","",IF(G57="Expire","Detruire ou reanalyse urgent",IF(G57="Proche","Priorite vente / marche prochain","RAS")))</f>
        <v>#ERROR!</v>
      </c>
      <c r="I57" s="386"/>
    </row>
    <row r="58" ht="15.0" customHeight="1">
      <c r="A58" s="282"/>
      <c r="B58" s="235" t="str">
        <f>IFERROR(INDEX('Fiche Lot'!C:C,MATCH(A58,'Fiche Lot'!A:A,0)),"")</f>
        <v>#ERROR!</v>
      </c>
      <c r="C58" s="235" t="str">
        <f>IFERROR(INDEX('Fiche Lot'!E:E,MATCH(A58,'Fiche Lot'!A:A,0)),"")</f>
        <v>#ERROR!</v>
      </c>
      <c r="D58" s="235" t="str">
        <f>IFERROR(INDEX('Fiche Lot'!H:H,MATCH(A58,'Fiche Lot'!A:A,0)),"")</f>
        <v>#ERROR!</v>
      </c>
      <c r="E58" s="387" t="str">
        <f>IFERROR(INDEX('Fiche Lot'!L:L,MATCH(A58,'Fiche Lot'!A:A,0)),"")</f>
        <v>#ERROR!</v>
      </c>
      <c r="F58" s="388" t="str">
        <f>IF(E58="","",E58-TODAY())</f>
        <v>#ERROR!</v>
      </c>
      <c r="G58" s="389" t="str">
        <f>IF(F58="","",IF(F58&lt;0,"Expire",IF(F58&lt;INDEX(Config!B:B,MATCH("Seuil alerte DDM (jours)",Config!A:A,0)),"Proche","OK")))</f>
        <v>#ERROR!</v>
      </c>
      <c r="H58" s="389" t="str">
        <f>IF(G58="","",IF(G58="Expire","Detruire ou reanalyse urgent",IF(G58="Proche","Priorite vente / marche prochain","RAS")))</f>
        <v>#ERROR!</v>
      </c>
      <c r="I58" s="390"/>
    </row>
    <row r="59" ht="15.0" customHeight="1">
      <c r="A59" s="282"/>
      <c r="B59" s="227" t="str">
        <f>IFERROR(INDEX('Fiche Lot'!C:C,MATCH(A59,'Fiche Lot'!A:A,0)),"")</f>
        <v>#ERROR!</v>
      </c>
      <c r="C59" s="227" t="str">
        <f>IFERROR(INDEX('Fiche Lot'!E:E,MATCH(A59,'Fiche Lot'!A:A,0)),"")</f>
        <v>#ERROR!</v>
      </c>
      <c r="D59" s="227" t="str">
        <f>IFERROR(INDEX('Fiche Lot'!H:H,MATCH(A59,'Fiche Lot'!A:A,0)),"")</f>
        <v>#ERROR!</v>
      </c>
      <c r="E59" s="383" t="str">
        <f>IFERROR(INDEX('Fiche Lot'!L:L,MATCH(A59,'Fiche Lot'!A:A,0)),"")</f>
        <v>#ERROR!</v>
      </c>
      <c r="F59" s="384" t="str">
        <f>IF(E59="","",E59-TODAY())</f>
        <v>#ERROR!</v>
      </c>
      <c r="G59" s="385" t="str">
        <f>IF(F59="","",IF(F59&lt;0,"Expire",IF(F59&lt;INDEX(Config!B:B,MATCH("Seuil alerte DDM (jours)",Config!A:A,0)),"Proche","OK")))</f>
        <v>#ERROR!</v>
      </c>
      <c r="H59" s="385" t="str">
        <f>IF(G59="","",IF(G59="Expire","Detruire ou reanalyse urgent",IF(G59="Proche","Priorite vente / marche prochain","RAS")))</f>
        <v>#ERROR!</v>
      </c>
      <c r="I59" s="386"/>
    </row>
    <row r="60" ht="15.0" customHeight="1">
      <c r="A60" s="282"/>
      <c r="B60" s="235" t="str">
        <f>IFERROR(INDEX('Fiche Lot'!C:C,MATCH(A60,'Fiche Lot'!A:A,0)),"")</f>
        <v>#ERROR!</v>
      </c>
      <c r="C60" s="235" t="str">
        <f>IFERROR(INDEX('Fiche Lot'!E:E,MATCH(A60,'Fiche Lot'!A:A,0)),"")</f>
        <v>#ERROR!</v>
      </c>
      <c r="D60" s="235" t="str">
        <f>IFERROR(INDEX('Fiche Lot'!H:H,MATCH(A60,'Fiche Lot'!A:A,0)),"")</f>
        <v>#ERROR!</v>
      </c>
      <c r="E60" s="387" t="str">
        <f>IFERROR(INDEX('Fiche Lot'!L:L,MATCH(A60,'Fiche Lot'!A:A,0)),"")</f>
        <v>#ERROR!</v>
      </c>
      <c r="F60" s="388" t="str">
        <f>IF(E60="","",E60-TODAY())</f>
        <v>#ERROR!</v>
      </c>
      <c r="G60" s="389" t="str">
        <f>IF(F60="","",IF(F60&lt;0,"Expire",IF(F60&lt;INDEX(Config!B:B,MATCH("Seuil alerte DDM (jours)",Config!A:A,0)),"Proche","OK")))</f>
        <v>#ERROR!</v>
      </c>
      <c r="H60" s="389" t="str">
        <f>IF(G60="","",IF(G60="Expire","Detruire ou reanalyse urgent",IF(G60="Proche","Priorite vente / marche prochain","RAS")))</f>
        <v>#ERROR!</v>
      </c>
      <c r="I60" s="390"/>
    </row>
    <row r="61" ht="15.0" customHeight="1">
      <c r="A61" s="282"/>
      <c r="B61" s="227" t="str">
        <f>IFERROR(INDEX('Fiche Lot'!C:C,MATCH(A61,'Fiche Lot'!A:A,0)),"")</f>
        <v>#ERROR!</v>
      </c>
      <c r="C61" s="227" t="str">
        <f>IFERROR(INDEX('Fiche Lot'!E:E,MATCH(A61,'Fiche Lot'!A:A,0)),"")</f>
        <v>#ERROR!</v>
      </c>
      <c r="D61" s="227" t="str">
        <f>IFERROR(INDEX('Fiche Lot'!H:H,MATCH(A61,'Fiche Lot'!A:A,0)),"")</f>
        <v>#ERROR!</v>
      </c>
      <c r="E61" s="383" t="str">
        <f>IFERROR(INDEX('Fiche Lot'!L:L,MATCH(A61,'Fiche Lot'!A:A,0)),"")</f>
        <v>#ERROR!</v>
      </c>
      <c r="F61" s="384" t="str">
        <f>IF(E61="","",E61-TODAY())</f>
        <v>#ERROR!</v>
      </c>
      <c r="G61" s="385" t="str">
        <f>IF(F61="","",IF(F61&lt;0,"Expire",IF(F61&lt;INDEX(Config!B:B,MATCH("Seuil alerte DDM (jours)",Config!A:A,0)),"Proche","OK")))</f>
        <v>#ERROR!</v>
      </c>
      <c r="H61" s="385" t="str">
        <f>IF(G61="","",IF(G61="Expire","Detruire ou reanalyse urgent",IF(G61="Proche","Priorite vente / marche prochain","RAS")))</f>
        <v>#ERROR!</v>
      </c>
      <c r="I61" s="386"/>
    </row>
    <row r="62" ht="15.0" customHeight="1">
      <c r="A62" s="282"/>
      <c r="B62" s="235" t="str">
        <f>IFERROR(INDEX('Fiche Lot'!C:C,MATCH(A62,'Fiche Lot'!A:A,0)),"")</f>
        <v>#ERROR!</v>
      </c>
      <c r="C62" s="235" t="str">
        <f>IFERROR(INDEX('Fiche Lot'!E:E,MATCH(A62,'Fiche Lot'!A:A,0)),"")</f>
        <v>#ERROR!</v>
      </c>
      <c r="D62" s="235" t="str">
        <f>IFERROR(INDEX('Fiche Lot'!H:H,MATCH(A62,'Fiche Lot'!A:A,0)),"")</f>
        <v>#ERROR!</v>
      </c>
      <c r="E62" s="387" t="str">
        <f>IFERROR(INDEX('Fiche Lot'!L:L,MATCH(A62,'Fiche Lot'!A:A,0)),"")</f>
        <v>#ERROR!</v>
      </c>
      <c r="F62" s="388" t="str">
        <f>IF(E62="","",E62-TODAY())</f>
        <v>#ERROR!</v>
      </c>
      <c r="G62" s="389" t="str">
        <f>IF(F62="","",IF(F62&lt;0,"Expire",IF(F62&lt;INDEX(Config!B:B,MATCH("Seuil alerte DDM (jours)",Config!A:A,0)),"Proche","OK")))</f>
        <v>#ERROR!</v>
      </c>
      <c r="H62" s="389" t="str">
        <f>IF(G62="","",IF(G62="Expire","Detruire ou reanalyse urgent",IF(G62="Proche","Priorite vente / marche prochain","RAS")))</f>
        <v>#ERROR!</v>
      </c>
      <c r="I62" s="390"/>
    </row>
    <row r="63" ht="15.0" customHeight="1">
      <c r="A63" s="282"/>
      <c r="B63" s="227" t="str">
        <f>IFERROR(INDEX('Fiche Lot'!C:C,MATCH(A63,'Fiche Lot'!A:A,0)),"")</f>
        <v>#ERROR!</v>
      </c>
      <c r="C63" s="227" t="str">
        <f>IFERROR(INDEX('Fiche Lot'!E:E,MATCH(A63,'Fiche Lot'!A:A,0)),"")</f>
        <v>#ERROR!</v>
      </c>
      <c r="D63" s="227" t="str">
        <f>IFERROR(INDEX('Fiche Lot'!H:H,MATCH(A63,'Fiche Lot'!A:A,0)),"")</f>
        <v>#ERROR!</v>
      </c>
      <c r="E63" s="383" t="str">
        <f>IFERROR(INDEX('Fiche Lot'!L:L,MATCH(A63,'Fiche Lot'!A:A,0)),"")</f>
        <v>#ERROR!</v>
      </c>
      <c r="F63" s="384" t="str">
        <f>IF(E63="","",E63-TODAY())</f>
        <v>#ERROR!</v>
      </c>
      <c r="G63" s="385" t="str">
        <f>IF(F63="","",IF(F63&lt;0,"Expire",IF(F63&lt;INDEX(Config!B:B,MATCH("Seuil alerte DDM (jours)",Config!A:A,0)),"Proche","OK")))</f>
        <v>#ERROR!</v>
      </c>
      <c r="H63" s="385" t="str">
        <f>IF(G63="","",IF(G63="Expire","Detruire ou reanalyse urgent",IF(G63="Proche","Priorite vente / marche prochain","RAS")))</f>
        <v>#ERROR!</v>
      </c>
      <c r="I63" s="386"/>
    </row>
    <row r="64" ht="15.0" customHeight="1">
      <c r="A64" s="282"/>
      <c r="B64" s="235" t="str">
        <f>IFERROR(INDEX('Fiche Lot'!C:C,MATCH(A64,'Fiche Lot'!A:A,0)),"")</f>
        <v>#ERROR!</v>
      </c>
      <c r="C64" s="235" t="str">
        <f>IFERROR(INDEX('Fiche Lot'!E:E,MATCH(A64,'Fiche Lot'!A:A,0)),"")</f>
        <v>#ERROR!</v>
      </c>
      <c r="D64" s="235" t="str">
        <f>IFERROR(INDEX('Fiche Lot'!H:H,MATCH(A64,'Fiche Lot'!A:A,0)),"")</f>
        <v>#ERROR!</v>
      </c>
      <c r="E64" s="387" t="str">
        <f>IFERROR(INDEX('Fiche Lot'!L:L,MATCH(A64,'Fiche Lot'!A:A,0)),"")</f>
        <v>#ERROR!</v>
      </c>
      <c r="F64" s="388" t="str">
        <f>IF(E64="","",E64-TODAY())</f>
        <v>#ERROR!</v>
      </c>
      <c r="G64" s="389" t="str">
        <f>IF(F64="","",IF(F64&lt;0,"Expire",IF(F64&lt;INDEX(Config!B:B,MATCH("Seuil alerte DDM (jours)",Config!A:A,0)),"Proche","OK")))</f>
        <v>#ERROR!</v>
      </c>
      <c r="H64" s="389" t="str">
        <f>IF(G64="","",IF(G64="Expire","Detruire ou reanalyse urgent",IF(G64="Proche","Priorite vente / marche prochain","RAS")))</f>
        <v>#ERROR!</v>
      </c>
      <c r="I64" s="390"/>
    </row>
    <row r="65" ht="15.0" customHeight="1">
      <c r="A65" s="282"/>
      <c r="B65" s="227" t="str">
        <f>IFERROR(INDEX('Fiche Lot'!C:C,MATCH(A65,'Fiche Lot'!A:A,0)),"")</f>
        <v>#ERROR!</v>
      </c>
      <c r="C65" s="227" t="str">
        <f>IFERROR(INDEX('Fiche Lot'!E:E,MATCH(A65,'Fiche Lot'!A:A,0)),"")</f>
        <v>#ERROR!</v>
      </c>
      <c r="D65" s="227" t="str">
        <f>IFERROR(INDEX('Fiche Lot'!H:H,MATCH(A65,'Fiche Lot'!A:A,0)),"")</f>
        <v>#ERROR!</v>
      </c>
      <c r="E65" s="383" t="str">
        <f>IFERROR(INDEX('Fiche Lot'!L:L,MATCH(A65,'Fiche Lot'!A:A,0)),"")</f>
        <v>#ERROR!</v>
      </c>
      <c r="F65" s="384" t="str">
        <f>IF(E65="","",E65-TODAY())</f>
        <v>#ERROR!</v>
      </c>
      <c r="G65" s="385" t="str">
        <f>IF(F65="","",IF(F65&lt;0,"Expire",IF(F65&lt;INDEX(Config!B:B,MATCH("Seuil alerte DDM (jours)",Config!A:A,0)),"Proche","OK")))</f>
        <v>#ERROR!</v>
      </c>
      <c r="H65" s="385" t="str">
        <f>IF(G65="","",IF(G65="Expire","Detruire ou reanalyse urgent",IF(G65="Proche","Priorite vente / marche prochain","RAS")))</f>
        <v>#ERROR!</v>
      </c>
      <c r="I65" s="386"/>
    </row>
    <row r="66" ht="15.0" customHeight="1">
      <c r="A66" s="282"/>
      <c r="B66" s="235" t="str">
        <f>IFERROR(INDEX('Fiche Lot'!C:C,MATCH(A66,'Fiche Lot'!A:A,0)),"")</f>
        <v>#ERROR!</v>
      </c>
      <c r="C66" s="235" t="str">
        <f>IFERROR(INDEX('Fiche Lot'!E:E,MATCH(A66,'Fiche Lot'!A:A,0)),"")</f>
        <v>#ERROR!</v>
      </c>
      <c r="D66" s="235" t="str">
        <f>IFERROR(INDEX('Fiche Lot'!H:H,MATCH(A66,'Fiche Lot'!A:A,0)),"")</f>
        <v>#ERROR!</v>
      </c>
      <c r="E66" s="387" t="str">
        <f>IFERROR(INDEX('Fiche Lot'!L:L,MATCH(A66,'Fiche Lot'!A:A,0)),"")</f>
        <v>#ERROR!</v>
      </c>
      <c r="F66" s="388" t="str">
        <f>IF(E66="","",E66-TODAY())</f>
        <v>#ERROR!</v>
      </c>
      <c r="G66" s="389" t="str">
        <f>IF(F66="","",IF(F66&lt;0,"Expire",IF(F66&lt;INDEX(Config!B:B,MATCH("Seuil alerte DDM (jours)",Config!A:A,0)),"Proche","OK")))</f>
        <v>#ERROR!</v>
      </c>
      <c r="H66" s="389" t="str">
        <f>IF(G66="","",IF(G66="Expire","Detruire ou reanalyse urgent",IF(G66="Proche","Priorite vente / marche prochain","RAS")))</f>
        <v>#ERROR!</v>
      </c>
      <c r="I66" s="390"/>
    </row>
    <row r="67" ht="15.0" customHeight="1">
      <c r="A67" s="282"/>
      <c r="B67" s="227" t="str">
        <f>IFERROR(INDEX('Fiche Lot'!C:C,MATCH(A67,'Fiche Lot'!A:A,0)),"")</f>
        <v>#ERROR!</v>
      </c>
      <c r="C67" s="227" t="str">
        <f>IFERROR(INDEX('Fiche Lot'!E:E,MATCH(A67,'Fiche Lot'!A:A,0)),"")</f>
        <v>#ERROR!</v>
      </c>
      <c r="D67" s="227" t="str">
        <f>IFERROR(INDEX('Fiche Lot'!H:H,MATCH(A67,'Fiche Lot'!A:A,0)),"")</f>
        <v>#ERROR!</v>
      </c>
      <c r="E67" s="383" t="str">
        <f>IFERROR(INDEX('Fiche Lot'!L:L,MATCH(A67,'Fiche Lot'!A:A,0)),"")</f>
        <v>#ERROR!</v>
      </c>
      <c r="F67" s="384" t="str">
        <f>IF(E67="","",E67-TODAY())</f>
        <v>#ERROR!</v>
      </c>
      <c r="G67" s="385" t="str">
        <f>IF(F67="","",IF(F67&lt;0,"Expire",IF(F67&lt;INDEX(Config!B:B,MATCH("Seuil alerte DDM (jours)",Config!A:A,0)),"Proche","OK")))</f>
        <v>#ERROR!</v>
      </c>
      <c r="H67" s="385" t="str">
        <f>IF(G67="","",IF(G67="Expire","Detruire ou reanalyse urgent",IF(G67="Proche","Priorite vente / marche prochain","RAS")))</f>
        <v>#ERROR!</v>
      </c>
      <c r="I67" s="386"/>
    </row>
    <row r="68" ht="15.0" customHeight="1">
      <c r="A68" s="282"/>
      <c r="B68" s="235" t="str">
        <f>IFERROR(INDEX('Fiche Lot'!C:C,MATCH(A68,'Fiche Lot'!A:A,0)),"")</f>
        <v>#ERROR!</v>
      </c>
      <c r="C68" s="235" t="str">
        <f>IFERROR(INDEX('Fiche Lot'!E:E,MATCH(A68,'Fiche Lot'!A:A,0)),"")</f>
        <v>#ERROR!</v>
      </c>
      <c r="D68" s="235" t="str">
        <f>IFERROR(INDEX('Fiche Lot'!H:H,MATCH(A68,'Fiche Lot'!A:A,0)),"")</f>
        <v>#ERROR!</v>
      </c>
      <c r="E68" s="387" t="str">
        <f>IFERROR(INDEX('Fiche Lot'!L:L,MATCH(A68,'Fiche Lot'!A:A,0)),"")</f>
        <v>#ERROR!</v>
      </c>
      <c r="F68" s="388" t="str">
        <f>IF(E68="","",E68-TODAY())</f>
        <v>#ERROR!</v>
      </c>
      <c r="G68" s="389" t="str">
        <f>IF(F68="","",IF(F68&lt;0,"Expire",IF(F68&lt;INDEX(Config!B:B,MATCH("Seuil alerte DDM (jours)",Config!A:A,0)),"Proche","OK")))</f>
        <v>#ERROR!</v>
      </c>
      <c r="H68" s="389" t="str">
        <f>IF(G68="","",IF(G68="Expire","Detruire ou reanalyse urgent",IF(G68="Proche","Priorite vente / marche prochain","RAS")))</f>
        <v>#ERROR!</v>
      </c>
      <c r="I68" s="390"/>
    </row>
    <row r="69" ht="15.0" customHeight="1">
      <c r="A69" s="282"/>
      <c r="B69" s="227" t="str">
        <f>IFERROR(INDEX('Fiche Lot'!C:C,MATCH(A69,'Fiche Lot'!A:A,0)),"")</f>
        <v>#ERROR!</v>
      </c>
      <c r="C69" s="227" t="str">
        <f>IFERROR(INDEX('Fiche Lot'!E:E,MATCH(A69,'Fiche Lot'!A:A,0)),"")</f>
        <v>#ERROR!</v>
      </c>
      <c r="D69" s="227" t="str">
        <f>IFERROR(INDEX('Fiche Lot'!H:H,MATCH(A69,'Fiche Lot'!A:A,0)),"")</f>
        <v>#ERROR!</v>
      </c>
      <c r="E69" s="383" t="str">
        <f>IFERROR(INDEX('Fiche Lot'!L:L,MATCH(A69,'Fiche Lot'!A:A,0)),"")</f>
        <v>#ERROR!</v>
      </c>
      <c r="F69" s="384" t="str">
        <f>IF(E69="","",E69-TODAY())</f>
        <v>#ERROR!</v>
      </c>
      <c r="G69" s="385" t="str">
        <f>IF(F69="","",IF(F69&lt;0,"Expire",IF(F69&lt;INDEX(Config!B:B,MATCH("Seuil alerte DDM (jours)",Config!A:A,0)),"Proche","OK")))</f>
        <v>#ERROR!</v>
      </c>
      <c r="H69" s="385" t="str">
        <f>IF(G69="","",IF(G69="Expire","Detruire ou reanalyse urgent",IF(G69="Proche","Priorite vente / marche prochain","RAS")))</f>
        <v>#ERROR!</v>
      </c>
      <c r="I69" s="386"/>
    </row>
    <row r="70" ht="15.0" customHeight="1">
      <c r="A70" s="282"/>
      <c r="B70" s="235" t="str">
        <f>IFERROR(INDEX('Fiche Lot'!C:C,MATCH(A70,'Fiche Lot'!A:A,0)),"")</f>
        <v>#ERROR!</v>
      </c>
      <c r="C70" s="235" t="str">
        <f>IFERROR(INDEX('Fiche Lot'!E:E,MATCH(A70,'Fiche Lot'!A:A,0)),"")</f>
        <v>#ERROR!</v>
      </c>
      <c r="D70" s="235" t="str">
        <f>IFERROR(INDEX('Fiche Lot'!H:H,MATCH(A70,'Fiche Lot'!A:A,0)),"")</f>
        <v>#ERROR!</v>
      </c>
      <c r="E70" s="387" t="str">
        <f>IFERROR(INDEX('Fiche Lot'!L:L,MATCH(A70,'Fiche Lot'!A:A,0)),"")</f>
        <v>#ERROR!</v>
      </c>
      <c r="F70" s="388" t="str">
        <f>IF(E70="","",E70-TODAY())</f>
        <v>#ERROR!</v>
      </c>
      <c r="G70" s="389" t="str">
        <f>IF(F70="","",IF(F70&lt;0,"Expire",IF(F70&lt;INDEX(Config!B:B,MATCH("Seuil alerte DDM (jours)",Config!A:A,0)),"Proche","OK")))</f>
        <v>#ERROR!</v>
      </c>
      <c r="H70" s="389" t="str">
        <f>IF(G70="","",IF(G70="Expire","Detruire ou reanalyse urgent",IF(G70="Proche","Priorite vente / marche prochain","RAS")))</f>
        <v>#ERROR!</v>
      </c>
      <c r="I70" s="390"/>
    </row>
    <row r="71" ht="15.0" customHeight="1">
      <c r="A71" s="282"/>
      <c r="B71" s="227" t="str">
        <f>IFERROR(INDEX('Fiche Lot'!C:C,MATCH(A71,'Fiche Lot'!A:A,0)),"")</f>
        <v>#ERROR!</v>
      </c>
      <c r="C71" s="227" t="str">
        <f>IFERROR(INDEX('Fiche Lot'!E:E,MATCH(A71,'Fiche Lot'!A:A,0)),"")</f>
        <v>#ERROR!</v>
      </c>
      <c r="D71" s="227" t="str">
        <f>IFERROR(INDEX('Fiche Lot'!H:H,MATCH(A71,'Fiche Lot'!A:A,0)),"")</f>
        <v>#ERROR!</v>
      </c>
      <c r="E71" s="383" t="str">
        <f>IFERROR(INDEX('Fiche Lot'!L:L,MATCH(A71,'Fiche Lot'!A:A,0)),"")</f>
        <v>#ERROR!</v>
      </c>
      <c r="F71" s="384" t="str">
        <f>IF(E71="","",E71-TODAY())</f>
        <v>#ERROR!</v>
      </c>
      <c r="G71" s="385" t="str">
        <f>IF(F71="","",IF(F71&lt;0,"Expire",IF(F71&lt;INDEX(Config!B:B,MATCH("Seuil alerte DDM (jours)",Config!A:A,0)),"Proche","OK")))</f>
        <v>#ERROR!</v>
      </c>
      <c r="H71" s="385" t="str">
        <f>IF(G71="","",IF(G71="Expire","Detruire ou reanalyse urgent",IF(G71="Proche","Priorite vente / marche prochain","RAS")))</f>
        <v>#ERROR!</v>
      </c>
      <c r="I71" s="386"/>
    </row>
    <row r="72" ht="15.0" customHeight="1">
      <c r="A72" s="282"/>
      <c r="B72" s="235" t="str">
        <f>IFERROR(INDEX('Fiche Lot'!C:C,MATCH(A72,'Fiche Lot'!A:A,0)),"")</f>
        <v>#ERROR!</v>
      </c>
      <c r="C72" s="235" t="str">
        <f>IFERROR(INDEX('Fiche Lot'!E:E,MATCH(A72,'Fiche Lot'!A:A,0)),"")</f>
        <v>#ERROR!</v>
      </c>
      <c r="D72" s="235" t="str">
        <f>IFERROR(INDEX('Fiche Lot'!H:H,MATCH(A72,'Fiche Lot'!A:A,0)),"")</f>
        <v>#ERROR!</v>
      </c>
      <c r="E72" s="387" t="str">
        <f>IFERROR(INDEX('Fiche Lot'!L:L,MATCH(A72,'Fiche Lot'!A:A,0)),"")</f>
        <v>#ERROR!</v>
      </c>
      <c r="F72" s="388" t="str">
        <f>IF(E72="","",E72-TODAY())</f>
        <v>#ERROR!</v>
      </c>
      <c r="G72" s="389" t="str">
        <f>IF(F72="","",IF(F72&lt;0,"Expire",IF(F72&lt;INDEX(Config!B:B,MATCH("Seuil alerte DDM (jours)",Config!A:A,0)),"Proche","OK")))</f>
        <v>#ERROR!</v>
      </c>
      <c r="H72" s="389" t="str">
        <f>IF(G72="","",IF(G72="Expire","Detruire ou reanalyse urgent",IF(G72="Proche","Priorite vente / marche prochain","RAS")))</f>
        <v>#ERROR!</v>
      </c>
      <c r="I72" s="390"/>
    </row>
    <row r="73" ht="15.0" customHeight="1">
      <c r="A73" s="282"/>
      <c r="B73" s="227" t="str">
        <f>IFERROR(INDEX('Fiche Lot'!C:C,MATCH(A73,'Fiche Lot'!A:A,0)),"")</f>
        <v>#ERROR!</v>
      </c>
      <c r="C73" s="227" t="str">
        <f>IFERROR(INDEX('Fiche Lot'!E:E,MATCH(A73,'Fiche Lot'!A:A,0)),"")</f>
        <v>#ERROR!</v>
      </c>
      <c r="D73" s="227" t="str">
        <f>IFERROR(INDEX('Fiche Lot'!H:H,MATCH(A73,'Fiche Lot'!A:A,0)),"")</f>
        <v>#ERROR!</v>
      </c>
      <c r="E73" s="383" t="str">
        <f>IFERROR(INDEX('Fiche Lot'!L:L,MATCH(A73,'Fiche Lot'!A:A,0)),"")</f>
        <v>#ERROR!</v>
      </c>
      <c r="F73" s="384" t="str">
        <f>IF(E73="","",E73-TODAY())</f>
        <v>#ERROR!</v>
      </c>
      <c r="G73" s="385" t="str">
        <f>IF(F73="","",IF(F73&lt;0,"Expire",IF(F73&lt;INDEX(Config!B:B,MATCH("Seuil alerte DDM (jours)",Config!A:A,0)),"Proche","OK")))</f>
        <v>#ERROR!</v>
      </c>
      <c r="H73" s="385" t="str">
        <f>IF(G73="","",IF(G73="Expire","Detruire ou reanalyse urgent",IF(G73="Proche","Priorite vente / marche prochain","RAS")))</f>
        <v>#ERROR!</v>
      </c>
      <c r="I73" s="386"/>
    </row>
    <row r="74" ht="15.0" customHeight="1">
      <c r="A74" s="282"/>
      <c r="B74" s="235" t="str">
        <f>IFERROR(INDEX('Fiche Lot'!C:C,MATCH(A74,'Fiche Lot'!A:A,0)),"")</f>
        <v>#ERROR!</v>
      </c>
      <c r="C74" s="235" t="str">
        <f>IFERROR(INDEX('Fiche Lot'!E:E,MATCH(A74,'Fiche Lot'!A:A,0)),"")</f>
        <v>#ERROR!</v>
      </c>
      <c r="D74" s="235" t="str">
        <f>IFERROR(INDEX('Fiche Lot'!H:H,MATCH(A74,'Fiche Lot'!A:A,0)),"")</f>
        <v>#ERROR!</v>
      </c>
      <c r="E74" s="387" t="str">
        <f>IFERROR(INDEX('Fiche Lot'!L:L,MATCH(A74,'Fiche Lot'!A:A,0)),"")</f>
        <v>#ERROR!</v>
      </c>
      <c r="F74" s="388" t="str">
        <f>IF(E74="","",E74-TODAY())</f>
        <v>#ERROR!</v>
      </c>
      <c r="G74" s="389" t="str">
        <f>IF(F74="","",IF(F74&lt;0,"Expire",IF(F74&lt;INDEX(Config!B:B,MATCH("Seuil alerte DDM (jours)",Config!A:A,0)),"Proche","OK")))</f>
        <v>#ERROR!</v>
      </c>
      <c r="H74" s="389" t="str">
        <f>IF(G74="","",IF(G74="Expire","Detruire ou reanalyse urgent",IF(G74="Proche","Priorite vente / marche prochain","RAS")))</f>
        <v>#ERROR!</v>
      </c>
      <c r="I74" s="390"/>
    </row>
    <row r="75" ht="15.0" customHeight="1">
      <c r="A75" s="282"/>
      <c r="B75" s="227" t="str">
        <f>IFERROR(INDEX('Fiche Lot'!C:C,MATCH(A75,'Fiche Lot'!A:A,0)),"")</f>
        <v>#ERROR!</v>
      </c>
      <c r="C75" s="227" t="str">
        <f>IFERROR(INDEX('Fiche Lot'!E:E,MATCH(A75,'Fiche Lot'!A:A,0)),"")</f>
        <v>#ERROR!</v>
      </c>
      <c r="D75" s="227" t="str">
        <f>IFERROR(INDEX('Fiche Lot'!H:H,MATCH(A75,'Fiche Lot'!A:A,0)),"")</f>
        <v>#ERROR!</v>
      </c>
      <c r="E75" s="383" t="str">
        <f>IFERROR(INDEX('Fiche Lot'!L:L,MATCH(A75,'Fiche Lot'!A:A,0)),"")</f>
        <v>#ERROR!</v>
      </c>
      <c r="F75" s="384" t="str">
        <f>IF(E75="","",E75-TODAY())</f>
        <v>#ERROR!</v>
      </c>
      <c r="G75" s="385" t="str">
        <f>IF(F75="","",IF(F75&lt;0,"Expire",IF(F75&lt;INDEX(Config!B:B,MATCH("Seuil alerte DDM (jours)",Config!A:A,0)),"Proche","OK")))</f>
        <v>#ERROR!</v>
      </c>
      <c r="H75" s="385" t="str">
        <f>IF(G75="","",IF(G75="Expire","Detruire ou reanalyse urgent",IF(G75="Proche","Priorite vente / marche prochain","RAS")))</f>
        <v>#ERROR!</v>
      </c>
      <c r="I75" s="386"/>
    </row>
    <row r="76" ht="15.0" customHeight="1">
      <c r="A76" s="282"/>
      <c r="B76" s="235" t="str">
        <f>IFERROR(INDEX('Fiche Lot'!C:C,MATCH(A76,'Fiche Lot'!A:A,0)),"")</f>
        <v>#ERROR!</v>
      </c>
      <c r="C76" s="235" t="str">
        <f>IFERROR(INDEX('Fiche Lot'!E:E,MATCH(A76,'Fiche Lot'!A:A,0)),"")</f>
        <v>#ERROR!</v>
      </c>
      <c r="D76" s="235" t="str">
        <f>IFERROR(INDEX('Fiche Lot'!H:H,MATCH(A76,'Fiche Lot'!A:A,0)),"")</f>
        <v>#ERROR!</v>
      </c>
      <c r="E76" s="387" t="str">
        <f>IFERROR(INDEX('Fiche Lot'!L:L,MATCH(A76,'Fiche Lot'!A:A,0)),"")</f>
        <v>#ERROR!</v>
      </c>
      <c r="F76" s="388" t="str">
        <f>IF(E76="","",E76-TODAY())</f>
        <v>#ERROR!</v>
      </c>
      <c r="G76" s="389" t="str">
        <f>IF(F76="","",IF(F76&lt;0,"Expire",IF(F76&lt;INDEX(Config!B:B,MATCH("Seuil alerte DDM (jours)",Config!A:A,0)),"Proche","OK")))</f>
        <v>#ERROR!</v>
      </c>
      <c r="H76" s="389" t="str">
        <f>IF(G76="","",IF(G76="Expire","Detruire ou reanalyse urgent",IF(G76="Proche","Priorite vente / marche prochain","RAS")))</f>
        <v>#ERROR!</v>
      </c>
      <c r="I76" s="390"/>
    </row>
    <row r="77" ht="15.0" customHeight="1">
      <c r="A77" s="282"/>
      <c r="B77" s="227" t="str">
        <f>IFERROR(INDEX('Fiche Lot'!C:C,MATCH(A77,'Fiche Lot'!A:A,0)),"")</f>
        <v>#ERROR!</v>
      </c>
      <c r="C77" s="227" t="str">
        <f>IFERROR(INDEX('Fiche Lot'!E:E,MATCH(A77,'Fiche Lot'!A:A,0)),"")</f>
        <v>#ERROR!</v>
      </c>
      <c r="D77" s="227" t="str">
        <f>IFERROR(INDEX('Fiche Lot'!H:H,MATCH(A77,'Fiche Lot'!A:A,0)),"")</f>
        <v>#ERROR!</v>
      </c>
      <c r="E77" s="383" t="str">
        <f>IFERROR(INDEX('Fiche Lot'!L:L,MATCH(A77,'Fiche Lot'!A:A,0)),"")</f>
        <v>#ERROR!</v>
      </c>
      <c r="F77" s="384" t="str">
        <f>IF(E77="","",E77-TODAY())</f>
        <v>#ERROR!</v>
      </c>
      <c r="G77" s="385" t="str">
        <f>IF(F77="","",IF(F77&lt;0,"Expire",IF(F77&lt;INDEX(Config!B:B,MATCH("Seuil alerte DDM (jours)",Config!A:A,0)),"Proche","OK")))</f>
        <v>#ERROR!</v>
      </c>
      <c r="H77" s="385" t="str">
        <f>IF(G77="","",IF(G77="Expire","Detruire ou reanalyse urgent",IF(G77="Proche","Priorite vente / marche prochain","RAS")))</f>
        <v>#ERROR!</v>
      </c>
      <c r="I77" s="386"/>
    </row>
    <row r="78" ht="15.0" customHeight="1">
      <c r="A78" s="282"/>
      <c r="B78" s="235" t="str">
        <f>IFERROR(INDEX('Fiche Lot'!C:C,MATCH(A78,'Fiche Lot'!A:A,0)),"")</f>
        <v>#ERROR!</v>
      </c>
      <c r="C78" s="235" t="str">
        <f>IFERROR(INDEX('Fiche Lot'!E:E,MATCH(A78,'Fiche Lot'!A:A,0)),"")</f>
        <v>#ERROR!</v>
      </c>
      <c r="D78" s="235" t="str">
        <f>IFERROR(INDEX('Fiche Lot'!H:H,MATCH(A78,'Fiche Lot'!A:A,0)),"")</f>
        <v>#ERROR!</v>
      </c>
      <c r="E78" s="387" t="str">
        <f>IFERROR(INDEX('Fiche Lot'!L:L,MATCH(A78,'Fiche Lot'!A:A,0)),"")</f>
        <v>#ERROR!</v>
      </c>
      <c r="F78" s="388" t="str">
        <f>IF(E78="","",E78-TODAY())</f>
        <v>#ERROR!</v>
      </c>
      <c r="G78" s="389" t="str">
        <f>IF(F78="","",IF(F78&lt;0,"Expire",IF(F78&lt;INDEX(Config!B:B,MATCH("Seuil alerte DDM (jours)",Config!A:A,0)),"Proche","OK")))</f>
        <v>#ERROR!</v>
      </c>
      <c r="H78" s="389" t="str">
        <f>IF(G78="","",IF(G78="Expire","Detruire ou reanalyse urgent",IF(G78="Proche","Priorite vente / marche prochain","RAS")))</f>
        <v>#ERROR!</v>
      </c>
      <c r="I78" s="390"/>
    </row>
    <row r="79" ht="15.0" customHeight="1">
      <c r="A79" s="282"/>
      <c r="B79" s="227" t="str">
        <f>IFERROR(INDEX('Fiche Lot'!C:C,MATCH(A79,'Fiche Lot'!A:A,0)),"")</f>
        <v>#ERROR!</v>
      </c>
      <c r="C79" s="227" t="str">
        <f>IFERROR(INDEX('Fiche Lot'!E:E,MATCH(A79,'Fiche Lot'!A:A,0)),"")</f>
        <v>#ERROR!</v>
      </c>
      <c r="D79" s="227" t="str">
        <f>IFERROR(INDEX('Fiche Lot'!H:H,MATCH(A79,'Fiche Lot'!A:A,0)),"")</f>
        <v>#ERROR!</v>
      </c>
      <c r="E79" s="383" t="str">
        <f>IFERROR(INDEX('Fiche Lot'!L:L,MATCH(A79,'Fiche Lot'!A:A,0)),"")</f>
        <v>#ERROR!</v>
      </c>
      <c r="F79" s="384" t="str">
        <f>IF(E79="","",E79-TODAY())</f>
        <v>#ERROR!</v>
      </c>
      <c r="G79" s="385" t="str">
        <f>IF(F79="","",IF(F79&lt;0,"Expire",IF(F79&lt;INDEX(Config!B:B,MATCH("Seuil alerte DDM (jours)",Config!A:A,0)),"Proche","OK")))</f>
        <v>#ERROR!</v>
      </c>
      <c r="H79" s="385" t="str">
        <f>IF(G79="","",IF(G79="Expire","Detruire ou reanalyse urgent",IF(G79="Proche","Priorite vente / marche prochain","RAS")))</f>
        <v>#ERROR!</v>
      </c>
      <c r="I79" s="386"/>
    </row>
    <row r="80" ht="15.0" customHeight="1">
      <c r="A80" s="282"/>
      <c r="B80" s="235" t="str">
        <f>IFERROR(INDEX('Fiche Lot'!C:C,MATCH(A80,'Fiche Lot'!A:A,0)),"")</f>
        <v>#ERROR!</v>
      </c>
      <c r="C80" s="235" t="str">
        <f>IFERROR(INDEX('Fiche Lot'!E:E,MATCH(A80,'Fiche Lot'!A:A,0)),"")</f>
        <v>#ERROR!</v>
      </c>
      <c r="D80" s="235" t="str">
        <f>IFERROR(INDEX('Fiche Lot'!H:H,MATCH(A80,'Fiche Lot'!A:A,0)),"")</f>
        <v>#ERROR!</v>
      </c>
      <c r="E80" s="387" t="str">
        <f>IFERROR(INDEX('Fiche Lot'!L:L,MATCH(A80,'Fiche Lot'!A:A,0)),"")</f>
        <v>#ERROR!</v>
      </c>
      <c r="F80" s="388" t="str">
        <f>IF(E80="","",E80-TODAY())</f>
        <v>#ERROR!</v>
      </c>
      <c r="G80" s="389" t="str">
        <f>IF(F80="","",IF(F80&lt;0,"Expire",IF(F80&lt;INDEX(Config!B:B,MATCH("Seuil alerte DDM (jours)",Config!A:A,0)),"Proche","OK")))</f>
        <v>#ERROR!</v>
      </c>
      <c r="H80" s="389" t="str">
        <f>IF(G80="","",IF(G80="Expire","Detruire ou reanalyse urgent",IF(G80="Proche","Priorite vente / marche prochain","RAS")))</f>
        <v>#ERROR!</v>
      </c>
      <c r="I80" s="390"/>
    </row>
    <row r="81" ht="15.0" customHeight="1">
      <c r="A81" s="282"/>
      <c r="B81" s="227" t="str">
        <f>IFERROR(INDEX('Fiche Lot'!C:C,MATCH(A81,'Fiche Lot'!A:A,0)),"")</f>
        <v>#ERROR!</v>
      </c>
      <c r="C81" s="227" t="str">
        <f>IFERROR(INDEX('Fiche Lot'!E:E,MATCH(A81,'Fiche Lot'!A:A,0)),"")</f>
        <v>#ERROR!</v>
      </c>
      <c r="D81" s="227" t="str">
        <f>IFERROR(INDEX('Fiche Lot'!H:H,MATCH(A81,'Fiche Lot'!A:A,0)),"")</f>
        <v>#ERROR!</v>
      </c>
      <c r="E81" s="383" t="str">
        <f>IFERROR(INDEX('Fiche Lot'!L:L,MATCH(A81,'Fiche Lot'!A:A,0)),"")</f>
        <v>#ERROR!</v>
      </c>
      <c r="F81" s="384" t="str">
        <f>IF(E81="","",E81-TODAY())</f>
        <v>#ERROR!</v>
      </c>
      <c r="G81" s="385" t="str">
        <f>IF(F81="","",IF(F81&lt;0,"Expire",IF(F81&lt;INDEX(Config!B:B,MATCH("Seuil alerte DDM (jours)",Config!A:A,0)),"Proche","OK")))</f>
        <v>#ERROR!</v>
      </c>
      <c r="H81" s="385" t="str">
        <f>IF(G81="","",IF(G81="Expire","Detruire ou reanalyse urgent",IF(G81="Proche","Priorite vente / marche prochain","RAS")))</f>
        <v>#ERROR!</v>
      </c>
      <c r="I81" s="386"/>
    </row>
    <row r="82" ht="15.0" customHeight="1">
      <c r="A82" s="282"/>
      <c r="B82" s="235" t="str">
        <f>IFERROR(INDEX('Fiche Lot'!C:C,MATCH(A82,'Fiche Lot'!A:A,0)),"")</f>
        <v>#ERROR!</v>
      </c>
      <c r="C82" s="235" t="str">
        <f>IFERROR(INDEX('Fiche Lot'!E:E,MATCH(A82,'Fiche Lot'!A:A,0)),"")</f>
        <v>#ERROR!</v>
      </c>
      <c r="D82" s="235" t="str">
        <f>IFERROR(INDEX('Fiche Lot'!H:H,MATCH(A82,'Fiche Lot'!A:A,0)),"")</f>
        <v>#ERROR!</v>
      </c>
      <c r="E82" s="387" t="str">
        <f>IFERROR(INDEX('Fiche Lot'!L:L,MATCH(A82,'Fiche Lot'!A:A,0)),"")</f>
        <v>#ERROR!</v>
      </c>
      <c r="F82" s="388" t="str">
        <f>IF(E82="","",E82-TODAY())</f>
        <v>#ERROR!</v>
      </c>
      <c r="G82" s="389" t="str">
        <f>IF(F82="","",IF(F82&lt;0,"Expire",IF(F82&lt;INDEX(Config!B:B,MATCH("Seuil alerte DDM (jours)",Config!A:A,0)),"Proche","OK")))</f>
        <v>#ERROR!</v>
      </c>
      <c r="H82" s="389" t="str">
        <f>IF(G82="","",IF(G82="Expire","Detruire ou reanalyse urgent",IF(G82="Proche","Priorite vente / marche prochain","RAS")))</f>
        <v>#ERROR!</v>
      </c>
      <c r="I82" s="390"/>
    </row>
    <row r="83" ht="15.0" customHeight="1">
      <c r="A83" s="282"/>
      <c r="B83" s="227" t="str">
        <f>IFERROR(INDEX('Fiche Lot'!C:C,MATCH(A83,'Fiche Lot'!A:A,0)),"")</f>
        <v>#ERROR!</v>
      </c>
      <c r="C83" s="227" t="str">
        <f>IFERROR(INDEX('Fiche Lot'!E:E,MATCH(A83,'Fiche Lot'!A:A,0)),"")</f>
        <v>#ERROR!</v>
      </c>
      <c r="D83" s="227" t="str">
        <f>IFERROR(INDEX('Fiche Lot'!H:H,MATCH(A83,'Fiche Lot'!A:A,0)),"")</f>
        <v>#ERROR!</v>
      </c>
      <c r="E83" s="383" t="str">
        <f>IFERROR(INDEX('Fiche Lot'!L:L,MATCH(A83,'Fiche Lot'!A:A,0)),"")</f>
        <v>#ERROR!</v>
      </c>
      <c r="F83" s="384" t="str">
        <f>IF(E83="","",E83-TODAY())</f>
        <v>#ERROR!</v>
      </c>
      <c r="G83" s="385" t="str">
        <f>IF(F83="","",IF(F83&lt;0,"Expire",IF(F83&lt;INDEX(Config!B:B,MATCH("Seuil alerte DDM (jours)",Config!A:A,0)),"Proche","OK")))</f>
        <v>#ERROR!</v>
      </c>
      <c r="H83" s="385" t="str">
        <f>IF(G83="","",IF(G83="Expire","Detruire ou reanalyse urgent",IF(G83="Proche","Priorite vente / marche prochain","RAS")))</f>
        <v>#ERROR!</v>
      </c>
      <c r="I83" s="386"/>
    </row>
    <row r="84" ht="15.0" customHeight="1">
      <c r="A84" s="282"/>
      <c r="B84" s="235" t="str">
        <f>IFERROR(INDEX('Fiche Lot'!C:C,MATCH(A84,'Fiche Lot'!A:A,0)),"")</f>
        <v>#ERROR!</v>
      </c>
      <c r="C84" s="235" t="str">
        <f>IFERROR(INDEX('Fiche Lot'!E:E,MATCH(A84,'Fiche Lot'!A:A,0)),"")</f>
        <v>#ERROR!</v>
      </c>
      <c r="D84" s="235" t="str">
        <f>IFERROR(INDEX('Fiche Lot'!H:H,MATCH(A84,'Fiche Lot'!A:A,0)),"")</f>
        <v>#ERROR!</v>
      </c>
      <c r="E84" s="387" t="str">
        <f>IFERROR(INDEX('Fiche Lot'!L:L,MATCH(A84,'Fiche Lot'!A:A,0)),"")</f>
        <v>#ERROR!</v>
      </c>
      <c r="F84" s="388" t="str">
        <f>IF(E84="","",E84-TODAY())</f>
        <v>#ERROR!</v>
      </c>
      <c r="G84" s="389" t="str">
        <f>IF(F84="","",IF(F84&lt;0,"Expire",IF(F84&lt;INDEX(Config!B:B,MATCH("Seuil alerte DDM (jours)",Config!A:A,0)),"Proche","OK")))</f>
        <v>#ERROR!</v>
      </c>
      <c r="H84" s="389" t="str">
        <f>IF(G84="","",IF(G84="Expire","Detruire ou reanalyse urgent",IF(G84="Proche","Priorite vente / marche prochain","RAS")))</f>
        <v>#ERROR!</v>
      </c>
      <c r="I84" s="390"/>
    </row>
    <row r="85" ht="15.0" customHeight="1">
      <c r="A85" s="282"/>
      <c r="B85" s="227" t="str">
        <f>IFERROR(INDEX('Fiche Lot'!C:C,MATCH(A85,'Fiche Lot'!A:A,0)),"")</f>
        <v>#ERROR!</v>
      </c>
      <c r="C85" s="227" t="str">
        <f>IFERROR(INDEX('Fiche Lot'!E:E,MATCH(A85,'Fiche Lot'!A:A,0)),"")</f>
        <v>#ERROR!</v>
      </c>
      <c r="D85" s="227" t="str">
        <f>IFERROR(INDEX('Fiche Lot'!H:H,MATCH(A85,'Fiche Lot'!A:A,0)),"")</f>
        <v>#ERROR!</v>
      </c>
      <c r="E85" s="383" t="str">
        <f>IFERROR(INDEX('Fiche Lot'!L:L,MATCH(A85,'Fiche Lot'!A:A,0)),"")</f>
        <v>#ERROR!</v>
      </c>
      <c r="F85" s="384" t="str">
        <f>IF(E85="","",E85-TODAY())</f>
        <v>#ERROR!</v>
      </c>
      <c r="G85" s="385" t="str">
        <f>IF(F85="","",IF(F85&lt;0,"Expire",IF(F85&lt;INDEX(Config!B:B,MATCH("Seuil alerte DDM (jours)",Config!A:A,0)),"Proche","OK")))</f>
        <v>#ERROR!</v>
      </c>
      <c r="H85" s="385" t="str">
        <f>IF(G85="","",IF(G85="Expire","Detruire ou reanalyse urgent",IF(G85="Proche","Priorite vente / marche prochain","RAS")))</f>
        <v>#ERROR!</v>
      </c>
      <c r="I85" s="386"/>
    </row>
    <row r="86" ht="15.0" customHeight="1">
      <c r="A86" s="282"/>
      <c r="B86" s="235" t="str">
        <f>IFERROR(INDEX('Fiche Lot'!C:C,MATCH(A86,'Fiche Lot'!A:A,0)),"")</f>
        <v>#ERROR!</v>
      </c>
      <c r="C86" s="235" t="str">
        <f>IFERROR(INDEX('Fiche Lot'!E:E,MATCH(A86,'Fiche Lot'!A:A,0)),"")</f>
        <v>#ERROR!</v>
      </c>
      <c r="D86" s="235" t="str">
        <f>IFERROR(INDEX('Fiche Lot'!H:H,MATCH(A86,'Fiche Lot'!A:A,0)),"")</f>
        <v>#ERROR!</v>
      </c>
      <c r="E86" s="387" t="str">
        <f>IFERROR(INDEX('Fiche Lot'!L:L,MATCH(A86,'Fiche Lot'!A:A,0)),"")</f>
        <v>#ERROR!</v>
      </c>
      <c r="F86" s="388" t="str">
        <f>IF(E86="","",E86-TODAY())</f>
        <v>#ERROR!</v>
      </c>
      <c r="G86" s="389" t="str">
        <f>IF(F86="","",IF(F86&lt;0,"Expire",IF(F86&lt;INDEX(Config!B:B,MATCH("Seuil alerte DDM (jours)",Config!A:A,0)),"Proche","OK")))</f>
        <v>#ERROR!</v>
      </c>
      <c r="H86" s="389" t="str">
        <f>IF(G86="","",IF(G86="Expire","Detruire ou reanalyse urgent",IF(G86="Proche","Priorite vente / marche prochain","RAS")))</f>
        <v>#ERROR!</v>
      </c>
      <c r="I86" s="390"/>
    </row>
    <row r="87" ht="15.0" customHeight="1">
      <c r="A87" s="282"/>
      <c r="B87" s="227" t="str">
        <f>IFERROR(INDEX('Fiche Lot'!C:C,MATCH(A87,'Fiche Lot'!A:A,0)),"")</f>
        <v>#ERROR!</v>
      </c>
      <c r="C87" s="227" t="str">
        <f>IFERROR(INDEX('Fiche Lot'!E:E,MATCH(A87,'Fiche Lot'!A:A,0)),"")</f>
        <v>#ERROR!</v>
      </c>
      <c r="D87" s="227" t="str">
        <f>IFERROR(INDEX('Fiche Lot'!H:H,MATCH(A87,'Fiche Lot'!A:A,0)),"")</f>
        <v>#ERROR!</v>
      </c>
      <c r="E87" s="383" t="str">
        <f>IFERROR(INDEX('Fiche Lot'!L:L,MATCH(A87,'Fiche Lot'!A:A,0)),"")</f>
        <v>#ERROR!</v>
      </c>
      <c r="F87" s="384" t="str">
        <f>IF(E87="","",E87-TODAY())</f>
        <v>#ERROR!</v>
      </c>
      <c r="G87" s="385" t="str">
        <f>IF(F87="","",IF(F87&lt;0,"Expire",IF(F87&lt;INDEX(Config!B:B,MATCH("Seuil alerte DDM (jours)",Config!A:A,0)),"Proche","OK")))</f>
        <v>#ERROR!</v>
      </c>
      <c r="H87" s="385" t="str">
        <f>IF(G87="","",IF(G87="Expire","Detruire ou reanalyse urgent",IF(G87="Proche","Priorite vente / marche prochain","RAS")))</f>
        <v>#ERROR!</v>
      </c>
      <c r="I87" s="386"/>
    </row>
    <row r="88" ht="15.0" customHeight="1">
      <c r="A88" s="282"/>
      <c r="B88" s="235" t="str">
        <f>IFERROR(INDEX('Fiche Lot'!C:C,MATCH(A88,'Fiche Lot'!A:A,0)),"")</f>
        <v>#ERROR!</v>
      </c>
      <c r="C88" s="235" t="str">
        <f>IFERROR(INDEX('Fiche Lot'!E:E,MATCH(A88,'Fiche Lot'!A:A,0)),"")</f>
        <v>#ERROR!</v>
      </c>
      <c r="D88" s="235" t="str">
        <f>IFERROR(INDEX('Fiche Lot'!H:H,MATCH(A88,'Fiche Lot'!A:A,0)),"")</f>
        <v>#ERROR!</v>
      </c>
      <c r="E88" s="387" t="str">
        <f>IFERROR(INDEX('Fiche Lot'!L:L,MATCH(A88,'Fiche Lot'!A:A,0)),"")</f>
        <v>#ERROR!</v>
      </c>
      <c r="F88" s="388" t="str">
        <f>IF(E88="","",E88-TODAY())</f>
        <v>#ERROR!</v>
      </c>
      <c r="G88" s="389" t="str">
        <f>IF(F88="","",IF(F88&lt;0,"Expire",IF(F88&lt;INDEX(Config!B:B,MATCH("Seuil alerte DDM (jours)",Config!A:A,0)),"Proche","OK")))</f>
        <v>#ERROR!</v>
      </c>
      <c r="H88" s="389" t="str">
        <f>IF(G88="","",IF(G88="Expire","Detruire ou reanalyse urgent",IF(G88="Proche","Priorite vente / marche prochain","RAS")))</f>
        <v>#ERROR!</v>
      </c>
      <c r="I88" s="390"/>
    </row>
    <row r="89" ht="15.0" customHeight="1">
      <c r="A89" s="282"/>
      <c r="B89" s="227" t="str">
        <f>IFERROR(INDEX('Fiche Lot'!C:C,MATCH(A89,'Fiche Lot'!A:A,0)),"")</f>
        <v>#ERROR!</v>
      </c>
      <c r="C89" s="227" t="str">
        <f>IFERROR(INDEX('Fiche Lot'!E:E,MATCH(A89,'Fiche Lot'!A:A,0)),"")</f>
        <v>#ERROR!</v>
      </c>
      <c r="D89" s="227" t="str">
        <f>IFERROR(INDEX('Fiche Lot'!H:H,MATCH(A89,'Fiche Lot'!A:A,0)),"")</f>
        <v>#ERROR!</v>
      </c>
      <c r="E89" s="383" t="str">
        <f>IFERROR(INDEX('Fiche Lot'!L:L,MATCH(A89,'Fiche Lot'!A:A,0)),"")</f>
        <v>#ERROR!</v>
      </c>
      <c r="F89" s="384" t="str">
        <f>IF(E89="","",E89-TODAY())</f>
        <v>#ERROR!</v>
      </c>
      <c r="G89" s="385" t="str">
        <f>IF(F89="","",IF(F89&lt;0,"Expire",IF(F89&lt;INDEX(Config!B:B,MATCH("Seuil alerte DDM (jours)",Config!A:A,0)),"Proche","OK")))</f>
        <v>#ERROR!</v>
      </c>
      <c r="H89" s="385" t="str">
        <f>IF(G89="","",IF(G89="Expire","Detruire ou reanalyse urgent",IF(G89="Proche","Priorite vente / marche prochain","RAS")))</f>
        <v>#ERROR!</v>
      </c>
      <c r="I89" s="386"/>
    </row>
    <row r="90" ht="15.0" customHeight="1">
      <c r="A90" s="282"/>
      <c r="B90" s="235" t="str">
        <f>IFERROR(INDEX('Fiche Lot'!C:C,MATCH(A90,'Fiche Lot'!A:A,0)),"")</f>
        <v>#ERROR!</v>
      </c>
      <c r="C90" s="235" t="str">
        <f>IFERROR(INDEX('Fiche Lot'!E:E,MATCH(A90,'Fiche Lot'!A:A,0)),"")</f>
        <v>#ERROR!</v>
      </c>
      <c r="D90" s="235" t="str">
        <f>IFERROR(INDEX('Fiche Lot'!H:H,MATCH(A90,'Fiche Lot'!A:A,0)),"")</f>
        <v>#ERROR!</v>
      </c>
      <c r="E90" s="387" t="str">
        <f>IFERROR(INDEX('Fiche Lot'!L:L,MATCH(A90,'Fiche Lot'!A:A,0)),"")</f>
        <v>#ERROR!</v>
      </c>
      <c r="F90" s="388" t="str">
        <f>IF(E90="","",E90-TODAY())</f>
        <v>#ERROR!</v>
      </c>
      <c r="G90" s="389" t="str">
        <f>IF(F90="","",IF(F90&lt;0,"Expire",IF(F90&lt;INDEX(Config!B:B,MATCH("Seuil alerte DDM (jours)",Config!A:A,0)),"Proche","OK")))</f>
        <v>#ERROR!</v>
      </c>
      <c r="H90" s="389" t="str">
        <f>IF(G90="","",IF(G90="Expire","Detruire ou reanalyse urgent",IF(G90="Proche","Priorite vente / marche prochain","RAS")))</f>
        <v>#ERROR!</v>
      </c>
      <c r="I90" s="390"/>
    </row>
    <row r="91" ht="15.0" customHeight="1">
      <c r="A91" s="282"/>
      <c r="B91" s="227" t="str">
        <f>IFERROR(INDEX('Fiche Lot'!C:C,MATCH(A91,'Fiche Lot'!A:A,0)),"")</f>
        <v>#ERROR!</v>
      </c>
      <c r="C91" s="227" t="str">
        <f>IFERROR(INDEX('Fiche Lot'!E:E,MATCH(A91,'Fiche Lot'!A:A,0)),"")</f>
        <v>#ERROR!</v>
      </c>
      <c r="D91" s="227" t="str">
        <f>IFERROR(INDEX('Fiche Lot'!H:H,MATCH(A91,'Fiche Lot'!A:A,0)),"")</f>
        <v>#ERROR!</v>
      </c>
      <c r="E91" s="383" t="str">
        <f>IFERROR(INDEX('Fiche Lot'!L:L,MATCH(A91,'Fiche Lot'!A:A,0)),"")</f>
        <v>#ERROR!</v>
      </c>
      <c r="F91" s="384" t="str">
        <f>IF(E91="","",E91-TODAY())</f>
        <v>#ERROR!</v>
      </c>
      <c r="G91" s="385" t="str">
        <f>IF(F91="","",IF(F91&lt;0,"Expire",IF(F91&lt;INDEX(Config!B:B,MATCH("Seuil alerte DDM (jours)",Config!A:A,0)),"Proche","OK")))</f>
        <v>#ERROR!</v>
      </c>
      <c r="H91" s="385" t="str">
        <f>IF(G91="","",IF(G91="Expire","Detruire ou reanalyse urgent",IF(G91="Proche","Priorite vente / marche prochain","RAS")))</f>
        <v>#ERROR!</v>
      </c>
      <c r="I91" s="386"/>
    </row>
    <row r="92" ht="15.0" customHeight="1">
      <c r="A92" s="282"/>
      <c r="B92" s="235" t="str">
        <f>IFERROR(INDEX('Fiche Lot'!C:C,MATCH(A92,'Fiche Lot'!A:A,0)),"")</f>
        <v>#ERROR!</v>
      </c>
      <c r="C92" s="235" t="str">
        <f>IFERROR(INDEX('Fiche Lot'!E:E,MATCH(A92,'Fiche Lot'!A:A,0)),"")</f>
        <v>#ERROR!</v>
      </c>
      <c r="D92" s="235" t="str">
        <f>IFERROR(INDEX('Fiche Lot'!H:H,MATCH(A92,'Fiche Lot'!A:A,0)),"")</f>
        <v>#ERROR!</v>
      </c>
      <c r="E92" s="387" t="str">
        <f>IFERROR(INDEX('Fiche Lot'!L:L,MATCH(A92,'Fiche Lot'!A:A,0)),"")</f>
        <v>#ERROR!</v>
      </c>
      <c r="F92" s="388" t="str">
        <f>IF(E92="","",E92-TODAY())</f>
        <v>#ERROR!</v>
      </c>
      <c r="G92" s="389" t="str">
        <f>IF(F92="","",IF(F92&lt;0,"Expire",IF(F92&lt;INDEX(Config!B:B,MATCH("Seuil alerte DDM (jours)",Config!A:A,0)),"Proche","OK")))</f>
        <v>#ERROR!</v>
      </c>
      <c r="H92" s="389" t="str">
        <f>IF(G92="","",IF(G92="Expire","Detruire ou reanalyse urgent",IF(G92="Proche","Priorite vente / marche prochain","RAS")))</f>
        <v>#ERROR!</v>
      </c>
      <c r="I92" s="390"/>
    </row>
    <row r="93" ht="15.0" customHeight="1">
      <c r="A93" s="282"/>
      <c r="B93" s="227" t="str">
        <f>IFERROR(INDEX('Fiche Lot'!C:C,MATCH(A93,'Fiche Lot'!A:A,0)),"")</f>
        <v>#ERROR!</v>
      </c>
      <c r="C93" s="227" t="str">
        <f>IFERROR(INDEX('Fiche Lot'!E:E,MATCH(A93,'Fiche Lot'!A:A,0)),"")</f>
        <v>#ERROR!</v>
      </c>
      <c r="D93" s="227" t="str">
        <f>IFERROR(INDEX('Fiche Lot'!H:H,MATCH(A93,'Fiche Lot'!A:A,0)),"")</f>
        <v>#ERROR!</v>
      </c>
      <c r="E93" s="383" t="str">
        <f>IFERROR(INDEX('Fiche Lot'!L:L,MATCH(A93,'Fiche Lot'!A:A,0)),"")</f>
        <v>#ERROR!</v>
      </c>
      <c r="F93" s="384" t="str">
        <f>IF(E93="","",E93-TODAY())</f>
        <v>#ERROR!</v>
      </c>
      <c r="G93" s="385" t="str">
        <f>IF(F93="","",IF(F93&lt;0,"Expire",IF(F93&lt;INDEX(Config!B:B,MATCH("Seuil alerte DDM (jours)",Config!A:A,0)),"Proche","OK")))</f>
        <v>#ERROR!</v>
      </c>
      <c r="H93" s="385" t="str">
        <f>IF(G93="","",IF(G93="Expire","Detruire ou reanalyse urgent",IF(G93="Proche","Priorite vente / marche prochain","RAS")))</f>
        <v>#ERROR!</v>
      </c>
      <c r="I93" s="386"/>
    </row>
    <row r="94" ht="15.0" customHeight="1">
      <c r="A94" s="282"/>
      <c r="B94" s="235" t="str">
        <f>IFERROR(INDEX('Fiche Lot'!C:C,MATCH(A94,'Fiche Lot'!A:A,0)),"")</f>
        <v>#ERROR!</v>
      </c>
      <c r="C94" s="235" t="str">
        <f>IFERROR(INDEX('Fiche Lot'!E:E,MATCH(A94,'Fiche Lot'!A:A,0)),"")</f>
        <v>#ERROR!</v>
      </c>
      <c r="D94" s="235" t="str">
        <f>IFERROR(INDEX('Fiche Lot'!H:H,MATCH(A94,'Fiche Lot'!A:A,0)),"")</f>
        <v>#ERROR!</v>
      </c>
      <c r="E94" s="387" t="str">
        <f>IFERROR(INDEX('Fiche Lot'!L:L,MATCH(A94,'Fiche Lot'!A:A,0)),"")</f>
        <v>#ERROR!</v>
      </c>
      <c r="F94" s="388" t="str">
        <f>IF(E94="","",E94-TODAY())</f>
        <v>#ERROR!</v>
      </c>
      <c r="G94" s="389" t="str">
        <f>IF(F94="","",IF(F94&lt;0,"Expire",IF(F94&lt;INDEX(Config!B:B,MATCH("Seuil alerte DDM (jours)",Config!A:A,0)),"Proche","OK")))</f>
        <v>#ERROR!</v>
      </c>
      <c r="H94" s="389" t="str">
        <f>IF(G94="","",IF(G94="Expire","Detruire ou reanalyse urgent",IF(G94="Proche","Priorite vente / marche prochain","RAS")))</f>
        <v>#ERROR!</v>
      </c>
      <c r="I94" s="390"/>
    </row>
    <row r="95" ht="15.0" customHeight="1">
      <c r="A95" s="282"/>
      <c r="B95" s="227" t="str">
        <f>IFERROR(INDEX('Fiche Lot'!C:C,MATCH(A95,'Fiche Lot'!A:A,0)),"")</f>
        <v>#ERROR!</v>
      </c>
      <c r="C95" s="227" t="str">
        <f>IFERROR(INDEX('Fiche Lot'!E:E,MATCH(A95,'Fiche Lot'!A:A,0)),"")</f>
        <v>#ERROR!</v>
      </c>
      <c r="D95" s="227" t="str">
        <f>IFERROR(INDEX('Fiche Lot'!H:H,MATCH(A95,'Fiche Lot'!A:A,0)),"")</f>
        <v>#ERROR!</v>
      </c>
      <c r="E95" s="383" t="str">
        <f>IFERROR(INDEX('Fiche Lot'!L:L,MATCH(A95,'Fiche Lot'!A:A,0)),"")</f>
        <v>#ERROR!</v>
      </c>
      <c r="F95" s="384" t="str">
        <f>IF(E95="","",E95-TODAY())</f>
        <v>#ERROR!</v>
      </c>
      <c r="G95" s="385" t="str">
        <f>IF(F95="","",IF(F95&lt;0,"Expire",IF(F95&lt;INDEX(Config!B:B,MATCH("Seuil alerte DDM (jours)",Config!A:A,0)),"Proche","OK")))</f>
        <v>#ERROR!</v>
      </c>
      <c r="H95" s="385" t="str">
        <f>IF(G95="","",IF(G95="Expire","Detruire ou reanalyse urgent",IF(G95="Proche","Priorite vente / marche prochain","RAS")))</f>
        <v>#ERROR!</v>
      </c>
      <c r="I95" s="386"/>
    </row>
    <row r="96" ht="15.0" customHeight="1">
      <c r="A96" s="282"/>
      <c r="B96" s="235" t="str">
        <f>IFERROR(INDEX('Fiche Lot'!C:C,MATCH(A96,'Fiche Lot'!A:A,0)),"")</f>
        <v>#ERROR!</v>
      </c>
      <c r="C96" s="235" t="str">
        <f>IFERROR(INDEX('Fiche Lot'!E:E,MATCH(A96,'Fiche Lot'!A:A,0)),"")</f>
        <v>#ERROR!</v>
      </c>
      <c r="D96" s="235" t="str">
        <f>IFERROR(INDEX('Fiche Lot'!H:H,MATCH(A96,'Fiche Lot'!A:A,0)),"")</f>
        <v>#ERROR!</v>
      </c>
      <c r="E96" s="387" t="str">
        <f>IFERROR(INDEX('Fiche Lot'!L:L,MATCH(A96,'Fiche Lot'!A:A,0)),"")</f>
        <v>#ERROR!</v>
      </c>
      <c r="F96" s="388" t="str">
        <f>IF(E96="","",E96-TODAY())</f>
        <v>#ERROR!</v>
      </c>
      <c r="G96" s="389" t="str">
        <f>IF(F96="","",IF(F96&lt;0,"Expire",IF(F96&lt;INDEX(Config!B:B,MATCH("Seuil alerte DDM (jours)",Config!A:A,0)),"Proche","OK")))</f>
        <v>#ERROR!</v>
      </c>
      <c r="H96" s="389" t="str">
        <f>IF(G96="","",IF(G96="Expire","Detruire ou reanalyse urgent",IF(G96="Proche","Priorite vente / marche prochain","RAS")))</f>
        <v>#ERROR!</v>
      </c>
      <c r="I96" s="390"/>
    </row>
    <row r="97" ht="15.0" customHeight="1">
      <c r="A97" s="282"/>
      <c r="B97" s="227" t="str">
        <f>IFERROR(INDEX('Fiche Lot'!C:C,MATCH(A97,'Fiche Lot'!A:A,0)),"")</f>
        <v>#ERROR!</v>
      </c>
      <c r="C97" s="227" t="str">
        <f>IFERROR(INDEX('Fiche Lot'!E:E,MATCH(A97,'Fiche Lot'!A:A,0)),"")</f>
        <v>#ERROR!</v>
      </c>
      <c r="D97" s="227" t="str">
        <f>IFERROR(INDEX('Fiche Lot'!H:H,MATCH(A97,'Fiche Lot'!A:A,0)),"")</f>
        <v>#ERROR!</v>
      </c>
      <c r="E97" s="383" t="str">
        <f>IFERROR(INDEX('Fiche Lot'!L:L,MATCH(A97,'Fiche Lot'!A:A,0)),"")</f>
        <v>#ERROR!</v>
      </c>
      <c r="F97" s="384" t="str">
        <f>IF(E97="","",E97-TODAY())</f>
        <v>#ERROR!</v>
      </c>
      <c r="G97" s="385" t="str">
        <f>IF(F97="","",IF(F97&lt;0,"Expire",IF(F97&lt;INDEX(Config!B:B,MATCH("Seuil alerte DDM (jours)",Config!A:A,0)),"Proche","OK")))</f>
        <v>#ERROR!</v>
      </c>
      <c r="H97" s="385" t="str">
        <f>IF(G97="","",IF(G97="Expire","Detruire ou reanalyse urgent",IF(G97="Proche","Priorite vente / marche prochain","RAS")))</f>
        <v>#ERROR!</v>
      </c>
      <c r="I97" s="386"/>
    </row>
    <row r="98" ht="15.0" customHeight="1">
      <c r="A98" s="282"/>
      <c r="B98" s="235" t="str">
        <f>IFERROR(INDEX('Fiche Lot'!C:C,MATCH(A98,'Fiche Lot'!A:A,0)),"")</f>
        <v>#ERROR!</v>
      </c>
      <c r="C98" s="235" t="str">
        <f>IFERROR(INDEX('Fiche Lot'!E:E,MATCH(A98,'Fiche Lot'!A:A,0)),"")</f>
        <v>#ERROR!</v>
      </c>
      <c r="D98" s="235" t="str">
        <f>IFERROR(INDEX('Fiche Lot'!H:H,MATCH(A98,'Fiche Lot'!A:A,0)),"")</f>
        <v>#ERROR!</v>
      </c>
      <c r="E98" s="387" t="str">
        <f>IFERROR(INDEX('Fiche Lot'!L:L,MATCH(A98,'Fiche Lot'!A:A,0)),"")</f>
        <v>#ERROR!</v>
      </c>
      <c r="F98" s="388" t="str">
        <f>IF(E98="","",E98-TODAY())</f>
        <v>#ERROR!</v>
      </c>
      <c r="G98" s="389" t="str">
        <f>IF(F98="","",IF(F98&lt;0,"Expire",IF(F98&lt;INDEX(Config!B:B,MATCH("Seuil alerte DDM (jours)",Config!A:A,0)),"Proche","OK")))</f>
        <v>#ERROR!</v>
      </c>
      <c r="H98" s="389" t="str">
        <f>IF(G98="","",IF(G98="Expire","Detruire ou reanalyse urgent",IF(G98="Proche","Priorite vente / marche prochain","RAS")))</f>
        <v>#ERROR!</v>
      </c>
      <c r="I98" s="390"/>
    </row>
    <row r="99" ht="15.0" customHeight="1">
      <c r="A99" s="282"/>
      <c r="B99" s="227" t="str">
        <f>IFERROR(INDEX('Fiche Lot'!C:C,MATCH(A99,'Fiche Lot'!A:A,0)),"")</f>
        <v>#ERROR!</v>
      </c>
      <c r="C99" s="227" t="str">
        <f>IFERROR(INDEX('Fiche Lot'!E:E,MATCH(A99,'Fiche Lot'!A:A,0)),"")</f>
        <v>#ERROR!</v>
      </c>
      <c r="D99" s="227" t="str">
        <f>IFERROR(INDEX('Fiche Lot'!H:H,MATCH(A99,'Fiche Lot'!A:A,0)),"")</f>
        <v>#ERROR!</v>
      </c>
      <c r="E99" s="383" t="str">
        <f>IFERROR(INDEX('Fiche Lot'!L:L,MATCH(A99,'Fiche Lot'!A:A,0)),"")</f>
        <v>#ERROR!</v>
      </c>
      <c r="F99" s="384" t="str">
        <f>IF(E99="","",E99-TODAY())</f>
        <v>#ERROR!</v>
      </c>
      <c r="G99" s="385" t="str">
        <f>IF(F99="","",IF(F99&lt;0,"Expire",IF(F99&lt;INDEX(Config!B:B,MATCH("Seuil alerte DDM (jours)",Config!A:A,0)),"Proche","OK")))</f>
        <v>#ERROR!</v>
      </c>
      <c r="H99" s="385" t="str">
        <f>IF(G99="","",IF(G99="Expire","Detruire ou reanalyse urgent",IF(G99="Proche","Priorite vente / marche prochain","RAS")))</f>
        <v>#ERROR!</v>
      </c>
      <c r="I99" s="386"/>
    </row>
    <row r="100" ht="15.0" customHeight="1">
      <c r="A100" s="282"/>
      <c r="B100" s="235" t="str">
        <f>IFERROR(INDEX('Fiche Lot'!C:C,MATCH(A100,'Fiche Lot'!A:A,0)),"")</f>
        <v>#ERROR!</v>
      </c>
      <c r="C100" s="235" t="str">
        <f>IFERROR(INDEX('Fiche Lot'!E:E,MATCH(A100,'Fiche Lot'!A:A,0)),"")</f>
        <v>#ERROR!</v>
      </c>
      <c r="D100" s="235" t="str">
        <f>IFERROR(INDEX('Fiche Lot'!H:H,MATCH(A100,'Fiche Lot'!A:A,0)),"")</f>
        <v>#ERROR!</v>
      </c>
      <c r="E100" s="387" t="str">
        <f>IFERROR(INDEX('Fiche Lot'!L:L,MATCH(A100,'Fiche Lot'!A:A,0)),"")</f>
        <v>#ERROR!</v>
      </c>
      <c r="F100" s="388" t="str">
        <f>IF(E100="","",E100-TODAY())</f>
        <v>#ERROR!</v>
      </c>
      <c r="G100" s="389" t="str">
        <f>IF(F100="","",IF(F100&lt;0,"Expire",IF(F100&lt;INDEX(Config!B:B,MATCH("Seuil alerte DDM (jours)",Config!A:A,0)),"Proche","OK")))</f>
        <v>#ERROR!</v>
      </c>
      <c r="H100" s="389" t="str">
        <f>IF(G100="","",IF(G100="Expire","Detruire ou reanalyse urgent",IF(G100="Proche","Priorite vente / marche prochain","RAS")))</f>
        <v>#ERROR!</v>
      </c>
      <c r="I100" s="390"/>
    </row>
    <row r="101" ht="15.0" customHeight="1">
      <c r="A101" s="282"/>
      <c r="B101" s="227" t="str">
        <f>IFERROR(INDEX('Fiche Lot'!C:C,MATCH(A101,'Fiche Lot'!A:A,0)),"")</f>
        <v>#ERROR!</v>
      </c>
      <c r="C101" s="227" t="str">
        <f>IFERROR(INDEX('Fiche Lot'!E:E,MATCH(A101,'Fiche Lot'!A:A,0)),"")</f>
        <v>#ERROR!</v>
      </c>
      <c r="D101" s="227" t="str">
        <f>IFERROR(INDEX('Fiche Lot'!H:H,MATCH(A101,'Fiche Lot'!A:A,0)),"")</f>
        <v>#ERROR!</v>
      </c>
      <c r="E101" s="383" t="str">
        <f>IFERROR(INDEX('Fiche Lot'!L:L,MATCH(A101,'Fiche Lot'!A:A,0)),"")</f>
        <v>#ERROR!</v>
      </c>
      <c r="F101" s="384" t="str">
        <f>IF(E101="","",E101-TODAY())</f>
        <v>#ERROR!</v>
      </c>
      <c r="G101" s="385" t="str">
        <f>IF(F101="","",IF(F101&lt;0,"Expire",IF(F101&lt;INDEX(Config!B:B,MATCH("Seuil alerte DDM (jours)",Config!A:A,0)),"Proche","OK")))</f>
        <v>#ERROR!</v>
      </c>
      <c r="H101" s="385" t="str">
        <f>IF(G101="","",IF(G101="Expire","Detruire ou reanalyse urgent",IF(G101="Proche","Priorite vente / marche prochain","RAS")))</f>
        <v>#ERROR!</v>
      </c>
      <c r="I101" s="386"/>
    </row>
    <row r="102" ht="15.0" customHeight="1">
      <c r="A102" s="282"/>
      <c r="B102" s="235" t="str">
        <f>IFERROR(INDEX('Fiche Lot'!C:C,MATCH(A102,'Fiche Lot'!A:A,0)),"")</f>
        <v>#ERROR!</v>
      </c>
      <c r="C102" s="235" t="str">
        <f>IFERROR(INDEX('Fiche Lot'!E:E,MATCH(A102,'Fiche Lot'!A:A,0)),"")</f>
        <v>#ERROR!</v>
      </c>
      <c r="D102" s="235" t="str">
        <f>IFERROR(INDEX('Fiche Lot'!H:H,MATCH(A102,'Fiche Lot'!A:A,0)),"")</f>
        <v>#ERROR!</v>
      </c>
      <c r="E102" s="387" t="str">
        <f>IFERROR(INDEX('Fiche Lot'!L:L,MATCH(A102,'Fiche Lot'!A:A,0)),"")</f>
        <v>#ERROR!</v>
      </c>
      <c r="F102" s="388" t="str">
        <f>IF(E102="","",E102-TODAY())</f>
        <v>#ERROR!</v>
      </c>
      <c r="G102" s="389" t="str">
        <f>IF(F102="","",IF(F102&lt;0,"Expire",IF(F102&lt;INDEX(Config!B:B,MATCH("Seuil alerte DDM (jours)",Config!A:A,0)),"Proche","OK")))</f>
        <v>#ERROR!</v>
      </c>
      <c r="H102" s="389" t="str">
        <f>IF(G102="","",IF(G102="Expire","Detruire ou reanalyse urgent",IF(G102="Proche","Priorite vente / marche prochain","RAS")))</f>
        <v>#ERROR!</v>
      </c>
      <c r="I102" s="390"/>
    </row>
    <row r="103" ht="15.0" customHeight="1">
      <c r="A103" s="282"/>
      <c r="B103" s="227" t="str">
        <f>IFERROR(INDEX('Fiche Lot'!C:C,MATCH(A103,'Fiche Lot'!A:A,0)),"")</f>
        <v>#ERROR!</v>
      </c>
      <c r="C103" s="227" t="str">
        <f>IFERROR(INDEX('Fiche Lot'!E:E,MATCH(A103,'Fiche Lot'!A:A,0)),"")</f>
        <v>#ERROR!</v>
      </c>
      <c r="D103" s="227" t="str">
        <f>IFERROR(INDEX('Fiche Lot'!H:H,MATCH(A103,'Fiche Lot'!A:A,0)),"")</f>
        <v>#ERROR!</v>
      </c>
      <c r="E103" s="383" t="str">
        <f>IFERROR(INDEX('Fiche Lot'!L:L,MATCH(A103,'Fiche Lot'!A:A,0)),"")</f>
        <v>#ERROR!</v>
      </c>
      <c r="F103" s="384" t="str">
        <f>IF(E103="","",E103-TODAY())</f>
        <v>#ERROR!</v>
      </c>
      <c r="G103" s="385" t="str">
        <f>IF(F103="","",IF(F103&lt;0,"Expire",IF(F103&lt;INDEX(Config!B:B,MATCH("Seuil alerte DDM (jours)",Config!A:A,0)),"Proche","OK")))</f>
        <v>#ERROR!</v>
      </c>
      <c r="H103" s="385" t="str">
        <f>IF(G103="","",IF(G103="Expire","Detruire ou reanalyse urgent",IF(G103="Proche","Priorite vente / marche prochain","RAS")))</f>
        <v>#ERROR!</v>
      </c>
      <c r="I103" s="386"/>
    </row>
    <row r="104" ht="15.0" customHeight="1">
      <c r="A104" s="282"/>
      <c r="B104" s="235" t="str">
        <f>IFERROR(INDEX('Fiche Lot'!C:C,MATCH(A104,'Fiche Lot'!A:A,0)),"")</f>
        <v>#ERROR!</v>
      </c>
      <c r="C104" s="235" t="str">
        <f>IFERROR(INDEX('Fiche Lot'!E:E,MATCH(A104,'Fiche Lot'!A:A,0)),"")</f>
        <v>#ERROR!</v>
      </c>
      <c r="D104" s="235" t="str">
        <f>IFERROR(INDEX('Fiche Lot'!H:H,MATCH(A104,'Fiche Lot'!A:A,0)),"")</f>
        <v>#ERROR!</v>
      </c>
      <c r="E104" s="387" t="str">
        <f>IFERROR(INDEX('Fiche Lot'!L:L,MATCH(A104,'Fiche Lot'!A:A,0)),"")</f>
        <v>#ERROR!</v>
      </c>
      <c r="F104" s="388" t="str">
        <f>IF(E104="","",E104-TODAY())</f>
        <v>#ERROR!</v>
      </c>
      <c r="G104" s="389" t="str">
        <f>IF(F104="","",IF(F104&lt;0,"Expire",IF(F104&lt;INDEX(Config!B:B,MATCH("Seuil alerte DDM (jours)",Config!A:A,0)),"Proche","OK")))</f>
        <v>#ERROR!</v>
      </c>
      <c r="H104" s="389" t="str">
        <f>IF(G104="","",IF(G104="Expire","Detruire ou reanalyse urgent",IF(G104="Proche","Priorite vente / marche prochain","RAS")))</f>
        <v>#ERROR!</v>
      </c>
      <c r="I104" s="390"/>
    </row>
    <row r="105" ht="15.0" customHeight="1">
      <c r="A105" s="282"/>
      <c r="B105" s="227" t="str">
        <f>IFERROR(INDEX('Fiche Lot'!C:C,MATCH(A105,'Fiche Lot'!A:A,0)),"")</f>
        <v>#ERROR!</v>
      </c>
      <c r="C105" s="227" t="str">
        <f>IFERROR(INDEX('Fiche Lot'!E:E,MATCH(A105,'Fiche Lot'!A:A,0)),"")</f>
        <v>#ERROR!</v>
      </c>
      <c r="D105" s="227" t="str">
        <f>IFERROR(INDEX('Fiche Lot'!H:H,MATCH(A105,'Fiche Lot'!A:A,0)),"")</f>
        <v>#ERROR!</v>
      </c>
      <c r="E105" s="383" t="str">
        <f>IFERROR(INDEX('Fiche Lot'!L:L,MATCH(A105,'Fiche Lot'!A:A,0)),"")</f>
        <v>#ERROR!</v>
      </c>
      <c r="F105" s="384" t="str">
        <f>IF(E105="","",E105-TODAY())</f>
        <v>#ERROR!</v>
      </c>
      <c r="G105" s="385" t="str">
        <f>IF(F105="","",IF(F105&lt;0,"Expire",IF(F105&lt;INDEX(Config!B:B,MATCH("Seuil alerte DDM (jours)",Config!A:A,0)),"Proche","OK")))</f>
        <v>#ERROR!</v>
      </c>
      <c r="H105" s="385" t="str">
        <f>IF(G105="","",IF(G105="Expire","Detruire ou reanalyse urgent",IF(G105="Proche","Priorite vente / marche prochain","RAS")))</f>
        <v>#ERROR!</v>
      </c>
      <c r="I105" s="386"/>
    </row>
    <row r="106" ht="15.0" customHeight="1">
      <c r="A106" s="282"/>
      <c r="B106" s="235" t="str">
        <f>IFERROR(INDEX('Fiche Lot'!C:C,MATCH(A106,'Fiche Lot'!A:A,0)),"")</f>
        <v>#ERROR!</v>
      </c>
      <c r="C106" s="235" t="str">
        <f>IFERROR(INDEX('Fiche Lot'!E:E,MATCH(A106,'Fiche Lot'!A:A,0)),"")</f>
        <v>#ERROR!</v>
      </c>
      <c r="D106" s="235" t="str">
        <f>IFERROR(INDEX('Fiche Lot'!H:H,MATCH(A106,'Fiche Lot'!A:A,0)),"")</f>
        <v>#ERROR!</v>
      </c>
      <c r="E106" s="387" t="str">
        <f>IFERROR(INDEX('Fiche Lot'!L:L,MATCH(A106,'Fiche Lot'!A:A,0)),"")</f>
        <v>#ERROR!</v>
      </c>
      <c r="F106" s="388" t="str">
        <f>IF(E106="","",E106-TODAY())</f>
        <v>#ERROR!</v>
      </c>
      <c r="G106" s="389" t="str">
        <f>IF(F106="","",IF(F106&lt;0,"Expire",IF(F106&lt;INDEX(Config!B:B,MATCH("Seuil alerte DDM (jours)",Config!A:A,0)),"Proche","OK")))</f>
        <v>#ERROR!</v>
      </c>
      <c r="H106" s="389" t="str">
        <f>IF(G106="","",IF(G106="Expire","Detruire ou reanalyse urgent",IF(G106="Proche","Priorite vente / marche prochain","RAS")))</f>
        <v>#ERROR!</v>
      </c>
      <c r="I106" s="390"/>
    </row>
    <row r="107" ht="15.0" customHeight="1">
      <c r="A107" s="282"/>
      <c r="B107" s="227" t="str">
        <f>IFERROR(INDEX('Fiche Lot'!C:C,MATCH(A107,'Fiche Lot'!A:A,0)),"")</f>
        <v>#ERROR!</v>
      </c>
      <c r="C107" s="227" t="str">
        <f>IFERROR(INDEX('Fiche Lot'!E:E,MATCH(A107,'Fiche Lot'!A:A,0)),"")</f>
        <v>#ERROR!</v>
      </c>
      <c r="D107" s="227" t="str">
        <f>IFERROR(INDEX('Fiche Lot'!H:H,MATCH(A107,'Fiche Lot'!A:A,0)),"")</f>
        <v>#ERROR!</v>
      </c>
      <c r="E107" s="383" t="str">
        <f>IFERROR(INDEX('Fiche Lot'!L:L,MATCH(A107,'Fiche Lot'!A:A,0)),"")</f>
        <v>#ERROR!</v>
      </c>
      <c r="F107" s="384" t="str">
        <f>IF(E107="","",E107-TODAY())</f>
        <v>#ERROR!</v>
      </c>
      <c r="G107" s="385" t="str">
        <f>IF(F107="","",IF(F107&lt;0,"Expire",IF(F107&lt;INDEX(Config!B:B,MATCH("Seuil alerte DDM (jours)",Config!A:A,0)),"Proche","OK")))</f>
        <v>#ERROR!</v>
      </c>
      <c r="H107" s="385" t="str">
        <f>IF(G107="","",IF(G107="Expire","Detruire ou reanalyse urgent",IF(G107="Proche","Priorite vente / marche prochain","RAS")))</f>
        <v>#ERROR!</v>
      </c>
      <c r="I107" s="386"/>
    </row>
    <row r="108" ht="15.0" customHeight="1">
      <c r="A108" s="282"/>
      <c r="B108" s="235" t="str">
        <f>IFERROR(INDEX('Fiche Lot'!C:C,MATCH(A108,'Fiche Lot'!A:A,0)),"")</f>
        <v>#ERROR!</v>
      </c>
      <c r="C108" s="235" t="str">
        <f>IFERROR(INDEX('Fiche Lot'!E:E,MATCH(A108,'Fiche Lot'!A:A,0)),"")</f>
        <v>#ERROR!</v>
      </c>
      <c r="D108" s="235" t="str">
        <f>IFERROR(INDEX('Fiche Lot'!H:H,MATCH(A108,'Fiche Lot'!A:A,0)),"")</f>
        <v>#ERROR!</v>
      </c>
      <c r="E108" s="387" t="str">
        <f>IFERROR(INDEX('Fiche Lot'!L:L,MATCH(A108,'Fiche Lot'!A:A,0)),"")</f>
        <v>#ERROR!</v>
      </c>
      <c r="F108" s="388" t="str">
        <f>IF(E108="","",E108-TODAY())</f>
        <v>#ERROR!</v>
      </c>
      <c r="G108" s="389" t="str">
        <f>IF(F108="","",IF(F108&lt;0,"Expire",IF(F108&lt;INDEX(Config!B:B,MATCH("Seuil alerte DDM (jours)",Config!A:A,0)),"Proche","OK")))</f>
        <v>#ERROR!</v>
      </c>
      <c r="H108" s="389" t="str">
        <f>IF(G108="","",IF(G108="Expire","Detruire ou reanalyse urgent",IF(G108="Proche","Priorite vente / marche prochain","RAS")))</f>
        <v>#ERROR!</v>
      </c>
      <c r="I108" s="390"/>
    </row>
    <row r="109" ht="15.0" customHeight="1">
      <c r="A109" s="282"/>
      <c r="B109" s="227" t="str">
        <f>IFERROR(INDEX('Fiche Lot'!C:C,MATCH(A109,'Fiche Lot'!A:A,0)),"")</f>
        <v>#ERROR!</v>
      </c>
      <c r="C109" s="227" t="str">
        <f>IFERROR(INDEX('Fiche Lot'!E:E,MATCH(A109,'Fiche Lot'!A:A,0)),"")</f>
        <v>#ERROR!</v>
      </c>
      <c r="D109" s="227" t="str">
        <f>IFERROR(INDEX('Fiche Lot'!H:H,MATCH(A109,'Fiche Lot'!A:A,0)),"")</f>
        <v>#ERROR!</v>
      </c>
      <c r="E109" s="383" t="str">
        <f>IFERROR(INDEX('Fiche Lot'!L:L,MATCH(A109,'Fiche Lot'!A:A,0)),"")</f>
        <v>#ERROR!</v>
      </c>
      <c r="F109" s="384" t="str">
        <f>IF(E109="","",E109-TODAY())</f>
        <v>#ERROR!</v>
      </c>
      <c r="G109" s="385" t="str">
        <f>IF(F109="","",IF(F109&lt;0,"Expire",IF(F109&lt;INDEX(Config!B:B,MATCH("Seuil alerte DDM (jours)",Config!A:A,0)),"Proche","OK")))</f>
        <v>#ERROR!</v>
      </c>
      <c r="H109" s="385" t="str">
        <f>IF(G109="","",IF(G109="Expire","Detruire ou reanalyse urgent",IF(G109="Proche","Priorite vente / marche prochain","RAS")))</f>
        <v>#ERROR!</v>
      </c>
      <c r="I109" s="386"/>
    </row>
    <row r="110" ht="15.0" customHeight="1">
      <c r="A110" s="282"/>
      <c r="B110" s="235" t="str">
        <f>IFERROR(INDEX('Fiche Lot'!C:C,MATCH(A110,'Fiche Lot'!A:A,0)),"")</f>
        <v>#ERROR!</v>
      </c>
      <c r="C110" s="235" t="str">
        <f>IFERROR(INDEX('Fiche Lot'!E:E,MATCH(A110,'Fiche Lot'!A:A,0)),"")</f>
        <v>#ERROR!</v>
      </c>
      <c r="D110" s="235" t="str">
        <f>IFERROR(INDEX('Fiche Lot'!H:H,MATCH(A110,'Fiche Lot'!A:A,0)),"")</f>
        <v>#ERROR!</v>
      </c>
      <c r="E110" s="387" t="str">
        <f>IFERROR(INDEX('Fiche Lot'!L:L,MATCH(A110,'Fiche Lot'!A:A,0)),"")</f>
        <v>#ERROR!</v>
      </c>
      <c r="F110" s="388" t="str">
        <f>IF(E110="","",E110-TODAY())</f>
        <v>#ERROR!</v>
      </c>
      <c r="G110" s="389" t="str">
        <f>IF(F110="","",IF(F110&lt;0,"Expire",IF(F110&lt;INDEX(Config!B:B,MATCH("Seuil alerte DDM (jours)",Config!A:A,0)),"Proche","OK")))</f>
        <v>#ERROR!</v>
      </c>
      <c r="H110" s="389" t="str">
        <f>IF(G110="","",IF(G110="Expire","Detruire ou reanalyse urgent",IF(G110="Proche","Priorite vente / marche prochain","RAS")))</f>
        <v>#ERROR!</v>
      </c>
      <c r="I110" s="390"/>
    </row>
    <row r="111" ht="15.0" customHeight="1">
      <c r="A111" s="282"/>
      <c r="B111" s="227" t="str">
        <f>IFERROR(INDEX('Fiche Lot'!C:C,MATCH(A111,'Fiche Lot'!A:A,0)),"")</f>
        <v>#ERROR!</v>
      </c>
      <c r="C111" s="227" t="str">
        <f>IFERROR(INDEX('Fiche Lot'!E:E,MATCH(A111,'Fiche Lot'!A:A,0)),"")</f>
        <v>#ERROR!</v>
      </c>
      <c r="D111" s="227" t="str">
        <f>IFERROR(INDEX('Fiche Lot'!H:H,MATCH(A111,'Fiche Lot'!A:A,0)),"")</f>
        <v>#ERROR!</v>
      </c>
      <c r="E111" s="383" t="str">
        <f>IFERROR(INDEX('Fiche Lot'!L:L,MATCH(A111,'Fiche Lot'!A:A,0)),"")</f>
        <v>#ERROR!</v>
      </c>
      <c r="F111" s="384" t="str">
        <f>IF(E111="","",E111-TODAY())</f>
        <v>#ERROR!</v>
      </c>
      <c r="G111" s="385" t="str">
        <f>IF(F111="","",IF(F111&lt;0,"Expire",IF(F111&lt;INDEX(Config!B:B,MATCH("Seuil alerte DDM (jours)",Config!A:A,0)),"Proche","OK")))</f>
        <v>#ERROR!</v>
      </c>
      <c r="H111" s="385" t="str">
        <f>IF(G111="","",IF(G111="Expire","Detruire ou reanalyse urgent",IF(G111="Proche","Priorite vente / marche prochain","RAS")))</f>
        <v>#ERROR!</v>
      </c>
      <c r="I111" s="386"/>
    </row>
    <row r="112" ht="15.0" customHeight="1">
      <c r="A112" s="282"/>
      <c r="B112" s="235" t="str">
        <f>IFERROR(INDEX('Fiche Lot'!C:C,MATCH(A112,'Fiche Lot'!A:A,0)),"")</f>
        <v>#ERROR!</v>
      </c>
      <c r="C112" s="235" t="str">
        <f>IFERROR(INDEX('Fiche Lot'!E:E,MATCH(A112,'Fiche Lot'!A:A,0)),"")</f>
        <v>#ERROR!</v>
      </c>
      <c r="D112" s="235" t="str">
        <f>IFERROR(INDEX('Fiche Lot'!H:H,MATCH(A112,'Fiche Lot'!A:A,0)),"")</f>
        <v>#ERROR!</v>
      </c>
      <c r="E112" s="387" t="str">
        <f>IFERROR(INDEX('Fiche Lot'!L:L,MATCH(A112,'Fiche Lot'!A:A,0)),"")</f>
        <v>#ERROR!</v>
      </c>
      <c r="F112" s="388" t="str">
        <f>IF(E112="","",E112-TODAY())</f>
        <v>#ERROR!</v>
      </c>
      <c r="G112" s="389" t="str">
        <f>IF(F112="","",IF(F112&lt;0,"Expire",IF(F112&lt;INDEX(Config!B:B,MATCH("Seuil alerte DDM (jours)",Config!A:A,0)),"Proche","OK")))</f>
        <v>#ERROR!</v>
      </c>
      <c r="H112" s="389" t="str">
        <f>IF(G112="","",IF(G112="Expire","Detruire ou reanalyse urgent",IF(G112="Proche","Priorite vente / marche prochain","RAS")))</f>
        <v>#ERROR!</v>
      </c>
      <c r="I112" s="390"/>
    </row>
    <row r="113" ht="15.0" customHeight="1">
      <c r="A113" s="282"/>
      <c r="B113" s="227" t="str">
        <f>IFERROR(INDEX('Fiche Lot'!C:C,MATCH(A113,'Fiche Lot'!A:A,0)),"")</f>
        <v>#ERROR!</v>
      </c>
      <c r="C113" s="227" t="str">
        <f>IFERROR(INDEX('Fiche Lot'!E:E,MATCH(A113,'Fiche Lot'!A:A,0)),"")</f>
        <v>#ERROR!</v>
      </c>
      <c r="D113" s="227" t="str">
        <f>IFERROR(INDEX('Fiche Lot'!H:H,MATCH(A113,'Fiche Lot'!A:A,0)),"")</f>
        <v>#ERROR!</v>
      </c>
      <c r="E113" s="383" t="str">
        <f>IFERROR(INDEX('Fiche Lot'!L:L,MATCH(A113,'Fiche Lot'!A:A,0)),"")</f>
        <v>#ERROR!</v>
      </c>
      <c r="F113" s="384" t="str">
        <f>IF(E113="","",E113-TODAY())</f>
        <v>#ERROR!</v>
      </c>
      <c r="G113" s="385" t="str">
        <f>IF(F113="","",IF(F113&lt;0,"Expire",IF(F113&lt;INDEX(Config!B:B,MATCH("Seuil alerte DDM (jours)",Config!A:A,0)),"Proche","OK")))</f>
        <v>#ERROR!</v>
      </c>
      <c r="H113" s="385" t="str">
        <f>IF(G113="","",IF(G113="Expire","Detruire ou reanalyse urgent",IF(G113="Proche","Priorite vente / marche prochain","RAS")))</f>
        <v>#ERROR!</v>
      </c>
      <c r="I113" s="386"/>
    </row>
    <row r="114" ht="15.0" customHeight="1">
      <c r="A114" s="282"/>
      <c r="B114" s="235" t="str">
        <f>IFERROR(INDEX('Fiche Lot'!C:C,MATCH(A114,'Fiche Lot'!A:A,0)),"")</f>
        <v>#ERROR!</v>
      </c>
      <c r="C114" s="235" t="str">
        <f>IFERROR(INDEX('Fiche Lot'!E:E,MATCH(A114,'Fiche Lot'!A:A,0)),"")</f>
        <v>#ERROR!</v>
      </c>
      <c r="D114" s="235" t="str">
        <f>IFERROR(INDEX('Fiche Lot'!H:H,MATCH(A114,'Fiche Lot'!A:A,0)),"")</f>
        <v>#ERROR!</v>
      </c>
      <c r="E114" s="387" t="str">
        <f>IFERROR(INDEX('Fiche Lot'!L:L,MATCH(A114,'Fiche Lot'!A:A,0)),"")</f>
        <v>#ERROR!</v>
      </c>
      <c r="F114" s="388" t="str">
        <f>IF(E114="","",E114-TODAY())</f>
        <v>#ERROR!</v>
      </c>
      <c r="G114" s="389" t="str">
        <f>IF(F114="","",IF(F114&lt;0,"Expire",IF(F114&lt;INDEX(Config!B:B,MATCH("Seuil alerte DDM (jours)",Config!A:A,0)),"Proche","OK")))</f>
        <v>#ERROR!</v>
      </c>
      <c r="H114" s="389" t="str">
        <f>IF(G114="","",IF(G114="Expire","Detruire ou reanalyse urgent",IF(G114="Proche","Priorite vente / marche prochain","RAS")))</f>
        <v>#ERROR!</v>
      </c>
      <c r="I114" s="390"/>
    </row>
    <row r="115" ht="15.0" customHeight="1">
      <c r="A115" s="282"/>
      <c r="B115" s="227" t="str">
        <f>IFERROR(INDEX('Fiche Lot'!C:C,MATCH(A115,'Fiche Lot'!A:A,0)),"")</f>
        <v>#ERROR!</v>
      </c>
      <c r="C115" s="227" t="str">
        <f>IFERROR(INDEX('Fiche Lot'!E:E,MATCH(A115,'Fiche Lot'!A:A,0)),"")</f>
        <v>#ERROR!</v>
      </c>
      <c r="D115" s="227" t="str">
        <f>IFERROR(INDEX('Fiche Lot'!H:H,MATCH(A115,'Fiche Lot'!A:A,0)),"")</f>
        <v>#ERROR!</v>
      </c>
      <c r="E115" s="383" t="str">
        <f>IFERROR(INDEX('Fiche Lot'!L:L,MATCH(A115,'Fiche Lot'!A:A,0)),"")</f>
        <v>#ERROR!</v>
      </c>
      <c r="F115" s="384" t="str">
        <f>IF(E115="","",E115-TODAY())</f>
        <v>#ERROR!</v>
      </c>
      <c r="G115" s="385" t="str">
        <f>IF(F115="","",IF(F115&lt;0,"Expire",IF(F115&lt;INDEX(Config!B:B,MATCH("Seuil alerte DDM (jours)",Config!A:A,0)),"Proche","OK")))</f>
        <v>#ERROR!</v>
      </c>
      <c r="H115" s="385" t="str">
        <f>IF(G115="","",IF(G115="Expire","Detruire ou reanalyse urgent",IF(G115="Proche","Priorite vente / marche prochain","RAS")))</f>
        <v>#ERROR!</v>
      </c>
      <c r="I115" s="386"/>
    </row>
    <row r="116" ht="15.0" customHeight="1">
      <c r="A116" s="282"/>
      <c r="B116" s="235" t="str">
        <f>IFERROR(INDEX('Fiche Lot'!C:C,MATCH(A116,'Fiche Lot'!A:A,0)),"")</f>
        <v>#ERROR!</v>
      </c>
      <c r="C116" s="235" t="str">
        <f>IFERROR(INDEX('Fiche Lot'!E:E,MATCH(A116,'Fiche Lot'!A:A,0)),"")</f>
        <v>#ERROR!</v>
      </c>
      <c r="D116" s="235" t="str">
        <f>IFERROR(INDEX('Fiche Lot'!H:H,MATCH(A116,'Fiche Lot'!A:A,0)),"")</f>
        <v>#ERROR!</v>
      </c>
      <c r="E116" s="387" t="str">
        <f>IFERROR(INDEX('Fiche Lot'!L:L,MATCH(A116,'Fiche Lot'!A:A,0)),"")</f>
        <v>#ERROR!</v>
      </c>
      <c r="F116" s="388" t="str">
        <f>IF(E116="","",E116-TODAY())</f>
        <v>#ERROR!</v>
      </c>
      <c r="G116" s="389" t="str">
        <f>IF(F116="","",IF(F116&lt;0,"Expire",IF(F116&lt;INDEX(Config!B:B,MATCH("Seuil alerte DDM (jours)",Config!A:A,0)),"Proche","OK")))</f>
        <v>#ERROR!</v>
      </c>
      <c r="H116" s="389" t="str">
        <f>IF(G116="","",IF(G116="Expire","Detruire ou reanalyse urgent",IF(G116="Proche","Priorite vente / marche prochain","RAS")))</f>
        <v>#ERROR!</v>
      </c>
      <c r="I116" s="390"/>
    </row>
    <row r="117" ht="15.0" customHeight="1">
      <c r="A117" s="282"/>
      <c r="B117" s="227" t="str">
        <f>IFERROR(INDEX('Fiche Lot'!C:C,MATCH(A117,'Fiche Lot'!A:A,0)),"")</f>
        <v>#ERROR!</v>
      </c>
      <c r="C117" s="227" t="str">
        <f>IFERROR(INDEX('Fiche Lot'!E:E,MATCH(A117,'Fiche Lot'!A:A,0)),"")</f>
        <v>#ERROR!</v>
      </c>
      <c r="D117" s="227" t="str">
        <f>IFERROR(INDEX('Fiche Lot'!H:H,MATCH(A117,'Fiche Lot'!A:A,0)),"")</f>
        <v>#ERROR!</v>
      </c>
      <c r="E117" s="383" t="str">
        <f>IFERROR(INDEX('Fiche Lot'!L:L,MATCH(A117,'Fiche Lot'!A:A,0)),"")</f>
        <v>#ERROR!</v>
      </c>
      <c r="F117" s="384" t="str">
        <f>IF(E117="","",E117-TODAY())</f>
        <v>#ERROR!</v>
      </c>
      <c r="G117" s="385" t="str">
        <f>IF(F117="","",IF(F117&lt;0,"Expire",IF(F117&lt;INDEX(Config!B:B,MATCH("Seuil alerte DDM (jours)",Config!A:A,0)),"Proche","OK")))</f>
        <v>#ERROR!</v>
      </c>
      <c r="H117" s="385" t="str">
        <f>IF(G117="","",IF(G117="Expire","Detruire ou reanalyse urgent",IF(G117="Proche","Priorite vente / marche prochain","RAS")))</f>
        <v>#ERROR!</v>
      </c>
      <c r="I117" s="386"/>
    </row>
    <row r="118" ht="15.0" customHeight="1">
      <c r="A118" s="282"/>
      <c r="B118" s="235" t="str">
        <f>IFERROR(INDEX('Fiche Lot'!C:C,MATCH(A118,'Fiche Lot'!A:A,0)),"")</f>
        <v>#ERROR!</v>
      </c>
      <c r="C118" s="235" t="str">
        <f>IFERROR(INDEX('Fiche Lot'!E:E,MATCH(A118,'Fiche Lot'!A:A,0)),"")</f>
        <v>#ERROR!</v>
      </c>
      <c r="D118" s="235" t="str">
        <f>IFERROR(INDEX('Fiche Lot'!H:H,MATCH(A118,'Fiche Lot'!A:A,0)),"")</f>
        <v>#ERROR!</v>
      </c>
      <c r="E118" s="387" t="str">
        <f>IFERROR(INDEX('Fiche Lot'!L:L,MATCH(A118,'Fiche Lot'!A:A,0)),"")</f>
        <v>#ERROR!</v>
      </c>
      <c r="F118" s="388" t="str">
        <f>IF(E118="","",E118-TODAY())</f>
        <v>#ERROR!</v>
      </c>
      <c r="G118" s="389" t="str">
        <f>IF(F118="","",IF(F118&lt;0,"Expire",IF(F118&lt;INDEX(Config!B:B,MATCH("Seuil alerte DDM (jours)",Config!A:A,0)),"Proche","OK")))</f>
        <v>#ERROR!</v>
      </c>
      <c r="H118" s="389" t="str">
        <f>IF(G118="","",IF(G118="Expire","Detruire ou reanalyse urgent",IF(G118="Proche","Priorite vente / marche prochain","RAS")))</f>
        <v>#ERROR!</v>
      </c>
      <c r="I118" s="390"/>
    </row>
    <row r="119" ht="15.0" customHeight="1">
      <c r="A119" s="282"/>
      <c r="B119" s="227" t="str">
        <f>IFERROR(INDEX('Fiche Lot'!C:C,MATCH(A119,'Fiche Lot'!A:A,0)),"")</f>
        <v>#ERROR!</v>
      </c>
      <c r="C119" s="227" t="str">
        <f>IFERROR(INDEX('Fiche Lot'!E:E,MATCH(A119,'Fiche Lot'!A:A,0)),"")</f>
        <v>#ERROR!</v>
      </c>
      <c r="D119" s="227" t="str">
        <f>IFERROR(INDEX('Fiche Lot'!H:H,MATCH(A119,'Fiche Lot'!A:A,0)),"")</f>
        <v>#ERROR!</v>
      </c>
      <c r="E119" s="383" t="str">
        <f>IFERROR(INDEX('Fiche Lot'!L:L,MATCH(A119,'Fiche Lot'!A:A,0)),"")</f>
        <v>#ERROR!</v>
      </c>
      <c r="F119" s="384" t="str">
        <f>IF(E119="","",E119-TODAY())</f>
        <v>#ERROR!</v>
      </c>
      <c r="G119" s="385" t="str">
        <f>IF(F119="","",IF(F119&lt;0,"Expire",IF(F119&lt;INDEX(Config!B:B,MATCH("Seuil alerte DDM (jours)",Config!A:A,0)),"Proche","OK")))</f>
        <v>#ERROR!</v>
      </c>
      <c r="H119" s="385" t="str">
        <f>IF(G119="","",IF(G119="Expire","Detruire ou reanalyse urgent",IF(G119="Proche","Priorite vente / marche prochain","RAS")))</f>
        <v>#ERROR!</v>
      </c>
      <c r="I119" s="386"/>
    </row>
    <row r="120" ht="15.0" customHeight="1">
      <c r="A120" s="282"/>
      <c r="B120" s="235" t="str">
        <f>IFERROR(INDEX('Fiche Lot'!C:C,MATCH(A120,'Fiche Lot'!A:A,0)),"")</f>
        <v>#ERROR!</v>
      </c>
      <c r="C120" s="235" t="str">
        <f>IFERROR(INDEX('Fiche Lot'!E:E,MATCH(A120,'Fiche Lot'!A:A,0)),"")</f>
        <v>#ERROR!</v>
      </c>
      <c r="D120" s="235" t="str">
        <f>IFERROR(INDEX('Fiche Lot'!H:H,MATCH(A120,'Fiche Lot'!A:A,0)),"")</f>
        <v>#ERROR!</v>
      </c>
      <c r="E120" s="387" t="str">
        <f>IFERROR(INDEX('Fiche Lot'!L:L,MATCH(A120,'Fiche Lot'!A:A,0)),"")</f>
        <v>#ERROR!</v>
      </c>
      <c r="F120" s="388" t="str">
        <f>IF(E120="","",E120-TODAY())</f>
        <v>#ERROR!</v>
      </c>
      <c r="G120" s="389" t="str">
        <f>IF(F120="","",IF(F120&lt;0,"Expire",IF(F120&lt;INDEX(Config!B:B,MATCH("Seuil alerte DDM (jours)",Config!A:A,0)),"Proche","OK")))</f>
        <v>#ERROR!</v>
      </c>
      <c r="H120" s="389" t="str">
        <f>IF(G120="","",IF(G120="Expire","Detruire ou reanalyse urgent",IF(G120="Proche","Priorite vente / marche prochain","RAS")))</f>
        <v>#ERROR!</v>
      </c>
      <c r="I120" s="390"/>
    </row>
    <row r="121" ht="15.0" customHeight="1">
      <c r="A121" s="282"/>
      <c r="B121" s="227" t="str">
        <f>IFERROR(INDEX('Fiche Lot'!C:C,MATCH(A121,'Fiche Lot'!A:A,0)),"")</f>
        <v>#ERROR!</v>
      </c>
      <c r="C121" s="227" t="str">
        <f>IFERROR(INDEX('Fiche Lot'!E:E,MATCH(A121,'Fiche Lot'!A:A,0)),"")</f>
        <v>#ERROR!</v>
      </c>
      <c r="D121" s="227" t="str">
        <f>IFERROR(INDEX('Fiche Lot'!H:H,MATCH(A121,'Fiche Lot'!A:A,0)),"")</f>
        <v>#ERROR!</v>
      </c>
      <c r="E121" s="383" t="str">
        <f>IFERROR(INDEX('Fiche Lot'!L:L,MATCH(A121,'Fiche Lot'!A:A,0)),"")</f>
        <v>#ERROR!</v>
      </c>
      <c r="F121" s="384" t="str">
        <f>IF(E121="","",E121-TODAY())</f>
        <v>#ERROR!</v>
      </c>
      <c r="G121" s="385" t="str">
        <f>IF(F121="","",IF(F121&lt;0,"Expire",IF(F121&lt;INDEX(Config!B:B,MATCH("Seuil alerte DDM (jours)",Config!A:A,0)),"Proche","OK")))</f>
        <v>#ERROR!</v>
      </c>
      <c r="H121" s="385" t="str">
        <f>IF(G121="","",IF(G121="Expire","Detruire ou reanalyse urgent",IF(G121="Proche","Priorite vente / marche prochain","RAS")))</f>
        <v>#ERROR!</v>
      </c>
      <c r="I121" s="386"/>
    </row>
    <row r="122" ht="15.0" customHeight="1">
      <c r="A122" s="282"/>
      <c r="B122" s="235" t="str">
        <f>IFERROR(INDEX('Fiche Lot'!C:C,MATCH(A122,'Fiche Lot'!A:A,0)),"")</f>
        <v>#ERROR!</v>
      </c>
      <c r="C122" s="235" t="str">
        <f>IFERROR(INDEX('Fiche Lot'!E:E,MATCH(A122,'Fiche Lot'!A:A,0)),"")</f>
        <v>#ERROR!</v>
      </c>
      <c r="D122" s="235" t="str">
        <f>IFERROR(INDEX('Fiche Lot'!H:H,MATCH(A122,'Fiche Lot'!A:A,0)),"")</f>
        <v>#ERROR!</v>
      </c>
      <c r="E122" s="387" t="str">
        <f>IFERROR(INDEX('Fiche Lot'!L:L,MATCH(A122,'Fiche Lot'!A:A,0)),"")</f>
        <v>#ERROR!</v>
      </c>
      <c r="F122" s="388" t="str">
        <f>IF(E122="","",E122-TODAY())</f>
        <v>#ERROR!</v>
      </c>
      <c r="G122" s="389" t="str">
        <f>IF(F122="","",IF(F122&lt;0,"Expire",IF(F122&lt;INDEX(Config!B:B,MATCH("Seuil alerte DDM (jours)",Config!A:A,0)),"Proche","OK")))</f>
        <v>#ERROR!</v>
      </c>
      <c r="H122" s="389" t="str">
        <f>IF(G122="","",IF(G122="Expire","Detruire ou reanalyse urgent",IF(G122="Proche","Priorite vente / marche prochain","RAS")))</f>
        <v>#ERROR!</v>
      </c>
      <c r="I122" s="390"/>
    </row>
    <row r="123" ht="15.0" customHeight="1">
      <c r="A123" s="282"/>
      <c r="B123" s="227" t="str">
        <f>IFERROR(INDEX('Fiche Lot'!C:C,MATCH(A123,'Fiche Lot'!A:A,0)),"")</f>
        <v>#ERROR!</v>
      </c>
      <c r="C123" s="227" t="str">
        <f>IFERROR(INDEX('Fiche Lot'!E:E,MATCH(A123,'Fiche Lot'!A:A,0)),"")</f>
        <v>#ERROR!</v>
      </c>
      <c r="D123" s="227" t="str">
        <f>IFERROR(INDEX('Fiche Lot'!H:H,MATCH(A123,'Fiche Lot'!A:A,0)),"")</f>
        <v>#ERROR!</v>
      </c>
      <c r="E123" s="383" t="str">
        <f>IFERROR(INDEX('Fiche Lot'!L:L,MATCH(A123,'Fiche Lot'!A:A,0)),"")</f>
        <v>#ERROR!</v>
      </c>
      <c r="F123" s="384" t="str">
        <f>IF(E123="","",E123-TODAY())</f>
        <v>#ERROR!</v>
      </c>
      <c r="G123" s="385" t="str">
        <f>IF(F123="","",IF(F123&lt;0,"Expire",IF(F123&lt;INDEX(Config!B:B,MATCH("Seuil alerte DDM (jours)",Config!A:A,0)),"Proche","OK")))</f>
        <v>#ERROR!</v>
      </c>
      <c r="H123" s="385" t="str">
        <f>IF(G123="","",IF(G123="Expire","Detruire ou reanalyse urgent",IF(G123="Proche","Priorite vente / marche prochain","RAS")))</f>
        <v>#ERROR!</v>
      </c>
      <c r="I123" s="386"/>
    </row>
    <row r="124" ht="15.0" customHeight="1">
      <c r="A124" s="282"/>
      <c r="B124" s="235" t="str">
        <f>IFERROR(INDEX('Fiche Lot'!C:C,MATCH(A124,'Fiche Lot'!A:A,0)),"")</f>
        <v>#ERROR!</v>
      </c>
      <c r="C124" s="235" t="str">
        <f>IFERROR(INDEX('Fiche Lot'!E:E,MATCH(A124,'Fiche Lot'!A:A,0)),"")</f>
        <v>#ERROR!</v>
      </c>
      <c r="D124" s="235" t="str">
        <f>IFERROR(INDEX('Fiche Lot'!H:H,MATCH(A124,'Fiche Lot'!A:A,0)),"")</f>
        <v>#ERROR!</v>
      </c>
      <c r="E124" s="387" t="str">
        <f>IFERROR(INDEX('Fiche Lot'!L:L,MATCH(A124,'Fiche Lot'!A:A,0)),"")</f>
        <v>#ERROR!</v>
      </c>
      <c r="F124" s="388" t="str">
        <f>IF(E124="","",E124-TODAY())</f>
        <v>#ERROR!</v>
      </c>
      <c r="G124" s="389" t="str">
        <f>IF(F124="","",IF(F124&lt;0,"Expire",IF(F124&lt;INDEX(Config!B:B,MATCH("Seuil alerte DDM (jours)",Config!A:A,0)),"Proche","OK")))</f>
        <v>#ERROR!</v>
      </c>
      <c r="H124" s="389" t="str">
        <f>IF(G124="","",IF(G124="Expire","Detruire ou reanalyse urgent",IF(G124="Proche","Priorite vente / marche prochain","RAS")))</f>
        <v>#ERROR!</v>
      </c>
      <c r="I124" s="390"/>
    </row>
    <row r="125" ht="15.0" customHeight="1">
      <c r="A125" s="282"/>
      <c r="B125" s="227" t="str">
        <f>IFERROR(INDEX('Fiche Lot'!C:C,MATCH(A125,'Fiche Lot'!A:A,0)),"")</f>
        <v>#ERROR!</v>
      </c>
      <c r="C125" s="227" t="str">
        <f>IFERROR(INDEX('Fiche Lot'!E:E,MATCH(A125,'Fiche Lot'!A:A,0)),"")</f>
        <v>#ERROR!</v>
      </c>
      <c r="D125" s="227" t="str">
        <f>IFERROR(INDEX('Fiche Lot'!H:H,MATCH(A125,'Fiche Lot'!A:A,0)),"")</f>
        <v>#ERROR!</v>
      </c>
      <c r="E125" s="383" t="str">
        <f>IFERROR(INDEX('Fiche Lot'!L:L,MATCH(A125,'Fiche Lot'!A:A,0)),"")</f>
        <v>#ERROR!</v>
      </c>
      <c r="F125" s="384" t="str">
        <f>IF(E125="","",E125-TODAY())</f>
        <v>#ERROR!</v>
      </c>
      <c r="G125" s="385" t="str">
        <f>IF(F125="","",IF(F125&lt;0,"Expire",IF(F125&lt;INDEX(Config!B:B,MATCH("Seuil alerte DDM (jours)",Config!A:A,0)),"Proche","OK")))</f>
        <v>#ERROR!</v>
      </c>
      <c r="H125" s="385" t="str">
        <f>IF(G125="","",IF(G125="Expire","Detruire ou reanalyse urgent",IF(G125="Proche","Priorite vente / marche prochain","RAS")))</f>
        <v>#ERROR!</v>
      </c>
      <c r="I125" s="386"/>
    </row>
    <row r="126" ht="15.0" customHeight="1">
      <c r="A126" s="282"/>
      <c r="B126" s="235" t="str">
        <f>IFERROR(INDEX('Fiche Lot'!C:C,MATCH(A126,'Fiche Lot'!A:A,0)),"")</f>
        <v>#ERROR!</v>
      </c>
      <c r="C126" s="235" t="str">
        <f>IFERROR(INDEX('Fiche Lot'!E:E,MATCH(A126,'Fiche Lot'!A:A,0)),"")</f>
        <v>#ERROR!</v>
      </c>
      <c r="D126" s="235" t="str">
        <f>IFERROR(INDEX('Fiche Lot'!H:H,MATCH(A126,'Fiche Lot'!A:A,0)),"")</f>
        <v>#ERROR!</v>
      </c>
      <c r="E126" s="387" t="str">
        <f>IFERROR(INDEX('Fiche Lot'!L:L,MATCH(A126,'Fiche Lot'!A:A,0)),"")</f>
        <v>#ERROR!</v>
      </c>
      <c r="F126" s="388" t="str">
        <f>IF(E126="","",E126-TODAY())</f>
        <v>#ERROR!</v>
      </c>
      <c r="G126" s="389" t="str">
        <f>IF(F126="","",IF(F126&lt;0,"Expire",IF(F126&lt;INDEX(Config!B:B,MATCH("Seuil alerte DDM (jours)",Config!A:A,0)),"Proche","OK")))</f>
        <v>#ERROR!</v>
      </c>
      <c r="H126" s="389" t="str">
        <f>IF(G126="","",IF(G126="Expire","Detruire ou reanalyse urgent",IF(G126="Proche","Priorite vente / marche prochain","RAS")))</f>
        <v>#ERROR!</v>
      </c>
      <c r="I126" s="390"/>
    </row>
    <row r="127" ht="15.0" customHeight="1">
      <c r="A127" s="282"/>
      <c r="B127" s="227" t="str">
        <f>IFERROR(INDEX('Fiche Lot'!C:C,MATCH(A127,'Fiche Lot'!A:A,0)),"")</f>
        <v>#ERROR!</v>
      </c>
      <c r="C127" s="227" t="str">
        <f>IFERROR(INDEX('Fiche Lot'!E:E,MATCH(A127,'Fiche Lot'!A:A,0)),"")</f>
        <v>#ERROR!</v>
      </c>
      <c r="D127" s="227" t="str">
        <f>IFERROR(INDEX('Fiche Lot'!H:H,MATCH(A127,'Fiche Lot'!A:A,0)),"")</f>
        <v>#ERROR!</v>
      </c>
      <c r="E127" s="383" t="str">
        <f>IFERROR(INDEX('Fiche Lot'!L:L,MATCH(A127,'Fiche Lot'!A:A,0)),"")</f>
        <v>#ERROR!</v>
      </c>
      <c r="F127" s="384" t="str">
        <f>IF(E127="","",E127-TODAY())</f>
        <v>#ERROR!</v>
      </c>
      <c r="G127" s="385" t="str">
        <f>IF(F127="","",IF(F127&lt;0,"Expire",IF(F127&lt;INDEX(Config!B:B,MATCH("Seuil alerte DDM (jours)",Config!A:A,0)),"Proche","OK")))</f>
        <v>#ERROR!</v>
      </c>
      <c r="H127" s="385" t="str">
        <f>IF(G127="","",IF(G127="Expire","Detruire ou reanalyse urgent",IF(G127="Proche","Priorite vente / marche prochain","RAS")))</f>
        <v>#ERROR!</v>
      </c>
      <c r="I127" s="386"/>
    </row>
    <row r="128" ht="15.0" customHeight="1">
      <c r="A128" s="282"/>
      <c r="B128" s="235" t="str">
        <f>IFERROR(INDEX('Fiche Lot'!C:C,MATCH(A128,'Fiche Lot'!A:A,0)),"")</f>
        <v>#ERROR!</v>
      </c>
      <c r="C128" s="235" t="str">
        <f>IFERROR(INDEX('Fiche Lot'!E:E,MATCH(A128,'Fiche Lot'!A:A,0)),"")</f>
        <v>#ERROR!</v>
      </c>
      <c r="D128" s="235" t="str">
        <f>IFERROR(INDEX('Fiche Lot'!H:H,MATCH(A128,'Fiche Lot'!A:A,0)),"")</f>
        <v>#ERROR!</v>
      </c>
      <c r="E128" s="387" t="str">
        <f>IFERROR(INDEX('Fiche Lot'!L:L,MATCH(A128,'Fiche Lot'!A:A,0)),"")</f>
        <v>#ERROR!</v>
      </c>
      <c r="F128" s="388" t="str">
        <f>IF(E128="","",E128-TODAY())</f>
        <v>#ERROR!</v>
      </c>
      <c r="G128" s="389" t="str">
        <f>IF(F128="","",IF(F128&lt;0,"Expire",IF(F128&lt;INDEX(Config!B:B,MATCH("Seuil alerte DDM (jours)",Config!A:A,0)),"Proche","OK")))</f>
        <v>#ERROR!</v>
      </c>
      <c r="H128" s="389" t="str">
        <f>IF(G128="","",IF(G128="Expire","Detruire ou reanalyse urgent",IF(G128="Proche","Priorite vente / marche prochain","RAS")))</f>
        <v>#ERROR!</v>
      </c>
      <c r="I128" s="390"/>
    </row>
    <row r="129" ht="15.0" customHeight="1">
      <c r="A129" s="282"/>
      <c r="B129" s="227" t="str">
        <f>IFERROR(INDEX('Fiche Lot'!C:C,MATCH(A129,'Fiche Lot'!A:A,0)),"")</f>
        <v>#ERROR!</v>
      </c>
      <c r="C129" s="227" t="str">
        <f>IFERROR(INDEX('Fiche Lot'!E:E,MATCH(A129,'Fiche Lot'!A:A,0)),"")</f>
        <v>#ERROR!</v>
      </c>
      <c r="D129" s="227" t="str">
        <f>IFERROR(INDEX('Fiche Lot'!H:H,MATCH(A129,'Fiche Lot'!A:A,0)),"")</f>
        <v>#ERROR!</v>
      </c>
      <c r="E129" s="383" t="str">
        <f>IFERROR(INDEX('Fiche Lot'!L:L,MATCH(A129,'Fiche Lot'!A:A,0)),"")</f>
        <v>#ERROR!</v>
      </c>
      <c r="F129" s="384" t="str">
        <f>IF(E129="","",E129-TODAY())</f>
        <v>#ERROR!</v>
      </c>
      <c r="G129" s="385" t="str">
        <f>IF(F129="","",IF(F129&lt;0,"Expire",IF(F129&lt;INDEX(Config!B:B,MATCH("Seuil alerte DDM (jours)",Config!A:A,0)),"Proche","OK")))</f>
        <v>#ERROR!</v>
      </c>
      <c r="H129" s="385" t="str">
        <f>IF(G129="","",IF(G129="Expire","Detruire ou reanalyse urgent",IF(G129="Proche","Priorite vente / marche prochain","RAS")))</f>
        <v>#ERROR!</v>
      </c>
      <c r="I129" s="386"/>
    </row>
    <row r="130" ht="15.0" customHeight="1">
      <c r="A130" s="282"/>
      <c r="B130" s="235" t="str">
        <f>IFERROR(INDEX('Fiche Lot'!C:C,MATCH(A130,'Fiche Lot'!A:A,0)),"")</f>
        <v>#ERROR!</v>
      </c>
      <c r="C130" s="235" t="str">
        <f>IFERROR(INDEX('Fiche Lot'!E:E,MATCH(A130,'Fiche Lot'!A:A,0)),"")</f>
        <v>#ERROR!</v>
      </c>
      <c r="D130" s="235" t="str">
        <f>IFERROR(INDEX('Fiche Lot'!H:H,MATCH(A130,'Fiche Lot'!A:A,0)),"")</f>
        <v>#ERROR!</v>
      </c>
      <c r="E130" s="387" t="str">
        <f>IFERROR(INDEX('Fiche Lot'!L:L,MATCH(A130,'Fiche Lot'!A:A,0)),"")</f>
        <v>#ERROR!</v>
      </c>
      <c r="F130" s="388" t="str">
        <f>IF(E130="","",E130-TODAY())</f>
        <v>#ERROR!</v>
      </c>
      <c r="G130" s="389" t="str">
        <f>IF(F130="","",IF(F130&lt;0,"Expire",IF(F130&lt;INDEX(Config!B:B,MATCH("Seuil alerte DDM (jours)",Config!A:A,0)),"Proche","OK")))</f>
        <v>#ERROR!</v>
      </c>
      <c r="H130" s="389" t="str">
        <f>IF(G130="","",IF(G130="Expire","Detruire ou reanalyse urgent",IF(G130="Proche","Priorite vente / marche prochain","RAS")))</f>
        <v>#ERROR!</v>
      </c>
      <c r="I130" s="390"/>
    </row>
    <row r="131" ht="15.0" customHeight="1">
      <c r="A131" s="282"/>
      <c r="B131" s="227" t="str">
        <f>IFERROR(INDEX('Fiche Lot'!C:C,MATCH(A131,'Fiche Lot'!A:A,0)),"")</f>
        <v>#ERROR!</v>
      </c>
      <c r="C131" s="227" t="str">
        <f>IFERROR(INDEX('Fiche Lot'!E:E,MATCH(A131,'Fiche Lot'!A:A,0)),"")</f>
        <v>#ERROR!</v>
      </c>
      <c r="D131" s="227" t="str">
        <f>IFERROR(INDEX('Fiche Lot'!H:H,MATCH(A131,'Fiche Lot'!A:A,0)),"")</f>
        <v>#ERROR!</v>
      </c>
      <c r="E131" s="383" t="str">
        <f>IFERROR(INDEX('Fiche Lot'!L:L,MATCH(A131,'Fiche Lot'!A:A,0)),"")</f>
        <v>#ERROR!</v>
      </c>
      <c r="F131" s="384" t="str">
        <f>IF(E131="","",E131-TODAY())</f>
        <v>#ERROR!</v>
      </c>
      <c r="G131" s="385" t="str">
        <f>IF(F131="","",IF(F131&lt;0,"Expire",IF(F131&lt;INDEX(Config!B:B,MATCH("Seuil alerte DDM (jours)",Config!A:A,0)),"Proche","OK")))</f>
        <v>#ERROR!</v>
      </c>
      <c r="H131" s="385" t="str">
        <f>IF(G131="","",IF(G131="Expire","Detruire ou reanalyse urgent",IF(G131="Proche","Priorite vente / marche prochain","RAS")))</f>
        <v>#ERROR!</v>
      </c>
      <c r="I131" s="386"/>
    </row>
    <row r="132" ht="15.0" customHeight="1">
      <c r="A132" s="282"/>
      <c r="B132" s="235" t="str">
        <f>IFERROR(INDEX('Fiche Lot'!C:C,MATCH(A132,'Fiche Lot'!A:A,0)),"")</f>
        <v>#ERROR!</v>
      </c>
      <c r="C132" s="235" t="str">
        <f>IFERROR(INDEX('Fiche Lot'!E:E,MATCH(A132,'Fiche Lot'!A:A,0)),"")</f>
        <v>#ERROR!</v>
      </c>
      <c r="D132" s="235" t="str">
        <f>IFERROR(INDEX('Fiche Lot'!H:H,MATCH(A132,'Fiche Lot'!A:A,0)),"")</f>
        <v>#ERROR!</v>
      </c>
      <c r="E132" s="387" t="str">
        <f>IFERROR(INDEX('Fiche Lot'!L:L,MATCH(A132,'Fiche Lot'!A:A,0)),"")</f>
        <v>#ERROR!</v>
      </c>
      <c r="F132" s="388" t="str">
        <f>IF(E132="","",E132-TODAY())</f>
        <v>#ERROR!</v>
      </c>
      <c r="G132" s="389" t="str">
        <f>IF(F132="","",IF(F132&lt;0,"Expire",IF(F132&lt;INDEX(Config!B:B,MATCH("Seuil alerte DDM (jours)",Config!A:A,0)),"Proche","OK")))</f>
        <v>#ERROR!</v>
      </c>
      <c r="H132" s="389" t="str">
        <f>IF(G132="","",IF(G132="Expire","Detruire ou reanalyse urgent",IF(G132="Proche","Priorite vente / marche prochain","RAS")))</f>
        <v>#ERROR!</v>
      </c>
      <c r="I132" s="390"/>
    </row>
    <row r="133" ht="15.0" customHeight="1">
      <c r="A133" s="282"/>
      <c r="B133" s="227" t="str">
        <f>IFERROR(INDEX('Fiche Lot'!C:C,MATCH(A133,'Fiche Lot'!A:A,0)),"")</f>
        <v>#ERROR!</v>
      </c>
      <c r="C133" s="227" t="str">
        <f>IFERROR(INDEX('Fiche Lot'!E:E,MATCH(A133,'Fiche Lot'!A:A,0)),"")</f>
        <v>#ERROR!</v>
      </c>
      <c r="D133" s="227" t="str">
        <f>IFERROR(INDEX('Fiche Lot'!H:H,MATCH(A133,'Fiche Lot'!A:A,0)),"")</f>
        <v>#ERROR!</v>
      </c>
      <c r="E133" s="383" t="str">
        <f>IFERROR(INDEX('Fiche Lot'!L:L,MATCH(A133,'Fiche Lot'!A:A,0)),"")</f>
        <v>#ERROR!</v>
      </c>
      <c r="F133" s="384" t="str">
        <f>IF(E133="","",E133-TODAY())</f>
        <v>#ERROR!</v>
      </c>
      <c r="G133" s="385" t="str">
        <f>IF(F133="","",IF(F133&lt;0,"Expire",IF(F133&lt;INDEX(Config!B:B,MATCH("Seuil alerte DDM (jours)",Config!A:A,0)),"Proche","OK")))</f>
        <v>#ERROR!</v>
      </c>
      <c r="H133" s="385" t="str">
        <f>IF(G133="","",IF(G133="Expire","Detruire ou reanalyse urgent",IF(G133="Proche","Priorite vente / marche prochain","RAS")))</f>
        <v>#ERROR!</v>
      </c>
      <c r="I133" s="386"/>
    </row>
    <row r="134" ht="15.0" customHeight="1">
      <c r="A134" s="282"/>
      <c r="B134" s="235" t="str">
        <f>IFERROR(INDEX('Fiche Lot'!C:C,MATCH(A134,'Fiche Lot'!A:A,0)),"")</f>
        <v>#ERROR!</v>
      </c>
      <c r="C134" s="235" t="str">
        <f>IFERROR(INDEX('Fiche Lot'!E:E,MATCH(A134,'Fiche Lot'!A:A,0)),"")</f>
        <v>#ERROR!</v>
      </c>
      <c r="D134" s="235" t="str">
        <f>IFERROR(INDEX('Fiche Lot'!H:H,MATCH(A134,'Fiche Lot'!A:A,0)),"")</f>
        <v>#ERROR!</v>
      </c>
      <c r="E134" s="387" t="str">
        <f>IFERROR(INDEX('Fiche Lot'!L:L,MATCH(A134,'Fiche Lot'!A:A,0)),"")</f>
        <v>#ERROR!</v>
      </c>
      <c r="F134" s="388" t="str">
        <f>IF(E134="","",E134-TODAY())</f>
        <v>#ERROR!</v>
      </c>
      <c r="G134" s="389" t="str">
        <f>IF(F134="","",IF(F134&lt;0,"Expire",IF(F134&lt;INDEX(Config!B:B,MATCH("Seuil alerte DDM (jours)",Config!A:A,0)),"Proche","OK")))</f>
        <v>#ERROR!</v>
      </c>
      <c r="H134" s="389" t="str">
        <f>IF(G134="","",IF(G134="Expire","Detruire ou reanalyse urgent",IF(G134="Proche","Priorite vente / marche prochain","RAS")))</f>
        <v>#ERROR!</v>
      </c>
      <c r="I134" s="390"/>
    </row>
    <row r="135" ht="15.0" customHeight="1">
      <c r="A135" s="282"/>
      <c r="B135" s="227" t="str">
        <f>IFERROR(INDEX('Fiche Lot'!C:C,MATCH(A135,'Fiche Lot'!A:A,0)),"")</f>
        <v>#ERROR!</v>
      </c>
      <c r="C135" s="227" t="str">
        <f>IFERROR(INDEX('Fiche Lot'!E:E,MATCH(A135,'Fiche Lot'!A:A,0)),"")</f>
        <v>#ERROR!</v>
      </c>
      <c r="D135" s="227" t="str">
        <f>IFERROR(INDEX('Fiche Lot'!H:H,MATCH(A135,'Fiche Lot'!A:A,0)),"")</f>
        <v>#ERROR!</v>
      </c>
      <c r="E135" s="383" t="str">
        <f>IFERROR(INDEX('Fiche Lot'!L:L,MATCH(A135,'Fiche Lot'!A:A,0)),"")</f>
        <v>#ERROR!</v>
      </c>
      <c r="F135" s="384" t="str">
        <f>IF(E135="","",E135-TODAY())</f>
        <v>#ERROR!</v>
      </c>
      <c r="G135" s="385" t="str">
        <f>IF(F135="","",IF(F135&lt;0,"Expire",IF(F135&lt;INDEX(Config!B:B,MATCH("Seuil alerte DDM (jours)",Config!A:A,0)),"Proche","OK")))</f>
        <v>#ERROR!</v>
      </c>
      <c r="H135" s="385" t="str">
        <f>IF(G135="","",IF(G135="Expire","Detruire ou reanalyse urgent",IF(G135="Proche","Priorite vente / marche prochain","RAS")))</f>
        <v>#ERROR!</v>
      </c>
      <c r="I135" s="386"/>
    </row>
    <row r="136" ht="15.0" customHeight="1">
      <c r="A136" s="282"/>
      <c r="B136" s="235" t="str">
        <f>IFERROR(INDEX('Fiche Lot'!C:C,MATCH(A136,'Fiche Lot'!A:A,0)),"")</f>
        <v>#ERROR!</v>
      </c>
      <c r="C136" s="235" t="str">
        <f>IFERROR(INDEX('Fiche Lot'!E:E,MATCH(A136,'Fiche Lot'!A:A,0)),"")</f>
        <v>#ERROR!</v>
      </c>
      <c r="D136" s="235" t="str">
        <f>IFERROR(INDEX('Fiche Lot'!H:H,MATCH(A136,'Fiche Lot'!A:A,0)),"")</f>
        <v>#ERROR!</v>
      </c>
      <c r="E136" s="387" t="str">
        <f>IFERROR(INDEX('Fiche Lot'!L:L,MATCH(A136,'Fiche Lot'!A:A,0)),"")</f>
        <v>#ERROR!</v>
      </c>
      <c r="F136" s="388" t="str">
        <f>IF(E136="","",E136-TODAY())</f>
        <v>#ERROR!</v>
      </c>
      <c r="G136" s="389" t="str">
        <f>IF(F136="","",IF(F136&lt;0,"Expire",IF(F136&lt;INDEX(Config!B:B,MATCH("Seuil alerte DDM (jours)",Config!A:A,0)),"Proche","OK")))</f>
        <v>#ERROR!</v>
      </c>
      <c r="H136" s="389" t="str">
        <f>IF(G136="","",IF(G136="Expire","Detruire ou reanalyse urgent",IF(G136="Proche","Priorite vente / marche prochain","RAS")))</f>
        <v>#ERROR!</v>
      </c>
      <c r="I136" s="390"/>
    </row>
    <row r="137" ht="15.0" customHeight="1">
      <c r="A137" s="282"/>
      <c r="B137" s="227" t="str">
        <f>IFERROR(INDEX('Fiche Lot'!C:C,MATCH(A137,'Fiche Lot'!A:A,0)),"")</f>
        <v>#ERROR!</v>
      </c>
      <c r="C137" s="227" t="str">
        <f>IFERROR(INDEX('Fiche Lot'!E:E,MATCH(A137,'Fiche Lot'!A:A,0)),"")</f>
        <v>#ERROR!</v>
      </c>
      <c r="D137" s="227" t="str">
        <f>IFERROR(INDEX('Fiche Lot'!H:H,MATCH(A137,'Fiche Lot'!A:A,0)),"")</f>
        <v>#ERROR!</v>
      </c>
      <c r="E137" s="383" t="str">
        <f>IFERROR(INDEX('Fiche Lot'!L:L,MATCH(A137,'Fiche Lot'!A:A,0)),"")</f>
        <v>#ERROR!</v>
      </c>
      <c r="F137" s="384" t="str">
        <f>IF(E137="","",E137-TODAY())</f>
        <v>#ERROR!</v>
      </c>
      <c r="G137" s="385" t="str">
        <f>IF(F137="","",IF(F137&lt;0,"Expire",IF(F137&lt;INDEX(Config!B:B,MATCH("Seuil alerte DDM (jours)",Config!A:A,0)),"Proche","OK")))</f>
        <v>#ERROR!</v>
      </c>
      <c r="H137" s="385" t="str">
        <f>IF(G137="","",IF(G137="Expire","Detruire ou reanalyse urgent",IF(G137="Proche","Priorite vente / marche prochain","RAS")))</f>
        <v>#ERROR!</v>
      </c>
      <c r="I137" s="386"/>
    </row>
    <row r="138" ht="15.0" customHeight="1">
      <c r="A138" s="282"/>
      <c r="B138" s="235" t="str">
        <f>IFERROR(INDEX('Fiche Lot'!C:C,MATCH(A138,'Fiche Lot'!A:A,0)),"")</f>
        <v>#ERROR!</v>
      </c>
      <c r="C138" s="235" t="str">
        <f>IFERROR(INDEX('Fiche Lot'!E:E,MATCH(A138,'Fiche Lot'!A:A,0)),"")</f>
        <v>#ERROR!</v>
      </c>
      <c r="D138" s="235" t="str">
        <f>IFERROR(INDEX('Fiche Lot'!H:H,MATCH(A138,'Fiche Lot'!A:A,0)),"")</f>
        <v>#ERROR!</v>
      </c>
      <c r="E138" s="387" t="str">
        <f>IFERROR(INDEX('Fiche Lot'!L:L,MATCH(A138,'Fiche Lot'!A:A,0)),"")</f>
        <v>#ERROR!</v>
      </c>
      <c r="F138" s="388" t="str">
        <f>IF(E138="","",E138-TODAY())</f>
        <v>#ERROR!</v>
      </c>
      <c r="G138" s="389" t="str">
        <f>IF(F138="","",IF(F138&lt;0,"Expire",IF(F138&lt;INDEX(Config!B:B,MATCH("Seuil alerte DDM (jours)",Config!A:A,0)),"Proche","OK")))</f>
        <v>#ERROR!</v>
      </c>
      <c r="H138" s="389" t="str">
        <f>IF(G138="","",IF(G138="Expire","Detruire ou reanalyse urgent",IF(G138="Proche","Priorite vente / marche prochain","RAS")))</f>
        <v>#ERROR!</v>
      </c>
      <c r="I138" s="390"/>
    </row>
    <row r="139" ht="15.0" customHeight="1">
      <c r="A139" s="282"/>
      <c r="B139" s="227" t="str">
        <f>IFERROR(INDEX('Fiche Lot'!C:C,MATCH(A139,'Fiche Lot'!A:A,0)),"")</f>
        <v>#ERROR!</v>
      </c>
      <c r="C139" s="227" t="str">
        <f>IFERROR(INDEX('Fiche Lot'!E:E,MATCH(A139,'Fiche Lot'!A:A,0)),"")</f>
        <v>#ERROR!</v>
      </c>
      <c r="D139" s="227" t="str">
        <f>IFERROR(INDEX('Fiche Lot'!H:H,MATCH(A139,'Fiche Lot'!A:A,0)),"")</f>
        <v>#ERROR!</v>
      </c>
      <c r="E139" s="383" t="str">
        <f>IFERROR(INDEX('Fiche Lot'!L:L,MATCH(A139,'Fiche Lot'!A:A,0)),"")</f>
        <v>#ERROR!</v>
      </c>
      <c r="F139" s="384" t="str">
        <f>IF(E139="","",E139-TODAY())</f>
        <v>#ERROR!</v>
      </c>
      <c r="G139" s="385" t="str">
        <f>IF(F139="","",IF(F139&lt;0,"Expire",IF(F139&lt;INDEX(Config!B:B,MATCH("Seuil alerte DDM (jours)",Config!A:A,0)),"Proche","OK")))</f>
        <v>#ERROR!</v>
      </c>
      <c r="H139" s="385" t="str">
        <f>IF(G139="","",IF(G139="Expire","Detruire ou reanalyse urgent",IF(G139="Proche","Priorite vente / marche prochain","RAS")))</f>
        <v>#ERROR!</v>
      </c>
      <c r="I139" s="386"/>
    </row>
    <row r="140" ht="15.0" customHeight="1">
      <c r="A140" s="282"/>
      <c r="B140" s="235" t="str">
        <f>IFERROR(INDEX('Fiche Lot'!C:C,MATCH(A140,'Fiche Lot'!A:A,0)),"")</f>
        <v>#ERROR!</v>
      </c>
      <c r="C140" s="235" t="str">
        <f>IFERROR(INDEX('Fiche Lot'!E:E,MATCH(A140,'Fiche Lot'!A:A,0)),"")</f>
        <v>#ERROR!</v>
      </c>
      <c r="D140" s="235" t="str">
        <f>IFERROR(INDEX('Fiche Lot'!H:H,MATCH(A140,'Fiche Lot'!A:A,0)),"")</f>
        <v>#ERROR!</v>
      </c>
      <c r="E140" s="387" t="str">
        <f>IFERROR(INDEX('Fiche Lot'!L:L,MATCH(A140,'Fiche Lot'!A:A,0)),"")</f>
        <v>#ERROR!</v>
      </c>
      <c r="F140" s="388" t="str">
        <f>IF(E140="","",E140-TODAY())</f>
        <v>#ERROR!</v>
      </c>
      <c r="G140" s="389" t="str">
        <f>IF(F140="","",IF(F140&lt;0,"Expire",IF(F140&lt;INDEX(Config!B:B,MATCH("Seuil alerte DDM (jours)",Config!A:A,0)),"Proche","OK")))</f>
        <v>#ERROR!</v>
      </c>
      <c r="H140" s="389" t="str">
        <f>IF(G140="","",IF(G140="Expire","Detruire ou reanalyse urgent",IF(G140="Proche","Priorite vente / marche prochain","RAS")))</f>
        <v>#ERROR!</v>
      </c>
      <c r="I140" s="390"/>
    </row>
    <row r="141" ht="15.0" customHeight="1">
      <c r="A141" s="282"/>
      <c r="B141" s="227" t="str">
        <f>IFERROR(INDEX('Fiche Lot'!C:C,MATCH(A141,'Fiche Lot'!A:A,0)),"")</f>
        <v>#ERROR!</v>
      </c>
      <c r="C141" s="227" t="str">
        <f>IFERROR(INDEX('Fiche Lot'!E:E,MATCH(A141,'Fiche Lot'!A:A,0)),"")</f>
        <v>#ERROR!</v>
      </c>
      <c r="D141" s="227" t="str">
        <f>IFERROR(INDEX('Fiche Lot'!H:H,MATCH(A141,'Fiche Lot'!A:A,0)),"")</f>
        <v>#ERROR!</v>
      </c>
      <c r="E141" s="383" t="str">
        <f>IFERROR(INDEX('Fiche Lot'!L:L,MATCH(A141,'Fiche Lot'!A:A,0)),"")</f>
        <v>#ERROR!</v>
      </c>
      <c r="F141" s="384" t="str">
        <f>IF(E141="","",E141-TODAY())</f>
        <v>#ERROR!</v>
      </c>
      <c r="G141" s="385" t="str">
        <f>IF(F141="","",IF(F141&lt;0,"Expire",IF(F141&lt;INDEX(Config!B:B,MATCH("Seuil alerte DDM (jours)",Config!A:A,0)),"Proche","OK")))</f>
        <v>#ERROR!</v>
      </c>
      <c r="H141" s="385" t="str">
        <f>IF(G141="","",IF(G141="Expire","Detruire ou reanalyse urgent",IF(G141="Proche","Priorite vente / marche prochain","RAS")))</f>
        <v>#ERROR!</v>
      </c>
      <c r="I141" s="386"/>
    </row>
    <row r="142" ht="15.0" customHeight="1">
      <c r="A142" s="282"/>
      <c r="B142" s="235" t="str">
        <f>IFERROR(INDEX('Fiche Lot'!C:C,MATCH(A142,'Fiche Lot'!A:A,0)),"")</f>
        <v>#ERROR!</v>
      </c>
      <c r="C142" s="235" t="str">
        <f>IFERROR(INDEX('Fiche Lot'!E:E,MATCH(A142,'Fiche Lot'!A:A,0)),"")</f>
        <v>#ERROR!</v>
      </c>
      <c r="D142" s="235" t="str">
        <f>IFERROR(INDEX('Fiche Lot'!H:H,MATCH(A142,'Fiche Lot'!A:A,0)),"")</f>
        <v>#ERROR!</v>
      </c>
      <c r="E142" s="387" t="str">
        <f>IFERROR(INDEX('Fiche Lot'!L:L,MATCH(A142,'Fiche Lot'!A:A,0)),"")</f>
        <v>#ERROR!</v>
      </c>
      <c r="F142" s="388" t="str">
        <f>IF(E142="","",E142-TODAY())</f>
        <v>#ERROR!</v>
      </c>
      <c r="G142" s="389" t="str">
        <f>IF(F142="","",IF(F142&lt;0,"Expire",IF(F142&lt;INDEX(Config!B:B,MATCH("Seuil alerte DDM (jours)",Config!A:A,0)),"Proche","OK")))</f>
        <v>#ERROR!</v>
      </c>
      <c r="H142" s="389" t="str">
        <f>IF(G142="","",IF(G142="Expire","Detruire ou reanalyse urgent",IF(G142="Proche","Priorite vente / marche prochain","RAS")))</f>
        <v>#ERROR!</v>
      </c>
      <c r="I142" s="390"/>
    </row>
    <row r="143" ht="15.0" customHeight="1">
      <c r="A143" s="282"/>
      <c r="B143" s="227" t="str">
        <f>IFERROR(INDEX('Fiche Lot'!C:C,MATCH(A143,'Fiche Lot'!A:A,0)),"")</f>
        <v>#ERROR!</v>
      </c>
      <c r="C143" s="227" t="str">
        <f>IFERROR(INDEX('Fiche Lot'!E:E,MATCH(A143,'Fiche Lot'!A:A,0)),"")</f>
        <v>#ERROR!</v>
      </c>
      <c r="D143" s="227" t="str">
        <f>IFERROR(INDEX('Fiche Lot'!H:H,MATCH(A143,'Fiche Lot'!A:A,0)),"")</f>
        <v>#ERROR!</v>
      </c>
      <c r="E143" s="383" t="str">
        <f>IFERROR(INDEX('Fiche Lot'!L:L,MATCH(A143,'Fiche Lot'!A:A,0)),"")</f>
        <v>#ERROR!</v>
      </c>
      <c r="F143" s="384" t="str">
        <f>IF(E143="","",E143-TODAY())</f>
        <v>#ERROR!</v>
      </c>
      <c r="G143" s="385" t="str">
        <f>IF(F143="","",IF(F143&lt;0,"Expire",IF(F143&lt;INDEX(Config!B:B,MATCH("Seuil alerte DDM (jours)",Config!A:A,0)),"Proche","OK")))</f>
        <v>#ERROR!</v>
      </c>
      <c r="H143" s="385" t="str">
        <f>IF(G143="","",IF(G143="Expire","Detruire ou reanalyse urgent",IF(G143="Proche","Priorite vente / marche prochain","RAS")))</f>
        <v>#ERROR!</v>
      </c>
      <c r="I143" s="386"/>
    </row>
    <row r="144" ht="15.0" customHeight="1">
      <c r="A144" s="282"/>
      <c r="B144" s="235" t="str">
        <f>IFERROR(INDEX('Fiche Lot'!C:C,MATCH(A144,'Fiche Lot'!A:A,0)),"")</f>
        <v>#ERROR!</v>
      </c>
      <c r="C144" s="235" t="str">
        <f>IFERROR(INDEX('Fiche Lot'!E:E,MATCH(A144,'Fiche Lot'!A:A,0)),"")</f>
        <v>#ERROR!</v>
      </c>
      <c r="D144" s="235" t="str">
        <f>IFERROR(INDEX('Fiche Lot'!H:H,MATCH(A144,'Fiche Lot'!A:A,0)),"")</f>
        <v>#ERROR!</v>
      </c>
      <c r="E144" s="387" t="str">
        <f>IFERROR(INDEX('Fiche Lot'!L:L,MATCH(A144,'Fiche Lot'!A:A,0)),"")</f>
        <v>#ERROR!</v>
      </c>
      <c r="F144" s="388" t="str">
        <f>IF(E144="","",E144-TODAY())</f>
        <v>#ERROR!</v>
      </c>
      <c r="G144" s="389" t="str">
        <f>IF(F144="","",IF(F144&lt;0,"Expire",IF(F144&lt;INDEX(Config!B:B,MATCH("Seuil alerte DDM (jours)",Config!A:A,0)),"Proche","OK")))</f>
        <v>#ERROR!</v>
      </c>
      <c r="H144" s="389" t="str">
        <f>IF(G144="","",IF(G144="Expire","Detruire ou reanalyse urgent",IF(G144="Proche","Priorite vente / marche prochain","RAS")))</f>
        <v>#ERROR!</v>
      </c>
      <c r="I144" s="390"/>
    </row>
    <row r="145" ht="15.0" customHeight="1">
      <c r="A145" s="282"/>
      <c r="B145" s="227" t="str">
        <f>IFERROR(INDEX('Fiche Lot'!C:C,MATCH(A145,'Fiche Lot'!A:A,0)),"")</f>
        <v>#ERROR!</v>
      </c>
      <c r="C145" s="227" t="str">
        <f>IFERROR(INDEX('Fiche Lot'!E:E,MATCH(A145,'Fiche Lot'!A:A,0)),"")</f>
        <v>#ERROR!</v>
      </c>
      <c r="D145" s="227" t="str">
        <f>IFERROR(INDEX('Fiche Lot'!H:H,MATCH(A145,'Fiche Lot'!A:A,0)),"")</f>
        <v>#ERROR!</v>
      </c>
      <c r="E145" s="383" t="str">
        <f>IFERROR(INDEX('Fiche Lot'!L:L,MATCH(A145,'Fiche Lot'!A:A,0)),"")</f>
        <v>#ERROR!</v>
      </c>
      <c r="F145" s="384" t="str">
        <f>IF(E145="","",E145-TODAY())</f>
        <v>#ERROR!</v>
      </c>
      <c r="G145" s="385" t="str">
        <f>IF(F145="","",IF(F145&lt;0,"Expire",IF(F145&lt;INDEX(Config!B:B,MATCH("Seuil alerte DDM (jours)",Config!A:A,0)),"Proche","OK")))</f>
        <v>#ERROR!</v>
      </c>
      <c r="H145" s="385" t="str">
        <f>IF(G145="","",IF(G145="Expire","Detruire ou reanalyse urgent",IF(G145="Proche","Priorite vente / marche prochain","RAS")))</f>
        <v>#ERROR!</v>
      </c>
      <c r="I145" s="386"/>
    </row>
    <row r="146" ht="15.0" customHeight="1">
      <c r="A146" s="282"/>
      <c r="B146" s="235" t="str">
        <f>IFERROR(INDEX('Fiche Lot'!C:C,MATCH(A146,'Fiche Lot'!A:A,0)),"")</f>
        <v>#ERROR!</v>
      </c>
      <c r="C146" s="235" t="str">
        <f>IFERROR(INDEX('Fiche Lot'!E:E,MATCH(A146,'Fiche Lot'!A:A,0)),"")</f>
        <v>#ERROR!</v>
      </c>
      <c r="D146" s="235" t="str">
        <f>IFERROR(INDEX('Fiche Lot'!H:H,MATCH(A146,'Fiche Lot'!A:A,0)),"")</f>
        <v>#ERROR!</v>
      </c>
      <c r="E146" s="387" t="str">
        <f>IFERROR(INDEX('Fiche Lot'!L:L,MATCH(A146,'Fiche Lot'!A:A,0)),"")</f>
        <v>#ERROR!</v>
      </c>
      <c r="F146" s="388" t="str">
        <f>IF(E146="","",E146-TODAY())</f>
        <v>#ERROR!</v>
      </c>
      <c r="G146" s="389" t="str">
        <f>IF(F146="","",IF(F146&lt;0,"Expire",IF(F146&lt;INDEX(Config!B:B,MATCH("Seuil alerte DDM (jours)",Config!A:A,0)),"Proche","OK")))</f>
        <v>#ERROR!</v>
      </c>
      <c r="H146" s="389" t="str">
        <f>IF(G146="","",IF(G146="Expire","Detruire ou reanalyse urgent",IF(G146="Proche","Priorite vente / marche prochain","RAS")))</f>
        <v>#ERROR!</v>
      </c>
      <c r="I146" s="390"/>
    </row>
    <row r="147" ht="15.0" customHeight="1">
      <c r="A147" s="282"/>
      <c r="B147" s="227" t="str">
        <f>IFERROR(INDEX('Fiche Lot'!C:C,MATCH(A147,'Fiche Lot'!A:A,0)),"")</f>
        <v>#ERROR!</v>
      </c>
      <c r="C147" s="227" t="str">
        <f>IFERROR(INDEX('Fiche Lot'!E:E,MATCH(A147,'Fiche Lot'!A:A,0)),"")</f>
        <v>#ERROR!</v>
      </c>
      <c r="D147" s="227" t="str">
        <f>IFERROR(INDEX('Fiche Lot'!H:H,MATCH(A147,'Fiche Lot'!A:A,0)),"")</f>
        <v>#ERROR!</v>
      </c>
      <c r="E147" s="383" t="str">
        <f>IFERROR(INDEX('Fiche Lot'!L:L,MATCH(A147,'Fiche Lot'!A:A,0)),"")</f>
        <v>#ERROR!</v>
      </c>
      <c r="F147" s="384" t="str">
        <f>IF(E147="","",E147-TODAY())</f>
        <v>#ERROR!</v>
      </c>
      <c r="G147" s="385" t="str">
        <f>IF(F147="","",IF(F147&lt;0,"Expire",IF(F147&lt;INDEX(Config!B:B,MATCH("Seuil alerte DDM (jours)",Config!A:A,0)),"Proche","OK")))</f>
        <v>#ERROR!</v>
      </c>
      <c r="H147" s="385" t="str">
        <f>IF(G147="","",IF(G147="Expire","Detruire ou reanalyse urgent",IF(G147="Proche","Priorite vente / marche prochain","RAS")))</f>
        <v>#ERROR!</v>
      </c>
      <c r="I147" s="386"/>
    </row>
    <row r="148" ht="15.0" customHeight="1">
      <c r="A148" s="282"/>
      <c r="B148" s="235" t="str">
        <f>IFERROR(INDEX('Fiche Lot'!C:C,MATCH(A148,'Fiche Lot'!A:A,0)),"")</f>
        <v>#ERROR!</v>
      </c>
      <c r="C148" s="235" t="str">
        <f>IFERROR(INDEX('Fiche Lot'!E:E,MATCH(A148,'Fiche Lot'!A:A,0)),"")</f>
        <v>#ERROR!</v>
      </c>
      <c r="D148" s="235" t="str">
        <f>IFERROR(INDEX('Fiche Lot'!H:H,MATCH(A148,'Fiche Lot'!A:A,0)),"")</f>
        <v>#ERROR!</v>
      </c>
      <c r="E148" s="387" t="str">
        <f>IFERROR(INDEX('Fiche Lot'!L:L,MATCH(A148,'Fiche Lot'!A:A,0)),"")</f>
        <v>#ERROR!</v>
      </c>
      <c r="F148" s="388" t="str">
        <f>IF(E148="","",E148-TODAY())</f>
        <v>#ERROR!</v>
      </c>
      <c r="G148" s="389" t="str">
        <f>IF(F148="","",IF(F148&lt;0,"Expire",IF(F148&lt;INDEX(Config!B:B,MATCH("Seuil alerte DDM (jours)",Config!A:A,0)),"Proche","OK")))</f>
        <v>#ERROR!</v>
      </c>
      <c r="H148" s="389" t="str">
        <f>IF(G148="","",IF(G148="Expire","Detruire ou reanalyse urgent",IF(G148="Proche","Priorite vente / marche prochain","RAS")))</f>
        <v>#ERROR!</v>
      </c>
      <c r="I148" s="390"/>
    </row>
    <row r="149" ht="15.0" customHeight="1">
      <c r="A149" s="282"/>
      <c r="B149" s="227" t="str">
        <f>IFERROR(INDEX('Fiche Lot'!C:C,MATCH(A149,'Fiche Lot'!A:A,0)),"")</f>
        <v>#ERROR!</v>
      </c>
      <c r="C149" s="227" t="str">
        <f>IFERROR(INDEX('Fiche Lot'!E:E,MATCH(A149,'Fiche Lot'!A:A,0)),"")</f>
        <v>#ERROR!</v>
      </c>
      <c r="D149" s="227" t="str">
        <f>IFERROR(INDEX('Fiche Lot'!H:H,MATCH(A149,'Fiche Lot'!A:A,0)),"")</f>
        <v>#ERROR!</v>
      </c>
      <c r="E149" s="383" t="str">
        <f>IFERROR(INDEX('Fiche Lot'!L:L,MATCH(A149,'Fiche Lot'!A:A,0)),"")</f>
        <v>#ERROR!</v>
      </c>
      <c r="F149" s="384" t="str">
        <f>IF(E149="","",E149-TODAY())</f>
        <v>#ERROR!</v>
      </c>
      <c r="G149" s="385" t="str">
        <f>IF(F149="","",IF(F149&lt;0,"Expire",IF(F149&lt;INDEX(Config!B:B,MATCH("Seuil alerte DDM (jours)",Config!A:A,0)),"Proche","OK")))</f>
        <v>#ERROR!</v>
      </c>
      <c r="H149" s="385" t="str">
        <f>IF(G149="","",IF(G149="Expire","Detruire ou reanalyse urgent",IF(G149="Proche","Priorite vente / marche prochain","RAS")))</f>
        <v>#ERROR!</v>
      </c>
      <c r="I149" s="386"/>
    </row>
    <row r="150" ht="15.0" customHeight="1">
      <c r="A150" s="282"/>
      <c r="B150" s="235" t="str">
        <f>IFERROR(INDEX('Fiche Lot'!C:C,MATCH(A150,'Fiche Lot'!A:A,0)),"")</f>
        <v>#ERROR!</v>
      </c>
      <c r="C150" s="235" t="str">
        <f>IFERROR(INDEX('Fiche Lot'!E:E,MATCH(A150,'Fiche Lot'!A:A,0)),"")</f>
        <v>#ERROR!</v>
      </c>
      <c r="D150" s="235" t="str">
        <f>IFERROR(INDEX('Fiche Lot'!H:H,MATCH(A150,'Fiche Lot'!A:A,0)),"")</f>
        <v>#ERROR!</v>
      </c>
      <c r="E150" s="387" t="str">
        <f>IFERROR(INDEX('Fiche Lot'!L:L,MATCH(A150,'Fiche Lot'!A:A,0)),"")</f>
        <v>#ERROR!</v>
      </c>
      <c r="F150" s="388" t="str">
        <f>IF(E150="","",E150-TODAY())</f>
        <v>#ERROR!</v>
      </c>
      <c r="G150" s="389" t="str">
        <f>IF(F150="","",IF(F150&lt;0,"Expire",IF(F150&lt;INDEX(Config!B:B,MATCH("Seuil alerte DDM (jours)",Config!A:A,0)),"Proche","OK")))</f>
        <v>#ERROR!</v>
      </c>
      <c r="H150" s="389" t="str">
        <f>IF(G150="","",IF(G150="Expire","Detruire ou reanalyse urgent",IF(G150="Proche","Priorite vente / marche prochain","RAS")))</f>
        <v>#ERROR!</v>
      </c>
      <c r="I150" s="390"/>
    </row>
    <row r="151" ht="15.0" customHeight="1">
      <c r="A151" s="282"/>
      <c r="B151" s="227" t="str">
        <f>IFERROR(INDEX('Fiche Lot'!C:C,MATCH(A151,'Fiche Lot'!A:A,0)),"")</f>
        <v>#ERROR!</v>
      </c>
      <c r="C151" s="227" t="str">
        <f>IFERROR(INDEX('Fiche Lot'!E:E,MATCH(A151,'Fiche Lot'!A:A,0)),"")</f>
        <v>#ERROR!</v>
      </c>
      <c r="D151" s="227" t="str">
        <f>IFERROR(INDEX('Fiche Lot'!H:H,MATCH(A151,'Fiche Lot'!A:A,0)),"")</f>
        <v>#ERROR!</v>
      </c>
      <c r="E151" s="383" t="str">
        <f>IFERROR(INDEX('Fiche Lot'!L:L,MATCH(A151,'Fiche Lot'!A:A,0)),"")</f>
        <v>#ERROR!</v>
      </c>
      <c r="F151" s="384" t="str">
        <f>IF(E151="","",E151-TODAY())</f>
        <v>#ERROR!</v>
      </c>
      <c r="G151" s="385" t="str">
        <f>IF(F151="","",IF(F151&lt;0,"Expire",IF(F151&lt;INDEX(Config!B:B,MATCH("Seuil alerte DDM (jours)",Config!A:A,0)),"Proche","OK")))</f>
        <v>#ERROR!</v>
      </c>
      <c r="H151" s="385" t="str">
        <f>IF(G151="","",IF(G151="Expire","Detruire ou reanalyse urgent",IF(G151="Proche","Priorite vente / marche prochain","RAS")))</f>
        <v>#ERROR!</v>
      </c>
      <c r="I151" s="386"/>
    </row>
    <row r="152" ht="15.0" customHeight="1">
      <c r="A152" s="282"/>
      <c r="B152" s="235" t="str">
        <f>IFERROR(INDEX('Fiche Lot'!C:C,MATCH(A152,'Fiche Lot'!A:A,0)),"")</f>
        <v>#ERROR!</v>
      </c>
      <c r="C152" s="235" t="str">
        <f>IFERROR(INDEX('Fiche Lot'!E:E,MATCH(A152,'Fiche Lot'!A:A,0)),"")</f>
        <v>#ERROR!</v>
      </c>
      <c r="D152" s="235" t="str">
        <f>IFERROR(INDEX('Fiche Lot'!H:H,MATCH(A152,'Fiche Lot'!A:A,0)),"")</f>
        <v>#ERROR!</v>
      </c>
      <c r="E152" s="387" t="str">
        <f>IFERROR(INDEX('Fiche Lot'!L:L,MATCH(A152,'Fiche Lot'!A:A,0)),"")</f>
        <v>#ERROR!</v>
      </c>
      <c r="F152" s="388" t="str">
        <f>IF(E152="","",E152-TODAY())</f>
        <v>#ERROR!</v>
      </c>
      <c r="G152" s="389" t="str">
        <f>IF(F152="","",IF(F152&lt;0,"Expire",IF(F152&lt;INDEX(Config!B:B,MATCH("Seuil alerte DDM (jours)",Config!A:A,0)),"Proche","OK")))</f>
        <v>#ERROR!</v>
      </c>
      <c r="H152" s="389" t="str">
        <f>IF(G152="","",IF(G152="Expire","Detruire ou reanalyse urgent",IF(G152="Proche","Priorite vente / marche prochain","RAS")))</f>
        <v>#ERROR!</v>
      </c>
      <c r="I152" s="390"/>
    </row>
    <row r="153" ht="15.0" customHeight="1">
      <c r="A153" s="282"/>
      <c r="B153" s="227" t="str">
        <f>IFERROR(INDEX('Fiche Lot'!C:C,MATCH(A153,'Fiche Lot'!A:A,0)),"")</f>
        <v>#ERROR!</v>
      </c>
      <c r="C153" s="227" t="str">
        <f>IFERROR(INDEX('Fiche Lot'!E:E,MATCH(A153,'Fiche Lot'!A:A,0)),"")</f>
        <v>#ERROR!</v>
      </c>
      <c r="D153" s="227" t="str">
        <f>IFERROR(INDEX('Fiche Lot'!H:H,MATCH(A153,'Fiche Lot'!A:A,0)),"")</f>
        <v>#ERROR!</v>
      </c>
      <c r="E153" s="383" t="str">
        <f>IFERROR(INDEX('Fiche Lot'!L:L,MATCH(A153,'Fiche Lot'!A:A,0)),"")</f>
        <v>#ERROR!</v>
      </c>
      <c r="F153" s="384" t="str">
        <f>IF(E153="","",E153-TODAY())</f>
        <v>#ERROR!</v>
      </c>
      <c r="G153" s="385" t="str">
        <f>IF(F153="","",IF(F153&lt;0,"Expire",IF(F153&lt;INDEX(Config!B:B,MATCH("Seuil alerte DDM (jours)",Config!A:A,0)),"Proche","OK")))</f>
        <v>#ERROR!</v>
      </c>
      <c r="H153" s="385" t="str">
        <f>IF(G153="","",IF(G153="Expire","Detruire ou reanalyse urgent",IF(G153="Proche","Priorite vente / marche prochain","RAS")))</f>
        <v>#ERROR!</v>
      </c>
      <c r="I153" s="386"/>
    </row>
    <row r="154" ht="15.0" customHeight="1">
      <c r="A154" s="282"/>
      <c r="B154" s="235" t="str">
        <f>IFERROR(INDEX('Fiche Lot'!C:C,MATCH(A154,'Fiche Lot'!A:A,0)),"")</f>
        <v>#ERROR!</v>
      </c>
      <c r="C154" s="235" t="str">
        <f>IFERROR(INDEX('Fiche Lot'!E:E,MATCH(A154,'Fiche Lot'!A:A,0)),"")</f>
        <v>#ERROR!</v>
      </c>
      <c r="D154" s="235" t="str">
        <f>IFERROR(INDEX('Fiche Lot'!H:H,MATCH(A154,'Fiche Lot'!A:A,0)),"")</f>
        <v>#ERROR!</v>
      </c>
      <c r="E154" s="387" t="str">
        <f>IFERROR(INDEX('Fiche Lot'!L:L,MATCH(A154,'Fiche Lot'!A:A,0)),"")</f>
        <v>#ERROR!</v>
      </c>
      <c r="F154" s="388" t="str">
        <f>IF(E154="","",E154-TODAY())</f>
        <v>#ERROR!</v>
      </c>
      <c r="G154" s="389" t="str">
        <f>IF(F154="","",IF(F154&lt;0,"Expire",IF(F154&lt;INDEX(Config!B:B,MATCH("Seuil alerte DDM (jours)",Config!A:A,0)),"Proche","OK")))</f>
        <v>#ERROR!</v>
      </c>
      <c r="H154" s="389" t="str">
        <f>IF(G154="","",IF(G154="Expire","Detruire ou reanalyse urgent",IF(G154="Proche","Priorite vente / marche prochain","RAS")))</f>
        <v>#ERROR!</v>
      </c>
      <c r="I154" s="390"/>
    </row>
    <row r="155" ht="15.0" customHeight="1">
      <c r="A155" s="282"/>
      <c r="B155" s="227" t="str">
        <f>IFERROR(INDEX('Fiche Lot'!C:C,MATCH(A155,'Fiche Lot'!A:A,0)),"")</f>
        <v>#ERROR!</v>
      </c>
      <c r="C155" s="227" t="str">
        <f>IFERROR(INDEX('Fiche Lot'!E:E,MATCH(A155,'Fiche Lot'!A:A,0)),"")</f>
        <v>#ERROR!</v>
      </c>
      <c r="D155" s="227" t="str">
        <f>IFERROR(INDEX('Fiche Lot'!H:H,MATCH(A155,'Fiche Lot'!A:A,0)),"")</f>
        <v>#ERROR!</v>
      </c>
      <c r="E155" s="383" t="str">
        <f>IFERROR(INDEX('Fiche Lot'!L:L,MATCH(A155,'Fiche Lot'!A:A,0)),"")</f>
        <v>#ERROR!</v>
      </c>
      <c r="F155" s="384" t="str">
        <f>IF(E155="","",E155-TODAY())</f>
        <v>#ERROR!</v>
      </c>
      <c r="G155" s="385" t="str">
        <f>IF(F155="","",IF(F155&lt;0,"Expire",IF(F155&lt;INDEX(Config!B:B,MATCH("Seuil alerte DDM (jours)",Config!A:A,0)),"Proche","OK")))</f>
        <v>#ERROR!</v>
      </c>
      <c r="H155" s="385" t="str">
        <f>IF(G155="","",IF(G155="Expire","Detruire ou reanalyse urgent",IF(G155="Proche","Priorite vente / marche prochain","RAS")))</f>
        <v>#ERROR!</v>
      </c>
      <c r="I155" s="386"/>
    </row>
    <row r="156" ht="15.0" customHeight="1">
      <c r="A156" s="282"/>
      <c r="B156" s="235" t="str">
        <f>IFERROR(INDEX('Fiche Lot'!C:C,MATCH(A156,'Fiche Lot'!A:A,0)),"")</f>
        <v>#ERROR!</v>
      </c>
      <c r="C156" s="235" t="str">
        <f>IFERROR(INDEX('Fiche Lot'!E:E,MATCH(A156,'Fiche Lot'!A:A,0)),"")</f>
        <v>#ERROR!</v>
      </c>
      <c r="D156" s="235" t="str">
        <f>IFERROR(INDEX('Fiche Lot'!H:H,MATCH(A156,'Fiche Lot'!A:A,0)),"")</f>
        <v>#ERROR!</v>
      </c>
      <c r="E156" s="387" t="str">
        <f>IFERROR(INDEX('Fiche Lot'!L:L,MATCH(A156,'Fiche Lot'!A:A,0)),"")</f>
        <v>#ERROR!</v>
      </c>
      <c r="F156" s="388" t="str">
        <f>IF(E156="","",E156-TODAY())</f>
        <v>#ERROR!</v>
      </c>
      <c r="G156" s="389" t="str">
        <f>IF(F156="","",IF(F156&lt;0,"Expire",IF(F156&lt;INDEX(Config!B:B,MATCH("Seuil alerte DDM (jours)",Config!A:A,0)),"Proche","OK")))</f>
        <v>#ERROR!</v>
      </c>
      <c r="H156" s="389" t="str">
        <f>IF(G156="","",IF(G156="Expire","Detruire ou reanalyse urgent",IF(G156="Proche","Priorite vente / marche prochain","RAS")))</f>
        <v>#ERROR!</v>
      </c>
      <c r="I156" s="390"/>
    </row>
    <row r="157" ht="15.0" customHeight="1">
      <c r="A157" s="282"/>
      <c r="B157" s="227" t="str">
        <f>IFERROR(INDEX('Fiche Lot'!C:C,MATCH(A157,'Fiche Lot'!A:A,0)),"")</f>
        <v>#ERROR!</v>
      </c>
      <c r="C157" s="227" t="str">
        <f>IFERROR(INDEX('Fiche Lot'!E:E,MATCH(A157,'Fiche Lot'!A:A,0)),"")</f>
        <v>#ERROR!</v>
      </c>
      <c r="D157" s="227" t="str">
        <f>IFERROR(INDEX('Fiche Lot'!H:H,MATCH(A157,'Fiche Lot'!A:A,0)),"")</f>
        <v>#ERROR!</v>
      </c>
      <c r="E157" s="383" t="str">
        <f>IFERROR(INDEX('Fiche Lot'!L:L,MATCH(A157,'Fiche Lot'!A:A,0)),"")</f>
        <v>#ERROR!</v>
      </c>
      <c r="F157" s="384" t="str">
        <f>IF(E157="","",E157-TODAY())</f>
        <v>#ERROR!</v>
      </c>
      <c r="G157" s="385" t="str">
        <f>IF(F157="","",IF(F157&lt;0,"Expire",IF(F157&lt;INDEX(Config!B:B,MATCH("Seuil alerte DDM (jours)",Config!A:A,0)),"Proche","OK")))</f>
        <v>#ERROR!</v>
      </c>
      <c r="H157" s="385" t="str">
        <f>IF(G157="","",IF(G157="Expire","Detruire ou reanalyse urgent",IF(G157="Proche","Priorite vente / marche prochain","RAS")))</f>
        <v>#ERROR!</v>
      </c>
      <c r="I157" s="386"/>
    </row>
    <row r="158" ht="15.0" customHeight="1">
      <c r="A158" s="282"/>
      <c r="B158" s="235" t="str">
        <f>IFERROR(INDEX('Fiche Lot'!C:C,MATCH(A158,'Fiche Lot'!A:A,0)),"")</f>
        <v>#ERROR!</v>
      </c>
      <c r="C158" s="235" t="str">
        <f>IFERROR(INDEX('Fiche Lot'!E:E,MATCH(A158,'Fiche Lot'!A:A,0)),"")</f>
        <v>#ERROR!</v>
      </c>
      <c r="D158" s="235" t="str">
        <f>IFERROR(INDEX('Fiche Lot'!H:H,MATCH(A158,'Fiche Lot'!A:A,0)),"")</f>
        <v>#ERROR!</v>
      </c>
      <c r="E158" s="387" t="str">
        <f>IFERROR(INDEX('Fiche Lot'!L:L,MATCH(A158,'Fiche Lot'!A:A,0)),"")</f>
        <v>#ERROR!</v>
      </c>
      <c r="F158" s="388" t="str">
        <f>IF(E158="","",E158-TODAY())</f>
        <v>#ERROR!</v>
      </c>
      <c r="G158" s="389" t="str">
        <f>IF(F158="","",IF(F158&lt;0,"Expire",IF(F158&lt;INDEX(Config!B:B,MATCH("Seuil alerte DDM (jours)",Config!A:A,0)),"Proche","OK")))</f>
        <v>#ERROR!</v>
      </c>
      <c r="H158" s="389" t="str">
        <f>IF(G158="","",IF(G158="Expire","Detruire ou reanalyse urgent",IF(G158="Proche","Priorite vente / marche prochain","RAS")))</f>
        <v>#ERROR!</v>
      </c>
      <c r="I158" s="390"/>
    </row>
    <row r="159" ht="15.0" customHeight="1">
      <c r="A159" s="282"/>
      <c r="B159" s="227" t="str">
        <f>IFERROR(INDEX('Fiche Lot'!C:C,MATCH(A159,'Fiche Lot'!A:A,0)),"")</f>
        <v>#ERROR!</v>
      </c>
      <c r="C159" s="227" t="str">
        <f>IFERROR(INDEX('Fiche Lot'!E:E,MATCH(A159,'Fiche Lot'!A:A,0)),"")</f>
        <v>#ERROR!</v>
      </c>
      <c r="D159" s="227" t="str">
        <f>IFERROR(INDEX('Fiche Lot'!H:H,MATCH(A159,'Fiche Lot'!A:A,0)),"")</f>
        <v>#ERROR!</v>
      </c>
      <c r="E159" s="383" t="str">
        <f>IFERROR(INDEX('Fiche Lot'!L:L,MATCH(A159,'Fiche Lot'!A:A,0)),"")</f>
        <v>#ERROR!</v>
      </c>
      <c r="F159" s="384" t="str">
        <f>IF(E159="","",E159-TODAY())</f>
        <v>#ERROR!</v>
      </c>
      <c r="G159" s="385" t="str">
        <f>IF(F159="","",IF(F159&lt;0,"Expire",IF(F159&lt;INDEX(Config!B:B,MATCH("Seuil alerte DDM (jours)",Config!A:A,0)),"Proche","OK")))</f>
        <v>#ERROR!</v>
      </c>
      <c r="H159" s="385" t="str">
        <f>IF(G159="","",IF(G159="Expire","Detruire ou reanalyse urgent",IF(G159="Proche","Priorite vente / marche prochain","RAS")))</f>
        <v>#ERROR!</v>
      </c>
      <c r="I159" s="386"/>
    </row>
    <row r="160" ht="15.0" customHeight="1">
      <c r="A160" s="282"/>
      <c r="B160" s="235" t="str">
        <f>IFERROR(INDEX('Fiche Lot'!C:C,MATCH(A160,'Fiche Lot'!A:A,0)),"")</f>
        <v>#ERROR!</v>
      </c>
      <c r="C160" s="235" t="str">
        <f>IFERROR(INDEX('Fiche Lot'!E:E,MATCH(A160,'Fiche Lot'!A:A,0)),"")</f>
        <v>#ERROR!</v>
      </c>
      <c r="D160" s="235" t="str">
        <f>IFERROR(INDEX('Fiche Lot'!H:H,MATCH(A160,'Fiche Lot'!A:A,0)),"")</f>
        <v>#ERROR!</v>
      </c>
      <c r="E160" s="387" t="str">
        <f>IFERROR(INDEX('Fiche Lot'!L:L,MATCH(A160,'Fiche Lot'!A:A,0)),"")</f>
        <v>#ERROR!</v>
      </c>
      <c r="F160" s="388" t="str">
        <f>IF(E160="","",E160-TODAY())</f>
        <v>#ERROR!</v>
      </c>
      <c r="G160" s="389" t="str">
        <f>IF(F160="","",IF(F160&lt;0,"Expire",IF(F160&lt;INDEX(Config!B:B,MATCH("Seuil alerte DDM (jours)",Config!A:A,0)),"Proche","OK")))</f>
        <v>#ERROR!</v>
      </c>
      <c r="H160" s="389" t="str">
        <f>IF(G160="","",IF(G160="Expire","Detruire ou reanalyse urgent",IF(G160="Proche","Priorite vente / marche prochain","RAS")))</f>
        <v>#ERROR!</v>
      </c>
      <c r="I160" s="390"/>
    </row>
    <row r="161" ht="15.0" customHeight="1">
      <c r="A161" s="282"/>
      <c r="B161" s="227" t="str">
        <f>IFERROR(INDEX('Fiche Lot'!C:C,MATCH(A161,'Fiche Lot'!A:A,0)),"")</f>
        <v>#ERROR!</v>
      </c>
      <c r="C161" s="227" t="str">
        <f>IFERROR(INDEX('Fiche Lot'!E:E,MATCH(A161,'Fiche Lot'!A:A,0)),"")</f>
        <v>#ERROR!</v>
      </c>
      <c r="D161" s="227" t="str">
        <f>IFERROR(INDEX('Fiche Lot'!H:H,MATCH(A161,'Fiche Lot'!A:A,0)),"")</f>
        <v>#ERROR!</v>
      </c>
      <c r="E161" s="383" t="str">
        <f>IFERROR(INDEX('Fiche Lot'!L:L,MATCH(A161,'Fiche Lot'!A:A,0)),"")</f>
        <v>#ERROR!</v>
      </c>
      <c r="F161" s="384" t="str">
        <f>IF(E161="","",E161-TODAY())</f>
        <v>#ERROR!</v>
      </c>
      <c r="G161" s="385" t="str">
        <f>IF(F161="","",IF(F161&lt;0,"Expire",IF(F161&lt;INDEX(Config!B:B,MATCH("Seuil alerte DDM (jours)",Config!A:A,0)),"Proche","OK")))</f>
        <v>#ERROR!</v>
      </c>
      <c r="H161" s="385" t="str">
        <f>IF(G161="","",IF(G161="Expire","Detruire ou reanalyse urgent",IF(G161="Proche","Priorite vente / marche prochain","RAS")))</f>
        <v>#ERROR!</v>
      </c>
      <c r="I161" s="386"/>
    </row>
    <row r="162" ht="15.0" customHeight="1">
      <c r="A162" s="282"/>
      <c r="B162" s="235" t="str">
        <f>IFERROR(INDEX('Fiche Lot'!C:C,MATCH(A162,'Fiche Lot'!A:A,0)),"")</f>
        <v>#ERROR!</v>
      </c>
      <c r="C162" s="235" t="str">
        <f>IFERROR(INDEX('Fiche Lot'!E:E,MATCH(A162,'Fiche Lot'!A:A,0)),"")</f>
        <v>#ERROR!</v>
      </c>
      <c r="D162" s="235" t="str">
        <f>IFERROR(INDEX('Fiche Lot'!H:H,MATCH(A162,'Fiche Lot'!A:A,0)),"")</f>
        <v>#ERROR!</v>
      </c>
      <c r="E162" s="387" t="str">
        <f>IFERROR(INDEX('Fiche Lot'!L:L,MATCH(A162,'Fiche Lot'!A:A,0)),"")</f>
        <v>#ERROR!</v>
      </c>
      <c r="F162" s="388" t="str">
        <f>IF(E162="","",E162-TODAY())</f>
        <v>#ERROR!</v>
      </c>
      <c r="G162" s="389" t="str">
        <f>IF(F162="","",IF(F162&lt;0,"Expire",IF(F162&lt;INDEX(Config!B:B,MATCH("Seuil alerte DDM (jours)",Config!A:A,0)),"Proche","OK")))</f>
        <v>#ERROR!</v>
      </c>
      <c r="H162" s="389" t="str">
        <f>IF(G162="","",IF(G162="Expire","Detruire ou reanalyse urgent",IF(G162="Proche","Priorite vente / marche prochain","RAS")))</f>
        <v>#ERROR!</v>
      </c>
      <c r="I162" s="390"/>
    </row>
    <row r="163" ht="15.0" customHeight="1">
      <c r="A163" s="282"/>
      <c r="B163" s="227" t="str">
        <f>IFERROR(INDEX('Fiche Lot'!C:C,MATCH(A163,'Fiche Lot'!A:A,0)),"")</f>
        <v>#ERROR!</v>
      </c>
      <c r="C163" s="227" t="str">
        <f>IFERROR(INDEX('Fiche Lot'!E:E,MATCH(A163,'Fiche Lot'!A:A,0)),"")</f>
        <v>#ERROR!</v>
      </c>
      <c r="D163" s="227" t="str">
        <f>IFERROR(INDEX('Fiche Lot'!H:H,MATCH(A163,'Fiche Lot'!A:A,0)),"")</f>
        <v>#ERROR!</v>
      </c>
      <c r="E163" s="383" t="str">
        <f>IFERROR(INDEX('Fiche Lot'!L:L,MATCH(A163,'Fiche Lot'!A:A,0)),"")</f>
        <v>#ERROR!</v>
      </c>
      <c r="F163" s="384" t="str">
        <f>IF(E163="","",E163-TODAY())</f>
        <v>#ERROR!</v>
      </c>
      <c r="G163" s="385" t="str">
        <f>IF(F163="","",IF(F163&lt;0,"Expire",IF(F163&lt;INDEX(Config!B:B,MATCH("Seuil alerte DDM (jours)",Config!A:A,0)),"Proche","OK")))</f>
        <v>#ERROR!</v>
      </c>
      <c r="H163" s="385" t="str">
        <f>IF(G163="","",IF(G163="Expire","Detruire ou reanalyse urgent",IF(G163="Proche","Priorite vente / marche prochain","RAS")))</f>
        <v>#ERROR!</v>
      </c>
      <c r="I163" s="386"/>
    </row>
    <row r="164" ht="15.0" customHeight="1">
      <c r="A164" s="282"/>
      <c r="B164" s="235" t="str">
        <f>IFERROR(INDEX('Fiche Lot'!C:C,MATCH(A164,'Fiche Lot'!A:A,0)),"")</f>
        <v>#ERROR!</v>
      </c>
      <c r="C164" s="235" t="str">
        <f>IFERROR(INDEX('Fiche Lot'!E:E,MATCH(A164,'Fiche Lot'!A:A,0)),"")</f>
        <v>#ERROR!</v>
      </c>
      <c r="D164" s="235" t="str">
        <f>IFERROR(INDEX('Fiche Lot'!H:H,MATCH(A164,'Fiche Lot'!A:A,0)),"")</f>
        <v>#ERROR!</v>
      </c>
      <c r="E164" s="387" t="str">
        <f>IFERROR(INDEX('Fiche Lot'!L:L,MATCH(A164,'Fiche Lot'!A:A,0)),"")</f>
        <v>#ERROR!</v>
      </c>
      <c r="F164" s="388" t="str">
        <f>IF(E164="","",E164-TODAY())</f>
        <v>#ERROR!</v>
      </c>
      <c r="G164" s="389" t="str">
        <f>IF(F164="","",IF(F164&lt;0,"Expire",IF(F164&lt;INDEX(Config!B:B,MATCH("Seuil alerte DDM (jours)",Config!A:A,0)),"Proche","OK")))</f>
        <v>#ERROR!</v>
      </c>
      <c r="H164" s="389" t="str">
        <f>IF(G164="","",IF(G164="Expire","Detruire ou reanalyse urgent",IF(G164="Proche","Priorite vente / marche prochain","RAS")))</f>
        <v>#ERROR!</v>
      </c>
      <c r="I164" s="390"/>
    </row>
    <row r="165" ht="15.0" customHeight="1">
      <c r="A165" s="282"/>
      <c r="B165" s="227" t="str">
        <f>IFERROR(INDEX('Fiche Lot'!C:C,MATCH(A165,'Fiche Lot'!A:A,0)),"")</f>
        <v>#ERROR!</v>
      </c>
      <c r="C165" s="227" t="str">
        <f>IFERROR(INDEX('Fiche Lot'!E:E,MATCH(A165,'Fiche Lot'!A:A,0)),"")</f>
        <v>#ERROR!</v>
      </c>
      <c r="D165" s="227" t="str">
        <f>IFERROR(INDEX('Fiche Lot'!H:H,MATCH(A165,'Fiche Lot'!A:A,0)),"")</f>
        <v>#ERROR!</v>
      </c>
      <c r="E165" s="383" t="str">
        <f>IFERROR(INDEX('Fiche Lot'!L:L,MATCH(A165,'Fiche Lot'!A:A,0)),"")</f>
        <v>#ERROR!</v>
      </c>
      <c r="F165" s="384" t="str">
        <f>IF(E165="","",E165-TODAY())</f>
        <v>#ERROR!</v>
      </c>
      <c r="G165" s="385" t="str">
        <f>IF(F165="","",IF(F165&lt;0,"Expire",IF(F165&lt;INDEX(Config!B:B,MATCH("Seuil alerte DDM (jours)",Config!A:A,0)),"Proche","OK")))</f>
        <v>#ERROR!</v>
      </c>
      <c r="H165" s="385" t="str">
        <f>IF(G165="","",IF(G165="Expire","Detruire ou reanalyse urgent",IF(G165="Proche","Priorite vente / marche prochain","RAS")))</f>
        <v>#ERROR!</v>
      </c>
      <c r="I165" s="386"/>
    </row>
    <row r="166" ht="15.0" customHeight="1">
      <c r="A166" s="282"/>
      <c r="B166" s="235" t="str">
        <f>IFERROR(INDEX('Fiche Lot'!C:C,MATCH(A166,'Fiche Lot'!A:A,0)),"")</f>
        <v>#ERROR!</v>
      </c>
      <c r="C166" s="235" t="str">
        <f>IFERROR(INDEX('Fiche Lot'!E:E,MATCH(A166,'Fiche Lot'!A:A,0)),"")</f>
        <v>#ERROR!</v>
      </c>
      <c r="D166" s="235" t="str">
        <f>IFERROR(INDEX('Fiche Lot'!H:H,MATCH(A166,'Fiche Lot'!A:A,0)),"")</f>
        <v>#ERROR!</v>
      </c>
      <c r="E166" s="387" t="str">
        <f>IFERROR(INDEX('Fiche Lot'!L:L,MATCH(A166,'Fiche Lot'!A:A,0)),"")</f>
        <v>#ERROR!</v>
      </c>
      <c r="F166" s="388" t="str">
        <f>IF(E166="","",E166-TODAY())</f>
        <v>#ERROR!</v>
      </c>
      <c r="G166" s="389" t="str">
        <f>IF(F166="","",IF(F166&lt;0,"Expire",IF(F166&lt;INDEX(Config!B:B,MATCH("Seuil alerte DDM (jours)",Config!A:A,0)),"Proche","OK")))</f>
        <v>#ERROR!</v>
      </c>
      <c r="H166" s="389" t="str">
        <f>IF(G166="","",IF(G166="Expire","Detruire ou reanalyse urgent",IF(G166="Proche","Priorite vente / marche prochain","RAS")))</f>
        <v>#ERROR!</v>
      </c>
      <c r="I166" s="390"/>
    </row>
    <row r="167" ht="15.0" customHeight="1">
      <c r="A167" s="282"/>
      <c r="B167" s="227" t="str">
        <f>IFERROR(INDEX('Fiche Lot'!C:C,MATCH(A167,'Fiche Lot'!A:A,0)),"")</f>
        <v>#ERROR!</v>
      </c>
      <c r="C167" s="227" t="str">
        <f>IFERROR(INDEX('Fiche Lot'!E:E,MATCH(A167,'Fiche Lot'!A:A,0)),"")</f>
        <v>#ERROR!</v>
      </c>
      <c r="D167" s="227" t="str">
        <f>IFERROR(INDEX('Fiche Lot'!H:H,MATCH(A167,'Fiche Lot'!A:A,0)),"")</f>
        <v>#ERROR!</v>
      </c>
      <c r="E167" s="383" t="str">
        <f>IFERROR(INDEX('Fiche Lot'!L:L,MATCH(A167,'Fiche Lot'!A:A,0)),"")</f>
        <v>#ERROR!</v>
      </c>
      <c r="F167" s="384" t="str">
        <f>IF(E167="","",E167-TODAY())</f>
        <v>#ERROR!</v>
      </c>
      <c r="G167" s="385" t="str">
        <f>IF(F167="","",IF(F167&lt;0,"Expire",IF(F167&lt;INDEX(Config!B:B,MATCH("Seuil alerte DDM (jours)",Config!A:A,0)),"Proche","OK")))</f>
        <v>#ERROR!</v>
      </c>
      <c r="H167" s="385" t="str">
        <f>IF(G167="","",IF(G167="Expire","Detruire ou reanalyse urgent",IF(G167="Proche","Priorite vente / marche prochain","RAS")))</f>
        <v>#ERROR!</v>
      </c>
      <c r="I167" s="386"/>
    </row>
    <row r="168" ht="15.0" customHeight="1">
      <c r="A168" s="282"/>
      <c r="B168" s="235" t="str">
        <f>IFERROR(INDEX('Fiche Lot'!C:C,MATCH(A168,'Fiche Lot'!A:A,0)),"")</f>
        <v>#ERROR!</v>
      </c>
      <c r="C168" s="235" t="str">
        <f>IFERROR(INDEX('Fiche Lot'!E:E,MATCH(A168,'Fiche Lot'!A:A,0)),"")</f>
        <v>#ERROR!</v>
      </c>
      <c r="D168" s="235" t="str">
        <f>IFERROR(INDEX('Fiche Lot'!H:H,MATCH(A168,'Fiche Lot'!A:A,0)),"")</f>
        <v>#ERROR!</v>
      </c>
      <c r="E168" s="387" t="str">
        <f>IFERROR(INDEX('Fiche Lot'!L:L,MATCH(A168,'Fiche Lot'!A:A,0)),"")</f>
        <v>#ERROR!</v>
      </c>
      <c r="F168" s="388" t="str">
        <f>IF(E168="","",E168-TODAY())</f>
        <v>#ERROR!</v>
      </c>
      <c r="G168" s="389" t="str">
        <f>IF(F168="","",IF(F168&lt;0,"Expire",IF(F168&lt;INDEX(Config!B:B,MATCH("Seuil alerte DDM (jours)",Config!A:A,0)),"Proche","OK")))</f>
        <v>#ERROR!</v>
      </c>
      <c r="H168" s="389" t="str">
        <f>IF(G168="","",IF(G168="Expire","Detruire ou reanalyse urgent",IF(G168="Proche","Priorite vente / marche prochain","RAS")))</f>
        <v>#ERROR!</v>
      </c>
      <c r="I168" s="390"/>
    </row>
    <row r="169" ht="15.0" customHeight="1">
      <c r="A169" s="282"/>
      <c r="B169" s="227" t="str">
        <f>IFERROR(INDEX('Fiche Lot'!C:C,MATCH(A169,'Fiche Lot'!A:A,0)),"")</f>
        <v>#ERROR!</v>
      </c>
      <c r="C169" s="227" t="str">
        <f>IFERROR(INDEX('Fiche Lot'!E:E,MATCH(A169,'Fiche Lot'!A:A,0)),"")</f>
        <v>#ERROR!</v>
      </c>
      <c r="D169" s="227" t="str">
        <f>IFERROR(INDEX('Fiche Lot'!H:H,MATCH(A169,'Fiche Lot'!A:A,0)),"")</f>
        <v>#ERROR!</v>
      </c>
      <c r="E169" s="383" t="str">
        <f>IFERROR(INDEX('Fiche Lot'!L:L,MATCH(A169,'Fiche Lot'!A:A,0)),"")</f>
        <v>#ERROR!</v>
      </c>
      <c r="F169" s="384" t="str">
        <f>IF(E169="","",E169-TODAY())</f>
        <v>#ERROR!</v>
      </c>
      <c r="G169" s="385" t="str">
        <f>IF(F169="","",IF(F169&lt;0,"Expire",IF(F169&lt;INDEX(Config!B:B,MATCH("Seuil alerte DDM (jours)",Config!A:A,0)),"Proche","OK")))</f>
        <v>#ERROR!</v>
      </c>
      <c r="H169" s="385" t="str">
        <f>IF(G169="","",IF(G169="Expire","Detruire ou reanalyse urgent",IF(G169="Proche","Priorite vente / marche prochain","RAS")))</f>
        <v>#ERROR!</v>
      </c>
      <c r="I169" s="386"/>
    </row>
    <row r="170" ht="15.0" customHeight="1">
      <c r="A170" s="282"/>
      <c r="B170" s="235" t="str">
        <f>IFERROR(INDEX('Fiche Lot'!C:C,MATCH(A170,'Fiche Lot'!A:A,0)),"")</f>
        <v>#ERROR!</v>
      </c>
      <c r="C170" s="235" t="str">
        <f>IFERROR(INDEX('Fiche Lot'!E:E,MATCH(A170,'Fiche Lot'!A:A,0)),"")</f>
        <v>#ERROR!</v>
      </c>
      <c r="D170" s="235" t="str">
        <f>IFERROR(INDEX('Fiche Lot'!H:H,MATCH(A170,'Fiche Lot'!A:A,0)),"")</f>
        <v>#ERROR!</v>
      </c>
      <c r="E170" s="387" t="str">
        <f>IFERROR(INDEX('Fiche Lot'!L:L,MATCH(A170,'Fiche Lot'!A:A,0)),"")</f>
        <v>#ERROR!</v>
      </c>
      <c r="F170" s="388" t="str">
        <f>IF(E170="","",E170-TODAY())</f>
        <v>#ERROR!</v>
      </c>
      <c r="G170" s="389" t="str">
        <f>IF(F170="","",IF(F170&lt;0,"Expire",IF(F170&lt;INDEX(Config!B:B,MATCH("Seuil alerte DDM (jours)",Config!A:A,0)),"Proche","OK")))</f>
        <v>#ERROR!</v>
      </c>
      <c r="H170" s="389" t="str">
        <f>IF(G170="","",IF(G170="Expire","Detruire ou reanalyse urgent",IF(G170="Proche","Priorite vente / marche prochain","RAS")))</f>
        <v>#ERROR!</v>
      </c>
      <c r="I170" s="390"/>
    </row>
    <row r="171" ht="15.0" customHeight="1">
      <c r="A171" s="282"/>
      <c r="B171" s="227" t="str">
        <f>IFERROR(INDEX('Fiche Lot'!C:C,MATCH(A171,'Fiche Lot'!A:A,0)),"")</f>
        <v>#ERROR!</v>
      </c>
      <c r="C171" s="227" t="str">
        <f>IFERROR(INDEX('Fiche Lot'!E:E,MATCH(A171,'Fiche Lot'!A:A,0)),"")</f>
        <v>#ERROR!</v>
      </c>
      <c r="D171" s="227" t="str">
        <f>IFERROR(INDEX('Fiche Lot'!H:H,MATCH(A171,'Fiche Lot'!A:A,0)),"")</f>
        <v>#ERROR!</v>
      </c>
      <c r="E171" s="383" t="str">
        <f>IFERROR(INDEX('Fiche Lot'!L:L,MATCH(A171,'Fiche Lot'!A:A,0)),"")</f>
        <v>#ERROR!</v>
      </c>
      <c r="F171" s="384" t="str">
        <f>IF(E171="","",E171-TODAY())</f>
        <v>#ERROR!</v>
      </c>
      <c r="G171" s="385" t="str">
        <f>IF(F171="","",IF(F171&lt;0,"Expire",IF(F171&lt;INDEX(Config!B:B,MATCH("Seuil alerte DDM (jours)",Config!A:A,0)),"Proche","OK")))</f>
        <v>#ERROR!</v>
      </c>
      <c r="H171" s="385" t="str">
        <f>IF(G171="","",IF(G171="Expire","Detruire ou reanalyse urgent",IF(G171="Proche","Priorite vente / marche prochain","RAS")))</f>
        <v>#ERROR!</v>
      </c>
      <c r="I171" s="386"/>
    </row>
    <row r="172" ht="15.0" customHeight="1">
      <c r="A172" s="282"/>
      <c r="B172" s="235" t="str">
        <f>IFERROR(INDEX('Fiche Lot'!C:C,MATCH(A172,'Fiche Lot'!A:A,0)),"")</f>
        <v>#ERROR!</v>
      </c>
      <c r="C172" s="235" t="str">
        <f>IFERROR(INDEX('Fiche Lot'!E:E,MATCH(A172,'Fiche Lot'!A:A,0)),"")</f>
        <v>#ERROR!</v>
      </c>
      <c r="D172" s="235" t="str">
        <f>IFERROR(INDEX('Fiche Lot'!H:H,MATCH(A172,'Fiche Lot'!A:A,0)),"")</f>
        <v>#ERROR!</v>
      </c>
      <c r="E172" s="387" t="str">
        <f>IFERROR(INDEX('Fiche Lot'!L:L,MATCH(A172,'Fiche Lot'!A:A,0)),"")</f>
        <v>#ERROR!</v>
      </c>
      <c r="F172" s="388" t="str">
        <f>IF(E172="","",E172-TODAY())</f>
        <v>#ERROR!</v>
      </c>
      <c r="G172" s="389" t="str">
        <f>IF(F172="","",IF(F172&lt;0,"Expire",IF(F172&lt;INDEX(Config!B:B,MATCH("Seuil alerte DDM (jours)",Config!A:A,0)),"Proche","OK")))</f>
        <v>#ERROR!</v>
      </c>
      <c r="H172" s="389" t="str">
        <f>IF(G172="","",IF(G172="Expire","Detruire ou reanalyse urgent",IF(G172="Proche","Priorite vente / marche prochain","RAS")))</f>
        <v>#ERROR!</v>
      </c>
      <c r="I172" s="390"/>
    </row>
    <row r="173" ht="15.0" customHeight="1">
      <c r="A173" s="282"/>
      <c r="B173" s="227" t="str">
        <f>IFERROR(INDEX('Fiche Lot'!C:C,MATCH(A173,'Fiche Lot'!A:A,0)),"")</f>
        <v>#ERROR!</v>
      </c>
      <c r="C173" s="227" t="str">
        <f>IFERROR(INDEX('Fiche Lot'!E:E,MATCH(A173,'Fiche Lot'!A:A,0)),"")</f>
        <v>#ERROR!</v>
      </c>
      <c r="D173" s="227" t="str">
        <f>IFERROR(INDEX('Fiche Lot'!H:H,MATCH(A173,'Fiche Lot'!A:A,0)),"")</f>
        <v>#ERROR!</v>
      </c>
      <c r="E173" s="383" t="str">
        <f>IFERROR(INDEX('Fiche Lot'!L:L,MATCH(A173,'Fiche Lot'!A:A,0)),"")</f>
        <v>#ERROR!</v>
      </c>
      <c r="F173" s="384" t="str">
        <f>IF(E173="","",E173-TODAY())</f>
        <v>#ERROR!</v>
      </c>
      <c r="G173" s="385" t="str">
        <f>IF(F173="","",IF(F173&lt;0,"Expire",IF(F173&lt;INDEX(Config!B:B,MATCH("Seuil alerte DDM (jours)",Config!A:A,0)),"Proche","OK")))</f>
        <v>#ERROR!</v>
      </c>
      <c r="H173" s="385" t="str">
        <f>IF(G173="","",IF(G173="Expire","Detruire ou reanalyse urgent",IF(G173="Proche","Priorite vente / marche prochain","RAS")))</f>
        <v>#ERROR!</v>
      </c>
      <c r="I173" s="386"/>
    </row>
    <row r="174" ht="15.0" customHeight="1">
      <c r="A174" s="282"/>
      <c r="B174" s="235" t="str">
        <f>IFERROR(INDEX('Fiche Lot'!C:C,MATCH(A174,'Fiche Lot'!A:A,0)),"")</f>
        <v>#ERROR!</v>
      </c>
      <c r="C174" s="235" t="str">
        <f>IFERROR(INDEX('Fiche Lot'!E:E,MATCH(A174,'Fiche Lot'!A:A,0)),"")</f>
        <v>#ERROR!</v>
      </c>
      <c r="D174" s="235" t="str">
        <f>IFERROR(INDEX('Fiche Lot'!H:H,MATCH(A174,'Fiche Lot'!A:A,0)),"")</f>
        <v>#ERROR!</v>
      </c>
      <c r="E174" s="387" t="str">
        <f>IFERROR(INDEX('Fiche Lot'!L:L,MATCH(A174,'Fiche Lot'!A:A,0)),"")</f>
        <v>#ERROR!</v>
      </c>
      <c r="F174" s="388" t="str">
        <f>IF(E174="","",E174-TODAY())</f>
        <v>#ERROR!</v>
      </c>
      <c r="G174" s="389" t="str">
        <f>IF(F174="","",IF(F174&lt;0,"Expire",IF(F174&lt;INDEX(Config!B:B,MATCH("Seuil alerte DDM (jours)",Config!A:A,0)),"Proche","OK")))</f>
        <v>#ERROR!</v>
      </c>
      <c r="H174" s="389" t="str">
        <f>IF(G174="","",IF(G174="Expire","Detruire ou reanalyse urgent",IF(G174="Proche","Priorite vente / marche prochain","RAS")))</f>
        <v>#ERROR!</v>
      </c>
      <c r="I174" s="390"/>
    </row>
    <row r="175" ht="15.0" customHeight="1">
      <c r="A175" s="282"/>
      <c r="B175" s="227" t="str">
        <f>IFERROR(INDEX('Fiche Lot'!C:C,MATCH(A175,'Fiche Lot'!A:A,0)),"")</f>
        <v>#ERROR!</v>
      </c>
      <c r="C175" s="227" t="str">
        <f>IFERROR(INDEX('Fiche Lot'!E:E,MATCH(A175,'Fiche Lot'!A:A,0)),"")</f>
        <v>#ERROR!</v>
      </c>
      <c r="D175" s="227" t="str">
        <f>IFERROR(INDEX('Fiche Lot'!H:H,MATCH(A175,'Fiche Lot'!A:A,0)),"")</f>
        <v>#ERROR!</v>
      </c>
      <c r="E175" s="383" t="str">
        <f>IFERROR(INDEX('Fiche Lot'!L:L,MATCH(A175,'Fiche Lot'!A:A,0)),"")</f>
        <v>#ERROR!</v>
      </c>
      <c r="F175" s="384" t="str">
        <f>IF(E175="","",E175-TODAY())</f>
        <v>#ERROR!</v>
      </c>
      <c r="G175" s="385" t="str">
        <f>IF(F175="","",IF(F175&lt;0,"Expire",IF(F175&lt;INDEX(Config!B:B,MATCH("Seuil alerte DDM (jours)",Config!A:A,0)),"Proche","OK")))</f>
        <v>#ERROR!</v>
      </c>
      <c r="H175" s="385" t="str">
        <f>IF(G175="","",IF(G175="Expire","Detruire ou reanalyse urgent",IF(G175="Proche","Priorite vente / marche prochain","RAS")))</f>
        <v>#ERROR!</v>
      </c>
      <c r="I175" s="386"/>
    </row>
    <row r="176" ht="15.0" customHeight="1">
      <c r="A176" s="282"/>
      <c r="B176" s="235" t="str">
        <f>IFERROR(INDEX('Fiche Lot'!C:C,MATCH(A176,'Fiche Lot'!A:A,0)),"")</f>
        <v>#ERROR!</v>
      </c>
      <c r="C176" s="235" t="str">
        <f>IFERROR(INDEX('Fiche Lot'!E:E,MATCH(A176,'Fiche Lot'!A:A,0)),"")</f>
        <v>#ERROR!</v>
      </c>
      <c r="D176" s="235" t="str">
        <f>IFERROR(INDEX('Fiche Lot'!H:H,MATCH(A176,'Fiche Lot'!A:A,0)),"")</f>
        <v>#ERROR!</v>
      </c>
      <c r="E176" s="387" t="str">
        <f>IFERROR(INDEX('Fiche Lot'!L:L,MATCH(A176,'Fiche Lot'!A:A,0)),"")</f>
        <v>#ERROR!</v>
      </c>
      <c r="F176" s="388" t="str">
        <f>IF(E176="","",E176-TODAY())</f>
        <v>#ERROR!</v>
      </c>
      <c r="G176" s="389" t="str">
        <f>IF(F176="","",IF(F176&lt;0,"Expire",IF(F176&lt;INDEX(Config!B:B,MATCH("Seuil alerte DDM (jours)",Config!A:A,0)),"Proche","OK")))</f>
        <v>#ERROR!</v>
      </c>
      <c r="H176" s="389" t="str">
        <f>IF(G176="","",IF(G176="Expire","Detruire ou reanalyse urgent",IF(G176="Proche","Priorite vente / marche prochain","RAS")))</f>
        <v>#ERROR!</v>
      </c>
      <c r="I176" s="390"/>
    </row>
    <row r="177" ht="15.0" customHeight="1">
      <c r="A177" s="282"/>
      <c r="B177" s="227" t="str">
        <f>IFERROR(INDEX('Fiche Lot'!C:C,MATCH(A177,'Fiche Lot'!A:A,0)),"")</f>
        <v>#ERROR!</v>
      </c>
      <c r="C177" s="227" t="str">
        <f>IFERROR(INDEX('Fiche Lot'!E:E,MATCH(A177,'Fiche Lot'!A:A,0)),"")</f>
        <v>#ERROR!</v>
      </c>
      <c r="D177" s="227" t="str">
        <f>IFERROR(INDEX('Fiche Lot'!H:H,MATCH(A177,'Fiche Lot'!A:A,0)),"")</f>
        <v>#ERROR!</v>
      </c>
      <c r="E177" s="383" t="str">
        <f>IFERROR(INDEX('Fiche Lot'!L:L,MATCH(A177,'Fiche Lot'!A:A,0)),"")</f>
        <v>#ERROR!</v>
      </c>
      <c r="F177" s="384" t="str">
        <f>IF(E177="","",E177-TODAY())</f>
        <v>#ERROR!</v>
      </c>
      <c r="G177" s="385" t="str">
        <f>IF(F177="","",IF(F177&lt;0,"Expire",IF(F177&lt;INDEX(Config!B:B,MATCH("Seuil alerte DDM (jours)",Config!A:A,0)),"Proche","OK")))</f>
        <v>#ERROR!</v>
      </c>
      <c r="H177" s="385" t="str">
        <f>IF(G177="","",IF(G177="Expire","Detruire ou reanalyse urgent",IF(G177="Proche","Priorite vente / marche prochain","RAS")))</f>
        <v>#ERROR!</v>
      </c>
      <c r="I177" s="386"/>
    </row>
    <row r="178" ht="15.0" customHeight="1">
      <c r="A178" s="282"/>
      <c r="B178" s="235" t="str">
        <f>IFERROR(INDEX('Fiche Lot'!C:C,MATCH(A178,'Fiche Lot'!A:A,0)),"")</f>
        <v>#ERROR!</v>
      </c>
      <c r="C178" s="235" t="str">
        <f>IFERROR(INDEX('Fiche Lot'!E:E,MATCH(A178,'Fiche Lot'!A:A,0)),"")</f>
        <v>#ERROR!</v>
      </c>
      <c r="D178" s="235" t="str">
        <f>IFERROR(INDEX('Fiche Lot'!H:H,MATCH(A178,'Fiche Lot'!A:A,0)),"")</f>
        <v>#ERROR!</v>
      </c>
      <c r="E178" s="387" t="str">
        <f>IFERROR(INDEX('Fiche Lot'!L:L,MATCH(A178,'Fiche Lot'!A:A,0)),"")</f>
        <v>#ERROR!</v>
      </c>
      <c r="F178" s="388" t="str">
        <f>IF(E178="","",E178-TODAY())</f>
        <v>#ERROR!</v>
      </c>
      <c r="G178" s="389" t="str">
        <f>IF(F178="","",IF(F178&lt;0,"Expire",IF(F178&lt;INDEX(Config!B:B,MATCH("Seuil alerte DDM (jours)",Config!A:A,0)),"Proche","OK")))</f>
        <v>#ERROR!</v>
      </c>
      <c r="H178" s="389" t="str">
        <f>IF(G178="","",IF(G178="Expire","Detruire ou reanalyse urgent",IF(G178="Proche","Priorite vente / marche prochain","RAS")))</f>
        <v>#ERROR!</v>
      </c>
      <c r="I178" s="390"/>
    </row>
    <row r="179" ht="15.0" customHeight="1">
      <c r="A179" s="282"/>
      <c r="B179" s="227" t="str">
        <f>IFERROR(INDEX('Fiche Lot'!C:C,MATCH(A179,'Fiche Lot'!A:A,0)),"")</f>
        <v>#ERROR!</v>
      </c>
      <c r="C179" s="227" t="str">
        <f>IFERROR(INDEX('Fiche Lot'!E:E,MATCH(A179,'Fiche Lot'!A:A,0)),"")</f>
        <v>#ERROR!</v>
      </c>
      <c r="D179" s="227" t="str">
        <f>IFERROR(INDEX('Fiche Lot'!H:H,MATCH(A179,'Fiche Lot'!A:A,0)),"")</f>
        <v>#ERROR!</v>
      </c>
      <c r="E179" s="383" t="str">
        <f>IFERROR(INDEX('Fiche Lot'!L:L,MATCH(A179,'Fiche Lot'!A:A,0)),"")</f>
        <v>#ERROR!</v>
      </c>
      <c r="F179" s="384" t="str">
        <f>IF(E179="","",E179-TODAY())</f>
        <v>#ERROR!</v>
      </c>
      <c r="G179" s="385" t="str">
        <f>IF(F179="","",IF(F179&lt;0,"Expire",IF(F179&lt;INDEX(Config!B:B,MATCH("Seuil alerte DDM (jours)",Config!A:A,0)),"Proche","OK")))</f>
        <v>#ERROR!</v>
      </c>
      <c r="H179" s="385" t="str">
        <f>IF(G179="","",IF(G179="Expire","Detruire ou reanalyse urgent",IF(G179="Proche","Priorite vente / marche prochain","RAS")))</f>
        <v>#ERROR!</v>
      </c>
      <c r="I179" s="386"/>
    </row>
    <row r="180" ht="15.0" customHeight="1">
      <c r="A180" s="282"/>
      <c r="B180" s="235" t="str">
        <f>IFERROR(INDEX('Fiche Lot'!C:C,MATCH(A180,'Fiche Lot'!A:A,0)),"")</f>
        <v>#ERROR!</v>
      </c>
      <c r="C180" s="235" t="str">
        <f>IFERROR(INDEX('Fiche Lot'!E:E,MATCH(A180,'Fiche Lot'!A:A,0)),"")</f>
        <v>#ERROR!</v>
      </c>
      <c r="D180" s="235" t="str">
        <f>IFERROR(INDEX('Fiche Lot'!H:H,MATCH(A180,'Fiche Lot'!A:A,0)),"")</f>
        <v>#ERROR!</v>
      </c>
      <c r="E180" s="387" t="str">
        <f>IFERROR(INDEX('Fiche Lot'!L:L,MATCH(A180,'Fiche Lot'!A:A,0)),"")</f>
        <v>#ERROR!</v>
      </c>
      <c r="F180" s="388" t="str">
        <f>IF(E180="","",E180-TODAY())</f>
        <v>#ERROR!</v>
      </c>
      <c r="G180" s="389" t="str">
        <f>IF(F180="","",IF(F180&lt;0,"Expire",IF(F180&lt;INDEX(Config!B:B,MATCH("Seuil alerte DDM (jours)",Config!A:A,0)),"Proche","OK")))</f>
        <v>#ERROR!</v>
      </c>
      <c r="H180" s="389" t="str">
        <f>IF(G180="","",IF(G180="Expire","Detruire ou reanalyse urgent",IF(G180="Proche","Priorite vente / marche prochain","RAS")))</f>
        <v>#ERROR!</v>
      </c>
      <c r="I180" s="390"/>
    </row>
    <row r="181" ht="15.0" customHeight="1">
      <c r="A181" s="282"/>
      <c r="B181" s="227" t="str">
        <f>IFERROR(INDEX('Fiche Lot'!C:C,MATCH(A181,'Fiche Lot'!A:A,0)),"")</f>
        <v>#ERROR!</v>
      </c>
      <c r="C181" s="227" t="str">
        <f>IFERROR(INDEX('Fiche Lot'!E:E,MATCH(A181,'Fiche Lot'!A:A,0)),"")</f>
        <v>#ERROR!</v>
      </c>
      <c r="D181" s="227" t="str">
        <f>IFERROR(INDEX('Fiche Lot'!H:H,MATCH(A181,'Fiche Lot'!A:A,0)),"")</f>
        <v>#ERROR!</v>
      </c>
      <c r="E181" s="383" t="str">
        <f>IFERROR(INDEX('Fiche Lot'!L:L,MATCH(A181,'Fiche Lot'!A:A,0)),"")</f>
        <v>#ERROR!</v>
      </c>
      <c r="F181" s="384" t="str">
        <f>IF(E181="","",E181-TODAY())</f>
        <v>#ERROR!</v>
      </c>
      <c r="G181" s="385" t="str">
        <f>IF(F181="","",IF(F181&lt;0,"Expire",IF(F181&lt;INDEX(Config!B:B,MATCH("Seuil alerte DDM (jours)",Config!A:A,0)),"Proche","OK")))</f>
        <v>#ERROR!</v>
      </c>
      <c r="H181" s="385" t="str">
        <f>IF(G181="","",IF(G181="Expire","Detruire ou reanalyse urgent",IF(G181="Proche","Priorite vente / marche prochain","RAS")))</f>
        <v>#ERROR!</v>
      </c>
      <c r="I181" s="386"/>
    </row>
    <row r="182" ht="15.0" customHeight="1">
      <c r="A182" s="282"/>
      <c r="B182" s="235" t="str">
        <f>IFERROR(INDEX('Fiche Lot'!C:C,MATCH(A182,'Fiche Lot'!A:A,0)),"")</f>
        <v>#ERROR!</v>
      </c>
      <c r="C182" s="235" t="str">
        <f>IFERROR(INDEX('Fiche Lot'!E:E,MATCH(A182,'Fiche Lot'!A:A,0)),"")</f>
        <v>#ERROR!</v>
      </c>
      <c r="D182" s="235" t="str">
        <f>IFERROR(INDEX('Fiche Lot'!H:H,MATCH(A182,'Fiche Lot'!A:A,0)),"")</f>
        <v>#ERROR!</v>
      </c>
      <c r="E182" s="387" t="str">
        <f>IFERROR(INDEX('Fiche Lot'!L:L,MATCH(A182,'Fiche Lot'!A:A,0)),"")</f>
        <v>#ERROR!</v>
      </c>
      <c r="F182" s="388" t="str">
        <f>IF(E182="","",E182-TODAY())</f>
        <v>#ERROR!</v>
      </c>
      <c r="G182" s="389" t="str">
        <f>IF(F182="","",IF(F182&lt;0,"Expire",IF(F182&lt;INDEX(Config!B:B,MATCH("Seuil alerte DDM (jours)",Config!A:A,0)),"Proche","OK")))</f>
        <v>#ERROR!</v>
      </c>
      <c r="H182" s="389" t="str">
        <f>IF(G182="","",IF(G182="Expire","Detruire ou reanalyse urgent",IF(G182="Proche","Priorite vente / marche prochain","RAS")))</f>
        <v>#ERROR!</v>
      </c>
      <c r="I182" s="390"/>
    </row>
    <row r="183" ht="15.0" customHeight="1">
      <c r="A183" s="282"/>
      <c r="B183" s="227" t="str">
        <f>IFERROR(INDEX('Fiche Lot'!C:C,MATCH(A183,'Fiche Lot'!A:A,0)),"")</f>
        <v>#ERROR!</v>
      </c>
      <c r="C183" s="227" t="str">
        <f>IFERROR(INDEX('Fiche Lot'!E:E,MATCH(A183,'Fiche Lot'!A:A,0)),"")</f>
        <v>#ERROR!</v>
      </c>
      <c r="D183" s="227" t="str">
        <f>IFERROR(INDEX('Fiche Lot'!H:H,MATCH(A183,'Fiche Lot'!A:A,0)),"")</f>
        <v>#ERROR!</v>
      </c>
      <c r="E183" s="383" t="str">
        <f>IFERROR(INDEX('Fiche Lot'!L:L,MATCH(A183,'Fiche Lot'!A:A,0)),"")</f>
        <v>#ERROR!</v>
      </c>
      <c r="F183" s="384" t="str">
        <f>IF(E183="","",E183-TODAY())</f>
        <v>#ERROR!</v>
      </c>
      <c r="G183" s="385" t="str">
        <f>IF(F183="","",IF(F183&lt;0,"Expire",IF(F183&lt;INDEX(Config!B:B,MATCH("Seuil alerte DDM (jours)",Config!A:A,0)),"Proche","OK")))</f>
        <v>#ERROR!</v>
      </c>
      <c r="H183" s="385" t="str">
        <f>IF(G183="","",IF(G183="Expire","Detruire ou reanalyse urgent",IF(G183="Proche","Priorite vente / marche prochain","RAS")))</f>
        <v>#ERROR!</v>
      </c>
      <c r="I183" s="386"/>
    </row>
    <row r="184" ht="15.0" customHeight="1">
      <c r="A184" s="282"/>
      <c r="B184" s="235" t="str">
        <f>IFERROR(INDEX('Fiche Lot'!C:C,MATCH(A184,'Fiche Lot'!A:A,0)),"")</f>
        <v>#ERROR!</v>
      </c>
      <c r="C184" s="235" t="str">
        <f>IFERROR(INDEX('Fiche Lot'!E:E,MATCH(A184,'Fiche Lot'!A:A,0)),"")</f>
        <v>#ERROR!</v>
      </c>
      <c r="D184" s="235" t="str">
        <f>IFERROR(INDEX('Fiche Lot'!H:H,MATCH(A184,'Fiche Lot'!A:A,0)),"")</f>
        <v>#ERROR!</v>
      </c>
      <c r="E184" s="387" t="str">
        <f>IFERROR(INDEX('Fiche Lot'!L:L,MATCH(A184,'Fiche Lot'!A:A,0)),"")</f>
        <v>#ERROR!</v>
      </c>
      <c r="F184" s="388" t="str">
        <f>IF(E184="","",E184-TODAY())</f>
        <v>#ERROR!</v>
      </c>
      <c r="G184" s="389" t="str">
        <f>IF(F184="","",IF(F184&lt;0,"Expire",IF(F184&lt;INDEX(Config!B:B,MATCH("Seuil alerte DDM (jours)",Config!A:A,0)),"Proche","OK")))</f>
        <v>#ERROR!</v>
      </c>
      <c r="H184" s="389" t="str">
        <f>IF(G184="","",IF(G184="Expire","Detruire ou reanalyse urgent",IF(G184="Proche","Priorite vente / marche prochain","RAS")))</f>
        <v>#ERROR!</v>
      </c>
      <c r="I184" s="390"/>
    </row>
    <row r="185" ht="15.0" customHeight="1">
      <c r="A185" s="282"/>
      <c r="B185" s="227" t="str">
        <f>IFERROR(INDEX('Fiche Lot'!C:C,MATCH(A185,'Fiche Lot'!A:A,0)),"")</f>
        <v>#ERROR!</v>
      </c>
      <c r="C185" s="227" t="str">
        <f>IFERROR(INDEX('Fiche Lot'!E:E,MATCH(A185,'Fiche Lot'!A:A,0)),"")</f>
        <v>#ERROR!</v>
      </c>
      <c r="D185" s="227" t="str">
        <f>IFERROR(INDEX('Fiche Lot'!H:H,MATCH(A185,'Fiche Lot'!A:A,0)),"")</f>
        <v>#ERROR!</v>
      </c>
      <c r="E185" s="383" t="str">
        <f>IFERROR(INDEX('Fiche Lot'!L:L,MATCH(A185,'Fiche Lot'!A:A,0)),"")</f>
        <v>#ERROR!</v>
      </c>
      <c r="F185" s="384" t="str">
        <f>IF(E185="","",E185-TODAY())</f>
        <v>#ERROR!</v>
      </c>
      <c r="G185" s="385" t="str">
        <f>IF(F185="","",IF(F185&lt;0,"Expire",IF(F185&lt;INDEX(Config!B:B,MATCH("Seuil alerte DDM (jours)",Config!A:A,0)),"Proche","OK")))</f>
        <v>#ERROR!</v>
      </c>
      <c r="H185" s="385" t="str">
        <f>IF(G185="","",IF(G185="Expire","Detruire ou reanalyse urgent",IF(G185="Proche","Priorite vente / marche prochain","RAS")))</f>
        <v>#ERROR!</v>
      </c>
      <c r="I185" s="386"/>
    </row>
    <row r="186" ht="15.0" customHeight="1">
      <c r="A186" s="282"/>
      <c r="B186" s="235" t="str">
        <f>IFERROR(INDEX('Fiche Lot'!C:C,MATCH(A186,'Fiche Lot'!A:A,0)),"")</f>
        <v>#ERROR!</v>
      </c>
      <c r="C186" s="235" t="str">
        <f>IFERROR(INDEX('Fiche Lot'!E:E,MATCH(A186,'Fiche Lot'!A:A,0)),"")</f>
        <v>#ERROR!</v>
      </c>
      <c r="D186" s="235" t="str">
        <f>IFERROR(INDEX('Fiche Lot'!H:H,MATCH(A186,'Fiche Lot'!A:A,0)),"")</f>
        <v>#ERROR!</v>
      </c>
      <c r="E186" s="387" t="str">
        <f>IFERROR(INDEX('Fiche Lot'!L:L,MATCH(A186,'Fiche Lot'!A:A,0)),"")</f>
        <v>#ERROR!</v>
      </c>
      <c r="F186" s="388" t="str">
        <f>IF(E186="","",E186-TODAY())</f>
        <v>#ERROR!</v>
      </c>
      <c r="G186" s="389" t="str">
        <f>IF(F186="","",IF(F186&lt;0,"Expire",IF(F186&lt;INDEX(Config!B:B,MATCH("Seuil alerte DDM (jours)",Config!A:A,0)),"Proche","OK")))</f>
        <v>#ERROR!</v>
      </c>
      <c r="H186" s="389" t="str">
        <f>IF(G186="","",IF(G186="Expire","Detruire ou reanalyse urgent",IF(G186="Proche","Priorite vente / marche prochain","RAS")))</f>
        <v>#ERROR!</v>
      </c>
      <c r="I186" s="390"/>
    </row>
    <row r="187" ht="15.0" customHeight="1">
      <c r="A187" s="282"/>
      <c r="B187" s="227" t="str">
        <f>IFERROR(INDEX('Fiche Lot'!C:C,MATCH(A187,'Fiche Lot'!A:A,0)),"")</f>
        <v>#ERROR!</v>
      </c>
      <c r="C187" s="227" t="str">
        <f>IFERROR(INDEX('Fiche Lot'!E:E,MATCH(A187,'Fiche Lot'!A:A,0)),"")</f>
        <v>#ERROR!</v>
      </c>
      <c r="D187" s="227" t="str">
        <f>IFERROR(INDEX('Fiche Lot'!H:H,MATCH(A187,'Fiche Lot'!A:A,0)),"")</f>
        <v>#ERROR!</v>
      </c>
      <c r="E187" s="383" t="str">
        <f>IFERROR(INDEX('Fiche Lot'!L:L,MATCH(A187,'Fiche Lot'!A:A,0)),"")</f>
        <v>#ERROR!</v>
      </c>
      <c r="F187" s="384" t="str">
        <f>IF(E187="","",E187-TODAY())</f>
        <v>#ERROR!</v>
      </c>
      <c r="G187" s="385" t="str">
        <f>IF(F187="","",IF(F187&lt;0,"Expire",IF(F187&lt;INDEX(Config!B:B,MATCH("Seuil alerte DDM (jours)",Config!A:A,0)),"Proche","OK")))</f>
        <v>#ERROR!</v>
      </c>
      <c r="H187" s="385" t="str">
        <f>IF(G187="","",IF(G187="Expire","Detruire ou reanalyse urgent",IF(G187="Proche","Priorite vente / marche prochain","RAS")))</f>
        <v>#ERROR!</v>
      </c>
      <c r="I187" s="386"/>
    </row>
    <row r="188" ht="15.0" customHeight="1">
      <c r="A188" s="282"/>
      <c r="B188" s="235" t="str">
        <f>IFERROR(INDEX('Fiche Lot'!C:C,MATCH(A188,'Fiche Lot'!A:A,0)),"")</f>
        <v>#ERROR!</v>
      </c>
      <c r="C188" s="235" t="str">
        <f>IFERROR(INDEX('Fiche Lot'!E:E,MATCH(A188,'Fiche Lot'!A:A,0)),"")</f>
        <v>#ERROR!</v>
      </c>
      <c r="D188" s="235" t="str">
        <f>IFERROR(INDEX('Fiche Lot'!H:H,MATCH(A188,'Fiche Lot'!A:A,0)),"")</f>
        <v>#ERROR!</v>
      </c>
      <c r="E188" s="387" t="str">
        <f>IFERROR(INDEX('Fiche Lot'!L:L,MATCH(A188,'Fiche Lot'!A:A,0)),"")</f>
        <v>#ERROR!</v>
      </c>
      <c r="F188" s="388" t="str">
        <f>IF(E188="","",E188-TODAY())</f>
        <v>#ERROR!</v>
      </c>
      <c r="G188" s="389" t="str">
        <f>IF(F188="","",IF(F188&lt;0,"Expire",IF(F188&lt;INDEX(Config!B:B,MATCH("Seuil alerte DDM (jours)",Config!A:A,0)),"Proche","OK")))</f>
        <v>#ERROR!</v>
      </c>
      <c r="H188" s="389" t="str">
        <f>IF(G188="","",IF(G188="Expire","Detruire ou reanalyse urgent",IF(G188="Proche","Priorite vente / marche prochain","RAS")))</f>
        <v>#ERROR!</v>
      </c>
      <c r="I188" s="390"/>
    </row>
    <row r="189" ht="15.0" customHeight="1">
      <c r="A189" s="282"/>
      <c r="B189" s="227" t="str">
        <f>IFERROR(INDEX('Fiche Lot'!C:C,MATCH(A189,'Fiche Lot'!A:A,0)),"")</f>
        <v>#ERROR!</v>
      </c>
      <c r="C189" s="227" t="str">
        <f>IFERROR(INDEX('Fiche Lot'!E:E,MATCH(A189,'Fiche Lot'!A:A,0)),"")</f>
        <v>#ERROR!</v>
      </c>
      <c r="D189" s="227" t="str">
        <f>IFERROR(INDEX('Fiche Lot'!H:H,MATCH(A189,'Fiche Lot'!A:A,0)),"")</f>
        <v>#ERROR!</v>
      </c>
      <c r="E189" s="383" t="str">
        <f>IFERROR(INDEX('Fiche Lot'!L:L,MATCH(A189,'Fiche Lot'!A:A,0)),"")</f>
        <v>#ERROR!</v>
      </c>
      <c r="F189" s="384" t="str">
        <f>IF(E189="","",E189-TODAY())</f>
        <v>#ERROR!</v>
      </c>
      <c r="G189" s="385" t="str">
        <f>IF(F189="","",IF(F189&lt;0,"Expire",IF(F189&lt;INDEX(Config!B:B,MATCH("Seuil alerte DDM (jours)",Config!A:A,0)),"Proche","OK")))</f>
        <v>#ERROR!</v>
      </c>
      <c r="H189" s="385" t="str">
        <f>IF(G189="","",IF(G189="Expire","Detruire ou reanalyse urgent",IF(G189="Proche","Priorite vente / marche prochain","RAS")))</f>
        <v>#ERROR!</v>
      </c>
      <c r="I189" s="386"/>
    </row>
    <row r="190" ht="15.0" customHeight="1">
      <c r="A190" s="282"/>
      <c r="B190" s="235" t="str">
        <f>IFERROR(INDEX('Fiche Lot'!C:C,MATCH(A190,'Fiche Lot'!A:A,0)),"")</f>
        <v>#ERROR!</v>
      </c>
      <c r="C190" s="235" t="str">
        <f>IFERROR(INDEX('Fiche Lot'!E:E,MATCH(A190,'Fiche Lot'!A:A,0)),"")</f>
        <v>#ERROR!</v>
      </c>
      <c r="D190" s="235" t="str">
        <f>IFERROR(INDEX('Fiche Lot'!H:H,MATCH(A190,'Fiche Lot'!A:A,0)),"")</f>
        <v>#ERROR!</v>
      </c>
      <c r="E190" s="387" t="str">
        <f>IFERROR(INDEX('Fiche Lot'!L:L,MATCH(A190,'Fiche Lot'!A:A,0)),"")</f>
        <v>#ERROR!</v>
      </c>
      <c r="F190" s="388" t="str">
        <f>IF(E190="","",E190-TODAY())</f>
        <v>#ERROR!</v>
      </c>
      <c r="G190" s="389" t="str">
        <f>IF(F190="","",IF(F190&lt;0,"Expire",IF(F190&lt;INDEX(Config!B:B,MATCH("Seuil alerte DDM (jours)",Config!A:A,0)),"Proche","OK")))</f>
        <v>#ERROR!</v>
      </c>
      <c r="H190" s="389" t="str">
        <f>IF(G190="","",IF(G190="Expire","Detruire ou reanalyse urgent",IF(G190="Proche","Priorite vente / marche prochain","RAS")))</f>
        <v>#ERROR!</v>
      </c>
      <c r="I190" s="390"/>
    </row>
    <row r="191" ht="15.0" customHeight="1">
      <c r="A191" s="282"/>
      <c r="B191" s="227" t="str">
        <f>IFERROR(INDEX('Fiche Lot'!C:C,MATCH(A191,'Fiche Lot'!A:A,0)),"")</f>
        <v>#ERROR!</v>
      </c>
      <c r="C191" s="227" t="str">
        <f>IFERROR(INDEX('Fiche Lot'!E:E,MATCH(A191,'Fiche Lot'!A:A,0)),"")</f>
        <v>#ERROR!</v>
      </c>
      <c r="D191" s="227" t="str">
        <f>IFERROR(INDEX('Fiche Lot'!H:H,MATCH(A191,'Fiche Lot'!A:A,0)),"")</f>
        <v>#ERROR!</v>
      </c>
      <c r="E191" s="383" t="str">
        <f>IFERROR(INDEX('Fiche Lot'!L:L,MATCH(A191,'Fiche Lot'!A:A,0)),"")</f>
        <v>#ERROR!</v>
      </c>
      <c r="F191" s="384" t="str">
        <f>IF(E191="","",E191-TODAY())</f>
        <v>#ERROR!</v>
      </c>
      <c r="G191" s="385" t="str">
        <f>IF(F191="","",IF(F191&lt;0,"Expire",IF(F191&lt;INDEX(Config!B:B,MATCH("Seuil alerte DDM (jours)",Config!A:A,0)),"Proche","OK")))</f>
        <v>#ERROR!</v>
      </c>
      <c r="H191" s="385" t="str">
        <f>IF(G191="","",IF(G191="Expire","Detruire ou reanalyse urgent",IF(G191="Proche","Priorite vente / marche prochain","RAS")))</f>
        <v>#ERROR!</v>
      </c>
      <c r="I191" s="386"/>
    </row>
    <row r="192" ht="15.0" customHeight="1">
      <c r="A192" s="282"/>
      <c r="B192" s="235" t="str">
        <f>IFERROR(INDEX('Fiche Lot'!C:C,MATCH(A192,'Fiche Lot'!A:A,0)),"")</f>
        <v>#ERROR!</v>
      </c>
      <c r="C192" s="235" t="str">
        <f>IFERROR(INDEX('Fiche Lot'!E:E,MATCH(A192,'Fiche Lot'!A:A,0)),"")</f>
        <v>#ERROR!</v>
      </c>
      <c r="D192" s="235" t="str">
        <f>IFERROR(INDEX('Fiche Lot'!H:H,MATCH(A192,'Fiche Lot'!A:A,0)),"")</f>
        <v>#ERROR!</v>
      </c>
      <c r="E192" s="387" t="str">
        <f>IFERROR(INDEX('Fiche Lot'!L:L,MATCH(A192,'Fiche Lot'!A:A,0)),"")</f>
        <v>#ERROR!</v>
      </c>
      <c r="F192" s="388" t="str">
        <f>IF(E192="","",E192-TODAY())</f>
        <v>#ERROR!</v>
      </c>
      <c r="G192" s="389" t="str">
        <f>IF(F192="","",IF(F192&lt;0,"Expire",IF(F192&lt;INDEX(Config!B:B,MATCH("Seuil alerte DDM (jours)",Config!A:A,0)),"Proche","OK")))</f>
        <v>#ERROR!</v>
      </c>
      <c r="H192" s="389" t="str">
        <f>IF(G192="","",IF(G192="Expire","Detruire ou reanalyse urgent",IF(G192="Proche","Priorite vente / marche prochain","RAS")))</f>
        <v>#ERROR!</v>
      </c>
      <c r="I192" s="390"/>
    </row>
    <row r="193" ht="15.0" customHeight="1">
      <c r="A193" s="282"/>
      <c r="B193" s="227" t="str">
        <f>IFERROR(INDEX('Fiche Lot'!C:C,MATCH(A193,'Fiche Lot'!A:A,0)),"")</f>
        <v>#ERROR!</v>
      </c>
      <c r="C193" s="227" t="str">
        <f>IFERROR(INDEX('Fiche Lot'!E:E,MATCH(A193,'Fiche Lot'!A:A,0)),"")</f>
        <v>#ERROR!</v>
      </c>
      <c r="D193" s="227" t="str">
        <f>IFERROR(INDEX('Fiche Lot'!H:H,MATCH(A193,'Fiche Lot'!A:A,0)),"")</f>
        <v>#ERROR!</v>
      </c>
      <c r="E193" s="383" t="str">
        <f>IFERROR(INDEX('Fiche Lot'!L:L,MATCH(A193,'Fiche Lot'!A:A,0)),"")</f>
        <v>#ERROR!</v>
      </c>
      <c r="F193" s="384" t="str">
        <f>IF(E193="","",E193-TODAY())</f>
        <v>#ERROR!</v>
      </c>
      <c r="G193" s="385" t="str">
        <f>IF(F193="","",IF(F193&lt;0,"Expire",IF(F193&lt;INDEX(Config!B:B,MATCH("Seuil alerte DDM (jours)",Config!A:A,0)),"Proche","OK")))</f>
        <v>#ERROR!</v>
      </c>
      <c r="H193" s="385" t="str">
        <f>IF(G193="","",IF(G193="Expire","Detruire ou reanalyse urgent",IF(G193="Proche","Priorite vente / marche prochain","RAS")))</f>
        <v>#ERROR!</v>
      </c>
      <c r="I193" s="386"/>
    </row>
    <row r="194" ht="15.0" customHeight="1">
      <c r="A194" s="282"/>
      <c r="B194" s="235" t="str">
        <f>IFERROR(INDEX('Fiche Lot'!C:C,MATCH(A194,'Fiche Lot'!A:A,0)),"")</f>
        <v>#ERROR!</v>
      </c>
      <c r="C194" s="235" t="str">
        <f>IFERROR(INDEX('Fiche Lot'!E:E,MATCH(A194,'Fiche Lot'!A:A,0)),"")</f>
        <v>#ERROR!</v>
      </c>
      <c r="D194" s="235" t="str">
        <f>IFERROR(INDEX('Fiche Lot'!H:H,MATCH(A194,'Fiche Lot'!A:A,0)),"")</f>
        <v>#ERROR!</v>
      </c>
      <c r="E194" s="387" t="str">
        <f>IFERROR(INDEX('Fiche Lot'!L:L,MATCH(A194,'Fiche Lot'!A:A,0)),"")</f>
        <v>#ERROR!</v>
      </c>
      <c r="F194" s="388" t="str">
        <f>IF(E194="","",E194-TODAY())</f>
        <v>#ERROR!</v>
      </c>
      <c r="G194" s="389" t="str">
        <f>IF(F194="","",IF(F194&lt;0,"Expire",IF(F194&lt;INDEX(Config!B:B,MATCH("Seuil alerte DDM (jours)",Config!A:A,0)),"Proche","OK")))</f>
        <v>#ERROR!</v>
      </c>
      <c r="H194" s="389" t="str">
        <f>IF(G194="","",IF(G194="Expire","Detruire ou reanalyse urgent",IF(G194="Proche","Priorite vente / marche prochain","RAS")))</f>
        <v>#ERROR!</v>
      </c>
      <c r="I194" s="390"/>
    </row>
    <row r="195" ht="15.0" customHeight="1">
      <c r="A195" s="282"/>
      <c r="B195" s="227" t="str">
        <f>IFERROR(INDEX('Fiche Lot'!C:C,MATCH(A195,'Fiche Lot'!A:A,0)),"")</f>
        <v>#ERROR!</v>
      </c>
      <c r="C195" s="227" t="str">
        <f>IFERROR(INDEX('Fiche Lot'!E:E,MATCH(A195,'Fiche Lot'!A:A,0)),"")</f>
        <v>#ERROR!</v>
      </c>
      <c r="D195" s="227" t="str">
        <f>IFERROR(INDEX('Fiche Lot'!H:H,MATCH(A195,'Fiche Lot'!A:A,0)),"")</f>
        <v>#ERROR!</v>
      </c>
      <c r="E195" s="383" t="str">
        <f>IFERROR(INDEX('Fiche Lot'!L:L,MATCH(A195,'Fiche Lot'!A:A,0)),"")</f>
        <v>#ERROR!</v>
      </c>
      <c r="F195" s="384" t="str">
        <f>IF(E195="","",E195-TODAY())</f>
        <v>#ERROR!</v>
      </c>
      <c r="G195" s="385" t="str">
        <f>IF(F195="","",IF(F195&lt;0,"Expire",IF(F195&lt;INDEX(Config!B:B,MATCH("Seuil alerte DDM (jours)",Config!A:A,0)),"Proche","OK")))</f>
        <v>#ERROR!</v>
      </c>
      <c r="H195" s="385" t="str">
        <f>IF(G195="","",IF(G195="Expire","Detruire ou reanalyse urgent",IF(G195="Proche","Priorite vente / marche prochain","RAS")))</f>
        <v>#ERROR!</v>
      </c>
      <c r="I195" s="386"/>
    </row>
    <row r="196" ht="15.0" customHeight="1">
      <c r="A196" s="282"/>
      <c r="B196" s="235" t="str">
        <f>IFERROR(INDEX('Fiche Lot'!C:C,MATCH(A196,'Fiche Lot'!A:A,0)),"")</f>
        <v>#ERROR!</v>
      </c>
      <c r="C196" s="235" t="str">
        <f>IFERROR(INDEX('Fiche Lot'!E:E,MATCH(A196,'Fiche Lot'!A:A,0)),"")</f>
        <v>#ERROR!</v>
      </c>
      <c r="D196" s="235" t="str">
        <f>IFERROR(INDEX('Fiche Lot'!H:H,MATCH(A196,'Fiche Lot'!A:A,0)),"")</f>
        <v>#ERROR!</v>
      </c>
      <c r="E196" s="387" t="str">
        <f>IFERROR(INDEX('Fiche Lot'!L:L,MATCH(A196,'Fiche Lot'!A:A,0)),"")</f>
        <v>#ERROR!</v>
      </c>
      <c r="F196" s="388" t="str">
        <f>IF(E196="","",E196-TODAY())</f>
        <v>#ERROR!</v>
      </c>
      <c r="G196" s="389" t="str">
        <f>IF(F196="","",IF(F196&lt;0,"Expire",IF(F196&lt;INDEX(Config!B:B,MATCH("Seuil alerte DDM (jours)",Config!A:A,0)),"Proche","OK")))</f>
        <v>#ERROR!</v>
      </c>
      <c r="H196" s="389" t="str">
        <f>IF(G196="","",IF(G196="Expire","Detruire ou reanalyse urgent",IF(G196="Proche","Priorite vente / marche prochain","RAS")))</f>
        <v>#ERROR!</v>
      </c>
      <c r="I196" s="390"/>
    </row>
    <row r="197" ht="15.0" customHeight="1">
      <c r="A197" s="282"/>
      <c r="B197" s="227" t="str">
        <f>IFERROR(INDEX('Fiche Lot'!C:C,MATCH(A197,'Fiche Lot'!A:A,0)),"")</f>
        <v>#ERROR!</v>
      </c>
      <c r="C197" s="227" t="str">
        <f>IFERROR(INDEX('Fiche Lot'!E:E,MATCH(A197,'Fiche Lot'!A:A,0)),"")</f>
        <v>#ERROR!</v>
      </c>
      <c r="D197" s="227" t="str">
        <f>IFERROR(INDEX('Fiche Lot'!H:H,MATCH(A197,'Fiche Lot'!A:A,0)),"")</f>
        <v>#ERROR!</v>
      </c>
      <c r="E197" s="383" t="str">
        <f>IFERROR(INDEX('Fiche Lot'!L:L,MATCH(A197,'Fiche Lot'!A:A,0)),"")</f>
        <v>#ERROR!</v>
      </c>
      <c r="F197" s="384" t="str">
        <f>IF(E197="","",E197-TODAY())</f>
        <v>#ERROR!</v>
      </c>
      <c r="G197" s="385" t="str">
        <f>IF(F197="","",IF(F197&lt;0,"Expire",IF(F197&lt;INDEX(Config!B:B,MATCH("Seuil alerte DDM (jours)",Config!A:A,0)),"Proche","OK")))</f>
        <v>#ERROR!</v>
      </c>
      <c r="H197" s="385" t="str">
        <f>IF(G197="","",IF(G197="Expire","Detruire ou reanalyse urgent",IF(G197="Proche","Priorite vente / marche prochain","RAS")))</f>
        <v>#ERROR!</v>
      </c>
      <c r="I197" s="386"/>
    </row>
    <row r="198" ht="15.0" customHeight="1">
      <c r="A198" s="282"/>
      <c r="B198" s="235" t="str">
        <f>IFERROR(INDEX('Fiche Lot'!C:C,MATCH(A198,'Fiche Lot'!A:A,0)),"")</f>
        <v>#ERROR!</v>
      </c>
      <c r="C198" s="235" t="str">
        <f>IFERROR(INDEX('Fiche Lot'!E:E,MATCH(A198,'Fiche Lot'!A:A,0)),"")</f>
        <v>#ERROR!</v>
      </c>
      <c r="D198" s="235" t="str">
        <f>IFERROR(INDEX('Fiche Lot'!H:H,MATCH(A198,'Fiche Lot'!A:A,0)),"")</f>
        <v>#ERROR!</v>
      </c>
      <c r="E198" s="387" t="str">
        <f>IFERROR(INDEX('Fiche Lot'!L:L,MATCH(A198,'Fiche Lot'!A:A,0)),"")</f>
        <v>#ERROR!</v>
      </c>
      <c r="F198" s="388" t="str">
        <f>IF(E198="","",E198-TODAY())</f>
        <v>#ERROR!</v>
      </c>
      <c r="G198" s="389" t="str">
        <f>IF(F198="","",IF(F198&lt;0,"Expire",IF(F198&lt;INDEX(Config!B:B,MATCH("Seuil alerte DDM (jours)",Config!A:A,0)),"Proche","OK")))</f>
        <v>#ERROR!</v>
      </c>
      <c r="H198" s="389" t="str">
        <f>IF(G198="","",IF(G198="Expire","Detruire ou reanalyse urgent",IF(G198="Proche","Priorite vente / marche prochain","RAS")))</f>
        <v>#ERROR!</v>
      </c>
      <c r="I198" s="390"/>
    </row>
    <row r="199" ht="15.0" customHeight="1">
      <c r="A199" s="282"/>
      <c r="B199" s="227" t="str">
        <f>IFERROR(INDEX('Fiche Lot'!C:C,MATCH(A199,'Fiche Lot'!A:A,0)),"")</f>
        <v>#ERROR!</v>
      </c>
      <c r="C199" s="227" t="str">
        <f>IFERROR(INDEX('Fiche Lot'!E:E,MATCH(A199,'Fiche Lot'!A:A,0)),"")</f>
        <v>#ERROR!</v>
      </c>
      <c r="D199" s="227" t="str">
        <f>IFERROR(INDEX('Fiche Lot'!H:H,MATCH(A199,'Fiche Lot'!A:A,0)),"")</f>
        <v>#ERROR!</v>
      </c>
      <c r="E199" s="383" t="str">
        <f>IFERROR(INDEX('Fiche Lot'!L:L,MATCH(A199,'Fiche Lot'!A:A,0)),"")</f>
        <v>#ERROR!</v>
      </c>
      <c r="F199" s="384" t="str">
        <f>IF(E199="","",E199-TODAY())</f>
        <v>#ERROR!</v>
      </c>
      <c r="G199" s="385" t="str">
        <f>IF(F199="","",IF(F199&lt;0,"Expire",IF(F199&lt;INDEX(Config!B:B,MATCH("Seuil alerte DDM (jours)",Config!A:A,0)),"Proche","OK")))</f>
        <v>#ERROR!</v>
      </c>
      <c r="H199" s="385" t="str">
        <f>IF(G199="","",IF(G199="Expire","Detruire ou reanalyse urgent",IF(G199="Proche","Priorite vente / marche prochain","RAS")))</f>
        <v>#ERROR!</v>
      </c>
      <c r="I199" s="386"/>
    </row>
    <row r="200" ht="15.0" customHeight="1">
      <c r="A200" s="282"/>
      <c r="B200" s="235" t="str">
        <f>IFERROR(INDEX('Fiche Lot'!C:C,MATCH(A200,'Fiche Lot'!A:A,0)),"")</f>
        <v>#ERROR!</v>
      </c>
      <c r="C200" s="235" t="str">
        <f>IFERROR(INDEX('Fiche Lot'!E:E,MATCH(A200,'Fiche Lot'!A:A,0)),"")</f>
        <v>#ERROR!</v>
      </c>
      <c r="D200" s="235" t="str">
        <f>IFERROR(INDEX('Fiche Lot'!H:H,MATCH(A200,'Fiche Lot'!A:A,0)),"")</f>
        <v>#ERROR!</v>
      </c>
      <c r="E200" s="387" t="str">
        <f>IFERROR(INDEX('Fiche Lot'!L:L,MATCH(A200,'Fiche Lot'!A:A,0)),"")</f>
        <v>#ERROR!</v>
      </c>
      <c r="F200" s="388" t="str">
        <f>IF(E200="","",E200-TODAY())</f>
        <v>#ERROR!</v>
      </c>
      <c r="G200" s="389" t="str">
        <f>IF(F200="","",IF(F200&lt;0,"Expire",IF(F200&lt;INDEX(Config!B:B,MATCH("Seuil alerte DDM (jours)",Config!A:A,0)),"Proche","OK")))</f>
        <v>#ERROR!</v>
      </c>
      <c r="H200" s="389" t="str">
        <f>IF(G200="","",IF(G200="Expire","Detruire ou reanalyse urgent",IF(G200="Proche","Priorite vente / marche prochain","RAS")))</f>
        <v>#ERROR!</v>
      </c>
      <c r="I200" s="390"/>
    </row>
    <row r="201" ht="15.0" customHeight="1">
      <c r="A201" s="282"/>
      <c r="B201" s="227" t="str">
        <f>IFERROR(INDEX('Fiche Lot'!C:C,MATCH(A201,'Fiche Lot'!A:A,0)),"")</f>
        <v>#ERROR!</v>
      </c>
      <c r="C201" s="227" t="str">
        <f>IFERROR(INDEX('Fiche Lot'!E:E,MATCH(A201,'Fiche Lot'!A:A,0)),"")</f>
        <v>#ERROR!</v>
      </c>
      <c r="D201" s="227" t="str">
        <f>IFERROR(INDEX('Fiche Lot'!H:H,MATCH(A201,'Fiche Lot'!A:A,0)),"")</f>
        <v>#ERROR!</v>
      </c>
      <c r="E201" s="383" t="str">
        <f>IFERROR(INDEX('Fiche Lot'!L:L,MATCH(A201,'Fiche Lot'!A:A,0)),"")</f>
        <v>#ERROR!</v>
      </c>
      <c r="F201" s="384" t="str">
        <f>IF(E201="","",E201-TODAY())</f>
        <v>#ERROR!</v>
      </c>
      <c r="G201" s="385" t="str">
        <f>IF(F201="","",IF(F201&lt;0,"Expire",IF(F201&lt;INDEX(Config!B:B,MATCH("Seuil alerte DDM (jours)",Config!A:A,0)),"Proche","OK")))</f>
        <v>#ERROR!</v>
      </c>
      <c r="H201" s="385" t="str">
        <f>IF(G201="","",IF(G201="Expire","Detruire ou reanalyse urgent",IF(G201="Proche","Priorite vente / marche prochain","RAS")))</f>
        <v>#ERROR!</v>
      </c>
      <c r="I201" s="386"/>
    </row>
    <row r="202" ht="15.0" customHeight="1">
      <c r="A202" s="282"/>
      <c r="B202" s="235" t="str">
        <f>IFERROR(INDEX('Fiche Lot'!C:C,MATCH(A202,'Fiche Lot'!A:A,0)),"")</f>
        <v>#ERROR!</v>
      </c>
      <c r="C202" s="235" t="str">
        <f>IFERROR(INDEX('Fiche Lot'!E:E,MATCH(A202,'Fiche Lot'!A:A,0)),"")</f>
        <v>#ERROR!</v>
      </c>
      <c r="D202" s="235" t="str">
        <f>IFERROR(INDEX('Fiche Lot'!H:H,MATCH(A202,'Fiche Lot'!A:A,0)),"")</f>
        <v>#ERROR!</v>
      </c>
      <c r="E202" s="387" t="str">
        <f>IFERROR(INDEX('Fiche Lot'!L:L,MATCH(A202,'Fiche Lot'!A:A,0)),"")</f>
        <v>#ERROR!</v>
      </c>
      <c r="F202" s="388" t="str">
        <f>IF(E202="","",E202-TODAY())</f>
        <v>#ERROR!</v>
      </c>
      <c r="G202" s="389" t="str">
        <f>IF(F202="","",IF(F202&lt;0,"Expire",IF(F202&lt;INDEX(Config!B:B,MATCH("Seuil alerte DDM (jours)",Config!A:A,0)),"Proche","OK")))</f>
        <v>#ERROR!</v>
      </c>
      <c r="H202" s="389" t="str">
        <f>IF(G202="","",IF(G202="Expire","Detruire ou reanalyse urgent",IF(G202="Proche","Priorite vente / marche prochain","RAS")))</f>
        <v>#ERROR!</v>
      </c>
      <c r="I202" s="390"/>
    </row>
    <row r="203" ht="15.0" customHeight="1">
      <c r="A203" s="282"/>
      <c r="B203" s="227" t="str">
        <f>IFERROR(INDEX('Fiche Lot'!C:C,MATCH(A203,'Fiche Lot'!A:A,0)),"")</f>
        <v>#ERROR!</v>
      </c>
      <c r="C203" s="227" t="str">
        <f>IFERROR(INDEX('Fiche Lot'!E:E,MATCH(A203,'Fiche Lot'!A:A,0)),"")</f>
        <v>#ERROR!</v>
      </c>
      <c r="D203" s="227" t="str">
        <f>IFERROR(INDEX('Fiche Lot'!H:H,MATCH(A203,'Fiche Lot'!A:A,0)),"")</f>
        <v>#ERROR!</v>
      </c>
      <c r="E203" s="383" t="str">
        <f>IFERROR(INDEX('Fiche Lot'!L:L,MATCH(A203,'Fiche Lot'!A:A,0)),"")</f>
        <v>#ERROR!</v>
      </c>
      <c r="F203" s="384" t="str">
        <f>IF(E203="","",E203-TODAY())</f>
        <v>#ERROR!</v>
      </c>
      <c r="G203" s="385" t="str">
        <f>IF(F203="","",IF(F203&lt;0,"Expire",IF(F203&lt;INDEX(Config!B:B,MATCH("Seuil alerte DDM (jours)",Config!A:A,0)),"Proche","OK")))</f>
        <v>#ERROR!</v>
      </c>
      <c r="H203" s="385" t="str">
        <f>IF(G203="","",IF(G203="Expire","Detruire ou reanalyse urgent",IF(G203="Proche","Priorite vente / marche prochain","RAS")))</f>
        <v>#ERROR!</v>
      </c>
      <c r="I203" s="386"/>
    </row>
    <row r="204" ht="15.0" customHeight="1">
      <c r="A204" s="282"/>
      <c r="B204" s="235" t="str">
        <f>IFERROR(INDEX('Fiche Lot'!C:C,MATCH(A204,'Fiche Lot'!A:A,0)),"")</f>
        <v>#ERROR!</v>
      </c>
      <c r="C204" s="235" t="str">
        <f>IFERROR(INDEX('Fiche Lot'!E:E,MATCH(A204,'Fiche Lot'!A:A,0)),"")</f>
        <v>#ERROR!</v>
      </c>
      <c r="D204" s="235" t="str">
        <f>IFERROR(INDEX('Fiche Lot'!H:H,MATCH(A204,'Fiche Lot'!A:A,0)),"")</f>
        <v>#ERROR!</v>
      </c>
      <c r="E204" s="387" t="str">
        <f>IFERROR(INDEX('Fiche Lot'!L:L,MATCH(A204,'Fiche Lot'!A:A,0)),"")</f>
        <v>#ERROR!</v>
      </c>
      <c r="F204" s="388" t="str">
        <f>IF(E204="","",E204-TODAY())</f>
        <v>#ERROR!</v>
      </c>
      <c r="G204" s="389" t="str">
        <f>IF(F204="","",IF(F204&lt;0,"Expire",IF(F204&lt;INDEX(Config!B:B,MATCH("Seuil alerte DDM (jours)",Config!A:A,0)),"Proche","OK")))</f>
        <v>#ERROR!</v>
      </c>
      <c r="H204" s="389" t="str">
        <f>IF(G204="","",IF(G204="Expire","Detruire ou reanalyse urgent",IF(G204="Proche","Priorite vente / marche prochain","RAS")))</f>
        <v>#ERROR!</v>
      </c>
      <c r="I204" s="390"/>
    </row>
    <row r="205" ht="15.0" customHeight="1">
      <c r="A205" s="282"/>
      <c r="B205" s="227" t="str">
        <f>IFERROR(INDEX('Fiche Lot'!C:C,MATCH(A205,'Fiche Lot'!A:A,0)),"")</f>
        <v>#ERROR!</v>
      </c>
      <c r="C205" s="227" t="str">
        <f>IFERROR(INDEX('Fiche Lot'!E:E,MATCH(A205,'Fiche Lot'!A:A,0)),"")</f>
        <v>#ERROR!</v>
      </c>
      <c r="D205" s="227" t="str">
        <f>IFERROR(INDEX('Fiche Lot'!H:H,MATCH(A205,'Fiche Lot'!A:A,0)),"")</f>
        <v>#ERROR!</v>
      </c>
      <c r="E205" s="383" t="str">
        <f>IFERROR(INDEX('Fiche Lot'!L:L,MATCH(A205,'Fiche Lot'!A:A,0)),"")</f>
        <v>#ERROR!</v>
      </c>
      <c r="F205" s="384" t="str">
        <f>IF(E205="","",E205-TODAY())</f>
        <v>#ERROR!</v>
      </c>
      <c r="G205" s="385" t="str">
        <f>IF(F205="","",IF(F205&lt;0,"Expire",IF(F205&lt;INDEX(Config!B:B,MATCH("Seuil alerte DDM (jours)",Config!A:A,0)),"Proche","OK")))</f>
        <v>#ERROR!</v>
      </c>
      <c r="H205" s="385" t="str">
        <f>IF(G205="","",IF(G205="Expire","Detruire ou reanalyse urgent",IF(G205="Proche","Priorite vente / marche prochain","RAS")))</f>
        <v>#ERROR!</v>
      </c>
      <c r="I205" s="386"/>
    </row>
    <row r="206" ht="15.0" customHeight="1">
      <c r="A206" s="282"/>
      <c r="B206" s="235" t="str">
        <f>IFERROR(INDEX('Fiche Lot'!C:C,MATCH(A206,'Fiche Lot'!A:A,0)),"")</f>
        <v>#ERROR!</v>
      </c>
      <c r="C206" s="235" t="str">
        <f>IFERROR(INDEX('Fiche Lot'!E:E,MATCH(A206,'Fiche Lot'!A:A,0)),"")</f>
        <v>#ERROR!</v>
      </c>
      <c r="D206" s="235" t="str">
        <f>IFERROR(INDEX('Fiche Lot'!H:H,MATCH(A206,'Fiche Lot'!A:A,0)),"")</f>
        <v>#ERROR!</v>
      </c>
      <c r="E206" s="387" t="str">
        <f>IFERROR(INDEX('Fiche Lot'!L:L,MATCH(A206,'Fiche Lot'!A:A,0)),"")</f>
        <v>#ERROR!</v>
      </c>
      <c r="F206" s="388" t="str">
        <f>IF(E206="","",E206-TODAY())</f>
        <v>#ERROR!</v>
      </c>
      <c r="G206" s="389" t="str">
        <f>IF(F206="","",IF(F206&lt;0,"Expire",IF(F206&lt;INDEX(Config!B:B,MATCH("Seuil alerte DDM (jours)",Config!A:A,0)),"Proche","OK")))</f>
        <v>#ERROR!</v>
      </c>
      <c r="H206" s="389" t="str">
        <f>IF(G206="","",IF(G206="Expire","Detruire ou reanalyse urgent",IF(G206="Proche","Priorite vente / marche prochain","RAS")))</f>
        <v>#ERROR!</v>
      </c>
      <c r="I206" s="390"/>
    </row>
    <row r="207" ht="15.0" customHeight="1">
      <c r="A207" s="282"/>
      <c r="B207" s="227" t="str">
        <f>IFERROR(INDEX('Fiche Lot'!C:C,MATCH(A207,'Fiche Lot'!A:A,0)),"")</f>
        <v>#ERROR!</v>
      </c>
      <c r="C207" s="227" t="str">
        <f>IFERROR(INDEX('Fiche Lot'!E:E,MATCH(A207,'Fiche Lot'!A:A,0)),"")</f>
        <v>#ERROR!</v>
      </c>
      <c r="D207" s="227" t="str">
        <f>IFERROR(INDEX('Fiche Lot'!H:H,MATCH(A207,'Fiche Lot'!A:A,0)),"")</f>
        <v>#ERROR!</v>
      </c>
      <c r="E207" s="383" t="str">
        <f>IFERROR(INDEX('Fiche Lot'!L:L,MATCH(A207,'Fiche Lot'!A:A,0)),"")</f>
        <v>#ERROR!</v>
      </c>
      <c r="F207" s="384" t="str">
        <f>IF(E207="","",E207-TODAY())</f>
        <v>#ERROR!</v>
      </c>
      <c r="G207" s="385" t="str">
        <f>IF(F207="","",IF(F207&lt;0,"Expire",IF(F207&lt;INDEX(Config!B:B,MATCH("Seuil alerte DDM (jours)",Config!A:A,0)),"Proche","OK")))</f>
        <v>#ERROR!</v>
      </c>
      <c r="H207" s="385" t="str">
        <f>IF(G207="","",IF(G207="Expire","Detruire ou reanalyse urgent",IF(G207="Proche","Priorite vente / marche prochain","RAS")))</f>
        <v>#ERROR!</v>
      </c>
      <c r="I207" s="386"/>
    </row>
    <row r="208" ht="15.0" customHeight="1">
      <c r="A208" s="282"/>
      <c r="B208" s="235" t="str">
        <f>IFERROR(INDEX('Fiche Lot'!C:C,MATCH(A208,'Fiche Lot'!A:A,0)),"")</f>
        <v>#ERROR!</v>
      </c>
      <c r="C208" s="235" t="str">
        <f>IFERROR(INDEX('Fiche Lot'!E:E,MATCH(A208,'Fiche Lot'!A:A,0)),"")</f>
        <v>#ERROR!</v>
      </c>
      <c r="D208" s="235" t="str">
        <f>IFERROR(INDEX('Fiche Lot'!H:H,MATCH(A208,'Fiche Lot'!A:A,0)),"")</f>
        <v>#ERROR!</v>
      </c>
      <c r="E208" s="387" t="str">
        <f>IFERROR(INDEX('Fiche Lot'!L:L,MATCH(A208,'Fiche Lot'!A:A,0)),"")</f>
        <v>#ERROR!</v>
      </c>
      <c r="F208" s="388" t="str">
        <f>IF(E208="","",E208-TODAY())</f>
        <v>#ERROR!</v>
      </c>
      <c r="G208" s="389" t="str">
        <f>IF(F208="","",IF(F208&lt;0,"Expire",IF(F208&lt;INDEX(Config!B:B,MATCH("Seuil alerte DDM (jours)",Config!A:A,0)),"Proche","OK")))</f>
        <v>#ERROR!</v>
      </c>
      <c r="H208" s="389" t="str">
        <f>IF(G208="","",IF(G208="Expire","Detruire ou reanalyse urgent",IF(G208="Proche","Priorite vente / marche prochain","RAS")))</f>
        <v>#ERROR!</v>
      </c>
      <c r="I208" s="390"/>
    </row>
    <row r="209" ht="15.0" customHeight="1">
      <c r="A209" s="282"/>
      <c r="B209" s="227" t="str">
        <f>IFERROR(INDEX('Fiche Lot'!C:C,MATCH(A209,'Fiche Lot'!A:A,0)),"")</f>
        <v>#ERROR!</v>
      </c>
      <c r="C209" s="227" t="str">
        <f>IFERROR(INDEX('Fiche Lot'!E:E,MATCH(A209,'Fiche Lot'!A:A,0)),"")</f>
        <v>#ERROR!</v>
      </c>
      <c r="D209" s="227" t="str">
        <f>IFERROR(INDEX('Fiche Lot'!H:H,MATCH(A209,'Fiche Lot'!A:A,0)),"")</f>
        <v>#ERROR!</v>
      </c>
      <c r="E209" s="383" t="str">
        <f>IFERROR(INDEX('Fiche Lot'!L:L,MATCH(A209,'Fiche Lot'!A:A,0)),"")</f>
        <v>#ERROR!</v>
      </c>
      <c r="F209" s="384" t="str">
        <f>IF(E209="","",E209-TODAY())</f>
        <v>#ERROR!</v>
      </c>
      <c r="G209" s="385" t="str">
        <f>IF(F209="","",IF(F209&lt;0,"Expire",IF(F209&lt;INDEX(Config!B:B,MATCH("Seuil alerte DDM (jours)",Config!A:A,0)),"Proche","OK")))</f>
        <v>#ERROR!</v>
      </c>
      <c r="H209" s="385" t="str">
        <f>IF(G209="","",IF(G209="Expire","Detruire ou reanalyse urgent",IF(G209="Proche","Priorite vente / marche prochain","RAS")))</f>
        <v>#ERROR!</v>
      </c>
      <c r="I209" s="386"/>
    </row>
    <row r="210" ht="15.0" customHeight="1">
      <c r="A210" s="282"/>
      <c r="B210" s="235" t="str">
        <f>IFERROR(INDEX('Fiche Lot'!C:C,MATCH(A210,'Fiche Lot'!A:A,0)),"")</f>
        <v>#ERROR!</v>
      </c>
      <c r="C210" s="235" t="str">
        <f>IFERROR(INDEX('Fiche Lot'!E:E,MATCH(A210,'Fiche Lot'!A:A,0)),"")</f>
        <v>#ERROR!</v>
      </c>
      <c r="D210" s="235" t="str">
        <f>IFERROR(INDEX('Fiche Lot'!H:H,MATCH(A210,'Fiche Lot'!A:A,0)),"")</f>
        <v>#ERROR!</v>
      </c>
      <c r="E210" s="387" t="str">
        <f>IFERROR(INDEX('Fiche Lot'!L:L,MATCH(A210,'Fiche Lot'!A:A,0)),"")</f>
        <v>#ERROR!</v>
      </c>
      <c r="F210" s="388" t="str">
        <f>IF(E210="","",E210-TODAY())</f>
        <v>#ERROR!</v>
      </c>
      <c r="G210" s="389" t="str">
        <f>IF(F210="","",IF(F210&lt;0,"Expire",IF(F210&lt;INDEX(Config!B:B,MATCH("Seuil alerte DDM (jours)",Config!A:A,0)),"Proche","OK")))</f>
        <v>#ERROR!</v>
      </c>
      <c r="H210" s="389" t="str">
        <f>IF(G210="","",IF(G210="Expire","Detruire ou reanalyse urgent",IF(G210="Proche","Priorite vente / marche prochain","RAS")))</f>
        <v>#ERROR!</v>
      </c>
      <c r="I210" s="390"/>
    </row>
    <row r="211" ht="15.0" customHeight="1">
      <c r="A211" s="282"/>
      <c r="B211" s="227" t="str">
        <f>IFERROR(INDEX('Fiche Lot'!C:C,MATCH(A211,'Fiche Lot'!A:A,0)),"")</f>
        <v>#ERROR!</v>
      </c>
      <c r="C211" s="227" t="str">
        <f>IFERROR(INDEX('Fiche Lot'!E:E,MATCH(A211,'Fiche Lot'!A:A,0)),"")</f>
        <v>#ERROR!</v>
      </c>
      <c r="D211" s="227" t="str">
        <f>IFERROR(INDEX('Fiche Lot'!H:H,MATCH(A211,'Fiche Lot'!A:A,0)),"")</f>
        <v>#ERROR!</v>
      </c>
      <c r="E211" s="383" t="str">
        <f>IFERROR(INDEX('Fiche Lot'!L:L,MATCH(A211,'Fiche Lot'!A:A,0)),"")</f>
        <v>#ERROR!</v>
      </c>
      <c r="F211" s="384" t="str">
        <f>IF(E211="","",E211-TODAY())</f>
        <v>#ERROR!</v>
      </c>
      <c r="G211" s="385" t="str">
        <f>IF(F211="","",IF(F211&lt;0,"Expire",IF(F211&lt;INDEX(Config!B:B,MATCH("Seuil alerte DDM (jours)",Config!A:A,0)),"Proche","OK")))</f>
        <v>#ERROR!</v>
      </c>
      <c r="H211" s="385" t="str">
        <f>IF(G211="","",IF(G211="Expire","Detruire ou reanalyse urgent",IF(G211="Proche","Priorite vente / marche prochain","RAS")))</f>
        <v>#ERROR!</v>
      </c>
      <c r="I211" s="386"/>
    </row>
    <row r="212" ht="15.0" customHeight="1">
      <c r="A212" s="282"/>
      <c r="B212" s="235" t="str">
        <f>IFERROR(INDEX('Fiche Lot'!C:C,MATCH(A212,'Fiche Lot'!A:A,0)),"")</f>
        <v>#ERROR!</v>
      </c>
      <c r="C212" s="235" t="str">
        <f>IFERROR(INDEX('Fiche Lot'!E:E,MATCH(A212,'Fiche Lot'!A:A,0)),"")</f>
        <v>#ERROR!</v>
      </c>
      <c r="D212" s="235" t="str">
        <f>IFERROR(INDEX('Fiche Lot'!H:H,MATCH(A212,'Fiche Lot'!A:A,0)),"")</f>
        <v>#ERROR!</v>
      </c>
      <c r="E212" s="387" t="str">
        <f>IFERROR(INDEX('Fiche Lot'!L:L,MATCH(A212,'Fiche Lot'!A:A,0)),"")</f>
        <v>#ERROR!</v>
      </c>
      <c r="F212" s="388" t="str">
        <f>IF(E212="","",E212-TODAY())</f>
        <v>#ERROR!</v>
      </c>
      <c r="G212" s="389" t="str">
        <f>IF(F212="","",IF(F212&lt;0,"Expire",IF(F212&lt;INDEX(Config!B:B,MATCH("Seuil alerte DDM (jours)",Config!A:A,0)),"Proche","OK")))</f>
        <v>#ERROR!</v>
      </c>
      <c r="H212" s="389" t="str">
        <f>IF(G212="","",IF(G212="Expire","Detruire ou reanalyse urgent",IF(G212="Proche","Priorite vente / marche prochain","RAS")))</f>
        <v>#ERROR!</v>
      </c>
      <c r="I212" s="390"/>
    </row>
    <row r="213" ht="15.0" customHeight="1">
      <c r="A213" s="282"/>
      <c r="B213" s="227" t="str">
        <f>IFERROR(INDEX('Fiche Lot'!C:C,MATCH(A213,'Fiche Lot'!A:A,0)),"")</f>
        <v>#ERROR!</v>
      </c>
      <c r="C213" s="227" t="str">
        <f>IFERROR(INDEX('Fiche Lot'!E:E,MATCH(A213,'Fiche Lot'!A:A,0)),"")</f>
        <v>#ERROR!</v>
      </c>
      <c r="D213" s="227" t="str">
        <f>IFERROR(INDEX('Fiche Lot'!H:H,MATCH(A213,'Fiche Lot'!A:A,0)),"")</f>
        <v>#ERROR!</v>
      </c>
      <c r="E213" s="383" t="str">
        <f>IFERROR(INDEX('Fiche Lot'!L:L,MATCH(A213,'Fiche Lot'!A:A,0)),"")</f>
        <v>#ERROR!</v>
      </c>
      <c r="F213" s="384" t="str">
        <f>IF(E213="","",E213-TODAY())</f>
        <v>#ERROR!</v>
      </c>
      <c r="G213" s="385" t="str">
        <f>IF(F213="","",IF(F213&lt;0,"Expire",IF(F213&lt;INDEX(Config!B:B,MATCH("Seuil alerte DDM (jours)",Config!A:A,0)),"Proche","OK")))</f>
        <v>#ERROR!</v>
      </c>
      <c r="H213" s="385" t="str">
        <f>IF(G213="","",IF(G213="Expire","Detruire ou reanalyse urgent",IF(G213="Proche","Priorite vente / marche prochain","RAS")))</f>
        <v>#ERROR!</v>
      </c>
      <c r="I213" s="386"/>
    </row>
    <row r="214" ht="15.0" customHeight="1">
      <c r="A214" s="282"/>
      <c r="B214" s="235" t="str">
        <f>IFERROR(INDEX('Fiche Lot'!C:C,MATCH(A214,'Fiche Lot'!A:A,0)),"")</f>
        <v>#ERROR!</v>
      </c>
      <c r="C214" s="235" t="str">
        <f>IFERROR(INDEX('Fiche Lot'!E:E,MATCH(A214,'Fiche Lot'!A:A,0)),"")</f>
        <v>#ERROR!</v>
      </c>
      <c r="D214" s="235" t="str">
        <f>IFERROR(INDEX('Fiche Lot'!H:H,MATCH(A214,'Fiche Lot'!A:A,0)),"")</f>
        <v>#ERROR!</v>
      </c>
      <c r="E214" s="387" t="str">
        <f>IFERROR(INDEX('Fiche Lot'!L:L,MATCH(A214,'Fiche Lot'!A:A,0)),"")</f>
        <v>#ERROR!</v>
      </c>
      <c r="F214" s="388" t="str">
        <f>IF(E214="","",E214-TODAY())</f>
        <v>#ERROR!</v>
      </c>
      <c r="G214" s="389" t="str">
        <f>IF(F214="","",IF(F214&lt;0,"Expire",IF(F214&lt;INDEX(Config!B:B,MATCH("Seuil alerte DDM (jours)",Config!A:A,0)),"Proche","OK")))</f>
        <v>#ERROR!</v>
      </c>
      <c r="H214" s="389" t="str">
        <f>IF(G214="","",IF(G214="Expire","Detruire ou reanalyse urgent",IF(G214="Proche","Priorite vente / marche prochain","RAS")))</f>
        <v>#ERROR!</v>
      </c>
      <c r="I214" s="390"/>
    </row>
    <row r="215" ht="15.0" customHeight="1">
      <c r="A215" s="282"/>
      <c r="B215" s="227" t="str">
        <f>IFERROR(INDEX('Fiche Lot'!C:C,MATCH(A215,'Fiche Lot'!A:A,0)),"")</f>
        <v>#ERROR!</v>
      </c>
      <c r="C215" s="227" t="str">
        <f>IFERROR(INDEX('Fiche Lot'!E:E,MATCH(A215,'Fiche Lot'!A:A,0)),"")</f>
        <v>#ERROR!</v>
      </c>
      <c r="D215" s="227" t="str">
        <f>IFERROR(INDEX('Fiche Lot'!H:H,MATCH(A215,'Fiche Lot'!A:A,0)),"")</f>
        <v>#ERROR!</v>
      </c>
      <c r="E215" s="383" t="str">
        <f>IFERROR(INDEX('Fiche Lot'!L:L,MATCH(A215,'Fiche Lot'!A:A,0)),"")</f>
        <v>#ERROR!</v>
      </c>
      <c r="F215" s="384" t="str">
        <f>IF(E215="","",E215-TODAY())</f>
        <v>#ERROR!</v>
      </c>
      <c r="G215" s="385" t="str">
        <f>IF(F215="","",IF(F215&lt;0,"Expire",IF(F215&lt;INDEX(Config!B:B,MATCH("Seuil alerte DDM (jours)",Config!A:A,0)),"Proche","OK")))</f>
        <v>#ERROR!</v>
      </c>
      <c r="H215" s="385" t="str">
        <f>IF(G215="","",IF(G215="Expire","Detruire ou reanalyse urgent",IF(G215="Proche","Priorite vente / marche prochain","RAS")))</f>
        <v>#ERROR!</v>
      </c>
      <c r="I215" s="386"/>
    </row>
    <row r="216" ht="15.0" customHeight="1">
      <c r="A216" s="282"/>
      <c r="B216" s="235" t="str">
        <f>IFERROR(INDEX('Fiche Lot'!C:C,MATCH(A216,'Fiche Lot'!A:A,0)),"")</f>
        <v>#ERROR!</v>
      </c>
      <c r="C216" s="235" t="str">
        <f>IFERROR(INDEX('Fiche Lot'!E:E,MATCH(A216,'Fiche Lot'!A:A,0)),"")</f>
        <v>#ERROR!</v>
      </c>
      <c r="D216" s="235" t="str">
        <f>IFERROR(INDEX('Fiche Lot'!H:H,MATCH(A216,'Fiche Lot'!A:A,0)),"")</f>
        <v>#ERROR!</v>
      </c>
      <c r="E216" s="387" t="str">
        <f>IFERROR(INDEX('Fiche Lot'!L:L,MATCH(A216,'Fiche Lot'!A:A,0)),"")</f>
        <v>#ERROR!</v>
      </c>
      <c r="F216" s="388" t="str">
        <f>IF(E216="","",E216-TODAY())</f>
        <v>#ERROR!</v>
      </c>
      <c r="G216" s="389" t="str">
        <f>IF(F216="","",IF(F216&lt;0,"Expire",IF(F216&lt;INDEX(Config!B:B,MATCH("Seuil alerte DDM (jours)",Config!A:A,0)),"Proche","OK")))</f>
        <v>#ERROR!</v>
      </c>
      <c r="H216" s="389" t="str">
        <f>IF(G216="","",IF(G216="Expire","Detruire ou reanalyse urgent",IF(G216="Proche","Priorite vente / marche prochain","RAS")))</f>
        <v>#ERROR!</v>
      </c>
      <c r="I216" s="390"/>
    </row>
    <row r="217" ht="15.0" customHeight="1">
      <c r="A217" s="282"/>
      <c r="B217" s="227" t="str">
        <f>IFERROR(INDEX('Fiche Lot'!C:C,MATCH(A217,'Fiche Lot'!A:A,0)),"")</f>
        <v>#ERROR!</v>
      </c>
      <c r="C217" s="227" t="str">
        <f>IFERROR(INDEX('Fiche Lot'!E:E,MATCH(A217,'Fiche Lot'!A:A,0)),"")</f>
        <v>#ERROR!</v>
      </c>
      <c r="D217" s="227" t="str">
        <f>IFERROR(INDEX('Fiche Lot'!H:H,MATCH(A217,'Fiche Lot'!A:A,0)),"")</f>
        <v>#ERROR!</v>
      </c>
      <c r="E217" s="383" t="str">
        <f>IFERROR(INDEX('Fiche Lot'!L:L,MATCH(A217,'Fiche Lot'!A:A,0)),"")</f>
        <v>#ERROR!</v>
      </c>
      <c r="F217" s="384" t="str">
        <f>IF(E217="","",E217-TODAY())</f>
        <v>#ERROR!</v>
      </c>
      <c r="G217" s="385" t="str">
        <f>IF(F217="","",IF(F217&lt;0,"Expire",IF(F217&lt;INDEX(Config!B:B,MATCH("Seuil alerte DDM (jours)",Config!A:A,0)),"Proche","OK")))</f>
        <v>#ERROR!</v>
      </c>
      <c r="H217" s="385" t="str">
        <f>IF(G217="","",IF(G217="Expire","Detruire ou reanalyse urgent",IF(G217="Proche","Priorite vente / marche prochain","RAS")))</f>
        <v>#ERROR!</v>
      </c>
      <c r="I217" s="386"/>
    </row>
    <row r="218" ht="15.0" customHeight="1">
      <c r="A218" s="282"/>
      <c r="B218" s="235" t="str">
        <f>IFERROR(INDEX('Fiche Lot'!C:C,MATCH(A218,'Fiche Lot'!A:A,0)),"")</f>
        <v>#ERROR!</v>
      </c>
      <c r="C218" s="235" t="str">
        <f>IFERROR(INDEX('Fiche Lot'!E:E,MATCH(A218,'Fiche Lot'!A:A,0)),"")</f>
        <v>#ERROR!</v>
      </c>
      <c r="D218" s="235" t="str">
        <f>IFERROR(INDEX('Fiche Lot'!H:H,MATCH(A218,'Fiche Lot'!A:A,0)),"")</f>
        <v>#ERROR!</v>
      </c>
      <c r="E218" s="387" t="str">
        <f>IFERROR(INDEX('Fiche Lot'!L:L,MATCH(A218,'Fiche Lot'!A:A,0)),"")</f>
        <v>#ERROR!</v>
      </c>
      <c r="F218" s="388" t="str">
        <f>IF(E218="","",E218-TODAY())</f>
        <v>#ERROR!</v>
      </c>
      <c r="G218" s="389" t="str">
        <f>IF(F218="","",IF(F218&lt;0,"Expire",IF(F218&lt;INDEX(Config!B:B,MATCH("Seuil alerte DDM (jours)",Config!A:A,0)),"Proche","OK")))</f>
        <v>#ERROR!</v>
      </c>
      <c r="H218" s="389" t="str">
        <f>IF(G218="","",IF(G218="Expire","Detruire ou reanalyse urgent",IF(G218="Proche","Priorite vente / marche prochain","RAS")))</f>
        <v>#ERROR!</v>
      </c>
      <c r="I218" s="390"/>
    </row>
    <row r="219" ht="15.0" customHeight="1">
      <c r="A219" s="282"/>
      <c r="B219" s="227" t="str">
        <f>IFERROR(INDEX('Fiche Lot'!C:C,MATCH(A219,'Fiche Lot'!A:A,0)),"")</f>
        <v>#ERROR!</v>
      </c>
      <c r="C219" s="227" t="str">
        <f>IFERROR(INDEX('Fiche Lot'!E:E,MATCH(A219,'Fiche Lot'!A:A,0)),"")</f>
        <v>#ERROR!</v>
      </c>
      <c r="D219" s="227" t="str">
        <f>IFERROR(INDEX('Fiche Lot'!H:H,MATCH(A219,'Fiche Lot'!A:A,0)),"")</f>
        <v>#ERROR!</v>
      </c>
      <c r="E219" s="383" t="str">
        <f>IFERROR(INDEX('Fiche Lot'!L:L,MATCH(A219,'Fiche Lot'!A:A,0)),"")</f>
        <v>#ERROR!</v>
      </c>
      <c r="F219" s="384" t="str">
        <f>IF(E219="","",E219-TODAY())</f>
        <v>#ERROR!</v>
      </c>
      <c r="G219" s="385" t="str">
        <f>IF(F219="","",IF(F219&lt;0,"Expire",IF(F219&lt;INDEX(Config!B:B,MATCH("Seuil alerte DDM (jours)",Config!A:A,0)),"Proche","OK")))</f>
        <v>#ERROR!</v>
      </c>
      <c r="H219" s="385" t="str">
        <f>IF(G219="","",IF(G219="Expire","Detruire ou reanalyse urgent",IF(G219="Proche","Priorite vente / marche prochain","RAS")))</f>
        <v>#ERROR!</v>
      </c>
      <c r="I219" s="386"/>
    </row>
    <row r="220" ht="15.0" customHeight="1">
      <c r="A220" s="282"/>
      <c r="B220" s="235" t="str">
        <f>IFERROR(INDEX('Fiche Lot'!C:C,MATCH(A220,'Fiche Lot'!A:A,0)),"")</f>
        <v>#ERROR!</v>
      </c>
      <c r="C220" s="235" t="str">
        <f>IFERROR(INDEX('Fiche Lot'!E:E,MATCH(A220,'Fiche Lot'!A:A,0)),"")</f>
        <v>#ERROR!</v>
      </c>
      <c r="D220" s="235" t="str">
        <f>IFERROR(INDEX('Fiche Lot'!H:H,MATCH(A220,'Fiche Lot'!A:A,0)),"")</f>
        <v>#ERROR!</v>
      </c>
      <c r="E220" s="387" t="str">
        <f>IFERROR(INDEX('Fiche Lot'!L:L,MATCH(A220,'Fiche Lot'!A:A,0)),"")</f>
        <v>#ERROR!</v>
      </c>
      <c r="F220" s="388" t="str">
        <f>IF(E220="","",E220-TODAY())</f>
        <v>#ERROR!</v>
      </c>
      <c r="G220" s="389" t="str">
        <f>IF(F220="","",IF(F220&lt;0,"Expire",IF(F220&lt;INDEX(Config!B:B,MATCH("Seuil alerte DDM (jours)",Config!A:A,0)),"Proche","OK")))</f>
        <v>#ERROR!</v>
      </c>
      <c r="H220" s="389" t="str">
        <f>IF(G220="","",IF(G220="Expire","Detruire ou reanalyse urgent",IF(G220="Proche","Priorite vente / marche prochain","RAS")))</f>
        <v>#ERROR!</v>
      </c>
      <c r="I220" s="390"/>
    </row>
    <row r="221" ht="15.0" customHeight="1">
      <c r="A221" s="282"/>
      <c r="B221" s="227" t="str">
        <f>IFERROR(INDEX('Fiche Lot'!C:C,MATCH(A221,'Fiche Lot'!A:A,0)),"")</f>
        <v>#ERROR!</v>
      </c>
      <c r="C221" s="227" t="str">
        <f>IFERROR(INDEX('Fiche Lot'!E:E,MATCH(A221,'Fiche Lot'!A:A,0)),"")</f>
        <v>#ERROR!</v>
      </c>
      <c r="D221" s="227" t="str">
        <f>IFERROR(INDEX('Fiche Lot'!H:H,MATCH(A221,'Fiche Lot'!A:A,0)),"")</f>
        <v>#ERROR!</v>
      </c>
      <c r="E221" s="383" t="str">
        <f>IFERROR(INDEX('Fiche Lot'!L:L,MATCH(A221,'Fiche Lot'!A:A,0)),"")</f>
        <v>#ERROR!</v>
      </c>
      <c r="F221" s="384" t="str">
        <f>IF(E221="","",E221-TODAY())</f>
        <v>#ERROR!</v>
      </c>
      <c r="G221" s="385" t="str">
        <f>IF(F221="","",IF(F221&lt;0,"Expire",IF(F221&lt;INDEX(Config!B:B,MATCH("Seuil alerte DDM (jours)",Config!A:A,0)),"Proche","OK")))</f>
        <v>#ERROR!</v>
      </c>
      <c r="H221" s="385" t="str">
        <f>IF(G221="","",IF(G221="Expire","Detruire ou reanalyse urgent",IF(G221="Proche","Priorite vente / marche prochain","RAS")))</f>
        <v>#ERROR!</v>
      </c>
      <c r="I221" s="386"/>
    </row>
    <row r="222" ht="15.0" customHeight="1">
      <c r="A222" s="282"/>
      <c r="B222" s="235" t="str">
        <f>IFERROR(INDEX('Fiche Lot'!C:C,MATCH(A222,'Fiche Lot'!A:A,0)),"")</f>
        <v>#ERROR!</v>
      </c>
      <c r="C222" s="235" t="str">
        <f>IFERROR(INDEX('Fiche Lot'!E:E,MATCH(A222,'Fiche Lot'!A:A,0)),"")</f>
        <v>#ERROR!</v>
      </c>
      <c r="D222" s="235" t="str">
        <f>IFERROR(INDEX('Fiche Lot'!H:H,MATCH(A222,'Fiche Lot'!A:A,0)),"")</f>
        <v>#ERROR!</v>
      </c>
      <c r="E222" s="387" t="str">
        <f>IFERROR(INDEX('Fiche Lot'!L:L,MATCH(A222,'Fiche Lot'!A:A,0)),"")</f>
        <v>#ERROR!</v>
      </c>
      <c r="F222" s="388" t="str">
        <f>IF(E222="","",E222-TODAY())</f>
        <v>#ERROR!</v>
      </c>
      <c r="G222" s="389" t="str">
        <f>IF(F222="","",IF(F222&lt;0,"Expire",IF(F222&lt;INDEX(Config!B:B,MATCH("Seuil alerte DDM (jours)",Config!A:A,0)),"Proche","OK")))</f>
        <v>#ERROR!</v>
      </c>
      <c r="H222" s="389" t="str">
        <f>IF(G222="","",IF(G222="Expire","Detruire ou reanalyse urgent",IF(G222="Proche","Priorite vente / marche prochain","RAS")))</f>
        <v>#ERROR!</v>
      </c>
      <c r="I222" s="390"/>
    </row>
    <row r="223" ht="15.0" customHeight="1">
      <c r="A223" s="282"/>
      <c r="B223" s="227" t="str">
        <f>IFERROR(INDEX('Fiche Lot'!C:C,MATCH(A223,'Fiche Lot'!A:A,0)),"")</f>
        <v>#ERROR!</v>
      </c>
      <c r="C223" s="227" t="str">
        <f>IFERROR(INDEX('Fiche Lot'!E:E,MATCH(A223,'Fiche Lot'!A:A,0)),"")</f>
        <v>#ERROR!</v>
      </c>
      <c r="D223" s="227" t="str">
        <f>IFERROR(INDEX('Fiche Lot'!H:H,MATCH(A223,'Fiche Lot'!A:A,0)),"")</f>
        <v>#ERROR!</v>
      </c>
      <c r="E223" s="383" t="str">
        <f>IFERROR(INDEX('Fiche Lot'!L:L,MATCH(A223,'Fiche Lot'!A:A,0)),"")</f>
        <v>#ERROR!</v>
      </c>
      <c r="F223" s="384" t="str">
        <f>IF(E223="","",E223-TODAY())</f>
        <v>#ERROR!</v>
      </c>
      <c r="G223" s="385" t="str">
        <f>IF(F223="","",IF(F223&lt;0,"Expire",IF(F223&lt;INDEX(Config!B:B,MATCH("Seuil alerte DDM (jours)",Config!A:A,0)),"Proche","OK")))</f>
        <v>#ERROR!</v>
      </c>
      <c r="H223" s="385" t="str">
        <f>IF(G223="","",IF(G223="Expire","Detruire ou reanalyse urgent",IF(G223="Proche","Priorite vente / marche prochain","RAS")))</f>
        <v>#ERROR!</v>
      </c>
      <c r="I223" s="386"/>
    </row>
    <row r="224" ht="15.0" customHeight="1">
      <c r="A224" s="282"/>
      <c r="B224" s="235" t="str">
        <f>IFERROR(INDEX('Fiche Lot'!C:C,MATCH(A224,'Fiche Lot'!A:A,0)),"")</f>
        <v>#ERROR!</v>
      </c>
      <c r="C224" s="235" t="str">
        <f>IFERROR(INDEX('Fiche Lot'!E:E,MATCH(A224,'Fiche Lot'!A:A,0)),"")</f>
        <v>#ERROR!</v>
      </c>
      <c r="D224" s="235" t="str">
        <f>IFERROR(INDEX('Fiche Lot'!H:H,MATCH(A224,'Fiche Lot'!A:A,0)),"")</f>
        <v>#ERROR!</v>
      </c>
      <c r="E224" s="387" t="str">
        <f>IFERROR(INDEX('Fiche Lot'!L:L,MATCH(A224,'Fiche Lot'!A:A,0)),"")</f>
        <v>#ERROR!</v>
      </c>
      <c r="F224" s="388" t="str">
        <f>IF(E224="","",E224-TODAY())</f>
        <v>#ERROR!</v>
      </c>
      <c r="G224" s="389" t="str">
        <f>IF(F224="","",IF(F224&lt;0,"Expire",IF(F224&lt;INDEX(Config!B:B,MATCH("Seuil alerte DDM (jours)",Config!A:A,0)),"Proche","OK")))</f>
        <v>#ERROR!</v>
      </c>
      <c r="H224" s="389" t="str">
        <f>IF(G224="","",IF(G224="Expire","Detruire ou reanalyse urgent",IF(G224="Proche","Priorite vente / marche prochain","RAS")))</f>
        <v>#ERROR!</v>
      </c>
      <c r="I224" s="390"/>
    </row>
    <row r="225" ht="15.0" customHeight="1">
      <c r="A225" s="282"/>
      <c r="B225" s="227" t="str">
        <f>IFERROR(INDEX('Fiche Lot'!C:C,MATCH(A225,'Fiche Lot'!A:A,0)),"")</f>
        <v>#ERROR!</v>
      </c>
      <c r="C225" s="227" t="str">
        <f>IFERROR(INDEX('Fiche Lot'!E:E,MATCH(A225,'Fiche Lot'!A:A,0)),"")</f>
        <v>#ERROR!</v>
      </c>
      <c r="D225" s="227" t="str">
        <f>IFERROR(INDEX('Fiche Lot'!H:H,MATCH(A225,'Fiche Lot'!A:A,0)),"")</f>
        <v>#ERROR!</v>
      </c>
      <c r="E225" s="383" t="str">
        <f>IFERROR(INDEX('Fiche Lot'!L:L,MATCH(A225,'Fiche Lot'!A:A,0)),"")</f>
        <v>#ERROR!</v>
      </c>
      <c r="F225" s="384" t="str">
        <f>IF(E225="","",E225-TODAY())</f>
        <v>#ERROR!</v>
      </c>
      <c r="G225" s="385" t="str">
        <f>IF(F225="","",IF(F225&lt;0,"Expire",IF(F225&lt;INDEX(Config!B:B,MATCH("Seuil alerte DDM (jours)",Config!A:A,0)),"Proche","OK")))</f>
        <v>#ERROR!</v>
      </c>
      <c r="H225" s="385" t="str">
        <f>IF(G225="","",IF(G225="Expire","Detruire ou reanalyse urgent",IF(G225="Proche","Priorite vente / marche prochain","RAS")))</f>
        <v>#ERROR!</v>
      </c>
      <c r="I225" s="386"/>
    </row>
    <row r="226" ht="15.0" customHeight="1">
      <c r="A226" s="282"/>
      <c r="B226" s="235" t="str">
        <f>IFERROR(INDEX('Fiche Lot'!C:C,MATCH(A226,'Fiche Lot'!A:A,0)),"")</f>
        <v>#ERROR!</v>
      </c>
      <c r="C226" s="235" t="str">
        <f>IFERROR(INDEX('Fiche Lot'!E:E,MATCH(A226,'Fiche Lot'!A:A,0)),"")</f>
        <v>#ERROR!</v>
      </c>
      <c r="D226" s="235" t="str">
        <f>IFERROR(INDEX('Fiche Lot'!H:H,MATCH(A226,'Fiche Lot'!A:A,0)),"")</f>
        <v>#ERROR!</v>
      </c>
      <c r="E226" s="387" t="str">
        <f>IFERROR(INDEX('Fiche Lot'!L:L,MATCH(A226,'Fiche Lot'!A:A,0)),"")</f>
        <v>#ERROR!</v>
      </c>
      <c r="F226" s="388" t="str">
        <f>IF(E226="","",E226-TODAY())</f>
        <v>#ERROR!</v>
      </c>
      <c r="G226" s="389" t="str">
        <f>IF(F226="","",IF(F226&lt;0,"Expire",IF(F226&lt;INDEX(Config!B:B,MATCH("Seuil alerte DDM (jours)",Config!A:A,0)),"Proche","OK")))</f>
        <v>#ERROR!</v>
      </c>
      <c r="H226" s="389" t="str">
        <f>IF(G226="","",IF(G226="Expire","Detruire ou reanalyse urgent",IF(G226="Proche","Priorite vente / marche prochain","RAS")))</f>
        <v>#ERROR!</v>
      </c>
      <c r="I226" s="390"/>
    </row>
    <row r="227" ht="15.0" customHeight="1">
      <c r="A227" s="282"/>
      <c r="B227" s="227" t="str">
        <f>IFERROR(INDEX('Fiche Lot'!C:C,MATCH(A227,'Fiche Lot'!A:A,0)),"")</f>
        <v>#ERROR!</v>
      </c>
      <c r="C227" s="227" t="str">
        <f>IFERROR(INDEX('Fiche Lot'!E:E,MATCH(A227,'Fiche Lot'!A:A,0)),"")</f>
        <v>#ERROR!</v>
      </c>
      <c r="D227" s="227" t="str">
        <f>IFERROR(INDEX('Fiche Lot'!H:H,MATCH(A227,'Fiche Lot'!A:A,0)),"")</f>
        <v>#ERROR!</v>
      </c>
      <c r="E227" s="383" t="str">
        <f>IFERROR(INDEX('Fiche Lot'!L:L,MATCH(A227,'Fiche Lot'!A:A,0)),"")</f>
        <v>#ERROR!</v>
      </c>
      <c r="F227" s="384" t="str">
        <f>IF(E227="","",E227-TODAY())</f>
        <v>#ERROR!</v>
      </c>
      <c r="G227" s="385" t="str">
        <f>IF(F227="","",IF(F227&lt;0,"Expire",IF(F227&lt;INDEX(Config!B:B,MATCH("Seuil alerte DDM (jours)",Config!A:A,0)),"Proche","OK")))</f>
        <v>#ERROR!</v>
      </c>
      <c r="H227" s="385" t="str">
        <f>IF(G227="","",IF(G227="Expire","Detruire ou reanalyse urgent",IF(G227="Proche","Priorite vente / marche prochain","RAS")))</f>
        <v>#ERROR!</v>
      </c>
      <c r="I227" s="386"/>
    </row>
    <row r="228" ht="15.0" customHeight="1">
      <c r="A228" s="282"/>
      <c r="B228" s="235" t="str">
        <f>IFERROR(INDEX('Fiche Lot'!C:C,MATCH(A228,'Fiche Lot'!A:A,0)),"")</f>
        <v>#ERROR!</v>
      </c>
      <c r="C228" s="235" t="str">
        <f>IFERROR(INDEX('Fiche Lot'!E:E,MATCH(A228,'Fiche Lot'!A:A,0)),"")</f>
        <v>#ERROR!</v>
      </c>
      <c r="D228" s="235" t="str">
        <f>IFERROR(INDEX('Fiche Lot'!H:H,MATCH(A228,'Fiche Lot'!A:A,0)),"")</f>
        <v>#ERROR!</v>
      </c>
      <c r="E228" s="387" t="str">
        <f>IFERROR(INDEX('Fiche Lot'!L:L,MATCH(A228,'Fiche Lot'!A:A,0)),"")</f>
        <v>#ERROR!</v>
      </c>
      <c r="F228" s="388" t="str">
        <f>IF(E228="","",E228-TODAY())</f>
        <v>#ERROR!</v>
      </c>
      <c r="G228" s="389" t="str">
        <f>IF(F228="","",IF(F228&lt;0,"Expire",IF(F228&lt;INDEX(Config!B:B,MATCH("Seuil alerte DDM (jours)",Config!A:A,0)),"Proche","OK")))</f>
        <v>#ERROR!</v>
      </c>
      <c r="H228" s="389" t="str">
        <f>IF(G228="","",IF(G228="Expire","Detruire ou reanalyse urgent",IF(G228="Proche","Priorite vente / marche prochain","RAS")))</f>
        <v>#ERROR!</v>
      </c>
      <c r="I228" s="390"/>
    </row>
    <row r="229" ht="15.0" customHeight="1">
      <c r="A229" s="282"/>
      <c r="B229" s="227" t="str">
        <f>IFERROR(INDEX('Fiche Lot'!C:C,MATCH(A229,'Fiche Lot'!A:A,0)),"")</f>
        <v>#ERROR!</v>
      </c>
      <c r="C229" s="227" t="str">
        <f>IFERROR(INDEX('Fiche Lot'!E:E,MATCH(A229,'Fiche Lot'!A:A,0)),"")</f>
        <v>#ERROR!</v>
      </c>
      <c r="D229" s="227" t="str">
        <f>IFERROR(INDEX('Fiche Lot'!H:H,MATCH(A229,'Fiche Lot'!A:A,0)),"")</f>
        <v>#ERROR!</v>
      </c>
      <c r="E229" s="383" t="str">
        <f>IFERROR(INDEX('Fiche Lot'!L:L,MATCH(A229,'Fiche Lot'!A:A,0)),"")</f>
        <v>#ERROR!</v>
      </c>
      <c r="F229" s="384" t="str">
        <f>IF(E229="","",E229-TODAY())</f>
        <v>#ERROR!</v>
      </c>
      <c r="G229" s="385" t="str">
        <f>IF(F229="","",IF(F229&lt;0,"Expire",IF(F229&lt;INDEX(Config!B:B,MATCH("Seuil alerte DDM (jours)",Config!A:A,0)),"Proche","OK")))</f>
        <v>#ERROR!</v>
      </c>
      <c r="H229" s="385" t="str">
        <f>IF(G229="","",IF(G229="Expire","Detruire ou reanalyse urgent",IF(G229="Proche","Priorite vente / marche prochain","RAS")))</f>
        <v>#ERROR!</v>
      </c>
      <c r="I229" s="386"/>
    </row>
    <row r="230" ht="15.0" customHeight="1">
      <c r="A230" s="282"/>
      <c r="B230" s="235" t="str">
        <f>IFERROR(INDEX('Fiche Lot'!C:C,MATCH(A230,'Fiche Lot'!A:A,0)),"")</f>
        <v>#ERROR!</v>
      </c>
      <c r="C230" s="235" t="str">
        <f>IFERROR(INDEX('Fiche Lot'!E:E,MATCH(A230,'Fiche Lot'!A:A,0)),"")</f>
        <v>#ERROR!</v>
      </c>
      <c r="D230" s="235" t="str">
        <f>IFERROR(INDEX('Fiche Lot'!H:H,MATCH(A230,'Fiche Lot'!A:A,0)),"")</f>
        <v>#ERROR!</v>
      </c>
      <c r="E230" s="387" t="str">
        <f>IFERROR(INDEX('Fiche Lot'!L:L,MATCH(A230,'Fiche Lot'!A:A,0)),"")</f>
        <v>#ERROR!</v>
      </c>
      <c r="F230" s="388" t="str">
        <f>IF(E230="","",E230-TODAY())</f>
        <v>#ERROR!</v>
      </c>
      <c r="G230" s="389" t="str">
        <f>IF(F230="","",IF(F230&lt;0,"Expire",IF(F230&lt;INDEX(Config!B:B,MATCH("Seuil alerte DDM (jours)",Config!A:A,0)),"Proche","OK")))</f>
        <v>#ERROR!</v>
      </c>
      <c r="H230" s="389" t="str">
        <f>IF(G230="","",IF(G230="Expire","Detruire ou reanalyse urgent",IF(G230="Proche","Priorite vente / marche prochain","RAS")))</f>
        <v>#ERROR!</v>
      </c>
      <c r="I230" s="390"/>
    </row>
    <row r="231" ht="15.0" customHeight="1">
      <c r="A231" s="282"/>
      <c r="B231" s="227" t="str">
        <f>IFERROR(INDEX('Fiche Lot'!C:C,MATCH(A231,'Fiche Lot'!A:A,0)),"")</f>
        <v>#ERROR!</v>
      </c>
      <c r="C231" s="227" t="str">
        <f>IFERROR(INDEX('Fiche Lot'!E:E,MATCH(A231,'Fiche Lot'!A:A,0)),"")</f>
        <v>#ERROR!</v>
      </c>
      <c r="D231" s="227" t="str">
        <f>IFERROR(INDEX('Fiche Lot'!H:H,MATCH(A231,'Fiche Lot'!A:A,0)),"")</f>
        <v>#ERROR!</v>
      </c>
      <c r="E231" s="383" t="str">
        <f>IFERROR(INDEX('Fiche Lot'!L:L,MATCH(A231,'Fiche Lot'!A:A,0)),"")</f>
        <v>#ERROR!</v>
      </c>
      <c r="F231" s="384" t="str">
        <f>IF(E231="","",E231-TODAY())</f>
        <v>#ERROR!</v>
      </c>
      <c r="G231" s="385" t="str">
        <f>IF(F231="","",IF(F231&lt;0,"Expire",IF(F231&lt;INDEX(Config!B:B,MATCH("Seuil alerte DDM (jours)",Config!A:A,0)),"Proche","OK")))</f>
        <v>#ERROR!</v>
      </c>
      <c r="H231" s="385" t="str">
        <f>IF(G231="","",IF(G231="Expire","Detruire ou reanalyse urgent",IF(G231="Proche","Priorite vente / marche prochain","RAS")))</f>
        <v>#ERROR!</v>
      </c>
      <c r="I231" s="386"/>
    </row>
    <row r="232" ht="15.0" customHeight="1">
      <c r="A232" s="282"/>
      <c r="B232" s="235" t="str">
        <f>IFERROR(INDEX('Fiche Lot'!C:C,MATCH(A232,'Fiche Lot'!A:A,0)),"")</f>
        <v>#ERROR!</v>
      </c>
      <c r="C232" s="235" t="str">
        <f>IFERROR(INDEX('Fiche Lot'!E:E,MATCH(A232,'Fiche Lot'!A:A,0)),"")</f>
        <v>#ERROR!</v>
      </c>
      <c r="D232" s="235" t="str">
        <f>IFERROR(INDEX('Fiche Lot'!H:H,MATCH(A232,'Fiche Lot'!A:A,0)),"")</f>
        <v>#ERROR!</v>
      </c>
      <c r="E232" s="387" t="str">
        <f>IFERROR(INDEX('Fiche Lot'!L:L,MATCH(A232,'Fiche Lot'!A:A,0)),"")</f>
        <v>#ERROR!</v>
      </c>
      <c r="F232" s="388" t="str">
        <f>IF(E232="","",E232-TODAY())</f>
        <v>#ERROR!</v>
      </c>
      <c r="G232" s="389" t="str">
        <f>IF(F232="","",IF(F232&lt;0,"Expire",IF(F232&lt;INDEX(Config!B:B,MATCH("Seuil alerte DDM (jours)",Config!A:A,0)),"Proche","OK")))</f>
        <v>#ERROR!</v>
      </c>
      <c r="H232" s="389" t="str">
        <f>IF(G232="","",IF(G232="Expire","Detruire ou reanalyse urgent",IF(G232="Proche","Priorite vente / marche prochain","RAS")))</f>
        <v>#ERROR!</v>
      </c>
      <c r="I232" s="390"/>
    </row>
    <row r="233" ht="15.0" customHeight="1">
      <c r="A233" s="282"/>
      <c r="B233" s="227" t="str">
        <f>IFERROR(INDEX('Fiche Lot'!C:C,MATCH(A233,'Fiche Lot'!A:A,0)),"")</f>
        <v>#ERROR!</v>
      </c>
      <c r="C233" s="227" t="str">
        <f>IFERROR(INDEX('Fiche Lot'!E:E,MATCH(A233,'Fiche Lot'!A:A,0)),"")</f>
        <v>#ERROR!</v>
      </c>
      <c r="D233" s="227" t="str">
        <f>IFERROR(INDEX('Fiche Lot'!H:H,MATCH(A233,'Fiche Lot'!A:A,0)),"")</f>
        <v>#ERROR!</v>
      </c>
      <c r="E233" s="383" t="str">
        <f>IFERROR(INDEX('Fiche Lot'!L:L,MATCH(A233,'Fiche Lot'!A:A,0)),"")</f>
        <v>#ERROR!</v>
      </c>
      <c r="F233" s="384" t="str">
        <f>IF(E233="","",E233-TODAY())</f>
        <v>#ERROR!</v>
      </c>
      <c r="G233" s="385" t="str">
        <f>IF(F233="","",IF(F233&lt;0,"Expire",IF(F233&lt;INDEX(Config!B:B,MATCH("Seuil alerte DDM (jours)",Config!A:A,0)),"Proche","OK")))</f>
        <v>#ERROR!</v>
      </c>
      <c r="H233" s="385" t="str">
        <f>IF(G233="","",IF(G233="Expire","Detruire ou reanalyse urgent",IF(G233="Proche","Priorite vente / marche prochain","RAS")))</f>
        <v>#ERROR!</v>
      </c>
      <c r="I233" s="386"/>
    </row>
    <row r="234" ht="15.0" customHeight="1">
      <c r="A234" s="282"/>
      <c r="B234" s="235" t="str">
        <f>IFERROR(INDEX('Fiche Lot'!C:C,MATCH(A234,'Fiche Lot'!A:A,0)),"")</f>
        <v>#ERROR!</v>
      </c>
      <c r="C234" s="235" t="str">
        <f>IFERROR(INDEX('Fiche Lot'!E:E,MATCH(A234,'Fiche Lot'!A:A,0)),"")</f>
        <v>#ERROR!</v>
      </c>
      <c r="D234" s="235" t="str">
        <f>IFERROR(INDEX('Fiche Lot'!H:H,MATCH(A234,'Fiche Lot'!A:A,0)),"")</f>
        <v>#ERROR!</v>
      </c>
      <c r="E234" s="387" t="str">
        <f>IFERROR(INDEX('Fiche Lot'!L:L,MATCH(A234,'Fiche Lot'!A:A,0)),"")</f>
        <v>#ERROR!</v>
      </c>
      <c r="F234" s="388" t="str">
        <f>IF(E234="","",E234-TODAY())</f>
        <v>#ERROR!</v>
      </c>
      <c r="G234" s="389" t="str">
        <f>IF(F234="","",IF(F234&lt;0,"Expire",IF(F234&lt;INDEX(Config!B:B,MATCH("Seuil alerte DDM (jours)",Config!A:A,0)),"Proche","OK")))</f>
        <v>#ERROR!</v>
      </c>
      <c r="H234" s="389" t="str">
        <f>IF(G234="","",IF(G234="Expire","Detruire ou reanalyse urgent",IF(G234="Proche","Priorite vente / marche prochain","RAS")))</f>
        <v>#ERROR!</v>
      </c>
      <c r="I234" s="390"/>
    </row>
    <row r="235" ht="15.0" customHeight="1">
      <c r="A235" s="282"/>
      <c r="B235" s="227" t="str">
        <f>IFERROR(INDEX('Fiche Lot'!C:C,MATCH(A235,'Fiche Lot'!A:A,0)),"")</f>
        <v>#ERROR!</v>
      </c>
      <c r="C235" s="227" t="str">
        <f>IFERROR(INDEX('Fiche Lot'!E:E,MATCH(A235,'Fiche Lot'!A:A,0)),"")</f>
        <v>#ERROR!</v>
      </c>
      <c r="D235" s="227" t="str">
        <f>IFERROR(INDEX('Fiche Lot'!H:H,MATCH(A235,'Fiche Lot'!A:A,0)),"")</f>
        <v>#ERROR!</v>
      </c>
      <c r="E235" s="383" t="str">
        <f>IFERROR(INDEX('Fiche Lot'!L:L,MATCH(A235,'Fiche Lot'!A:A,0)),"")</f>
        <v>#ERROR!</v>
      </c>
      <c r="F235" s="384" t="str">
        <f>IF(E235="","",E235-TODAY())</f>
        <v>#ERROR!</v>
      </c>
      <c r="G235" s="385" t="str">
        <f>IF(F235="","",IF(F235&lt;0,"Expire",IF(F235&lt;INDEX(Config!B:B,MATCH("Seuil alerte DDM (jours)",Config!A:A,0)),"Proche","OK")))</f>
        <v>#ERROR!</v>
      </c>
      <c r="H235" s="385" t="str">
        <f>IF(G235="","",IF(G235="Expire","Detruire ou reanalyse urgent",IF(G235="Proche","Priorite vente / marche prochain","RAS")))</f>
        <v>#ERROR!</v>
      </c>
      <c r="I235" s="386"/>
    </row>
    <row r="236" ht="15.0" customHeight="1">
      <c r="A236" s="282"/>
      <c r="B236" s="235" t="str">
        <f>IFERROR(INDEX('Fiche Lot'!C:C,MATCH(A236,'Fiche Lot'!A:A,0)),"")</f>
        <v>#ERROR!</v>
      </c>
      <c r="C236" s="235" t="str">
        <f>IFERROR(INDEX('Fiche Lot'!E:E,MATCH(A236,'Fiche Lot'!A:A,0)),"")</f>
        <v>#ERROR!</v>
      </c>
      <c r="D236" s="235" t="str">
        <f>IFERROR(INDEX('Fiche Lot'!H:H,MATCH(A236,'Fiche Lot'!A:A,0)),"")</f>
        <v>#ERROR!</v>
      </c>
      <c r="E236" s="387" t="str">
        <f>IFERROR(INDEX('Fiche Lot'!L:L,MATCH(A236,'Fiche Lot'!A:A,0)),"")</f>
        <v>#ERROR!</v>
      </c>
      <c r="F236" s="388" t="str">
        <f>IF(E236="","",E236-TODAY())</f>
        <v>#ERROR!</v>
      </c>
      <c r="G236" s="389" t="str">
        <f>IF(F236="","",IF(F236&lt;0,"Expire",IF(F236&lt;INDEX(Config!B:B,MATCH("Seuil alerte DDM (jours)",Config!A:A,0)),"Proche","OK")))</f>
        <v>#ERROR!</v>
      </c>
      <c r="H236" s="389" t="str">
        <f>IF(G236="","",IF(G236="Expire","Detruire ou reanalyse urgent",IF(G236="Proche","Priorite vente / marche prochain","RAS")))</f>
        <v>#ERROR!</v>
      </c>
      <c r="I236" s="390"/>
    </row>
    <row r="237" ht="15.0" customHeight="1">
      <c r="A237" s="282"/>
      <c r="B237" s="227" t="str">
        <f>IFERROR(INDEX('Fiche Lot'!C:C,MATCH(A237,'Fiche Lot'!A:A,0)),"")</f>
        <v>#ERROR!</v>
      </c>
      <c r="C237" s="227" t="str">
        <f>IFERROR(INDEX('Fiche Lot'!E:E,MATCH(A237,'Fiche Lot'!A:A,0)),"")</f>
        <v>#ERROR!</v>
      </c>
      <c r="D237" s="227" t="str">
        <f>IFERROR(INDEX('Fiche Lot'!H:H,MATCH(A237,'Fiche Lot'!A:A,0)),"")</f>
        <v>#ERROR!</v>
      </c>
      <c r="E237" s="383" t="str">
        <f>IFERROR(INDEX('Fiche Lot'!L:L,MATCH(A237,'Fiche Lot'!A:A,0)),"")</f>
        <v>#ERROR!</v>
      </c>
      <c r="F237" s="384" t="str">
        <f>IF(E237="","",E237-TODAY())</f>
        <v>#ERROR!</v>
      </c>
      <c r="G237" s="385" t="str">
        <f>IF(F237="","",IF(F237&lt;0,"Expire",IF(F237&lt;INDEX(Config!B:B,MATCH("Seuil alerte DDM (jours)",Config!A:A,0)),"Proche","OK")))</f>
        <v>#ERROR!</v>
      </c>
      <c r="H237" s="385" t="str">
        <f>IF(G237="","",IF(G237="Expire","Detruire ou reanalyse urgent",IF(G237="Proche","Priorite vente / marche prochain","RAS")))</f>
        <v>#ERROR!</v>
      </c>
      <c r="I237" s="386"/>
    </row>
    <row r="238" ht="15.0" customHeight="1">
      <c r="A238" s="282"/>
      <c r="B238" s="235" t="str">
        <f>IFERROR(INDEX('Fiche Lot'!C:C,MATCH(A238,'Fiche Lot'!A:A,0)),"")</f>
        <v>#ERROR!</v>
      </c>
      <c r="C238" s="235" t="str">
        <f>IFERROR(INDEX('Fiche Lot'!E:E,MATCH(A238,'Fiche Lot'!A:A,0)),"")</f>
        <v>#ERROR!</v>
      </c>
      <c r="D238" s="235" t="str">
        <f>IFERROR(INDEX('Fiche Lot'!H:H,MATCH(A238,'Fiche Lot'!A:A,0)),"")</f>
        <v>#ERROR!</v>
      </c>
      <c r="E238" s="387" t="str">
        <f>IFERROR(INDEX('Fiche Lot'!L:L,MATCH(A238,'Fiche Lot'!A:A,0)),"")</f>
        <v>#ERROR!</v>
      </c>
      <c r="F238" s="388" t="str">
        <f>IF(E238="","",E238-TODAY())</f>
        <v>#ERROR!</v>
      </c>
      <c r="G238" s="389" t="str">
        <f>IF(F238="","",IF(F238&lt;0,"Expire",IF(F238&lt;INDEX(Config!B:B,MATCH("Seuil alerte DDM (jours)",Config!A:A,0)),"Proche","OK")))</f>
        <v>#ERROR!</v>
      </c>
      <c r="H238" s="389" t="str">
        <f>IF(G238="","",IF(G238="Expire","Detruire ou reanalyse urgent",IF(G238="Proche","Priorite vente / marche prochain","RAS")))</f>
        <v>#ERROR!</v>
      </c>
      <c r="I238" s="390"/>
    </row>
    <row r="239" ht="15.0" customHeight="1">
      <c r="A239" s="282"/>
      <c r="B239" s="227" t="str">
        <f>IFERROR(INDEX('Fiche Lot'!C:C,MATCH(A239,'Fiche Lot'!A:A,0)),"")</f>
        <v>#ERROR!</v>
      </c>
      <c r="C239" s="227" t="str">
        <f>IFERROR(INDEX('Fiche Lot'!E:E,MATCH(A239,'Fiche Lot'!A:A,0)),"")</f>
        <v>#ERROR!</v>
      </c>
      <c r="D239" s="227" t="str">
        <f>IFERROR(INDEX('Fiche Lot'!H:H,MATCH(A239,'Fiche Lot'!A:A,0)),"")</f>
        <v>#ERROR!</v>
      </c>
      <c r="E239" s="383" t="str">
        <f>IFERROR(INDEX('Fiche Lot'!L:L,MATCH(A239,'Fiche Lot'!A:A,0)),"")</f>
        <v>#ERROR!</v>
      </c>
      <c r="F239" s="384" t="str">
        <f>IF(E239="","",E239-TODAY())</f>
        <v>#ERROR!</v>
      </c>
      <c r="G239" s="385" t="str">
        <f>IF(F239="","",IF(F239&lt;0,"Expire",IF(F239&lt;INDEX(Config!B:B,MATCH("Seuil alerte DDM (jours)",Config!A:A,0)),"Proche","OK")))</f>
        <v>#ERROR!</v>
      </c>
      <c r="H239" s="385" t="str">
        <f>IF(G239="","",IF(G239="Expire","Detruire ou reanalyse urgent",IF(G239="Proche","Priorite vente / marche prochain","RAS")))</f>
        <v>#ERROR!</v>
      </c>
      <c r="I239" s="386"/>
    </row>
    <row r="240" ht="15.0" customHeight="1">
      <c r="A240" s="282"/>
      <c r="B240" s="235" t="str">
        <f>IFERROR(INDEX('Fiche Lot'!C:C,MATCH(A240,'Fiche Lot'!A:A,0)),"")</f>
        <v>#ERROR!</v>
      </c>
      <c r="C240" s="235" t="str">
        <f>IFERROR(INDEX('Fiche Lot'!E:E,MATCH(A240,'Fiche Lot'!A:A,0)),"")</f>
        <v>#ERROR!</v>
      </c>
      <c r="D240" s="235" t="str">
        <f>IFERROR(INDEX('Fiche Lot'!H:H,MATCH(A240,'Fiche Lot'!A:A,0)),"")</f>
        <v>#ERROR!</v>
      </c>
      <c r="E240" s="387" t="str">
        <f>IFERROR(INDEX('Fiche Lot'!L:L,MATCH(A240,'Fiche Lot'!A:A,0)),"")</f>
        <v>#ERROR!</v>
      </c>
      <c r="F240" s="388" t="str">
        <f>IF(E240="","",E240-TODAY())</f>
        <v>#ERROR!</v>
      </c>
      <c r="G240" s="389" t="str">
        <f>IF(F240="","",IF(F240&lt;0,"Expire",IF(F240&lt;INDEX(Config!B:B,MATCH("Seuil alerte DDM (jours)",Config!A:A,0)),"Proche","OK")))</f>
        <v>#ERROR!</v>
      </c>
      <c r="H240" s="389" t="str">
        <f>IF(G240="","",IF(G240="Expire","Detruire ou reanalyse urgent",IF(G240="Proche","Priorite vente / marche prochain","RAS")))</f>
        <v>#ERROR!</v>
      </c>
      <c r="I240" s="390"/>
    </row>
    <row r="241" ht="15.0" customHeight="1">
      <c r="A241" s="282"/>
      <c r="B241" s="227" t="str">
        <f>IFERROR(INDEX('Fiche Lot'!C:C,MATCH(A241,'Fiche Lot'!A:A,0)),"")</f>
        <v>#ERROR!</v>
      </c>
      <c r="C241" s="227" t="str">
        <f>IFERROR(INDEX('Fiche Lot'!E:E,MATCH(A241,'Fiche Lot'!A:A,0)),"")</f>
        <v>#ERROR!</v>
      </c>
      <c r="D241" s="227" t="str">
        <f>IFERROR(INDEX('Fiche Lot'!H:H,MATCH(A241,'Fiche Lot'!A:A,0)),"")</f>
        <v>#ERROR!</v>
      </c>
      <c r="E241" s="383" t="str">
        <f>IFERROR(INDEX('Fiche Lot'!L:L,MATCH(A241,'Fiche Lot'!A:A,0)),"")</f>
        <v>#ERROR!</v>
      </c>
      <c r="F241" s="384" t="str">
        <f>IF(E241="","",E241-TODAY())</f>
        <v>#ERROR!</v>
      </c>
      <c r="G241" s="385" t="str">
        <f>IF(F241="","",IF(F241&lt;0,"Expire",IF(F241&lt;INDEX(Config!B:B,MATCH("Seuil alerte DDM (jours)",Config!A:A,0)),"Proche","OK")))</f>
        <v>#ERROR!</v>
      </c>
      <c r="H241" s="385" t="str">
        <f>IF(G241="","",IF(G241="Expire","Detruire ou reanalyse urgent",IF(G241="Proche","Priorite vente / marche prochain","RAS")))</f>
        <v>#ERROR!</v>
      </c>
      <c r="I241" s="386"/>
    </row>
    <row r="242" ht="15.0" customHeight="1">
      <c r="A242" s="282"/>
      <c r="B242" s="235" t="str">
        <f>IFERROR(INDEX('Fiche Lot'!C:C,MATCH(A242,'Fiche Lot'!A:A,0)),"")</f>
        <v>#ERROR!</v>
      </c>
      <c r="C242" s="235" t="str">
        <f>IFERROR(INDEX('Fiche Lot'!E:E,MATCH(A242,'Fiche Lot'!A:A,0)),"")</f>
        <v>#ERROR!</v>
      </c>
      <c r="D242" s="235" t="str">
        <f>IFERROR(INDEX('Fiche Lot'!H:H,MATCH(A242,'Fiche Lot'!A:A,0)),"")</f>
        <v>#ERROR!</v>
      </c>
      <c r="E242" s="387" t="str">
        <f>IFERROR(INDEX('Fiche Lot'!L:L,MATCH(A242,'Fiche Lot'!A:A,0)),"")</f>
        <v>#ERROR!</v>
      </c>
      <c r="F242" s="388" t="str">
        <f>IF(E242="","",E242-TODAY())</f>
        <v>#ERROR!</v>
      </c>
      <c r="G242" s="389" t="str">
        <f>IF(F242="","",IF(F242&lt;0,"Expire",IF(F242&lt;INDEX(Config!B:B,MATCH("Seuil alerte DDM (jours)",Config!A:A,0)),"Proche","OK")))</f>
        <v>#ERROR!</v>
      </c>
      <c r="H242" s="389" t="str">
        <f>IF(G242="","",IF(G242="Expire","Detruire ou reanalyse urgent",IF(G242="Proche","Priorite vente / marche prochain","RAS")))</f>
        <v>#ERROR!</v>
      </c>
      <c r="I242" s="390"/>
    </row>
    <row r="243" ht="15.0" customHeight="1">
      <c r="A243" s="282"/>
      <c r="B243" s="227" t="str">
        <f>IFERROR(INDEX('Fiche Lot'!C:C,MATCH(A243,'Fiche Lot'!A:A,0)),"")</f>
        <v>#ERROR!</v>
      </c>
      <c r="C243" s="227" t="str">
        <f>IFERROR(INDEX('Fiche Lot'!E:E,MATCH(A243,'Fiche Lot'!A:A,0)),"")</f>
        <v>#ERROR!</v>
      </c>
      <c r="D243" s="227" t="str">
        <f>IFERROR(INDEX('Fiche Lot'!H:H,MATCH(A243,'Fiche Lot'!A:A,0)),"")</f>
        <v>#ERROR!</v>
      </c>
      <c r="E243" s="383" t="str">
        <f>IFERROR(INDEX('Fiche Lot'!L:L,MATCH(A243,'Fiche Lot'!A:A,0)),"")</f>
        <v>#ERROR!</v>
      </c>
      <c r="F243" s="384" t="str">
        <f>IF(E243="","",E243-TODAY())</f>
        <v>#ERROR!</v>
      </c>
      <c r="G243" s="385" t="str">
        <f>IF(F243="","",IF(F243&lt;0,"Expire",IF(F243&lt;INDEX(Config!B:B,MATCH("Seuil alerte DDM (jours)",Config!A:A,0)),"Proche","OK")))</f>
        <v>#ERROR!</v>
      </c>
      <c r="H243" s="385" t="str">
        <f>IF(G243="","",IF(G243="Expire","Detruire ou reanalyse urgent",IF(G243="Proche","Priorite vente / marche prochain","RAS")))</f>
        <v>#ERROR!</v>
      </c>
      <c r="I243" s="386"/>
    </row>
    <row r="244" ht="15.0" customHeight="1">
      <c r="A244" s="282"/>
      <c r="B244" s="235" t="str">
        <f>IFERROR(INDEX('Fiche Lot'!C:C,MATCH(A244,'Fiche Lot'!A:A,0)),"")</f>
        <v>#ERROR!</v>
      </c>
      <c r="C244" s="235" t="str">
        <f>IFERROR(INDEX('Fiche Lot'!E:E,MATCH(A244,'Fiche Lot'!A:A,0)),"")</f>
        <v>#ERROR!</v>
      </c>
      <c r="D244" s="235" t="str">
        <f>IFERROR(INDEX('Fiche Lot'!H:H,MATCH(A244,'Fiche Lot'!A:A,0)),"")</f>
        <v>#ERROR!</v>
      </c>
      <c r="E244" s="387" t="str">
        <f>IFERROR(INDEX('Fiche Lot'!L:L,MATCH(A244,'Fiche Lot'!A:A,0)),"")</f>
        <v>#ERROR!</v>
      </c>
      <c r="F244" s="388" t="str">
        <f>IF(E244="","",E244-TODAY())</f>
        <v>#ERROR!</v>
      </c>
      <c r="G244" s="389" t="str">
        <f>IF(F244="","",IF(F244&lt;0,"Expire",IF(F244&lt;INDEX(Config!B:B,MATCH("Seuil alerte DDM (jours)",Config!A:A,0)),"Proche","OK")))</f>
        <v>#ERROR!</v>
      </c>
      <c r="H244" s="389" t="str">
        <f>IF(G244="","",IF(G244="Expire","Detruire ou reanalyse urgent",IF(G244="Proche","Priorite vente / marche prochain","RAS")))</f>
        <v>#ERROR!</v>
      </c>
      <c r="I244" s="390"/>
    </row>
    <row r="245" ht="15.0" customHeight="1">
      <c r="A245" s="282"/>
      <c r="B245" s="227" t="str">
        <f>IFERROR(INDEX('Fiche Lot'!C:C,MATCH(A245,'Fiche Lot'!A:A,0)),"")</f>
        <v>#ERROR!</v>
      </c>
      <c r="C245" s="227" t="str">
        <f>IFERROR(INDEX('Fiche Lot'!E:E,MATCH(A245,'Fiche Lot'!A:A,0)),"")</f>
        <v>#ERROR!</v>
      </c>
      <c r="D245" s="227" t="str">
        <f>IFERROR(INDEX('Fiche Lot'!H:H,MATCH(A245,'Fiche Lot'!A:A,0)),"")</f>
        <v>#ERROR!</v>
      </c>
      <c r="E245" s="383" t="str">
        <f>IFERROR(INDEX('Fiche Lot'!L:L,MATCH(A245,'Fiche Lot'!A:A,0)),"")</f>
        <v>#ERROR!</v>
      </c>
      <c r="F245" s="384" t="str">
        <f>IF(E245="","",E245-TODAY())</f>
        <v>#ERROR!</v>
      </c>
      <c r="G245" s="385" t="str">
        <f>IF(F245="","",IF(F245&lt;0,"Expire",IF(F245&lt;INDEX(Config!B:B,MATCH("Seuil alerte DDM (jours)",Config!A:A,0)),"Proche","OK")))</f>
        <v>#ERROR!</v>
      </c>
      <c r="H245" s="385" t="str">
        <f>IF(G245="","",IF(G245="Expire","Detruire ou reanalyse urgent",IF(G245="Proche","Priorite vente / marche prochain","RAS")))</f>
        <v>#ERROR!</v>
      </c>
      <c r="I245" s="386"/>
    </row>
    <row r="246" ht="15.0" customHeight="1">
      <c r="A246" s="282"/>
      <c r="B246" s="235" t="str">
        <f>IFERROR(INDEX('Fiche Lot'!C:C,MATCH(A246,'Fiche Lot'!A:A,0)),"")</f>
        <v>#ERROR!</v>
      </c>
      <c r="C246" s="235" t="str">
        <f>IFERROR(INDEX('Fiche Lot'!E:E,MATCH(A246,'Fiche Lot'!A:A,0)),"")</f>
        <v>#ERROR!</v>
      </c>
      <c r="D246" s="235" t="str">
        <f>IFERROR(INDEX('Fiche Lot'!H:H,MATCH(A246,'Fiche Lot'!A:A,0)),"")</f>
        <v>#ERROR!</v>
      </c>
      <c r="E246" s="387" t="str">
        <f>IFERROR(INDEX('Fiche Lot'!L:L,MATCH(A246,'Fiche Lot'!A:A,0)),"")</f>
        <v>#ERROR!</v>
      </c>
      <c r="F246" s="388" t="str">
        <f>IF(E246="","",E246-TODAY())</f>
        <v>#ERROR!</v>
      </c>
      <c r="G246" s="389" t="str">
        <f>IF(F246="","",IF(F246&lt;0,"Expire",IF(F246&lt;INDEX(Config!B:B,MATCH("Seuil alerte DDM (jours)",Config!A:A,0)),"Proche","OK")))</f>
        <v>#ERROR!</v>
      </c>
      <c r="H246" s="389" t="str">
        <f>IF(G246="","",IF(G246="Expire","Detruire ou reanalyse urgent",IF(G246="Proche","Priorite vente / marche prochain","RAS")))</f>
        <v>#ERROR!</v>
      </c>
      <c r="I246" s="390"/>
    </row>
    <row r="247" ht="15.0" customHeight="1">
      <c r="A247" s="282"/>
      <c r="B247" s="227" t="str">
        <f>IFERROR(INDEX('Fiche Lot'!C:C,MATCH(A247,'Fiche Lot'!A:A,0)),"")</f>
        <v>#ERROR!</v>
      </c>
      <c r="C247" s="227" t="str">
        <f>IFERROR(INDEX('Fiche Lot'!E:E,MATCH(A247,'Fiche Lot'!A:A,0)),"")</f>
        <v>#ERROR!</v>
      </c>
      <c r="D247" s="227" t="str">
        <f>IFERROR(INDEX('Fiche Lot'!H:H,MATCH(A247,'Fiche Lot'!A:A,0)),"")</f>
        <v>#ERROR!</v>
      </c>
      <c r="E247" s="383" t="str">
        <f>IFERROR(INDEX('Fiche Lot'!L:L,MATCH(A247,'Fiche Lot'!A:A,0)),"")</f>
        <v>#ERROR!</v>
      </c>
      <c r="F247" s="384" t="str">
        <f>IF(E247="","",E247-TODAY())</f>
        <v>#ERROR!</v>
      </c>
      <c r="G247" s="385" t="str">
        <f>IF(F247="","",IF(F247&lt;0,"Expire",IF(F247&lt;INDEX(Config!B:B,MATCH("Seuil alerte DDM (jours)",Config!A:A,0)),"Proche","OK")))</f>
        <v>#ERROR!</v>
      </c>
      <c r="H247" s="385" t="str">
        <f>IF(G247="","",IF(G247="Expire","Detruire ou reanalyse urgent",IF(G247="Proche","Priorite vente / marche prochain","RAS")))</f>
        <v>#ERROR!</v>
      </c>
      <c r="I247" s="386"/>
    </row>
    <row r="248" ht="15.0" customHeight="1">
      <c r="A248" s="282"/>
      <c r="B248" s="235" t="str">
        <f>IFERROR(INDEX('Fiche Lot'!C:C,MATCH(A248,'Fiche Lot'!A:A,0)),"")</f>
        <v>#ERROR!</v>
      </c>
      <c r="C248" s="235" t="str">
        <f>IFERROR(INDEX('Fiche Lot'!E:E,MATCH(A248,'Fiche Lot'!A:A,0)),"")</f>
        <v>#ERROR!</v>
      </c>
      <c r="D248" s="235" t="str">
        <f>IFERROR(INDEX('Fiche Lot'!H:H,MATCH(A248,'Fiche Lot'!A:A,0)),"")</f>
        <v>#ERROR!</v>
      </c>
      <c r="E248" s="387" t="str">
        <f>IFERROR(INDEX('Fiche Lot'!L:L,MATCH(A248,'Fiche Lot'!A:A,0)),"")</f>
        <v>#ERROR!</v>
      </c>
      <c r="F248" s="388" t="str">
        <f>IF(E248="","",E248-TODAY())</f>
        <v>#ERROR!</v>
      </c>
      <c r="G248" s="389" t="str">
        <f>IF(F248="","",IF(F248&lt;0,"Expire",IF(F248&lt;INDEX(Config!B:B,MATCH("Seuil alerte DDM (jours)",Config!A:A,0)),"Proche","OK")))</f>
        <v>#ERROR!</v>
      </c>
      <c r="H248" s="389" t="str">
        <f>IF(G248="","",IF(G248="Expire","Detruire ou reanalyse urgent",IF(G248="Proche","Priorite vente / marche prochain","RAS")))</f>
        <v>#ERROR!</v>
      </c>
      <c r="I248" s="390"/>
    </row>
    <row r="249" ht="15.0" customHeight="1">
      <c r="A249" s="282"/>
      <c r="B249" s="227" t="str">
        <f>IFERROR(INDEX('Fiche Lot'!C:C,MATCH(A249,'Fiche Lot'!A:A,0)),"")</f>
        <v>#ERROR!</v>
      </c>
      <c r="C249" s="227" t="str">
        <f>IFERROR(INDEX('Fiche Lot'!E:E,MATCH(A249,'Fiche Lot'!A:A,0)),"")</f>
        <v>#ERROR!</v>
      </c>
      <c r="D249" s="227" t="str">
        <f>IFERROR(INDEX('Fiche Lot'!H:H,MATCH(A249,'Fiche Lot'!A:A,0)),"")</f>
        <v>#ERROR!</v>
      </c>
      <c r="E249" s="383" t="str">
        <f>IFERROR(INDEX('Fiche Lot'!L:L,MATCH(A249,'Fiche Lot'!A:A,0)),"")</f>
        <v>#ERROR!</v>
      </c>
      <c r="F249" s="384" t="str">
        <f>IF(E249="","",E249-TODAY())</f>
        <v>#ERROR!</v>
      </c>
      <c r="G249" s="385" t="str">
        <f>IF(F249="","",IF(F249&lt;0,"Expire",IF(F249&lt;INDEX(Config!B:B,MATCH("Seuil alerte DDM (jours)",Config!A:A,0)),"Proche","OK")))</f>
        <v>#ERROR!</v>
      </c>
      <c r="H249" s="385" t="str">
        <f>IF(G249="","",IF(G249="Expire","Detruire ou reanalyse urgent",IF(G249="Proche","Priorite vente / marche prochain","RAS")))</f>
        <v>#ERROR!</v>
      </c>
      <c r="I249" s="386"/>
    </row>
    <row r="250" ht="15.0" customHeight="1">
      <c r="A250" s="282"/>
      <c r="B250" s="235" t="str">
        <f>IFERROR(INDEX('Fiche Lot'!C:C,MATCH(A250,'Fiche Lot'!A:A,0)),"")</f>
        <v>#ERROR!</v>
      </c>
      <c r="C250" s="235" t="str">
        <f>IFERROR(INDEX('Fiche Lot'!E:E,MATCH(A250,'Fiche Lot'!A:A,0)),"")</f>
        <v>#ERROR!</v>
      </c>
      <c r="D250" s="235" t="str">
        <f>IFERROR(INDEX('Fiche Lot'!H:H,MATCH(A250,'Fiche Lot'!A:A,0)),"")</f>
        <v>#ERROR!</v>
      </c>
      <c r="E250" s="387" t="str">
        <f>IFERROR(INDEX('Fiche Lot'!L:L,MATCH(A250,'Fiche Lot'!A:A,0)),"")</f>
        <v>#ERROR!</v>
      </c>
      <c r="F250" s="388" t="str">
        <f>IF(E250="","",E250-TODAY())</f>
        <v>#ERROR!</v>
      </c>
      <c r="G250" s="389" t="str">
        <f>IF(F250="","",IF(F250&lt;0,"Expire",IF(F250&lt;INDEX(Config!B:B,MATCH("Seuil alerte DDM (jours)",Config!A:A,0)),"Proche","OK")))</f>
        <v>#ERROR!</v>
      </c>
      <c r="H250" s="389" t="str">
        <f>IF(G250="","",IF(G250="Expire","Detruire ou reanalyse urgent",IF(G250="Proche","Priorite vente / marche prochain","RAS")))</f>
        <v>#ERROR!</v>
      </c>
      <c r="I250" s="390"/>
    </row>
    <row r="251" ht="15.0" customHeight="1">
      <c r="A251" s="282"/>
      <c r="B251" s="227" t="str">
        <f>IFERROR(INDEX('Fiche Lot'!C:C,MATCH(A251,'Fiche Lot'!A:A,0)),"")</f>
        <v>#ERROR!</v>
      </c>
      <c r="C251" s="227" t="str">
        <f>IFERROR(INDEX('Fiche Lot'!E:E,MATCH(A251,'Fiche Lot'!A:A,0)),"")</f>
        <v>#ERROR!</v>
      </c>
      <c r="D251" s="227" t="str">
        <f>IFERROR(INDEX('Fiche Lot'!H:H,MATCH(A251,'Fiche Lot'!A:A,0)),"")</f>
        <v>#ERROR!</v>
      </c>
      <c r="E251" s="383" t="str">
        <f>IFERROR(INDEX('Fiche Lot'!L:L,MATCH(A251,'Fiche Lot'!A:A,0)),"")</f>
        <v>#ERROR!</v>
      </c>
      <c r="F251" s="384" t="str">
        <f>IF(E251="","",E251-TODAY())</f>
        <v>#ERROR!</v>
      </c>
      <c r="G251" s="385" t="str">
        <f>IF(F251="","",IF(F251&lt;0,"Expire",IF(F251&lt;INDEX(Config!B:B,MATCH("Seuil alerte DDM (jours)",Config!A:A,0)),"Proche","OK")))</f>
        <v>#ERROR!</v>
      </c>
      <c r="H251" s="385" t="str">
        <f>IF(G251="","",IF(G251="Expire","Detruire ou reanalyse urgent",IF(G251="Proche","Priorite vente / marche prochain","RAS")))</f>
        <v>#ERROR!</v>
      </c>
      <c r="I251" s="386"/>
    </row>
    <row r="252" ht="15.0" customHeight="1">
      <c r="A252" s="282"/>
      <c r="B252" s="235" t="str">
        <f>IFERROR(INDEX('Fiche Lot'!C:C,MATCH(A252,'Fiche Lot'!A:A,0)),"")</f>
        <v>#ERROR!</v>
      </c>
      <c r="C252" s="235" t="str">
        <f>IFERROR(INDEX('Fiche Lot'!E:E,MATCH(A252,'Fiche Lot'!A:A,0)),"")</f>
        <v>#ERROR!</v>
      </c>
      <c r="D252" s="235" t="str">
        <f>IFERROR(INDEX('Fiche Lot'!H:H,MATCH(A252,'Fiche Lot'!A:A,0)),"")</f>
        <v>#ERROR!</v>
      </c>
      <c r="E252" s="387" t="str">
        <f>IFERROR(INDEX('Fiche Lot'!L:L,MATCH(A252,'Fiche Lot'!A:A,0)),"")</f>
        <v>#ERROR!</v>
      </c>
      <c r="F252" s="388" t="str">
        <f>IF(E252="","",E252-TODAY())</f>
        <v>#ERROR!</v>
      </c>
      <c r="G252" s="389" t="str">
        <f>IF(F252="","",IF(F252&lt;0,"Expire",IF(F252&lt;INDEX(Config!B:B,MATCH("Seuil alerte DDM (jours)",Config!A:A,0)),"Proche","OK")))</f>
        <v>#ERROR!</v>
      </c>
      <c r="H252" s="389" t="str">
        <f>IF(G252="","",IF(G252="Expire","Detruire ou reanalyse urgent",IF(G252="Proche","Priorite vente / marche prochain","RAS")))</f>
        <v>#ERROR!</v>
      </c>
      <c r="I252" s="390"/>
    </row>
    <row r="253" ht="15.0" customHeight="1">
      <c r="A253" s="282"/>
      <c r="B253" s="227" t="str">
        <f>IFERROR(INDEX('Fiche Lot'!C:C,MATCH(A253,'Fiche Lot'!A:A,0)),"")</f>
        <v>#ERROR!</v>
      </c>
      <c r="C253" s="227" t="str">
        <f>IFERROR(INDEX('Fiche Lot'!E:E,MATCH(A253,'Fiche Lot'!A:A,0)),"")</f>
        <v>#ERROR!</v>
      </c>
      <c r="D253" s="227" t="str">
        <f>IFERROR(INDEX('Fiche Lot'!H:H,MATCH(A253,'Fiche Lot'!A:A,0)),"")</f>
        <v>#ERROR!</v>
      </c>
      <c r="E253" s="383" t="str">
        <f>IFERROR(INDEX('Fiche Lot'!L:L,MATCH(A253,'Fiche Lot'!A:A,0)),"")</f>
        <v>#ERROR!</v>
      </c>
      <c r="F253" s="384" t="str">
        <f>IF(E253="","",E253-TODAY())</f>
        <v>#ERROR!</v>
      </c>
      <c r="G253" s="385" t="str">
        <f>IF(F253="","",IF(F253&lt;0,"Expire",IF(F253&lt;INDEX(Config!B:B,MATCH("Seuil alerte DDM (jours)",Config!A:A,0)),"Proche","OK")))</f>
        <v>#ERROR!</v>
      </c>
      <c r="H253" s="385" t="str">
        <f>IF(G253="","",IF(G253="Expire","Detruire ou reanalyse urgent",IF(G253="Proche","Priorite vente / marche prochain","RAS")))</f>
        <v>#ERROR!</v>
      </c>
      <c r="I253" s="386"/>
    </row>
    <row r="254" ht="15.0" customHeight="1">
      <c r="A254" s="282"/>
      <c r="B254" s="235" t="str">
        <f>IFERROR(INDEX('Fiche Lot'!C:C,MATCH(A254,'Fiche Lot'!A:A,0)),"")</f>
        <v>#ERROR!</v>
      </c>
      <c r="C254" s="235" t="str">
        <f>IFERROR(INDEX('Fiche Lot'!E:E,MATCH(A254,'Fiche Lot'!A:A,0)),"")</f>
        <v>#ERROR!</v>
      </c>
      <c r="D254" s="235" t="str">
        <f>IFERROR(INDEX('Fiche Lot'!H:H,MATCH(A254,'Fiche Lot'!A:A,0)),"")</f>
        <v>#ERROR!</v>
      </c>
      <c r="E254" s="387" t="str">
        <f>IFERROR(INDEX('Fiche Lot'!L:L,MATCH(A254,'Fiche Lot'!A:A,0)),"")</f>
        <v>#ERROR!</v>
      </c>
      <c r="F254" s="388" t="str">
        <f>IF(E254="","",E254-TODAY())</f>
        <v>#ERROR!</v>
      </c>
      <c r="G254" s="389" t="str">
        <f>IF(F254="","",IF(F254&lt;0,"Expire",IF(F254&lt;INDEX(Config!B:B,MATCH("Seuil alerte DDM (jours)",Config!A:A,0)),"Proche","OK")))</f>
        <v>#ERROR!</v>
      </c>
      <c r="H254" s="389" t="str">
        <f>IF(G254="","",IF(G254="Expire","Detruire ou reanalyse urgent",IF(G254="Proche","Priorite vente / marche prochain","RAS")))</f>
        <v>#ERROR!</v>
      </c>
      <c r="I254" s="390"/>
    </row>
    <row r="255" ht="15.0" customHeight="1">
      <c r="A255" s="282"/>
      <c r="B255" s="227" t="str">
        <f>IFERROR(INDEX('Fiche Lot'!C:C,MATCH(A255,'Fiche Lot'!A:A,0)),"")</f>
        <v>#ERROR!</v>
      </c>
      <c r="C255" s="227" t="str">
        <f>IFERROR(INDEX('Fiche Lot'!E:E,MATCH(A255,'Fiche Lot'!A:A,0)),"")</f>
        <v>#ERROR!</v>
      </c>
      <c r="D255" s="227" t="str">
        <f>IFERROR(INDEX('Fiche Lot'!H:H,MATCH(A255,'Fiche Lot'!A:A,0)),"")</f>
        <v>#ERROR!</v>
      </c>
      <c r="E255" s="383" t="str">
        <f>IFERROR(INDEX('Fiche Lot'!L:L,MATCH(A255,'Fiche Lot'!A:A,0)),"")</f>
        <v>#ERROR!</v>
      </c>
      <c r="F255" s="384" t="str">
        <f>IF(E255="","",E255-TODAY())</f>
        <v>#ERROR!</v>
      </c>
      <c r="G255" s="385" t="str">
        <f>IF(F255="","",IF(F255&lt;0,"Expire",IF(F255&lt;INDEX(Config!B:B,MATCH("Seuil alerte DDM (jours)",Config!A:A,0)),"Proche","OK")))</f>
        <v>#ERROR!</v>
      </c>
      <c r="H255" s="385" t="str">
        <f>IF(G255="","",IF(G255="Expire","Detruire ou reanalyse urgent",IF(G255="Proche","Priorite vente / marche prochain","RAS")))</f>
        <v>#ERROR!</v>
      </c>
      <c r="I255" s="386"/>
    </row>
    <row r="256" ht="15.0" customHeight="1">
      <c r="A256" s="282"/>
      <c r="B256" s="235" t="str">
        <f>IFERROR(INDEX('Fiche Lot'!C:C,MATCH(A256,'Fiche Lot'!A:A,0)),"")</f>
        <v>#ERROR!</v>
      </c>
      <c r="C256" s="235" t="str">
        <f>IFERROR(INDEX('Fiche Lot'!E:E,MATCH(A256,'Fiche Lot'!A:A,0)),"")</f>
        <v>#ERROR!</v>
      </c>
      <c r="D256" s="235" t="str">
        <f>IFERROR(INDEX('Fiche Lot'!H:H,MATCH(A256,'Fiche Lot'!A:A,0)),"")</f>
        <v>#ERROR!</v>
      </c>
      <c r="E256" s="387" t="str">
        <f>IFERROR(INDEX('Fiche Lot'!L:L,MATCH(A256,'Fiche Lot'!A:A,0)),"")</f>
        <v>#ERROR!</v>
      </c>
      <c r="F256" s="388" t="str">
        <f>IF(E256="","",E256-TODAY())</f>
        <v>#ERROR!</v>
      </c>
      <c r="G256" s="389" t="str">
        <f>IF(F256="","",IF(F256&lt;0,"Expire",IF(F256&lt;INDEX(Config!B:B,MATCH("Seuil alerte DDM (jours)",Config!A:A,0)),"Proche","OK")))</f>
        <v>#ERROR!</v>
      </c>
      <c r="H256" s="389" t="str">
        <f>IF(G256="","",IF(G256="Expire","Detruire ou reanalyse urgent",IF(G256="Proche","Priorite vente / marche prochain","RAS")))</f>
        <v>#ERROR!</v>
      </c>
      <c r="I256" s="390"/>
    </row>
    <row r="257" ht="15.0" customHeight="1">
      <c r="A257" s="282"/>
      <c r="B257" s="227" t="str">
        <f>IFERROR(INDEX('Fiche Lot'!C:C,MATCH(A257,'Fiche Lot'!A:A,0)),"")</f>
        <v>#ERROR!</v>
      </c>
      <c r="C257" s="227" t="str">
        <f>IFERROR(INDEX('Fiche Lot'!E:E,MATCH(A257,'Fiche Lot'!A:A,0)),"")</f>
        <v>#ERROR!</v>
      </c>
      <c r="D257" s="227" t="str">
        <f>IFERROR(INDEX('Fiche Lot'!H:H,MATCH(A257,'Fiche Lot'!A:A,0)),"")</f>
        <v>#ERROR!</v>
      </c>
      <c r="E257" s="383" t="str">
        <f>IFERROR(INDEX('Fiche Lot'!L:L,MATCH(A257,'Fiche Lot'!A:A,0)),"")</f>
        <v>#ERROR!</v>
      </c>
      <c r="F257" s="384" t="str">
        <f>IF(E257="","",E257-TODAY())</f>
        <v>#ERROR!</v>
      </c>
      <c r="G257" s="385" t="str">
        <f>IF(F257="","",IF(F257&lt;0,"Expire",IF(F257&lt;INDEX(Config!B:B,MATCH("Seuil alerte DDM (jours)",Config!A:A,0)),"Proche","OK")))</f>
        <v>#ERROR!</v>
      </c>
      <c r="H257" s="385" t="str">
        <f>IF(G257="","",IF(G257="Expire","Detruire ou reanalyse urgent",IF(G257="Proche","Priorite vente / marche prochain","RAS")))</f>
        <v>#ERROR!</v>
      </c>
      <c r="I257" s="386"/>
    </row>
    <row r="258" ht="15.0" customHeight="1">
      <c r="A258" s="282"/>
      <c r="B258" s="235" t="str">
        <f>IFERROR(INDEX('Fiche Lot'!C:C,MATCH(A258,'Fiche Lot'!A:A,0)),"")</f>
        <v>#ERROR!</v>
      </c>
      <c r="C258" s="235" t="str">
        <f>IFERROR(INDEX('Fiche Lot'!E:E,MATCH(A258,'Fiche Lot'!A:A,0)),"")</f>
        <v>#ERROR!</v>
      </c>
      <c r="D258" s="235" t="str">
        <f>IFERROR(INDEX('Fiche Lot'!H:H,MATCH(A258,'Fiche Lot'!A:A,0)),"")</f>
        <v>#ERROR!</v>
      </c>
      <c r="E258" s="387" t="str">
        <f>IFERROR(INDEX('Fiche Lot'!L:L,MATCH(A258,'Fiche Lot'!A:A,0)),"")</f>
        <v>#ERROR!</v>
      </c>
      <c r="F258" s="388" t="str">
        <f>IF(E258="","",E258-TODAY())</f>
        <v>#ERROR!</v>
      </c>
      <c r="G258" s="389" t="str">
        <f>IF(F258="","",IF(F258&lt;0,"Expire",IF(F258&lt;INDEX(Config!B:B,MATCH("Seuil alerte DDM (jours)",Config!A:A,0)),"Proche","OK")))</f>
        <v>#ERROR!</v>
      </c>
      <c r="H258" s="389" t="str">
        <f>IF(G258="","",IF(G258="Expire","Detruire ou reanalyse urgent",IF(G258="Proche","Priorite vente / marche prochain","RAS")))</f>
        <v>#ERROR!</v>
      </c>
      <c r="I258" s="390"/>
    </row>
    <row r="259" ht="15.0" customHeight="1">
      <c r="A259" s="282"/>
      <c r="B259" s="227" t="str">
        <f>IFERROR(INDEX('Fiche Lot'!C:C,MATCH(A259,'Fiche Lot'!A:A,0)),"")</f>
        <v>#ERROR!</v>
      </c>
      <c r="C259" s="227" t="str">
        <f>IFERROR(INDEX('Fiche Lot'!E:E,MATCH(A259,'Fiche Lot'!A:A,0)),"")</f>
        <v>#ERROR!</v>
      </c>
      <c r="D259" s="227" t="str">
        <f>IFERROR(INDEX('Fiche Lot'!H:H,MATCH(A259,'Fiche Lot'!A:A,0)),"")</f>
        <v>#ERROR!</v>
      </c>
      <c r="E259" s="383" t="str">
        <f>IFERROR(INDEX('Fiche Lot'!L:L,MATCH(A259,'Fiche Lot'!A:A,0)),"")</f>
        <v>#ERROR!</v>
      </c>
      <c r="F259" s="384" t="str">
        <f>IF(E259="","",E259-TODAY())</f>
        <v>#ERROR!</v>
      </c>
      <c r="G259" s="385" t="str">
        <f>IF(F259="","",IF(F259&lt;0,"Expire",IF(F259&lt;INDEX(Config!B:B,MATCH("Seuil alerte DDM (jours)",Config!A:A,0)),"Proche","OK")))</f>
        <v>#ERROR!</v>
      </c>
      <c r="H259" s="385" t="str">
        <f>IF(G259="","",IF(G259="Expire","Detruire ou reanalyse urgent",IF(G259="Proche","Priorite vente / marche prochain","RAS")))</f>
        <v>#ERROR!</v>
      </c>
      <c r="I259" s="386"/>
    </row>
    <row r="260" ht="15.0" customHeight="1">
      <c r="A260" s="282"/>
      <c r="B260" s="235" t="str">
        <f>IFERROR(INDEX('Fiche Lot'!C:C,MATCH(A260,'Fiche Lot'!A:A,0)),"")</f>
        <v>#ERROR!</v>
      </c>
      <c r="C260" s="235" t="str">
        <f>IFERROR(INDEX('Fiche Lot'!E:E,MATCH(A260,'Fiche Lot'!A:A,0)),"")</f>
        <v>#ERROR!</v>
      </c>
      <c r="D260" s="235" t="str">
        <f>IFERROR(INDEX('Fiche Lot'!H:H,MATCH(A260,'Fiche Lot'!A:A,0)),"")</f>
        <v>#ERROR!</v>
      </c>
      <c r="E260" s="387" t="str">
        <f>IFERROR(INDEX('Fiche Lot'!L:L,MATCH(A260,'Fiche Lot'!A:A,0)),"")</f>
        <v>#ERROR!</v>
      </c>
      <c r="F260" s="388" t="str">
        <f>IF(E260="","",E260-TODAY())</f>
        <v>#ERROR!</v>
      </c>
      <c r="G260" s="389" t="str">
        <f>IF(F260="","",IF(F260&lt;0,"Expire",IF(F260&lt;INDEX(Config!B:B,MATCH("Seuil alerte DDM (jours)",Config!A:A,0)),"Proche","OK")))</f>
        <v>#ERROR!</v>
      </c>
      <c r="H260" s="389" t="str">
        <f>IF(G260="","",IF(G260="Expire","Detruire ou reanalyse urgent",IF(G260="Proche","Priorite vente / marche prochain","RAS")))</f>
        <v>#ERROR!</v>
      </c>
      <c r="I260" s="390"/>
    </row>
    <row r="261" ht="15.0" customHeight="1">
      <c r="A261" s="282"/>
      <c r="B261" s="227" t="str">
        <f>IFERROR(INDEX('Fiche Lot'!C:C,MATCH(A261,'Fiche Lot'!A:A,0)),"")</f>
        <v>#ERROR!</v>
      </c>
      <c r="C261" s="227" t="str">
        <f>IFERROR(INDEX('Fiche Lot'!E:E,MATCH(A261,'Fiche Lot'!A:A,0)),"")</f>
        <v>#ERROR!</v>
      </c>
      <c r="D261" s="227" t="str">
        <f>IFERROR(INDEX('Fiche Lot'!H:H,MATCH(A261,'Fiche Lot'!A:A,0)),"")</f>
        <v>#ERROR!</v>
      </c>
      <c r="E261" s="383" t="str">
        <f>IFERROR(INDEX('Fiche Lot'!L:L,MATCH(A261,'Fiche Lot'!A:A,0)),"")</f>
        <v>#ERROR!</v>
      </c>
      <c r="F261" s="384" t="str">
        <f>IF(E261="","",E261-TODAY())</f>
        <v>#ERROR!</v>
      </c>
      <c r="G261" s="385" t="str">
        <f>IF(F261="","",IF(F261&lt;0,"Expire",IF(F261&lt;INDEX(Config!B:B,MATCH("Seuil alerte DDM (jours)",Config!A:A,0)),"Proche","OK")))</f>
        <v>#ERROR!</v>
      </c>
      <c r="H261" s="385" t="str">
        <f>IF(G261="","",IF(G261="Expire","Detruire ou reanalyse urgent",IF(G261="Proche","Priorite vente / marche prochain","RAS")))</f>
        <v>#ERROR!</v>
      </c>
      <c r="I261" s="386"/>
    </row>
    <row r="262" ht="15.0" customHeight="1">
      <c r="A262" s="282"/>
      <c r="B262" s="235" t="str">
        <f>IFERROR(INDEX('Fiche Lot'!C:C,MATCH(A262,'Fiche Lot'!A:A,0)),"")</f>
        <v>#ERROR!</v>
      </c>
      <c r="C262" s="235" t="str">
        <f>IFERROR(INDEX('Fiche Lot'!E:E,MATCH(A262,'Fiche Lot'!A:A,0)),"")</f>
        <v>#ERROR!</v>
      </c>
      <c r="D262" s="235" t="str">
        <f>IFERROR(INDEX('Fiche Lot'!H:H,MATCH(A262,'Fiche Lot'!A:A,0)),"")</f>
        <v>#ERROR!</v>
      </c>
      <c r="E262" s="387" t="str">
        <f>IFERROR(INDEX('Fiche Lot'!L:L,MATCH(A262,'Fiche Lot'!A:A,0)),"")</f>
        <v>#ERROR!</v>
      </c>
      <c r="F262" s="388" t="str">
        <f>IF(E262="","",E262-TODAY())</f>
        <v>#ERROR!</v>
      </c>
      <c r="G262" s="389" t="str">
        <f>IF(F262="","",IF(F262&lt;0,"Expire",IF(F262&lt;INDEX(Config!B:B,MATCH("Seuil alerte DDM (jours)",Config!A:A,0)),"Proche","OK")))</f>
        <v>#ERROR!</v>
      </c>
      <c r="H262" s="389" t="str">
        <f>IF(G262="","",IF(G262="Expire","Detruire ou reanalyse urgent",IF(G262="Proche","Priorite vente / marche prochain","RAS")))</f>
        <v>#ERROR!</v>
      </c>
      <c r="I262" s="390"/>
    </row>
    <row r="263" ht="15.0" customHeight="1">
      <c r="A263" s="282"/>
      <c r="B263" s="227" t="str">
        <f>IFERROR(INDEX('Fiche Lot'!C:C,MATCH(A263,'Fiche Lot'!A:A,0)),"")</f>
        <v>#ERROR!</v>
      </c>
      <c r="C263" s="227" t="str">
        <f>IFERROR(INDEX('Fiche Lot'!E:E,MATCH(A263,'Fiche Lot'!A:A,0)),"")</f>
        <v>#ERROR!</v>
      </c>
      <c r="D263" s="227" t="str">
        <f>IFERROR(INDEX('Fiche Lot'!H:H,MATCH(A263,'Fiche Lot'!A:A,0)),"")</f>
        <v>#ERROR!</v>
      </c>
      <c r="E263" s="383" t="str">
        <f>IFERROR(INDEX('Fiche Lot'!L:L,MATCH(A263,'Fiche Lot'!A:A,0)),"")</f>
        <v>#ERROR!</v>
      </c>
      <c r="F263" s="384" t="str">
        <f>IF(E263="","",E263-TODAY())</f>
        <v>#ERROR!</v>
      </c>
      <c r="G263" s="385" t="str">
        <f>IF(F263="","",IF(F263&lt;0,"Expire",IF(F263&lt;INDEX(Config!B:B,MATCH("Seuil alerte DDM (jours)",Config!A:A,0)),"Proche","OK")))</f>
        <v>#ERROR!</v>
      </c>
      <c r="H263" s="385" t="str">
        <f>IF(G263="","",IF(G263="Expire","Detruire ou reanalyse urgent",IF(G263="Proche","Priorite vente / marche prochain","RAS")))</f>
        <v>#ERROR!</v>
      </c>
      <c r="I263" s="386"/>
    </row>
    <row r="264" ht="15.0" customHeight="1">
      <c r="A264" s="282"/>
      <c r="B264" s="235" t="str">
        <f>IFERROR(INDEX('Fiche Lot'!C:C,MATCH(A264,'Fiche Lot'!A:A,0)),"")</f>
        <v>#ERROR!</v>
      </c>
      <c r="C264" s="235" t="str">
        <f>IFERROR(INDEX('Fiche Lot'!E:E,MATCH(A264,'Fiche Lot'!A:A,0)),"")</f>
        <v>#ERROR!</v>
      </c>
      <c r="D264" s="235" t="str">
        <f>IFERROR(INDEX('Fiche Lot'!H:H,MATCH(A264,'Fiche Lot'!A:A,0)),"")</f>
        <v>#ERROR!</v>
      </c>
      <c r="E264" s="387" t="str">
        <f>IFERROR(INDEX('Fiche Lot'!L:L,MATCH(A264,'Fiche Lot'!A:A,0)),"")</f>
        <v>#ERROR!</v>
      </c>
      <c r="F264" s="388" t="str">
        <f>IF(E264="","",E264-TODAY())</f>
        <v>#ERROR!</v>
      </c>
      <c r="G264" s="389" t="str">
        <f>IF(F264="","",IF(F264&lt;0,"Expire",IF(F264&lt;INDEX(Config!B:B,MATCH("Seuil alerte DDM (jours)",Config!A:A,0)),"Proche","OK")))</f>
        <v>#ERROR!</v>
      </c>
      <c r="H264" s="389" t="str">
        <f>IF(G264="","",IF(G264="Expire","Detruire ou reanalyse urgent",IF(G264="Proche","Priorite vente / marche prochain","RAS")))</f>
        <v>#ERROR!</v>
      </c>
      <c r="I264" s="390"/>
    </row>
    <row r="265" ht="15.0" customHeight="1">
      <c r="A265" s="282"/>
      <c r="B265" s="227" t="str">
        <f>IFERROR(INDEX('Fiche Lot'!C:C,MATCH(A265,'Fiche Lot'!A:A,0)),"")</f>
        <v>#ERROR!</v>
      </c>
      <c r="C265" s="227" t="str">
        <f>IFERROR(INDEX('Fiche Lot'!E:E,MATCH(A265,'Fiche Lot'!A:A,0)),"")</f>
        <v>#ERROR!</v>
      </c>
      <c r="D265" s="227" t="str">
        <f>IFERROR(INDEX('Fiche Lot'!H:H,MATCH(A265,'Fiche Lot'!A:A,0)),"")</f>
        <v>#ERROR!</v>
      </c>
      <c r="E265" s="383" t="str">
        <f>IFERROR(INDEX('Fiche Lot'!L:L,MATCH(A265,'Fiche Lot'!A:A,0)),"")</f>
        <v>#ERROR!</v>
      </c>
      <c r="F265" s="384" t="str">
        <f>IF(E265="","",E265-TODAY())</f>
        <v>#ERROR!</v>
      </c>
      <c r="G265" s="385" t="str">
        <f>IF(F265="","",IF(F265&lt;0,"Expire",IF(F265&lt;INDEX(Config!B:B,MATCH("Seuil alerte DDM (jours)",Config!A:A,0)),"Proche","OK")))</f>
        <v>#ERROR!</v>
      </c>
      <c r="H265" s="385" t="str">
        <f>IF(G265="","",IF(G265="Expire","Detruire ou reanalyse urgent",IF(G265="Proche","Priorite vente / marche prochain","RAS")))</f>
        <v>#ERROR!</v>
      </c>
      <c r="I265" s="386"/>
    </row>
    <row r="266" ht="15.0" customHeight="1">
      <c r="A266" s="282"/>
      <c r="B266" s="235" t="str">
        <f>IFERROR(INDEX('Fiche Lot'!C:C,MATCH(A266,'Fiche Lot'!A:A,0)),"")</f>
        <v>#ERROR!</v>
      </c>
      <c r="C266" s="235" t="str">
        <f>IFERROR(INDEX('Fiche Lot'!E:E,MATCH(A266,'Fiche Lot'!A:A,0)),"")</f>
        <v>#ERROR!</v>
      </c>
      <c r="D266" s="235" t="str">
        <f>IFERROR(INDEX('Fiche Lot'!H:H,MATCH(A266,'Fiche Lot'!A:A,0)),"")</f>
        <v>#ERROR!</v>
      </c>
      <c r="E266" s="387" t="str">
        <f>IFERROR(INDEX('Fiche Lot'!L:L,MATCH(A266,'Fiche Lot'!A:A,0)),"")</f>
        <v>#ERROR!</v>
      </c>
      <c r="F266" s="388" t="str">
        <f>IF(E266="","",E266-TODAY())</f>
        <v>#ERROR!</v>
      </c>
      <c r="G266" s="389" t="str">
        <f>IF(F266="","",IF(F266&lt;0,"Expire",IF(F266&lt;INDEX(Config!B:B,MATCH("Seuil alerte DDM (jours)",Config!A:A,0)),"Proche","OK")))</f>
        <v>#ERROR!</v>
      </c>
      <c r="H266" s="389" t="str">
        <f>IF(G266="","",IF(G266="Expire","Detruire ou reanalyse urgent",IF(G266="Proche","Priorite vente / marche prochain","RAS")))</f>
        <v>#ERROR!</v>
      </c>
      <c r="I266" s="390"/>
    </row>
    <row r="267" ht="15.0" customHeight="1">
      <c r="A267" s="282"/>
      <c r="B267" s="227" t="str">
        <f>IFERROR(INDEX('Fiche Lot'!C:C,MATCH(A267,'Fiche Lot'!A:A,0)),"")</f>
        <v>#ERROR!</v>
      </c>
      <c r="C267" s="227" t="str">
        <f>IFERROR(INDEX('Fiche Lot'!E:E,MATCH(A267,'Fiche Lot'!A:A,0)),"")</f>
        <v>#ERROR!</v>
      </c>
      <c r="D267" s="227" t="str">
        <f>IFERROR(INDEX('Fiche Lot'!H:H,MATCH(A267,'Fiche Lot'!A:A,0)),"")</f>
        <v>#ERROR!</v>
      </c>
      <c r="E267" s="383" t="str">
        <f>IFERROR(INDEX('Fiche Lot'!L:L,MATCH(A267,'Fiche Lot'!A:A,0)),"")</f>
        <v>#ERROR!</v>
      </c>
      <c r="F267" s="384" t="str">
        <f>IF(E267="","",E267-TODAY())</f>
        <v>#ERROR!</v>
      </c>
      <c r="G267" s="385" t="str">
        <f>IF(F267="","",IF(F267&lt;0,"Expire",IF(F267&lt;INDEX(Config!B:B,MATCH("Seuil alerte DDM (jours)",Config!A:A,0)),"Proche","OK")))</f>
        <v>#ERROR!</v>
      </c>
      <c r="H267" s="385" t="str">
        <f>IF(G267="","",IF(G267="Expire","Detruire ou reanalyse urgent",IF(G267="Proche","Priorite vente / marche prochain","RAS")))</f>
        <v>#ERROR!</v>
      </c>
      <c r="I267" s="386"/>
    </row>
    <row r="268" ht="15.0" customHeight="1">
      <c r="A268" s="282"/>
      <c r="B268" s="235" t="str">
        <f>IFERROR(INDEX('Fiche Lot'!C:C,MATCH(A268,'Fiche Lot'!A:A,0)),"")</f>
        <v>#ERROR!</v>
      </c>
      <c r="C268" s="235" t="str">
        <f>IFERROR(INDEX('Fiche Lot'!E:E,MATCH(A268,'Fiche Lot'!A:A,0)),"")</f>
        <v>#ERROR!</v>
      </c>
      <c r="D268" s="235" t="str">
        <f>IFERROR(INDEX('Fiche Lot'!H:H,MATCH(A268,'Fiche Lot'!A:A,0)),"")</f>
        <v>#ERROR!</v>
      </c>
      <c r="E268" s="387" t="str">
        <f>IFERROR(INDEX('Fiche Lot'!L:L,MATCH(A268,'Fiche Lot'!A:A,0)),"")</f>
        <v>#ERROR!</v>
      </c>
      <c r="F268" s="388" t="str">
        <f>IF(E268="","",E268-TODAY())</f>
        <v>#ERROR!</v>
      </c>
      <c r="G268" s="389" t="str">
        <f>IF(F268="","",IF(F268&lt;0,"Expire",IF(F268&lt;INDEX(Config!B:B,MATCH("Seuil alerte DDM (jours)",Config!A:A,0)),"Proche","OK")))</f>
        <v>#ERROR!</v>
      </c>
      <c r="H268" s="389" t="str">
        <f>IF(G268="","",IF(G268="Expire","Detruire ou reanalyse urgent",IF(G268="Proche","Priorite vente / marche prochain","RAS")))</f>
        <v>#ERROR!</v>
      </c>
      <c r="I268" s="390"/>
    </row>
    <row r="269" ht="15.0" customHeight="1">
      <c r="A269" s="282"/>
      <c r="B269" s="227" t="str">
        <f>IFERROR(INDEX('Fiche Lot'!C:C,MATCH(A269,'Fiche Lot'!A:A,0)),"")</f>
        <v>#ERROR!</v>
      </c>
      <c r="C269" s="227" t="str">
        <f>IFERROR(INDEX('Fiche Lot'!E:E,MATCH(A269,'Fiche Lot'!A:A,0)),"")</f>
        <v>#ERROR!</v>
      </c>
      <c r="D269" s="227" t="str">
        <f>IFERROR(INDEX('Fiche Lot'!H:H,MATCH(A269,'Fiche Lot'!A:A,0)),"")</f>
        <v>#ERROR!</v>
      </c>
      <c r="E269" s="383" t="str">
        <f>IFERROR(INDEX('Fiche Lot'!L:L,MATCH(A269,'Fiche Lot'!A:A,0)),"")</f>
        <v>#ERROR!</v>
      </c>
      <c r="F269" s="384" t="str">
        <f>IF(E269="","",E269-TODAY())</f>
        <v>#ERROR!</v>
      </c>
      <c r="G269" s="385" t="str">
        <f>IF(F269="","",IF(F269&lt;0,"Expire",IF(F269&lt;INDEX(Config!B:B,MATCH("Seuil alerte DDM (jours)",Config!A:A,0)),"Proche","OK")))</f>
        <v>#ERROR!</v>
      </c>
      <c r="H269" s="385" t="str">
        <f>IF(G269="","",IF(G269="Expire","Detruire ou reanalyse urgent",IF(G269="Proche","Priorite vente / marche prochain","RAS")))</f>
        <v>#ERROR!</v>
      </c>
      <c r="I269" s="386"/>
    </row>
    <row r="270" ht="15.0" customHeight="1">
      <c r="A270" s="282"/>
      <c r="B270" s="235" t="str">
        <f>IFERROR(INDEX('Fiche Lot'!C:C,MATCH(A270,'Fiche Lot'!A:A,0)),"")</f>
        <v>#ERROR!</v>
      </c>
      <c r="C270" s="235" t="str">
        <f>IFERROR(INDEX('Fiche Lot'!E:E,MATCH(A270,'Fiche Lot'!A:A,0)),"")</f>
        <v>#ERROR!</v>
      </c>
      <c r="D270" s="235" t="str">
        <f>IFERROR(INDEX('Fiche Lot'!H:H,MATCH(A270,'Fiche Lot'!A:A,0)),"")</f>
        <v>#ERROR!</v>
      </c>
      <c r="E270" s="387" t="str">
        <f>IFERROR(INDEX('Fiche Lot'!L:L,MATCH(A270,'Fiche Lot'!A:A,0)),"")</f>
        <v>#ERROR!</v>
      </c>
      <c r="F270" s="388" t="str">
        <f>IF(E270="","",E270-TODAY())</f>
        <v>#ERROR!</v>
      </c>
      <c r="G270" s="389" t="str">
        <f>IF(F270="","",IF(F270&lt;0,"Expire",IF(F270&lt;INDEX(Config!B:B,MATCH("Seuil alerte DDM (jours)",Config!A:A,0)),"Proche","OK")))</f>
        <v>#ERROR!</v>
      </c>
      <c r="H270" s="389" t="str">
        <f>IF(G270="","",IF(G270="Expire","Detruire ou reanalyse urgent",IF(G270="Proche","Priorite vente / marche prochain","RAS")))</f>
        <v>#ERROR!</v>
      </c>
      <c r="I270" s="390"/>
    </row>
    <row r="271" ht="15.0" customHeight="1">
      <c r="A271" s="282"/>
      <c r="B271" s="227" t="str">
        <f>IFERROR(INDEX('Fiche Lot'!C:C,MATCH(A271,'Fiche Lot'!A:A,0)),"")</f>
        <v>#ERROR!</v>
      </c>
      <c r="C271" s="227" t="str">
        <f>IFERROR(INDEX('Fiche Lot'!E:E,MATCH(A271,'Fiche Lot'!A:A,0)),"")</f>
        <v>#ERROR!</v>
      </c>
      <c r="D271" s="227" t="str">
        <f>IFERROR(INDEX('Fiche Lot'!H:H,MATCH(A271,'Fiche Lot'!A:A,0)),"")</f>
        <v>#ERROR!</v>
      </c>
      <c r="E271" s="383" t="str">
        <f>IFERROR(INDEX('Fiche Lot'!L:L,MATCH(A271,'Fiche Lot'!A:A,0)),"")</f>
        <v>#ERROR!</v>
      </c>
      <c r="F271" s="384" t="str">
        <f>IF(E271="","",E271-TODAY())</f>
        <v>#ERROR!</v>
      </c>
      <c r="G271" s="385" t="str">
        <f>IF(F271="","",IF(F271&lt;0,"Expire",IF(F271&lt;INDEX(Config!B:B,MATCH("Seuil alerte DDM (jours)",Config!A:A,0)),"Proche","OK")))</f>
        <v>#ERROR!</v>
      </c>
      <c r="H271" s="385" t="str">
        <f>IF(G271="","",IF(G271="Expire","Detruire ou reanalyse urgent",IF(G271="Proche","Priorite vente / marche prochain","RAS")))</f>
        <v>#ERROR!</v>
      </c>
      <c r="I271" s="386"/>
    </row>
    <row r="272" ht="15.0" customHeight="1">
      <c r="A272" s="282"/>
      <c r="B272" s="235" t="str">
        <f>IFERROR(INDEX('Fiche Lot'!C:C,MATCH(A272,'Fiche Lot'!A:A,0)),"")</f>
        <v>#ERROR!</v>
      </c>
      <c r="C272" s="235" t="str">
        <f>IFERROR(INDEX('Fiche Lot'!E:E,MATCH(A272,'Fiche Lot'!A:A,0)),"")</f>
        <v>#ERROR!</v>
      </c>
      <c r="D272" s="235" t="str">
        <f>IFERROR(INDEX('Fiche Lot'!H:H,MATCH(A272,'Fiche Lot'!A:A,0)),"")</f>
        <v>#ERROR!</v>
      </c>
      <c r="E272" s="387" t="str">
        <f>IFERROR(INDEX('Fiche Lot'!L:L,MATCH(A272,'Fiche Lot'!A:A,0)),"")</f>
        <v>#ERROR!</v>
      </c>
      <c r="F272" s="388" t="str">
        <f>IF(E272="","",E272-TODAY())</f>
        <v>#ERROR!</v>
      </c>
      <c r="G272" s="389" t="str">
        <f>IF(F272="","",IF(F272&lt;0,"Expire",IF(F272&lt;INDEX(Config!B:B,MATCH("Seuil alerte DDM (jours)",Config!A:A,0)),"Proche","OK")))</f>
        <v>#ERROR!</v>
      </c>
      <c r="H272" s="389" t="str">
        <f>IF(G272="","",IF(G272="Expire","Detruire ou reanalyse urgent",IF(G272="Proche","Priorite vente / marche prochain","RAS")))</f>
        <v>#ERROR!</v>
      </c>
      <c r="I272" s="390"/>
    </row>
    <row r="273" ht="15.0" customHeight="1">
      <c r="A273" s="282"/>
      <c r="B273" s="227" t="str">
        <f>IFERROR(INDEX('Fiche Lot'!C:C,MATCH(A273,'Fiche Lot'!A:A,0)),"")</f>
        <v>#ERROR!</v>
      </c>
      <c r="C273" s="227" t="str">
        <f>IFERROR(INDEX('Fiche Lot'!E:E,MATCH(A273,'Fiche Lot'!A:A,0)),"")</f>
        <v>#ERROR!</v>
      </c>
      <c r="D273" s="227" t="str">
        <f>IFERROR(INDEX('Fiche Lot'!H:H,MATCH(A273,'Fiche Lot'!A:A,0)),"")</f>
        <v>#ERROR!</v>
      </c>
      <c r="E273" s="383" t="str">
        <f>IFERROR(INDEX('Fiche Lot'!L:L,MATCH(A273,'Fiche Lot'!A:A,0)),"")</f>
        <v>#ERROR!</v>
      </c>
      <c r="F273" s="384" t="str">
        <f>IF(E273="","",E273-TODAY())</f>
        <v>#ERROR!</v>
      </c>
      <c r="G273" s="385" t="str">
        <f>IF(F273="","",IF(F273&lt;0,"Expire",IF(F273&lt;INDEX(Config!B:B,MATCH("Seuil alerte DDM (jours)",Config!A:A,0)),"Proche","OK")))</f>
        <v>#ERROR!</v>
      </c>
      <c r="H273" s="385" t="str">
        <f>IF(G273="","",IF(G273="Expire","Detruire ou reanalyse urgent",IF(G273="Proche","Priorite vente / marche prochain","RAS")))</f>
        <v>#ERROR!</v>
      </c>
      <c r="I273" s="386"/>
    </row>
    <row r="274" ht="15.0" customHeight="1">
      <c r="A274" s="282"/>
      <c r="B274" s="235" t="str">
        <f>IFERROR(INDEX('Fiche Lot'!C:C,MATCH(A274,'Fiche Lot'!A:A,0)),"")</f>
        <v>#ERROR!</v>
      </c>
      <c r="C274" s="235" t="str">
        <f>IFERROR(INDEX('Fiche Lot'!E:E,MATCH(A274,'Fiche Lot'!A:A,0)),"")</f>
        <v>#ERROR!</v>
      </c>
      <c r="D274" s="235" t="str">
        <f>IFERROR(INDEX('Fiche Lot'!H:H,MATCH(A274,'Fiche Lot'!A:A,0)),"")</f>
        <v>#ERROR!</v>
      </c>
      <c r="E274" s="387" t="str">
        <f>IFERROR(INDEX('Fiche Lot'!L:L,MATCH(A274,'Fiche Lot'!A:A,0)),"")</f>
        <v>#ERROR!</v>
      </c>
      <c r="F274" s="388" t="str">
        <f>IF(E274="","",E274-TODAY())</f>
        <v>#ERROR!</v>
      </c>
      <c r="G274" s="389" t="str">
        <f>IF(F274="","",IF(F274&lt;0,"Expire",IF(F274&lt;INDEX(Config!B:B,MATCH("Seuil alerte DDM (jours)",Config!A:A,0)),"Proche","OK")))</f>
        <v>#ERROR!</v>
      </c>
      <c r="H274" s="389" t="str">
        <f>IF(G274="","",IF(G274="Expire","Detruire ou reanalyse urgent",IF(G274="Proche","Priorite vente / marche prochain","RAS")))</f>
        <v>#ERROR!</v>
      </c>
      <c r="I274" s="390"/>
    </row>
    <row r="275" ht="15.0" customHeight="1">
      <c r="A275" s="282"/>
      <c r="B275" s="227" t="str">
        <f>IFERROR(INDEX('Fiche Lot'!C:C,MATCH(A275,'Fiche Lot'!A:A,0)),"")</f>
        <v>#ERROR!</v>
      </c>
      <c r="C275" s="227" t="str">
        <f>IFERROR(INDEX('Fiche Lot'!E:E,MATCH(A275,'Fiche Lot'!A:A,0)),"")</f>
        <v>#ERROR!</v>
      </c>
      <c r="D275" s="227" t="str">
        <f>IFERROR(INDEX('Fiche Lot'!H:H,MATCH(A275,'Fiche Lot'!A:A,0)),"")</f>
        <v>#ERROR!</v>
      </c>
      <c r="E275" s="383" t="str">
        <f>IFERROR(INDEX('Fiche Lot'!L:L,MATCH(A275,'Fiche Lot'!A:A,0)),"")</f>
        <v>#ERROR!</v>
      </c>
      <c r="F275" s="384" t="str">
        <f>IF(E275="","",E275-TODAY())</f>
        <v>#ERROR!</v>
      </c>
      <c r="G275" s="385" t="str">
        <f>IF(F275="","",IF(F275&lt;0,"Expire",IF(F275&lt;INDEX(Config!B:B,MATCH("Seuil alerte DDM (jours)",Config!A:A,0)),"Proche","OK")))</f>
        <v>#ERROR!</v>
      </c>
      <c r="H275" s="385" t="str">
        <f>IF(G275="","",IF(G275="Expire","Detruire ou reanalyse urgent",IF(G275="Proche","Priorite vente / marche prochain","RAS")))</f>
        <v>#ERROR!</v>
      </c>
      <c r="I275" s="386"/>
    </row>
    <row r="276" ht="15.0" customHeight="1">
      <c r="A276" s="282"/>
      <c r="B276" s="235" t="str">
        <f>IFERROR(INDEX('Fiche Lot'!C:C,MATCH(A276,'Fiche Lot'!A:A,0)),"")</f>
        <v>#ERROR!</v>
      </c>
      <c r="C276" s="235" t="str">
        <f>IFERROR(INDEX('Fiche Lot'!E:E,MATCH(A276,'Fiche Lot'!A:A,0)),"")</f>
        <v>#ERROR!</v>
      </c>
      <c r="D276" s="235" t="str">
        <f>IFERROR(INDEX('Fiche Lot'!H:H,MATCH(A276,'Fiche Lot'!A:A,0)),"")</f>
        <v>#ERROR!</v>
      </c>
      <c r="E276" s="387" t="str">
        <f>IFERROR(INDEX('Fiche Lot'!L:L,MATCH(A276,'Fiche Lot'!A:A,0)),"")</f>
        <v>#ERROR!</v>
      </c>
      <c r="F276" s="388" t="str">
        <f>IF(E276="","",E276-TODAY())</f>
        <v>#ERROR!</v>
      </c>
      <c r="G276" s="389" t="str">
        <f>IF(F276="","",IF(F276&lt;0,"Expire",IF(F276&lt;INDEX(Config!B:B,MATCH("Seuil alerte DDM (jours)",Config!A:A,0)),"Proche","OK")))</f>
        <v>#ERROR!</v>
      </c>
      <c r="H276" s="389" t="str">
        <f>IF(G276="","",IF(G276="Expire","Detruire ou reanalyse urgent",IF(G276="Proche","Priorite vente / marche prochain","RAS")))</f>
        <v>#ERROR!</v>
      </c>
      <c r="I276" s="390"/>
    </row>
    <row r="277" ht="15.0" customHeight="1">
      <c r="A277" s="282"/>
      <c r="B277" s="227" t="str">
        <f>IFERROR(INDEX('Fiche Lot'!C:C,MATCH(A277,'Fiche Lot'!A:A,0)),"")</f>
        <v>#ERROR!</v>
      </c>
      <c r="C277" s="227" t="str">
        <f>IFERROR(INDEX('Fiche Lot'!E:E,MATCH(A277,'Fiche Lot'!A:A,0)),"")</f>
        <v>#ERROR!</v>
      </c>
      <c r="D277" s="227" t="str">
        <f>IFERROR(INDEX('Fiche Lot'!H:H,MATCH(A277,'Fiche Lot'!A:A,0)),"")</f>
        <v>#ERROR!</v>
      </c>
      <c r="E277" s="383" t="str">
        <f>IFERROR(INDEX('Fiche Lot'!L:L,MATCH(A277,'Fiche Lot'!A:A,0)),"")</f>
        <v>#ERROR!</v>
      </c>
      <c r="F277" s="384" t="str">
        <f>IF(E277="","",E277-TODAY())</f>
        <v>#ERROR!</v>
      </c>
      <c r="G277" s="385" t="str">
        <f>IF(F277="","",IF(F277&lt;0,"Expire",IF(F277&lt;INDEX(Config!B:B,MATCH("Seuil alerte DDM (jours)",Config!A:A,0)),"Proche","OK")))</f>
        <v>#ERROR!</v>
      </c>
      <c r="H277" s="385" t="str">
        <f>IF(G277="","",IF(G277="Expire","Detruire ou reanalyse urgent",IF(G277="Proche","Priorite vente / marche prochain","RAS")))</f>
        <v>#ERROR!</v>
      </c>
      <c r="I277" s="386"/>
    </row>
    <row r="278" ht="15.0" customHeight="1">
      <c r="A278" s="282"/>
      <c r="B278" s="235" t="str">
        <f>IFERROR(INDEX('Fiche Lot'!C:C,MATCH(A278,'Fiche Lot'!A:A,0)),"")</f>
        <v>#ERROR!</v>
      </c>
      <c r="C278" s="235" t="str">
        <f>IFERROR(INDEX('Fiche Lot'!E:E,MATCH(A278,'Fiche Lot'!A:A,0)),"")</f>
        <v>#ERROR!</v>
      </c>
      <c r="D278" s="235" t="str">
        <f>IFERROR(INDEX('Fiche Lot'!H:H,MATCH(A278,'Fiche Lot'!A:A,0)),"")</f>
        <v>#ERROR!</v>
      </c>
      <c r="E278" s="387" t="str">
        <f>IFERROR(INDEX('Fiche Lot'!L:L,MATCH(A278,'Fiche Lot'!A:A,0)),"")</f>
        <v>#ERROR!</v>
      </c>
      <c r="F278" s="388" t="str">
        <f>IF(E278="","",E278-TODAY())</f>
        <v>#ERROR!</v>
      </c>
      <c r="G278" s="389" t="str">
        <f>IF(F278="","",IF(F278&lt;0,"Expire",IF(F278&lt;INDEX(Config!B:B,MATCH("Seuil alerte DDM (jours)",Config!A:A,0)),"Proche","OK")))</f>
        <v>#ERROR!</v>
      </c>
      <c r="H278" s="389" t="str">
        <f>IF(G278="","",IF(G278="Expire","Detruire ou reanalyse urgent",IF(G278="Proche","Priorite vente / marche prochain","RAS")))</f>
        <v>#ERROR!</v>
      </c>
      <c r="I278" s="390"/>
    </row>
    <row r="279" ht="15.0" customHeight="1">
      <c r="A279" s="282"/>
      <c r="B279" s="227" t="str">
        <f>IFERROR(INDEX('Fiche Lot'!C:C,MATCH(A279,'Fiche Lot'!A:A,0)),"")</f>
        <v>#ERROR!</v>
      </c>
      <c r="C279" s="227" t="str">
        <f>IFERROR(INDEX('Fiche Lot'!E:E,MATCH(A279,'Fiche Lot'!A:A,0)),"")</f>
        <v>#ERROR!</v>
      </c>
      <c r="D279" s="227" t="str">
        <f>IFERROR(INDEX('Fiche Lot'!H:H,MATCH(A279,'Fiche Lot'!A:A,0)),"")</f>
        <v>#ERROR!</v>
      </c>
      <c r="E279" s="383" t="str">
        <f>IFERROR(INDEX('Fiche Lot'!L:L,MATCH(A279,'Fiche Lot'!A:A,0)),"")</f>
        <v>#ERROR!</v>
      </c>
      <c r="F279" s="384" t="str">
        <f>IF(E279="","",E279-TODAY())</f>
        <v>#ERROR!</v>
      </c>
      <c r="G279" s="385" t="str">
        <f>IF(F279="","",IF(F279&lt;0,"Expire",IF(F279&lt;INDEX(Config!B:B,MATCH("Seuil alerte DDM (jours)",Config!A:A,0)),"Proche","OK")))</f>
        <v>#ERROR!</v>
      </c>
      <c r="H279" s="385" t="str">
        <f>IF(G279="","",IF(G279="Expire","Detruire ou reanalyse urgent",IF(G279="Proche","Priorite vente / marche prochain","RAS")))</f>
        <v>#ERROR!</v>
      </c>
      <c r="I279" s="386"/>
    </row>
    <row r="280" ht="15.0" customHeight="1">
      <c r="A280" s="282"/>
      <c r="B280" s="235" t="str">
        <f>IFERROR(INDEX('Fiche Lot'!C:C,MATCH(A280,'Fiche Lot'!A:A,0)),"")</f>
        <v>#ERROR!</v>
      </c>
      <c r="C280" s="235" t="str">
        <f>IFERROR(INDEX('Fiche Lot'!E:E,MATCH(A280,'Fiche Lot'!A:A,0)),"")</f>
        <v>#ERROR!</v>
      </c>
      <c r="D280" s="235" t="str">
        <f>IFERROR(INDEX('Fiche Lot'!H:H,MATCH(A280,'Fiche Lot'!A:A,0)),"")</f>
        <v>#ERROR!</v>
      </c>
      <c r="E280" s="387" t="str">
        <f>IFERROR(INDEX('Fiche Lot'!L:L,MATCH(A280,'Fiche Lot'!A:A,0)),"")</f>
        <v>#ERROR!</v>
      </c>
      <c r="F280" s="388" t="str">
        <f>IF(E280="","",E280-TODAY())</f>
        <v>#ERROR!</v>
      </c>
      <c r="G280" s="389" t="str">
        <f>IF(F280="","",IF(F280&lt;0,"Expire",IF(F280&lt;INDEX(Config!B:B,MATCH("Seuil alerte DDM (jours)",Config!A:A,0)),"Proche","OK")))</f>
        <v>#ERROR!</v>
      </c>
      <c r="H280" s="389" t="str">
        <f>IF(G280="","",IF(G280="Expire","Detruire ou reanalyse urgent",IF(G280="Proche","Priorite vente / marche prochain","RAS")))</f>
        <v>#ERROR!</v>
      </c>
      <c r="I280" s="390"/>
    </row>
    <row r="281" ht="15.0" customHeight="1">
      <c r="A281" s="282"/>
      <c r="B281" s="227" t="str">
        <f>IFERROR(INDEX('Fiche Lot'!C:C,MATCH(A281,'Fiche Lot'!A:A,0)),"")</f>
        <v>#ERROR!</v>
      </c>
      <c r="C281" s="227" t="str">
        <f>IFERROR(INDEX('Fiche Lot'!E:E,MATCH(A281,'Fiche Lot'!A:A,0)),"")</f>
        <v>#ERROR!</v>
      </c>
      <c r="D281" s="227" t="str">
        <f>IFERROR(INDEX('Fiche Lot'!H:H,MATCH(A281,'Fiche Lot'!A:A,0)),"")</f>
        <v>#ERROR!</v>
      </c>
      <c r="E281" s="383" t="str">
        <f>IFERROR(INDEX('Fiche Lot'!L:L,MATCH(A281,'Fiche Lot'!A:A,0)),"")</f>
        <v>#ERROR!</v>
      </c>
      <c r="F281" s="384" t="str">
        <f>IF(E281="","",E281-TODAY())</f>
        <v>#ERROR!</v>
      </c>
      <c r="G281" s="385" t="str">
        <f>IF(F281="","",IF(F281&lt;0,"Expire",IF(F281&lt;INDEX(Config!B:B,MATCH("Seuil alerte DDM (jours)",Config!A:A,0)),"Proche","OK")))</f>
        <v>#ERROR!</v>
      </c>
      <c r="H281" s="385" t="str">
        <f>IF(G281="","",IF(G281="Expire","Detruire ou reanalyse urgent",IF(G281="Proche","Priorite vente / marche prochain","RAS")))</f>
        <v>#ERROR!</v>
      </c>
      <c r="I281" s="386"/>
    </row>
    <row r="282" ht="15.0" customHeight="1">
      <c r="A282" s="282"/>
      <c r="B282" s="235" t="str">
        <f>IFERROR(INDEX('Fiche Lot'!C:C,MATCH(A282,'Fiche Lot'!A:A,0)),"")</f>
        <v>#ERROR!</v>
      </c>
      <c r="C282" s="235" t="str">
        <f>IFERROR(INDEX('Fiche Lot'!E:E,MATCH(A282,'Fiche Lot'!A:A,0)),"")</f>
        <v>#ERROR!</v>
      </c>
      <c r="D282" s="235" t="str">
        <f>IFERROR(INDEX('Fiche Lot'!H:H,MATCH(A282,'Fiche Lot'!A:A,0)),"")</f>
        <v>#ERROR!</v>
      </c>
      <c r="E282" s="387" t="str">
        <f>IFERROR(INDEX('Fiche Lot'!L:L,MATCH(A282,'Fiche Lot'!A:A,0)),"")</f>
        <v>#ERROR!</v>
      </c>
      <c r="F282" s="388" t="str">
        <f>IF(E282="","",E282-TODAY())</f>
        <v>#ERROR!</v>
      </c>
      <c r="G282" s="389" t="str">
        <f>IF(F282="","",IF(F282&lt;0,"Expire",IF(F282&lt;INDEX(Config!B:B,MATCH("Seuil alerte DDM (jours)",Config!A:A,0)),"Proche","OK")))</f>
        <v>#ERROR!</v>
      </c>
      <c r="H282" s="389" t="str">
        <f>IF(G282="","",IF(G282="Expire","Detruire ou reanalyse urgent",IF(G282="Proche","Priorite vente / marche prochain","RAS")))</f>
        <v>#ERROR!</v>
      </c>
      <c r="I282" s="390"/>
    </row>
    <row r="283" ht="15.0" customHeight="1">
      <c r="A283" s="282"/>
      <c r="B283" s="227" t="str">
        <f>IFERROR(INDEX('Fiche Lot'!C:C,MATCH(A283,'Fiche Lot'!A:A,0)),"")</f>
        <v>#ERROR!</v>
      </c>
      <c r="C283" s="227" t="str">
        <f>IFERROR(INDEX('Fiche Lot'!E:E,MATCH(A283,'Fiche Lot'!A:A,0)),"")</f>
        <v>#ERROR!</v>
      </c>
      <c r="D283" s="227" t="str">
        <f>IFERROR(INDEX('Fiche Lot'!H:H,MATCH(A283,'Fiche Lot'!A:A,0)),"")</f>
        <v>#ERROR!</v>
      </c>
      <c r="E283" s="383" t="str">
        <f>IFERROR(INDEX('Fiche Lot'!L:L,MATCH(A283,'Fiche Lot'!A:A,0)),"")</f>
        <v>#ERROR!</v>
      </c>
      <c r="F283" s="384" t="str">
        <f>IF(E283="","",E283-TODAY())</f>
        <v>#ERROR!</v>
      </c>
      <c r="G283" s="385" t="str">
        <f>IF(F283="","",IF(F283&lt;0,"Expire",IF(F283&lt;INDEX(Config!B:B,MATCH("Seuil alerte DDM (jours)",Config!A:A,0)),"Proche","OK")))</f>
        <v>#ERROR!</v>
      </c>
      <c r="H283" s="385" t="str">
        <f>IF(G283="","",IF(G283="Expire","Detruire ou reanalyse urgent",IF(G283="Proche","Priorite vente / marche prochain","RAS")))</f>
        <v>#ERROR!</v>
      </c>
      <c r="I283" s="386"/>
    </row>
    <row r="284" ht="15.0" customHeight="1">
      <c r="A284" s="282"/>
      <c r="B284" s="235" t="str">
        <f>IFERROR(INDEX('Fiche Lot'!C:C,MATCH(A284,'Fiche Lot'!A:A,0)),"")</f>
        <v>#ERROR!</v>
      </c>
      <c r="C284" s="235" t="str">
        <f>IFERROR(INDEX('Fiche Lot'!E:E,MATCH(A284,'Fiche Lot'!A:A,0)),"")</f>
        <v>#ERROR!</v>
      </c>
      <c r="D284" s="235" t="str">
        <f>IFERROR(INDEX('Fiche Lot'!H:H,MATCH(A284,'Fiche Lot'!A:A,0)),"")</f>
        <v>#ERROR!</v>
      </c>
      <c r="E284" s="387" t="str">
        <f>IFERROR(INDEX('Fiche Lot'!L:L,MATCH(A284,'Fiche Lot'!A:A,0)),"")</f>
        <v>#ERROR!</v>
      </c>
      <c r="F284" s="388" t="str">
        <f>IF(E284="","",E284-TODAY())</f>
        <v>#ERROR!</v>
      </c>
      <c r="G284" s="389" t="str">
        <f>IF(F284="","",IF(F284&lt;0,"Expire",IF(F284&lt;INDEX(Config!B:B,MATCH("Seuil alerte DDM (jours)",Config!A:A,0)),"Proche","OK")))</f>
        <v>#ERROR!</v>
      </c>
      <c r="H284" s="389" t="str">
        <f>IF(G284="","",IF(G284="Expire","Detruire ou reanalyse urgent",IF(G284="Proche","Priorite vente / marche prochain","RAS")))</f>
        <v>#ERROR!</v>
      </c>
      <c r="I284" s="390"/>
    </row>
    <row r="285" ht="15.0" customHeight="1">
      <c r="A285" s="282"/>
      <c r="B285" s="227" t="str">
        <f>IFERROR(INDEX('Fiche Lot'!C:C,MATCH(A285,'Fiche Lot'!A:A,0)),"")</f>
        <v>#ERROR!</v>
      </c>
      <c r="C285" s="227" t="str">
        <f>IFERROR(INDEX('Fiche Lot'!E:E,MATCH(A285,'Fiche Lot'!A:A,0)),"")</f>
        <v>#ERROR!</v>
      </c>
      <c r="D285" s="227" t="str">
        <f>IFERROR(INDEX('Fiche Lot'!H:H,MATCH(A285,'Fiche Lot'!A:A,0)),"")</f>
        <v>#ERROR!</v>
      </c>
      <c r="E285" s="383" t="str">
        <f>IFERROR(INDEX('Fiche Lot'!L:L,MATCH(A285,'Fiche Lot'!A:A,0)),"")</f>
        <v>#ERROR!</v>
      </c>
      <c r="F285" s="384" t="str">
        <f>IF(E285="","",E285-TODAY())</f>
        <v>#ERROR!</v>
      </c>
      <c r="G285" s="385" t="str">
        <f>IF(F285="","",IF(F285&lt;0,"Expire",IF(F285&lt;INDEX(Config!B:B,MATCH("Seuil alerte DDM (jours)",Config!A:A,0)),"Proche","OK")))</f>
        <v>#ERROR!</v>
      </c>
      <c r="H285" s="385" t="str">
        <f>IF(G285="","",IF(G285="Expire","Detruire ou reanalyse urgent",IF(G285="Proche","Priorite vente / marche prochain","RAS")))</f>
        <v>#ERROR!</v>
      </c>
      <c r="I285" s="386"/>
    </row>
    <row r="286" ht="15.0" customHeight="1">
      <c r="A286" s="282"/>
      <c r="B286" s="235" t="str">
        <f>IFERROR(INDEX('Fiche Lot'!C:C,MATCH(A286,'Fiche Lot'!A:A,0)),"")</f>
        <v>#ERROR!</v>
      </c>
      <c r="C286" s="235" t="str">
        <f>IFERROR(INDEX('Fiche Lot'!E:E,MATCH(A286,'Fiche Lot'!A:A,0)),"")</f>
        <v>#ERROR!</v>
      </c>
      <c r="D286" s="235" t="str">
        <f>IFERROR(INDEX('Fiche Lot'!H:H,MATCH(A286,'Fiche Lot'!A:A,0)),"")</f>
        <v>#ERROR!</v>
      </c>
      <c r="E286" s="387" t="str">
        <f>IFERROR(INDEX('Fiche Lot'!L:L,MATCH(A286,'Fiche Lot'!A:A,0)),"")</f>
        <v>#ERROR!</v>
      </c>
      <c r="F286" s="388" t="str">
        <f>IF(E286="","",E286-TODAY())</f>
        <v>#ERROR!</v>
      </c>
      <c r="G286" s="389" t="str">
        <f>IF(F286="","",IF(F286&lt;0,"Expire",IF(F286&lt;INDEX(Config!B:B,MATCH("Seuil alerte DDM (jours)",Config!A:A,0)),"Proche","OK")))</f>
        <v>#ERROR!</v>
      </c>
      <c r="H286" s="389" t="str">
        <f>IF(G286="","",IF(G286="Expire","Detruire ou reanalyse urgent",IF(G286="Proche","Priorite vente / marche prochain","RAS")))</f>
        <v>#ERROR!</v>
      </c>
      <c r="I286" s="390"/>
    </row>
    <row r="287" ht="15.0" customHeight="1">
      <c r="A287" s="282"/>
      <c r="B287" s="227" t="str">
        <f>IFERROR(INDEX('Fiche Lot'!C:C,MATCH(A287,'Fiche Lot'!A:A,0)),"")</f>
        <v>#ERROR!</v>
      </c>
      <c r="C287" s="227" t="str">
        <f>IFERROR(INDEX('Fiche Lot'!E:E,MATCH(A287,'Fiche Lot'!A:A,0)),"")</f>
        <v>#ERROR!</v>
      </c>
      <c r="D287" s="227" t="str">
        <f>IFERROR(INDEX('Fiche Lot'!H:H,MATCH(A287,'Fiche Lot'!A:A,0)),"")</f>
        <v>#ERROR!</v>
      </c>
      <c r="E287" s="383" t="str">
        <f>IFERROR(INDEX('Fiche Lot'!L:L,MATCH(A287,'Fiche Lot'!A:A,0)),"")</f>
        <v>#ERROR!</v>
      </c>
      <c r="F287" s="384" t="str">
        <f>IF(E287="","",E287-TODAY())</f>
        <v>#ERROR!</v>
      </c>
      <c r="G287" s="385" t="str">
        <f>IF(F287="","",IF(F287&lt;0,"Expire",IF(F287&lt;INDEX(Config!B:B,MATCH("Seuil alerte DDM (jours)",Config!A:A,0)),"Proche","OK")))</f>
        <v>#ERROR!</v>
      </c>
      <c r="H287" s="385" t="str">
        <f>IF(G287="","",IF(G287="Expire","Detruire ou reanalyse urgent",IF(G287="Proche","Priorite vente / marche prochain","RAS")))</f>
        <v>#ERROR!</v>
      </c>
      <c r="I287" s="386"/>
    </row>
    <row r="288" ht="15.0" customHeight="1">
      <c r="A288" s="282"/>
      <c r="B288" s="235" t="str">
        <f>IFERROR(INDEX('Fiche Lot'!C:C,MATCH(A288,'Fiche Lot'!A:A,0)),"")</f>
        <v>#ERROR!</v>
      </c>
      <c r="C288" s="235" t="str">
        <f>IFERROR(INDEX('Fiche Lot'!E:E,MATCH(A288,'Fiche Lot'!A:A,0)),"")</f>
        <v>#ERROR!</v>
      </c>
      <c r="D288" s="235" t="str">
        <f>IFERROR(INDEX('Fiche Lot'!H:H,MATCH(A288,'Fiche Lot'!A:A,0)),"")</f>
        <v>#ERROR!</v>
      </c>
      <c r="E288" s="387" t="str">
        <f>IFERROR(INDEX('Fiche Lot'!L:L,MATCH(A288,'Fiche Lot'!A:A,0)),"")</f>
        <v>#ERROR!</v>
      </c>
      <c r="F288" s="388" t="str">
        <f>IF(E288="","",E288-TODAY())</f>
        <v>#ERROR!</v>
      </c>
      <c r="G288" s="389" t="str">
        <f>IF(F288="","",IF(F288&lt;0,"Expire",IF(F288&lt;INDEX(Config!B:B,MATCH("Seuil alerte DDM (jours)",Config!A:A,0)),"Proche","OK")))</f>
        <v>#ERROR!</v>
      </c>
      <c r="H288" s="389" t="str">
        <f>IF(G288="","",IF(G288="Expire","Detruire ou reanalyse urgent",IF(G288="Proche","Priorite vente / marche prochain","RAS")))</f>
        <v>#ERROR!</v>
      </c>
      <c r="I288" s="390"/>
    </row>
    <row r="289" ht="15.0" customHeight="1">
      <c r="A289" s="282"/>
      <c r="B289" s="227" t="str">
        <f>IFERROR(INDEX('Fiche Lot'!C:C,MATCH(A289,'Fiche Lot'!A:A,0)),"")</f>
        <v>#ERROR!</v>
      </c>
      <c r="C289" s="227" t="str">
        <f>IFERROR(INDEX('Fiche Lot'!E:E,MATCH(A289,'Fiche Lot'!A:A,0)),"")</f>
        <v>#ERROR!</v>
      </c>
      <c r="D289" s="227" t="str">
        <f>IFERROR(INDEX('Fiche Lot'!H:H,MATCH(A289,'Fiche Lot'!A:A,0)),"")</f>
        <v>#ERROR!</v>
      </c>
      <c r="E289" s="383" t="str">
        <f>IFERROR(INDEX('Fiche Lot'!L:L,MATCH(A289,'Fiche Lot'!A:A,0)),"")</f>
        <v>#ERROR!</v>
      </c>
      <c r="F289" s="384" t="str">
        <f>IF(E289="","",E289-TODAY())</f>
        <v>#ERROR!</v>
      </c>
      <c r="G289" s="385" t="str">
        <f>IF(F289="","",IF(F289&lt;0,"Expire",IF(F289&lt;INDEX(Config!B:B,MATCH("Seuil alerte DDM (jours)",Config!A:A,0)),"Proche","OK")))</f>
        <v>#ERROR!</v>
      </c>
      <c r="H289" s="385" t="str">
        <f>IF(G289="","",IF(G289="Expire","Detruire ou reanalyse urgent",IF(G289="Proche","Priorite vente / marche prochain","RAS")))</f>
        <v>#ERROR!</v>
      </c>
      <c r="I289" s="386"/>
    </row>
    <row r="290" ht="15.0" customHeight="1">
      <c r="A290" s="282"/>
      <c r="B290" s="235" t="str">
        <f>IFERROR(INDEX('Fiche Lot'!C:C,MATCH(A290,'Fiche Lot'!A:A,0)),"")</f>
        <v>#ERROR!</v>
      </c>
      <c r="C290" s="235" t="str">
        <f>IFERROR(INDEX('Fiche Lot'!E:E,MATCH(A290,'Fiche Lot'!A:A,0)),"")</f>
        <v>#ERROR!</v>
      </c>
      <c r="D290" s="235" t="str">
        <f>IFERROR(INDEX('Fiche Lot'!H:H,MATCH(A290,'Fiche Lot'!A:A,0)),"")</f>
        <v>#ERROR!</v>
      </c>
      <c r="E290" s="387" t="str">
        <f>IFERROR(INDEX('Fiche Lot'!L:L,MATCH(A290,'Fiche Lot'!A:A,0)),"")</f>
        <v>#ERROR!</v>
      </c>
      <c r="F290" s="388" t="str">
        <f>IF(E290="","",E290-TODAY())</f>
        <v>#ERROR!</v>
      </c>
      <c r="G290" s="389" t="str">
        <f>IF(F290="","",IF(F290&lt;0,"Expire",IF(F290&lt;INDEX(Config!B:B,MATCH("Seuil alerte DDM (jours)",Config!A:A,0)),"Proche","OK")))</f>
        <v>#ERROR!</v>
      </c>
      <c r="H290" s="389" t="str">
        <f>IF(G290="","",IF(G290="Expire","Detruire ou reanalyse urgent",IF(G290="Proche","Priorite vente / marche prochain","RAS")))</f>
        <v>#ERROR!</v>
      </c>
      <c r="I290" s="390"/>
    </row>
    <row r="291" ht="15.0" customHeight="1">
      <c r="A291" s="282"/>
      <c r="B291" s="227" t="str">
        <f>IFERROR(INDEX('Fiche Lot'!C:C,MATCH(A291,'Fiche Lot'!A:A,0)),"")</f>
        <v>#ERROR!</v>
      </c>
      <c r="C291" s="227" t="str">
        <f>IFERROR(INDEX('Fiche Lot'!E:E,MATCH(A291,'Fiche Lot'!A:A,0)),"")</f>
        <v>#ERROR!</v>
      </c>
      <c r="D291" s="227" t="str">
        <f>IFERROR(INDEX('Fiche Lot'!H:H,MATCH(A291,'Fiche Lot'!A:A,0)),"")</f>
        <v>#ERROR!</v>
      </c>
      <c r="E291" s="383" t="str">
        <f>IFERROR(INDEX('Fiche Lot'!L:L,MATCH(A291,'Fiche Lot'!A:A,0)),"")</f>
        <v>#ERROR!</v>
      </c>
      <c r="F291" s="384" t="str">
        <f>IF(E291="","",E291-TODAY())</f>
        <v>#ERROR!</v>
      </c>
      <c r="G291" s="385" t="str">
        <f>IF(F291="","",IF(F291&lt;0,"Expire",IF(F291&lt;INDEX(Config!B:B,MATCH("Seuil alerte DDM (jours)",Config!A:A,0)),"Proche","OK")))</f>
        <v>#ERROR!</v>
      </c>
      <c r="H291" s="385" t="str">
        <f>IF(G291="","",IF(G291="Expire","Detruire ou reanalyse urgent",IF(G291="Proche","Priorite vente / marche prochain","RAS")))</f>
        <v>#ERROR!</v>
      </c>
      <c r="I291" s="386"/>
    </row>
    <row r="292" ht="15.0" customHeight="1">
      <c r="A292" s="282"/>
      <c r="B292" s="235" t="str">
        <f>IFERROR(INDEX('Fiche Lot'!C:C,MATCH(A292,'Fiche Lot'!A:A,0)),"")</f>
        <v>#ERROR!</v>
      </c>
      <c r="C292" s="235" t="str">
        <f>IFERROR(INDEX('Fiche Lot'!E:E,MATCH(A292,'Fiche Lot'!A:A,0)),"")</f>
        <v>#ERROR!</v>
      </c>
      <c r="D292" s="235" t="str">
        <f>IFERROR(INDEX('Fiche Lot'!H:H,MATCH(A292,'Fiche Lot'!A:A,0)),"")</f>
        <v>#ERROR!</v>
      </c>
      <c r="E292" s="387" t="str">
        <f>IFERROR(INDEX('Fiche Lot'!L:L,MATCH(A292,'Fiche Lot'!A:A,0)),"")</f>
        <v>#ERROR!</v>
      </c>
      <c r="F292" s="388" t="str">
        <f>IF(E292="","",E292-TODAY())</f>
        <v>#ERROR!</v>
      </c>
      <c r="G292" s="389" t="str">
        <f>IF(F292="","",IF(F292&lt;0,"Expire",IF(F292&lt;INDEX(Config!B:B,MATCH("Seuil alerte DDM (jours)",Config!A:A,0)),"Proche","OK")))</f>
        <v>#ERROR!</v>
      </c>
      <c r="H292" s="389" t="str">
        <f>IF(G292="","",IF(G292="Expire","Detruire ou reanalyse urgent",IF(G292="Proche","Priorite vente / marche prochain","RAS")))</f>
        <v>#ERROR!</v>
      </c>
      <c r="I292" s="390"/>
    </row>
    <row r="293" ht="15.0" customHeight="1">
      <c r="A293" s="282"/>
      <c r="B293" s="227" t="str">
        <f>IFERROR(INDEX('Fiche Lot'!C:C,MATCH(A293,'Fiche Lot'!A:A,0)),"")</f>
        <v>#ERROR!</v>
      </c>
      <c r="C293" s="227" t="str">
        <f>IFERROR(INDEX('Fiche Lot'!E:E,MATCH(A293,'Fiche Lot'!A:A,0)),"")</f>
        <v>#ERROR!</v>
      </c>
      <c r="D293" s="227" t="str">
        <f>IFERROR(INDEX('Fiche Lot'!H:H,MATCH(A293,'Fiche Lot'!A:A,0)),"")</f>
        <v>#ERROR!</v>
      </c>
      <c r="E293" s="383" t="str">
        <f>IFERROR(INDEX('Fiche Lot'!L:L,MATCH(A293,'Fiche Lot'!A:A,0)),"")</f>
        <v>#ERROR!</v>
      </c>
      <c r="F293" s="384" t="str">
        <f>IF(E293="","",E293-TODAY())</f>
        <v>#ERROR!</v>
      </c>
      <c r="G293" s="385" t="str">
        <f>IF(F293="","",IF(F293&lt;0,"Expire",IF(F293&lt;INDEX(Config!B:B,MATCH("Seuil alerte DDM (jours)",Config!A:A,0)),"Proche","OK")))</f>
        <v>#ERROR!</v>
      </c>
      <c r="H293" s="385" t="str">
        <f>IF(G293="","",IF(G293="Expire","Detruire ou reanalyse urgent",IF(G293="Proche","Priorite vente / marche prochain","RAS")))</f>
        <v>#ERROR!</v>
      </c>
      <c r="I293" s="386"/>
    </row>
    <row r="294" ht="15.0" customHeight="1">
      <c r="A294" s="282"/>
      <c r="B294" s="235" t="str">
        <f>IFERROR(INDEX('Fiche Lot'!C:C,MATCH(A294,'Fiche Lot'!A:A,0)),"")</f>
        <v>#ERROR!</v>
      </c>
      <c r="C294" s="235" t="str">
        <f>IFERROR(INDEX('Fiche Lot'!E:E,MATCH(A294,'Fiche Lot'!A:A,0)),"")</f>
        <v>#ERROR!</v>
      </c>
      <c r="D294" s="235" t="str">
        <f>IFERROR(INDEX('Fiche Lot'!H:H,MATCH(A294,'Fiche Lot'!A:A,0)),"")</f>
        <v>#ERROR!</v>
      </c>
      <c r="E294" s="387" t="str">
        <f>IFERROR(INDEX('Fiche Lot'!L:L,MATCH(A294,'Fiche Lot'!A:A,0)),"")</f>
        <v>#ERROR!</v>
      </c>
      <c r="F294" s="388" t="str">
        <f>IF(E294="","",E294-TODAY())</f>
        <v>#ERROR!</v>
      </c>
      <c r="G294" s="389" t="str">
        <f>IF(F294="","",IF(F294&lt;0,"Expire",IF(F294&lt;INDEX(Config!B:B,MATCH("Seuil alerte DDM (jours)",Config!A:A,0)),"Proche","OK")))</f>
        <v>#ERROR!</v>
      </c>
      <c r="H294" s="389" t="str">
        <f>IF(G294="","",IF(G294="Expire","Detruire ou reanalyse urgent",IF(G294="Proche","Priorite vente / marche prochain","RAS")))</f>
        <v>#ERROR!</v>
      </c>
      <c r="I294" s="390"/>
    </row>
    <row r="295" ht="15.0" customHeight="1">
      <c r="A295" s="282"/>
      <c r="B295" s="227" t="str">
        <f>IFERROR(INDEX('Fiche Lot'!C:C,MATCH(A295,'Fiche Lot'!A:A,0)),"")</f>
        <v>#ERROR!</v>
      </c>
      <c r="C295" s="227" t="str">
        <f>IFERROR(INDEX('Fiche Lot'!E:E,MATCH(A295,'Fiche Lot'!A:A,0)),"")</f>
        <v>#ERROR!</v>
      </c>
      <c r="D295" s="227" t="str">
        <f>IFERROR(INDEX('Fiche Lot'!H:H,MATCH(A295,'Fiche Lot'!A:A,0)),"")</f>
        <v>#ERROR!</v>
      </c>
      <c r="E295" s="383" t="str">
        <f>IFERROR(INDEX('Fiche Lot'!L:L,MATCH(A295,'Fiche Lot'!A:A,0)),"")</f>
        <v>#ERROR!</v>
      </c>
      <c r="F295" s="384" t="str">
        <f>IF(E295="","",E295-TODAY())</f>
        <v>#ERROR!</v>
      </c>
      <c r="G295" s="385" t="str">
        <f>IF(F295="","",IF(F295&lt;0,"Expire",IF(F295&lt;INDEX(Config!B:B,MATCH("Seuil alerte DDM (jours)",Config!A:A,0)),"Proche","OK")))</f>
        <v>#ERROR!</v>
      </c>
      <c r="H295" s="385" t="str">
        <f>IF(G295="","",IF(G295="Expire","Detruire ou reanalyse urgent",IF(G295="Proche","Priorite vente / marche prochain","RAS")))</f>
        <v>#ERROR!</v>
      </c>
      <c r="I295" s="386"/>
    </row>
    <row r="296" ht="15.0" customHeight="1">
      <c r="A296" s="282"/>
      <c r="B296" s="235" t="str">
        <f>IFERROR(INDEX('Fiche Lot'!C:C,MATCH(A296,'Fiche Lot'!A:A,0)),"")</f>
        <v>#ERROR!</v>
      </c>
      <c r="C296" s="235" t="str">
        <f>IFERROR(INDEX('Fiche Lot'!E:E,MATCH(A296,'Fiche Lot'!A:A,0)),"")</f>
        <v>#ERROR!</v>
      </c>
      <c r="D296" s="235" t="str">
        <f>IFERROR(INDEX('Fiche Lot'!H:H,MATCH(A296,'Fiche Lot'!A:A,0)),"")</f>
        <v>#ERROR!</v>
      </c>
      <c r="E296" s="387" t="str">
        <f>IFERROR(INDEX('Fiche Lot'!L:L,MATCH(A296,'Fiche Lot'!A:A,0)),"")</f>
        <v>#ERROR!</v>
      </c>
      <c r="F296" s="388" t="str">
        <f>IF(E296="","",E296-TODAY())</f>
        <v>#ERROR!</v>
      </c>
      <c r="G296" s="389" t="str">
        <f>IF(F296="","",IF(F296&lt;0,"Expire",IF(F296&lt;INDEX(Config!B:B,MATCH("Seuil alerte DDM (jours)",Config!A:A,0)),"Proche","OK")))</f>
        <v>#ERROR!</v>
      </c>
      <c r="H296" s="389" t="str">
        <f>IF(G296="","",IF(G296="Expire","Detruire ou reanalyse urgent",IF(G296="Proche","Priorite vente / marche prochain","RAS")))</f>
        <v>#ERROR!</v>
      </c>
      <c r="I296" s="390"/>
    </row>
    <row r="297" ht="15.0" customHeight="1">
      <c r="A297" s="282"/>
      <c r="B297" s="227" t="str">
        <f>IFERROR(INDEX('Fiche Lot'!C:C,MATCH(A297,'Fiche Lot'!A:A,0)),"")</f>
        <v>#ERROR!</v>
      </c>
      <c r="C297" s="227" t="str">
        <f>IFERROR(INDEX('Fiche Lot'!E:E,MATCH(A297,'Fiche Lot'!A:A,0)),"")</f>
        <v>#ERROR!</v>
      </c>
      <c r="D297" s="227" t="str">
        <f>IFERROR(INDEX('Fiche Lot'!H:H,MATCH(A297,'Fiche Lot'!A:A,0)),"")</f>
        <v>#ERROR!</v>
      </c>
      <c r="E297" s="383" t="str">
        <f>IFERROR(INDEX('Fiche Lot'!L:L,MATCH(A297,'Fiche Lot'!A:A,0)),"")</f>
        <v>#ERROR!</v>
      </c>
      <c r="F297" s="384" t="str">
        <f>IF(E297="","",E297-TODAY())</f>
        <v>#ERROR!</v>
      </c>
      <c r="G297" s="385" t="str">
        <f>IF(F297="","",IF(F297&lt;0,"Expire",IF(F297&lt;INDEX(Config!B:B,MATCH("Seuil alerte DDM (jours)",Config!A:A,0)),"Proche","OK")))</f>
        <v>#ERROR!</v>
      </c>
      <c r="H297" s="385" t="str">
        <f>IF(G297="","",IF(G297="Expire","Detruire ou reanalyse urgent",IF(G297="Proche","Priorite vente / marche prochain","RAS")))</f>
        <v>#ERROR!</v>
      </c>
      <c r="I297" s="386"/>
    </row>
    <row r="298" ht="15.0" customHeight="1">
      <c r="A298" s="282"/>
      <c r="B298" s="235" t="str">
        <f>IFERROR(INDEX('Fiche Lot'!C:C,MATCH(A298,'Fiche Lot'!A:A,0)),"")</f>
        <v>#ERROR!</v>
      </c>
      <c r="C298" s="235" t="str">
        <f>IFERROR(INDEX('Fiche Lot'!E:E,MATCH(A298,'Fiche Lot'!A:A,0)),"")</f>
        <v>#ERROR!</v>
      </c>
      <c r="D298" s="235" t="str">
        <f>IFERROR(INDEX('Fiche Lot'!H:H,MATCH(A298,'Fiche Lot'!A:A,0)),"")</f>
        <v>#ERROR!</v>
      </c>
      <c r="E298" s="387" t="str">
        <f>IFERROR(INDEX('Fiche Lot'!L:L,MATCH(A298,'Fiche Lot'!A:A,0)),"")</f>
        <v>#ERROR!</v>
      </c>
      <c r="F298" s="388" t="str">
        <f>IF(E298="","",E298-TODAY())</f>
        <v>#ERROR!</v>
      </c>
      <c r="G298" s="389" t="str">
        <f>IF(F298="","",IF(F298&lt;0,"Expire",IF(F298&lt;INDEX(Config!B:B,MATCH("Seuil alerte DDM (jours)",Config!A:A,0)),"Proche","OK")))</f>
        <v>#ERROR!</v>
      </c>
      <c r="H298" s="389" t="str">
        <f>IF(G298="","",IF(G298="Expire","Detruire ou reanalyse urgent",IF(G298="Proche","Priorite vente / marche prochain","RAS")))</f>
        <v>#ERROR!</v>
      </c>
      <c r="I298" s="390"/>
    </row>
    <row r="299" ht="15.0" customHeight="1">
      <c r="A299" s="282"/>
      <c r="B299" s="227" t="str">
        <f>IFERROR(INDEX('Fiche Lot'!C:C,MATCH(A299,'Fiche Lot'!A:A,0)),"")</f>
        <v>#ERROR!</v>
      </c>
      <c r="C299" s="227" t="str">
        <f>IFERROR(INDEX('Fiche Lot'!E:E,MATCH(A299,'Fiche Lot'!A:A,0)),"")</f>
        <v>#ERROR!</v>
      </c>
      <c r="D299" s="227" t="str">
        <f>IFERROR(INDEX('Fiche Lot'!H:H,MATCH(A299,'Fiche Lot'!A:A,0)),"")</f>
        <v>#ERROR!</v>
      </c>
      <c r="E299" s="383" t="str">
        <f>IFERROR(INDEX('Fiche Lot'!L:L,MATCH(A299,'Fiche Lot'!A:A,0)),"")</f>
        <v>#ERROR!</v>
      </c>
      <c r="F299" s="384" t="str">
        <f>IF(E299="","",E299-TODAY())</f>
        <v>#ERROR!</v>
      </c>
      <c r="G299" s="385" t="str">
        <f>IF(F299="","",IF(F299&lt;0,"Expire",IF(F299&lt;INDEX(Config!B:B,MATCH("Seuil alerte DDM (jours)",Config!A:A,0)),"Proche","OK")))</f>
        <v>#ERROR!</v>
      </c>
      <c r="H299" s="385" t="str">
        <f>IF(G299="","",IF(G299="Expire","Detruire ou reanalyse urgent",IF(G299="Proche","Priorite vente / marche prochain","RAS")))</f>
        <v>#ERROR!</v>
      </c>
      <c r="I299" s="386"/>
    </row>
    <row r="300" ht="15.0" customHeight="1">
      <c r="A300" s="282"/>
      <c r="B300" s="235" t="str">
        <f>IFERROR(INDEX('Fiche Lot'!C:C,MATCH(A300,'Fiche Lot'!A:A,0)),"")</f>
        <v>#ERROR!</v>
      </c>
      <c r="C300" s="235" t="str">
        <f>IFERROR(INDEX('Fiche Lot'!E:E,MATCH(A300,'Fiche Lot'!A:A,0)),"")</f>
        <v>#ERROR!</v>
      </c>
      <c r="D300" s="235" t="str">
        <f>IFERROR(INDEX('Fiche Lot'!H:H,MATCH(A300,'Fiche Lot'!A:A,0)),"")</f>
        <v>#ERROR!</v>
      </c>
      <c r="E300" s="387" t="str">
        <f>IFERROR(INDEX('Fiche Lot'!L:L,MATCH(A300,'Fiche Lot'!A:A,0)),"")</f>
        <v>#ERROR!</v>
      </c>
      <c r="F300" s="388" t="str">
        <f>IF(E300="","",E300-TODAY())</f>
        <v>#ERROR!</v>
      </c>
      <c r="G300" s="389" t="str">
        <f>IF(F300="","",IF(F300&lt;0,"Expire",IF(F300&lt;INDEX(Config!B:B,MATCH("Seuil alerte DDM (jours)",Config!A:A,0)),"Proche","OK")))</f>
        <v>#ERROR!</v>
      </c>
      <c r="H300" s="389" t="str">
        <f>IF(G300="","",IF(G300="Expire","Detruire ou reanalyse urgent",IF(G300="Proche","Priorite vente / marche prochain","RAS")))</f>
        <v>#ERROR!</v>
      </c>
      <c r="I300" s="390"/>
    </row>
    <row r="301" ht="15.0" customHeight="1">
      <c r="A301" s="282"/>
      <c r="B301" s="227" t="str">
        <f>IFERROR(INDEX('Fiche Lot'!C:C,MATCH(A301,'Fiche Lot'!A:A,0)),"")</f>
        <v>#ERROR!</v>
      </c>
      <c r="C301" s="227" t="str">
        <f>IFERROR(INDEX('Fiche Lot'!E:E,MATCH(A301,'Fiche Lot'!A:A,0)),"")</f>
        <v>#ERROR!</v>
      </c>
      <c r="D301" s="227" t="str">
        <f>IFERROR(INDEX('Fiche Lot'!H:H,MATCH(A301,'Fiche Lot'!A:A,0)),"")</f>
        <v>#ERROR!</v>
      </c>
      <c r="E301" s="383" t="str">
        <f>IFERROR(INDEX('Fiche Lot'!L:L,MATCH(A301,'Fiche Lot'!A:A,0)),"")</f>
        <v>#ERROR!</v>
      </c>
      <c r="F301" s="384" t="str">
        <f>IF(E301="","",E301-TODAY())</f>
        <v>#ERROR!</v>
      </c>
      <c r="G301" s="385" t="str">
        <f>IF(F301="","",IF(F301&lt;0,"Expire",IF(F301&lt;INDEX(Config!B:B,MATCH("Seuil alerte DDM (jours)",Config!A:A,0)),"Proche","OK")))</f>
        <v>#ERROR!</v>
      </c>
      <c r="H301" s="385" t="str">
        <f>IF(G301="","",IF(G301="Expire","Detruire ou reanalyse urgent",IF(G301="Proche","Priorite vente / marche prochain","RAS")))</f>
        <v>#ERROR!</v>
      </c>
      <c r="I301" s="386"/>
    </row>
    <row r="302" ht="15.0" customHeight="1">
      <c r="A302" s="282"/>
      <c r="B302" s="235" t="str">
        <f>IFERROR(INDEX('Fiche Lot'!C:C,MATCH(A302,'Fiche Lot'!A:A,0)),"")</f>
        <v>#ERROR!</v>
      </c>
      <c r="C302" s="235" t="str">
        <f>IFERROR(INDEX('Fiche Lot'!E:E,MATCH(A302,'Fiche Lot'!A:A,0)),"")</f>
        <v>#ERROR!</v>
      </c>
      <c r="D302" s="235" t="str">
        <f>IFERROR(INDEX('Fiche Lot'!H:H,MATCH(A302,'Fiche Lot'!A:A,0)),"")</f>
        <v>#ERROR!</v>
      </c>
      <c r="E302" s="387" t="str">
        <f>IFERROR(INDEX('Fiche Lot'!L:L,MATCH(A302,'Fiche Lot'!A:A,0)),"")</f>
        <v>#ERROR!</v>
      </c>
      <c r="F302" s="388" t="str">
        <f>IF(E302="","",E302-TODAY())</f>
        <v>#ERROR!</v>
      </c>
      <c r="G302" s="389" t="str">
        <f>IF(F302="","",IF(F302&lt;0,"Expire",IF(F302&lt;INDEX(Config!B:B,MATCH("Seuil alerte DDM (jours)",Config!A:A,0)),"Proche","OK")))</f>
        <v>#ERROR!</v>
      </c>
      <c r="H302" s="389" t="str">
        <f>IF(G302="","",IF(G302="Expire","Detruire ou reanalyse urgent",IF(G302="Proche","Priorite vente / marche prochain","RAS")))</f>
        <v>#ERROR!</v>
      </c>
      <c r="I302" s="390"/>
    </row>
    <row r="303" ht="15.0" customHeight="1">
      <c r="A303" s="284"/>
      <c r="B303" s="246" t="str">
        <f>IFERROR(INDEX('Fiche Lot'!C:C,MATCH(A303,'Fiche Lot'!A:A,0)),"")</f>
        <v>#ERROR!</v>
      </c>
      <c r="C303" s="246" t="str">
        <f>IFERROR(INDEX('Fiche Lot'!E:E,MATCH(A303,'Fiche Lot'!A:A,0)),"")</f>
        <v>#ERROR!</v>
      </c>
      <c r="D303" s="246" t="str">
        <f>IFERROR(INDEX('Fiche Lot'!H:H,MATCH(A303,'Fiche Lot'!A:A,0)),"")</f>
        <v>#ERROR!</v>
      </c>
      <c r="E303" s="391" t="str">
        <f>IFERROR(INDEX('Fiche Lot'!L:L,MATCH(A303,'Fiche Lot'!A:A,0)),"")</f>
        <v>#ERROR!</v>
      </c>
      <c r="F303" s="392" t="str">
        <f>IF(E303="","",E303-TODAY())</f>
        <v>#ERROR!</v>
      </c>
      <c r="G303" s="393" t="str">
        <f>IF(F303="","",IF(F303&lt;0,"Expire",IF(F303&lt;INDEX(Config!B:B,MATCH("Seuil alerte DDM (jours)",Config!A:A,0)),"Proche","OK")))</f>
        <v>#ERROR!</v>
      </c>
      <c r="H303" s="393" t="str">
        <f>IF(G303="","",IF(G303="Expire","Detruire ou reanalyse urgent",IF(G303="Proche","Priorite vente / marche prochain","RAS")))</f>
        <v>#ERROR!</v>
      </c>
      <c r="I303" s="394"/>
    </row>
  </sheetData>
  <mergeCells count="2">
    <mergeCell ref="A1:J1"/>
    <mergeCell ref="A2:J2"/>
  </mergeCells>
  <conditionalFormatting sqref="G4:G303">
    <cfRule type="cellIs" dxfId="2" priority="1" stopIfTrue="1" operator="equal">
      <formula>"Rupture"</formula>
    </cfRule>
  </conditionalFormatting>
  <conditionalFormatting sqref="G4:G303">
    <cfRule type="cellIs" dxfId="2" priority="2" stopIfTrue="1" operator="equal">
      <formula>"NC"</formula>
    </cfRule>
  </conditionalFormatting>
  <conditionalFormatting sqref="G4:G303">
    <cfRule type="cellIs" dxfId="2" priority="3" stopIfTrue="1" operator="equal">
      <formula>"Expire"</formula>
    </cfRule>
  </conditionalFormatting>
  <conditionalFormatting sqref="G4:G303">
    <cfRule type="cellIs" dxfId="2" priority="4" stopIfTrue="1" operator="equal">
      <formula>"URGENT"</formula>
    </cfRule>
  </conditionalFormatting>
  <conditionalFormatting sqref="G4:G303">
    <cfRule type="cellIs" dxfId="2" priority="5" stopIfTrue="1" operator="equal">
      <formula>"Bloque"</formula>
    </cfRule>
  </conditionalFormatting>
  <conditionalFormatting sqref="G4:G303">
    <cfRule type="cellIs" dxfId="3" priority="6" stopIfTrue="1" operator="equal">
      <formula>"Proche"</formula>
    </cfRule>
  </conditionalFormatting>
  <conditionalFormatting sqref="G4:G303">
    <cfRule type="cellIs" dxfId="3" priority="7" stopIfTrue="1" operator="equal">
      <formula>"A PRODUIRE"</formula>
    </cfRule>
  </conditionalFormatting>
  <conditionalFormatting sqref="G4:G303">
    <cfRule type="cellIs" dxfId="3" priority="8" stopIfTrue="1" operator="equal">
      <formula>"Sous-temperature"</formula>
    </cfRule>
  </conditionalFormatting>
  <conditionalFormatting sqref="G4:G303">
    <cfRule type="cellIs" dxfId="4" priority="9" stopIfTrue="1" operator="equal">
      <formula>"OK"</formula>
    </cfRule>
  </conditionalFormatting>
  <conditionalFormatting sqref="G4:G303">
    <cfRule type="cellIs" dxfId="4" priority="10" stopIfTrue="1" operator="equal">
      <formula>"Valide"</formula>
    </cfRule>
  </conditionalFormatting>
  <conditionalFormatting sqref="G4:G303">
    <cfRule type="cellIs" dxfId="4" priority="11" stopIfTrue="1" operator="equal">
      <formula>"Termine"</formula>
    </cfRule>
  </conditionalFormatting>
  <conditionalFormatting sqref="G4:G303">
    <cfRule type="cellIs" dxfId="4" priority="12" stopIfTrue="1" operator="equal">
      <formula>"Actif"</formula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1" width="17.63"/>
  </cols>
  <sheetData>
    <row r="1" ht="25.5" customHeight="1">
      <c r="A1" s="30" t="s">
        <v>1084</v>
      </c>
    </row>
    <row r="2" ht="25.5" customHeight="1">
      <c r="A2" s="359" t="s">
        <v>1085</v>
      </c>
    </row>
    <row r="3" ht="21.0" customHeight="1">
      <c r="A3" s="31" t="s">
        <v>73</v>
      </c>
      <c r="B3" s="31" t="s">
        <v>662</v>
      </c>
      <c r="C3" s="31" t="s">
        <v>696</v>
      </c>
      <c r="D3" s="31" t="s">
        <v>64</v>
      </c>
      <c r="E3" s="31" t="s">
        <v>78</v>
      </c>
      <c r="F3" s="31" t="s">
        <v>1086</v>
      </c>
      <c r="G3" s="31" t="s">
        <v>1087</v>
      </c>
      <c r="H3" s="31" t="s">
        <v>709</v>
      </c>
      <c r="I3" s="31" t="s">
        <v>1088</v>
      </c>
      <c r="J3" s="31" t="s">
        <v>105</v>
      </c>
      <c r="K3" s="31" t="s">
        <v>61</v>
      </c>
    </row>
    <row r="4">
      <c r="A4" s="290">
        <v>46107.04166666667</v>
      </c>
      <c r="B4" s="216" t="s">
        <v>1089</v>
      </c>
      <c r="C4" s="217"/>
      <c r="D4" s="216" t="s">
        <v>1090</v>
      </c>
      <c r="E4" s="216" t="s">
        <v>439</v>
      </c>
      <c r="F4" s="221">
        <v>0.0</v>
      </c>
      <c r="G4" s="221">
        <v>0.0</v>
      </c>
      <c r="H4" s="221">
        <v>0.0</v>
      </c>
      <c r="I4" s="279" t="str">
        <f>IFERROR(H4*INDEX(Config!B:B,MATCH("Cout energie par lot (EUR)",Config!A:A,0))/60,"")</f>
        <v>#ERROR!</v>
      </c>
      <c r="J4" s="366" t="str">
        <f>IF(G4="","",IF(G4&gt;=INDEX(Config!B:B,MATCH("Autoclave temperature minimale (C)",Config!A:A,0)),"OK","Sous-temperature"))</f>
        <v>#ERROR!</v>
      </c>
      <c r="K4" s="223"/>
    </row>
    <row r="5">
      <c r="A5" s="293">
        <v>46107.04166666667</v>
      </c>
      <c r="B5" s="226" t="s">
        <v>1089</v>
      </c>
      <c r="C5" s="226" t="s">
        <v>1091</v>
      </c>
      <c r="D5" s="226" t="s">
        <v>1092</v>
      </c>
      <c r="E5" s="226" t="s">
        <v>439</v>
      </c>
      <c r="F5" s="231">
        <v>60.0</v>
      </c>
      <c r="G5" s="231">
        <v>115.0</v>
      </c>
      <c r="H5" s="231">
        <v>120.0</v>
      </c>
      <c r="I5" s="281" t="str">
        <f>IFERROR(H5*INDEX(Config!B:B,MATCH("Cout energie par lot (EUR)",Config!A:A,0))/60,"")</f>
        <v>#ERROR!</v>
      </c>
      <c r="J5" s="367" t="str">
        <f>IF(G5="","",IF(G5&gt;=INDEX(Config!B:B,MATCH("Autoclave temperature minimale (C)",Config!A:A,0)),"OK","Sous-temperature"))</f>
        <v>#ERROR!</v>
      </c>
      <c r="K5" s="233"/>
    </row>
    <row r="6">
      <c r="A6" s="303"/>
      <c r="B6" s="235"/>
      <c r="C6" s="235"/>
      <c r="D6" s="235"/>
      <c r="E6" s="235"/>
      <c r="F6" s="235"/>
      <c r="G6" s="235"/>
      <c r="H6" s="235"/>
      <c r="I6" s="283" t="str">
        <f>IFERROR(H6*INDEX(Config!B:B,MATCH("Cout energie par lot (EUR)",Config!A:A,0))/60,"")</f>
        <v>#ERROR!</v>
      </c>
      <c r="J6" s="368" t="str">
        <f>IF(G6="","",IF(G6&gt;=INDEX(Config!B:B,MATCH("Autoclave temperature minimale (C)",Config!A:A,0)),"OK","Sous-temperature"))</f>
        <v>#ERROR!</v>
      </c>
      <c r="K6" s="240"/>
    </row>
    <row r="7">
      <c r="A7" s="301"/>
      <c r="B7" s="227"/>
      <c r="C7" s="227"/>
      <c r="D7" s="227"/>
      <c r="E7" s="227"/>
      <c r="F7" s="227"/>
      <c r="G7" s="227"/>
      <c r="H7" s="227"/>
      <c r="I7" s="281" t="str">
        <f>IFERROR(H7*INDEX(Config!B:B,MATCH("Cout energie par lot (EUR)",Config!A:A,0))/60,"")</f>
        <v>#ERROR!</v>
      </c>
      <c r="J7" s="367" t="str">
        <f>IF(G7="","",IF(G7&gt;=INDEX(Config!B:B,MATCH("Autoclave temperature minimale (C)",Config!A:A,0)),"OK","Sous-temperature"))</f>
        <v>#ERROR!</v>
      </c>
      <c r="K7" s="233"/>
    </row>
    <row r="8">
      <c r="A8" s="303"/>
      <c r="B8" s="235"/>
      <c r="C8" s="235"/>
      <c r="D8" s="235"/>
      <c r="E8" s="235"/>
      <c r="F8" s="235"/>
      <c r="G8" s="235"/>
      <c r="H8" s="235"/>
      <c r="I8" s="283" t="str">
        <f>IFERROR(H8*INDEX(Config!B:B,MATCH("Cout energie par lot (EUR)",Config!A:A,0))/60,"")</f>
        <v>#ERROR!</v>
      </c>
      <c r="J8" s="368" t="str">
        <f>IF(G8="","",IF(G8&gt;=INDEX(Config!B:B,MATCH("Autoclave temperature minimale (C)",Config!A:A,0)),"OK","Sous-temperature"))</f>
        <v>#ERROR!</v>
      </c>
      <c r="K8" s="240"/>
    </row>
    <row r="9">
      <c r="A9" s="301"/>
      <c r="B9" s="227"/>
      <c r="C9" s="227"/>
      <c r="D9" s="227"/>
      <c r="E9" s="227"/>
      <c r="F9" s="227"/>
      <c r="G9" s="227"/>
      <c r="H9" s="227"/>
      <c r="I9" s="281" t="str">
        <f>IFERROR(H9*INDEX(Config!B:B,MATCH("Cout energie par lot (EUR)",Config!A:A,0))/60,"")</f>
        <v>#ERROR!</v>
      </c>
      <c r="J9" s="367" t="str">
        <f>IF(G9="","",IF(G9&gt;=INDEX(Config!B:B,MATCH("Autoclave temperature minimale (C)",Config!A:A,0)),"OK","Sous-temperature"))</f>
        <v>#ERROR!</v>
      </c>
      <c r="K9" s="233"/>
    </row>
    <row r="10">
      <c r="A10" s="303"/>
      <c r="B10" s="235"/>
      <c r="C10" s="235"/>
      <c r="D10" s="235"/>
      <c r="E10" s="235"/>
      <c r="F10" s="235"/>
      <c r="G10" s="235"/>
      <c r="H10" s="235"/>
      <c r="I10" s="283" t="str">
        <f>IFERROR(H10*INDEX(Config!B:B,MATCH("Cout energie par lot (EUR)",Config!A:A,0))/60,"")</f>
        <v>#ERROR!</v>
      </c>
      <c r="J10" s="368" t="str">
        <f>IF(G10="","",IF(G10&gt;=INDEX(Config!B:B,MATCH("Autoclave temperature minimale (C)",Config!A:A,0)),"OK","Sous-temperature"))</f>
        <v>#ERROR!</v>
      </c>
      <c r="K10" s="240"/>
    </row>
    <row r="11">
      <c r="A11" s="301"/>
      <c r="B11" s="227"/>
      <c r="C11" s="227"/>
      <c r="D11" s="227"/>
      <c r="E11" s="227"/>
      <c r="F11" s="227"/>
      <c r="G11" s="227"/>
      <c r="H11" s="227"/>
      <c r="I11" s="281" t="str">
        <f>IFERROR(H11*INDEX(Config!B:B,MATCH("Cout energie par lot (EUR)",Config!A:A,0))/60,"")</f>
        <v>#ERROR!</v>
      </c>
      <c r="J11" s="367" t="str">
        <f>IF(G11="","",IF(G11&gt;=INDEX(Config!B:B,MATCH("Autoclave temperature minimale (C)",Config!A:A,0)),"OK","Sous-temperature"))</f>
        <v>#ERROR!</v>
      </c>
      <c r="K11" s="233"/>
    </row>
    <row r="12">
      <c r="A12" s="303"/>
      <c r="B12" s="235"/>
      <c r="C12" s="235"/>
      <c r="D12" s="235"/>
      <c r="E12" s="235"/>
      <c r="F12" s="235"/>
      <c r="G12" s="235"/>
      <c r="H12" s="235"/>
      <c r="I12" s="283" t="str">
        <f>IFERROR(H12*INDEX(Config!B:B,MATCH("Cout energie par lot (EUR)",Config!A:A,0))/60,"")</f>
        <v>#ERROR!</v>
      </c>
      <c r="J12" s="368" t="str">
        <f>IF(G12="","",IF(G12&gt;=INDEX(Config!B:B,MATCH("Autoclave temperature minimale (C)",Config!A:A,0)),"OK","Sous-temperature"))</f>
        <v>#ERROR!</v>
      </c>
      <c r="K12" s="240"/>
    </row>
    <row r="13">
      <c r="A13" s="301"/>
      <c r="B13" s="227"/>
      <c r="C13" s="227"/>
      <c r="D13" s="227"/>
      <c r="E13" s="227"/>
      <c r="F13" s="227"/>
      <c r="G13" s="227"/>
      <c r="H13" s="227"/>
      <c r="I13" s="281" t="str">
        <f>IFERROR(H13*INDEX(Config!B:B,MATCH("Cout energie par lot (EUR)",Config!A:A,0))/60,"")</f>
        <v>#ERROR!</v>
      </c>
      <c r="J13" s="367" t="str">
        <f>IF(G13="","",IF(G13&gt;=INDEX(Config!B:B,MATCH("Autoclave temperature minimale (C)",Config!A:A,0)),"OK","Sous-temperature"))</f>
        <v>#ERROR!</v>
      </c>
      <c r="K13" s="233"/>
    </row>
    <row r="14">
      <c r="A14" s="303"/>
      <c r="B14" s="235"/>
      <c r="C14" s="235"/>
      <c r="D14" s="235"/>
      <c r="E14" s="235"/>
      <c r="F14" s="235"/>
      <c r="G14" s="235"/>
      <c r="H14" s="235"/>
      <c r="I14" s="283" t="str">
        <f>IFERROR(H14*INDEX(Config!B:B,MATCH("Cout energie par lot (EUR)",Config!A:A,0))/60,"")</f>
        <v>#ERROR!</v>
      </c>
      <c r="J14" s="368" t="str">
        <f>IF(G14="","",IF(G14&gt;=INDEX(Config!B:B,MATCH("Autoclave temperature minimale (C)",Config!A:A,0)),"OK","Sous-temperature"))</f>
        <v>#ERROR!</v>
      </c>
      <c r="K14" s="240"/>
    </row>
    <row r="15">
      <c r="A15" s="301"/>
      <c r="B15" s="227"/>
      <c r="C15" s="227"/>
      <c r="D15" s="227"/>
      <c r="E15" s="227"/>
      <c r="F15" s="227"/>
      <c r="G15" s="227"/>
      <c r="H15" s="227"/>
      <c r="I15" s="281" t="str">
        <f>IFERROR(H15*INDEX(Config!B:B,MATCH("Cout energie par lot (EUR)",Config!A:A,0))/60,"")</f>
        <v>#ERROR!</v>
      </c>
      <c r="J15" s="367" t="str">
        <f>IF(G15="","",IF(G15&gt;=INDEX(Config!B:B,MATCH("Autoclave temperature minimale (C)",Config!A:A,0)),"OK","Sous-temperature"))</f>
        <v>#ERROR!</v>
      </c>
      <c r="K15" s="233"/>
    </row>
    <row r="16">
      <c r="A16" s="303"/>
      <c r="B16" s="235"/>
      <c r="C16" s="235"/>
      <c r="D16" s="235"/>
      <c r="E16" s="235"/>
      <c r="F16" s="235"/>
      <c r="G16" s="235"/>
      <c r="H16" s="235"/>
      <c r="I16" s="283" t="str">
        <f>IFERROR(H16*INDEX(Config!B:B,MATCH("Cout energie par lot (EUR)",Config!A:A,0))/60,"")</f>
        <v>#ERROR!</v>
      </c>
      <c r="J16" s="368" t="str">
        <f>IF(G16="","",IF(G16&gt;=INDEX(Config!B:B,MATCH("Autoclave temperature minimale (C)",Config!A:A,0)),"OK","Sous-temperature"))</f>
        <v>#ERROR!</v>
      </c>
      <c r="K16" s="240"/>
    </row>
    <row r="17">
      <c r="A17" s="301"/>
      <c r="B17" s="227"/>
      <c r="C17" s="227"/>
      <c r="D17" s="227"/>
      <c r="E17" s="227"/>
      <c r="F17" s="227"/>
      <c r="G17" s="227"/>
      <c r="H17" s="227"/>
      <c r="I17" s="281" t="str">
        <f>IFERROR(H17*INDEX(Config!B:B,MATCH("Cout energie par lot (EUR)",Config!A:A,0))/60,"")</f>
        <v>#ERROR!</v>
      </c>
      <c r="J17" s="367" t="str">
        <f>IF(G17="","",IF(G17&gt;=INDEX(Config!B:B,MATCH("Autoclave temperature minimale (C)",Config!A:A,0)),"OK","Sous-temperature"))</f>
        <v>#ERROR!</v>
      </c>
      <c r="K17" s="233"/>
    </row>
    <row r="18">
      <c r="A18" s="303"/>
      <c r="B18" s="235"/>
      <c r="C18" s="235"/>
      <c r="D18" s="235"/>
      <c r="E18" s="235"/>
      <c r="F18" s="235"/>
      <c r="G18" s="235"/>
      <c r="H18" s="235"/>
      <c r="I18" s="283" t="str">
        <f>IFERROR(H18*INDEX(Config!B:B,MATCH("Cout energie par lot (EUR)",Config!A:A,0))/60,"")</f>
        <v>#ERROR!</v>
      </c>
      <c r="J18" s="368" t="str">
        <f>IF(G18="","",IF(G18&gt;=INDEX(Config!B:B,MATCH("Autoclave temperature minimale (C)",Config!A:A,0)),"OK","Sous-temperature"))</f>
        <v>#ERROR!</v>
      </c>
      <c r="K18" s="240"/>
    </row>
    <row r="19">
      <c r="A19" s="301"/>
      <c r="B19" s="227"/>
      <c r="C19" s="227"/>
      <c r="D19" s="227"/>
      <c r="E19" s="227"/>
      <c r="F19" s="227"/>
      <c r="G19" s="227"/>
      <c r="H19" s="227"/>
      <c r="I19" s="281" t="str">
        <f>IFERROR(H19*INDEX(Config!B:B,MATCH("Cout energie par lot (EUR)",Config!A:A,0))/60,"")</f>
        <v>#ERROR!</v>
      </c>
      <c r="J19" s="367" t="str">
        <f>IF(G19="","",IF(G19&gt;=INDEX(Config!B:B,MATCH("Autoclave temperature minimale (C)",Config!A:A,0)),"OK","Sous-temperature"))</f>
        <v>#ERROR!</v>
      </c>
      <c r="K19" s="233"/>
    </row>
    <row r="20">
      <c r="A20" s="303"/>
      <c r="B20" s="235"/>
      <c r="C20" s="235"/>
      <c r="D20" s="235"/>
      <c r="E20" s="235"/>
      <c r="F20" s="235"/>
      <c r="G20" s="235"/>
      <c r="H20" s="235"/>
      <c r="I20" s="283" t="str">
        <f>IFERROR(H20*INDEX(Config!B:B,MATCH("Cout energie par lot (EUR)",Config!A:A,0))/60,"")</f>
        <v>#ERROR!</v>
      </c>
      <c r="J20" s="368" t="str">
        <f>IF(G20="","",IF(G20&gt;=INDEX(Config!B:B,MATCH("Autoclave temperature minimale (C)",Config!A:A,0)),"OK","Sous-temperature"))</f>
        <v>#ERROR!</v>
      </c>
      <c r="K20" s="240"/>
    </row>
    <row r="21">
      <c r="A21" s="301"/>
      <c r="B21" s="227"/>
      <c r="C21" s="227"/>
      <c r="D21" s="227"/>
      <c r="E21" s="227"/>
      <c r="F21" s="227"/>
      <c r="G21" s="227"/>
      <c r="H21" s="227"/>
      <c r="I21" s="281" t="str">
        <f>IFERROR(H21*INDEX(Config!B:B,MATCH("Cout energie par lot (EUR)",Config!A:A,0))/60,"")</f>
        <v>#ERROR!</v>
      </c>
      <c r="J21" s="367" t="str">
        <f>IF(G21="","",IF(G21&gt;=INDEX(Config!B:B,MATCH("Autoclave temperature minimale (C)",Config!A:A,0)),"OK","Sous-temperature"))</f>
        <v>#ERROR!</v>
      </c>
      <c r="K21" s="233"/>
    </row>
    <row r="22">
      <c r="A22" s="303"/>
      <c r="B22" s="235"/>
      <c r="C22" s="235"/>
      <c r="D22" s="235"/>
      <c r="E22" s="235"/>
      <c r="F22" s="235"/>
      <c r="G22" s="235"/>
      <c r="H22" s="235"/>
      <c r="I22" s="283" t="str">
        <f>IFERROR(H22*INDEX(Config!B:B,MATCH("Cout energie par lot (EUR)",Config!A:A,0))/60,"")</f>
        <v>#ERROR!</v>
      </c>
      <c r="J22" s="368" t="str">
        <f>IF(G22="","",IF(G22&gt;=INDEX(Config!B:B,MATCH("Autoclave temperature minimale (C)",Config!A:A,0)),"OK","Sous-temperature"))</f>
        <v>#ERROR!</v>
      </c>
      <c r="K22" s="240"/>
    </row>
    <row r="23">
      <c r="A23" s="301"/>
      <c r="B23" s="227"/>
      <c r="C23" s="227"/>
      <c r="D23" s="227"/>
      <c r="E23" s="227"/>
      <c r="F23" s="227"/>
      <c r="G23" s="227"/>
      <c r="H23" s="227"/>
      <c r="I23" s="281" t="str">
        <f>IFERROR(H23*INDEX(Config!B:B,MATCH("Cout energie par lot (EUR)",Config!A:A,0))/60,"")</f>
        <v>#ERROR!</v>
      </c>
      <c r="J23" s="367" t="str">
        <f>IF(G23="","",IF(G23&gt;=INDEX(Config!B:B,MATCH("Autoclave temperature minimale (C)",Config!A:A,0)),"OK","Sous-temperature"))</f>
        <v>#ERROR!</v>
      </c>
      <c r="K23" s="233"/>
    </row>
    <row r="24">
      <c r="A24" s="303"/>
      <c r="B24" s="235"/>
      <c r="C24" s="235"/>
      <c r="D24" s="235"/>
      <c r="E24" s="235"/>
      <c r="F24" s="235"/>
      <c r="G24" s="235"/>
      <c r="H24" s="235"/>
      <c r="I24" s="283" t="str">
        <f>IFERROR(H24*INDEX(Config!B:B,MATCH("Cout energie par lot (EUR)",Config!A:A,0))/60,"")</f>
        <v>#ERROR!</v>
      </c>
      <c r="J24" s="368" t="str">
        <f>IF(G24="","",IF(G24&gt;=INDEX(Config!B:B,MATCH("Autoclave temperature minimale (C)",Config!A:A,0)),"OK","Sous-temperature"))</f>
        <v>#ERROR!</v>
      </c>
      <c r="K24" s="240"/>
    </row>
    <row r="25">
      <c r="A25" s="301"/>
      <c r="B25" s="227"/>
      <c r="C25" s="227"/>
      <c r="D25" s="227"/>
      <c r="E25" s="227"/>
      <c r="F25" s="227"/>
      <c r="G25" s="227"/>
      <c r="H25" s="227"/>
      <c r="I25" s="281" t="str">
        <f>IFERROR(H25*INDEX(Config!B:B,MATCH("Cout energie par lot (EUR)",Config!A:A,0))/60,"")</f>
        <v>#ERROR!</v>
      </c>
      <c r="J25" s="367" t="str">
        <f>IF(G25="","",IF(G25&gt;=INDEX(Config!B:B,MATCH("Autoclave temperature minimale (C)",Config!A:A,0)),"OK","Sous-temperature"))</f>
        <v>#ERROR!</v>
      </c>
      <c r="K25" s="233"/>
    </row>
    <row r="26">
      <c r="A26" s="303"/>
      <c r="B26" s="235"/>
      <c r="C26" s="235"/>
      <c r="D26" s="235"/>
      <c r="E26" s="235"/>
      <c r="F26" s="235"/>
      <c r="G26" s="235"/>
      <c r="H26" s="235"/>
      <c r="I26" s="283" t="str">
        <f>IFERROR(H26*INDEX(Config!B:B,MATCH("Cout energie par lot (EUR)",Config!A:A,0))/60,"")</f>
        <v>#ERROR!</v>
      </c>
      <c r="J26" s="368" t="str">
        <f>IF(G26="","",IF(G26&gt;=INDEX(Config!B:B,MATCH("Autoclave temperature minimale (C)",Config!A:A,0)),"OK","Sous-temperature"))</f>
        <v>#ERROR!</v>
      </c>
      <c r="K26" s="240"/>
    </row>
    <row r="27">
      <c r="A27" s="301"/>
      <c r="B27" s="227"/>
      <c r="C27" s="227"/>
      <c r="D27" s="227"/>
      <c r="E27" s="227"/>
      <c r="F27" s="227"/>
      <c r="G27" s="227"/>
      <c r="H27" s="227"/>
      <c r="I27" s="281" t="str">
        <f>IFERROR(H27*INDEX(Config!B:B,MATCH("Cout energie par lot (EUR)",Config!A:A,0))/60,"")</f>
        <v>#ERROR!</v>
      </c>
      <c r="J27" s="367" t="str">
        <f>IF(G27="","",IF(G27&gt;=INDEX(Config!B:B,MATCH("Autoclave temperature minimale (C)",Config!A:A,0)),"OK","Sous-temperature"))</f>
        <v>#ERROR!</v>
      </c>
      <c r="K27" s="233"/>
    </row>
    <row r="28">
      <c r="A28" s="303"/>
      <c r="B28" s="235"/>
      <c r="C28" s="235"/>
      <c r="D28" s="235"/>
      <c r="E28" s="235"/>
      <c r="F28" s="235"/>
      <c r="G28" s="235"/>
      <c r="H28" s="235"/>
      <c r="I28" s="283" t="str">
        <f>IFERROR(H28*INDEX(Config!B:B,MATCH("Cout energie par lot (EUR)",Config!A:A,0))/60,"")</f>
        <v>#ERROR!</v>
      </c>
      <c r="J28" s="368" t="str">
        <f>IF(G28="","",IF(G28&gt;=INDEX(Config!B:B,MATCH("Autoclave temperature minimale (C)",Config!A:A,0)),"OK","Sous-temperature"))</f>
        <v>#ERROR!</v>
      </c>
      <c r="K28" s="240"/>
    </row>
    <row r="29">
      <c r="A29" s="301"/>
      <c r="B29" s="227"/>
      <c r="C29" s="227"/>
      <c r="D29" s="227"/>
      <c r="E29" s="227"/>
      <c r="F29" s="227"/>
      <c r="G29" s="227"/>
      <c r="H29" s="227"/>
      <c r="I29" s="281" t="str">
        <f>IFERROR(H29*INDEX(Config!B:B,MATCH("Cout energie par lot (EUR)",Config!A:A,0))/60,"")</f>
        <v>#ERROR!</v>
      </c>
      <c r="J29" s="367" t="str">
        <f>IF(G29="","",IF(G29&gt;=INDEX(Config!B:B,MATCH("Autoclave temperature minimale (C)",Config!A:A,0)),"OK","Sous-temperature"))</f>
        <v>#ERROR!</v>
      </c>
      <c r="K29" s="233"/>
    </row>
    <row r="30">
      <c r="A30" s="303"/>
      <c r="B30" s="235"/>
      <c r="C30" s="235"/>
      <c r="D30" s="235"/>
      <c r="E30" s="235"/>
      <c r="F30" s="235"/>
      <c r="G30" s="235"/>
      <c r="H30" s="235"/>
      <c r="I30" s="283" t="str">
        <f>IFERROR(H30*INDEX(Config!B:B,MATCH("Cout energie par lot (EUR)",Config!A:A,0))/60,"")</f>
        <v>#ERROR!</v>
      </c>
      <c r="J30" s="368" t="str">
        <f>IF(G30="","",IF(G30&gt;=INDEX(Config!B:B,MATCH("Autoclave temperature minimale (C)",Config!A:A,0)),"OK","Sous-temperature"))</f>
        <v>#ERROR!</v>
      </c>
      <c r="K30" s="240"/>
    </row>
    <row r="31">
      <c r="A31" s="301"/>
      <c r="B31" s="227"/>
      <c r="C31" s="227"/>
      <c r="D31" s="227"/>
      <c r="E31" s="227"/>
      <c r="F31" s="227"/>
      <c r="G31" s="227"/>
      <c r="H31" s="227"/>
      <c r="I31" s="281" t="str">
        <f>IFERROR(H31*INDEX(Config!B:B,MATCH("Cout energie par lot (EUR)",Config!A:A,0))/60,"")</f>
        <v>#ERROR!</v>
      </c>
      <c r="J31" s="367" t="str">
        <f>IF(G31="","",IF(G31&gt;=INDEX(Config!B:B,MATCH("Autoclave temperature minimale (C)",Config!A:A,0)),"OK","Sous-temperature"))</f>
        <v>#ERROR!</v>
      </c>
      <c r="K31" s="233"/>
    </row>
    <row r="32">
      <c r="A32" s="303"/>
      <c r="B32" s="235"/>
      <c r="C32" s="235"/>
      <c r="D32" s="235"/>
      <c r="E32" s="235"/>
      <c r="F32" s="235"/>
      <c r="G32" s="235"/>
      <c r="H32" s="235"/>
      <c r="I32" s="283" t="str">
        <f>IFERROR(H32*INDEX(Config!B:B,MATCH("Cout energie par lot (EUR)",Config!A:A,0))/60,"")</f>
        <v>#ERROR!</v>
      </c>
      <c r="J32" s="368" t="str">
        <f>IF(G32="","",IF(G32&gt;=INDEX(Config!B:B,MATCH("Autoclave temperature minimale (C)",Config!A:A,0)),"OK","Sous-temperature"))</f>
        <v>#ERROR!</v>
      </c>
      <c r="K32" s="240"/>
    </row>
    <row r="33">
      <c r="A33" s="301"/>
      <c r="B33" s="227"/>
      <c r="C33" s="227"/>
      <c r="D33" s="227"/>
      <c r="E33" s="227"/>
      <c r="F33" s="227"/>
      <c r="G33" s="227"/>
      <c r="H33" s="227"/>
      <c r="I33" s="281" t="str">
        <f>IFERROR(H33*INDEX(Config!B:B,MATCH("Cout energie par lot (EUR)",Config!A:A,0))/60,"")</f>
        <v>#ERROR!</v>
      </c>
      <c r="J33" s="367" t="str">
        <f>IF(G33="","",IF(G33&gt;=INDEX(Config!B:B,MATCH("Autoclave temperature minimale (C)",Config!A:A,0)),"OK","Sous-temperature"))</f>
        <v>#ERROR!</v>
      </c>
      <c r="K33" s="233"/>
    </row>
    <row r="34">
      <c r="A34" s="303"/>
      <c r="B34" s="235"/>
      <c r="C34" s="235"/>
      <c r="D34" s="235"/>
      <c r="E34" s="235"/>
      <c r="F34" s="235"/>
      <c r="G34" s="235"/>
      <c r="H34" s="235"/>
      <c r="I34" s="283" t="str">
        <f>IFERROR(H34*INDEX(Config!B:B,MATCH("Cout energie par lot (EUR)",Config!A:A,0))/60,"")</f>
        <v>#ERROR!</v>
      </c>
      <c r="J34" s="368" t="str">
        <f>IF(G34="","",IF(G34&gt;=INDEX(Config!B:B,MATCH("Autoclave temperature minimale (C)",Config!A:A,0)),"OK","Sous-temperature"))</f>
        <v>#ERROR!</v>
      </c>
      <c r="K34" s="240"/>
    </row>
    <row r="35">
      <c r="A35" s="301"/>
      <c r="B35" s="227"/>
      <c r="C35" s="227"/>
      <c r="D35" s="227"/>
      <c r="E35" s="227"/>
      <c r="F35" s="227"/>
      <c r="G35" s="227"/>
      <c r="H35" s="227"/>
      <c r="I35" s="281" t="str">
        <f>IFERROR(H35*INDEX(Config!B:B,MATCH("Cout energie par lot (EUR)",Config!A:A,0))/60,"")</f>
        <v>#ERROR!</v>
      </c>
      <c r="J35" s="367" t="str">
        <f>IF(G35="","",IF(G35&gt;=INDEX(Config!B:B,MATCH("Autoclave temperature minimale (C)",Config!A:A,0)),"OK","Sous-temperature"))</f>
        <v>#ERROR!</v>
      </c>
      <c r="K35" s="233"/>
    </row>
    <row r="36">
      <c r="A36" s="303"/>
      <c r="B36" s="235"/>
      <c r="C36" s="235"/>
      <c r="D36" s="235"/>
      <c r="E36" s="235"/>
      <c r="F36" s="235"/>
      <c r="G36" s="235"/>
      <c r="H36" s="235"/>
      <c r="I36" s="283" t="str">
        <f>IFERROR(H36*INDEX(Config!B:B,MATCH("Cout energie par lot (EUR)",Config!A:A,0))/60,"")</f>
        <v>#ERROR!</v>
      </c>
      <c r="J36" s="368" t="str">
        <f>IF(G36="","",IF(G36&gt;=INDEX(Config!B:B,MATCH("Autoclave temperature minimale (C)",Config!A:A,0)),"OK","Sous-temperature"))</f>
        <v>#ERROR!</v>
      </c>
      <c r="K36" s="240"/>
    </row>
    <row r="37">
      <c r="A37" s="301"/>
      <c r="B37" s="227"/>
      <c r="C37" s="227"/>
      <c r="D37" s="227"/>
      <c r="E37" s="227"/>
      <c r="F37" s="227"/>
      <c r="G37" s="227"/>
      <c r="H37" s="227"/>
      <c r="I37" s="281" t="str">
        <f>IFERROR(H37*INDEX(Config!B:B,MATCH("Cout energie par lot (EUR)",Config!A:A,0))/60,"")</f>
        <v>#ERROR!</v>
      </c>
      <c r="J37" s="367" t="str">
        <f>IF(G37="","",IF(G37&gt;=INDEX(Config!B:B,MATCH("Autoclave temperature minimale (C)",Config!A:A,0)),"OK","Sous-temperature"))</f>
        <v>#ERROR!</v>
      </c>
      <c r="K37" s="233"/>
    </row>
    <row r="38">
      <c r="A38" s="303"/>
      <c r="B38" s="235"/>
      <c r="C38" s="235"/>
      <c r="D38" s="235"/>
      <c r="E38" s="235"/>
      <c r="F38" s="235"/>
      <c r="G38" s="235"/>
      <c r="H38" s="235"/>
      <c r="I38" s="283" t="str">
        <f>IFERROR(H38*INDEX(Config!B:B,MATCH("Cout energie par lot (EUR)",Config!A:A,0))/60,"")</f>
        <v>#ERROR!</v>
      </c>
      <c r="J38" s="368" t="str">
        <f>IF(G38="","",IF(G38&gt;=INDEX(Config!B:B,MATCH("Autoclave temperature minimale (C)",Config!A:A,0)),"OK","Sous-temperature"))</f>
        <v>#ERROR!</v>
      </c>
      <c r="K38" s="240"/>
    </row>
    <row r="39">
      <c r="A39" s="301"/>
      <c r="B39" s="227"/>
      <c r="C39" s="227"/>
      <c r="D39" s="227"/>
      <c r="E39" s="227"/>
      <c r="F39" s="227"/>
      <c r="G39" s="227"/>
      <c r="H39" s="227"/>
      <c r="I39" s="281" t="str">
        <f>IFERROR(H39*INDEX(Config!B:B,MATCH("Cout energie par lot (EUR)",Config!A:A,0))/60,"")</f>
        <v>#ERROR!</v>
      </c>
      <c r="J39" s="367" t="str">
        <f>IF(G39="","",IF(G39&gt;=INDEX(Config!B:B,MATCH("Autoclave temperature minimale (C)",Config!A:A,0)),"OK","Sous-temperature"))</f>
        <v>#ERROR!</v>
      </c>
      <c r="K39" s="233"/>
    </row>
    <row r="40">
      <c r="A40" s="303"/>
      <c r="B40" s="235"/>
      <c r="C40" s="235"/>
      <c r="D40" s="235"/>
      <c r="E40" s="235"/>
      <c r="F40" s="235"/>
      <c r="G40" s="235"/>
      <c r="H40" s="235"/>
      <c r="I40" s="283" t="str">
        <f>IFERROR(H40*INDEX(Config!B:B,MATCH("Cout energie par lot (EUR)",Config!A:A,0))/60,"")</f>
        <v>#ERROR!</v>
      </c>
      <c r="J40" s="368" t="str">
        <f>IF(G40="","",IF(G40&gt;=INDEX(Config!B:B,MATCH("Autoclave temperature minimale (C)",Config!A:A,0)),"OK","Sous-temperature"))</f>
        <v>#ERROR!</v>
      </c>
      <c r="K40" s="240"/>
    </row>
    <row r="41">
      <c r="A41" s="301"/>
      <c r="B41" s="227"/>
      <c r="C41" s="227"/>
      <c r="D41" s="227"/>
      <c r="E41" s="227"/>
      <c r="F41" s="227"/>
      <c r="G41" s="227"/>
      <c r="H41" s="227"/>
      <c r="I41" s="281" t="str">
        <f>IFERROR(H41*INDEX(Config!B:B,MATCH("Cout energie par lot (EUR)",Config!A:A,0))/60,"")</f>
        <v>#ERROR!</v>
      </c>
      <c r="J41" s="367" t="str">
        <f>IF(G41="","",IF(G41&gt;=INDEX(Config!B:B,MATCH("Autoclave temperature minimale (C)",Config!A:A,0)),"OK","Sous-temperature"))</f>
        <v>#ERROR!</v>
      </c>
      <c r="K41" s="233"/>
    </row>
    <row r="42">
      <c r="A42" s="303"/>
      <c r="B42" s="235"/>
      <c r="C42" s="235"/>
      <c r="D42" s="235"/>
      <c r="E42" s="235"/>
      <c r="F42" s="235"/>
      <c r="G42" s="235"/>
      <c r="H42" s="235"/>
      <c r="I42" s="283" t="str">
        <f>IFERROR(H42*INDEX(Config!B:B,MATCH("Cout energie par lot (EUR)",Config!A:A,0))/60,"")</f>
        <v>#ERROR!</v>
      </c>
      <c r="J42" s="368" t="str">
        <f>IF(G42="","",IF(G42&gt;=INDEX(Config!B:B,MATCH("Autoclave temperature minimale (C)",Config!A:A,0)),"OK","Sous-temperature"))</f>
        <v>#ERROR!</v>
      </c>
      <c r="K42" s="240"/>
    </row>
    <row r="43">
      <c r="A43" s="301"/>
      <c r="B43" s="227"/>
      <c r="C43" s="227"/>
      <c r="D43" s="227"/>
      <c r="E43" s="227"/>
      <c r="F43" s="227"/>
      <c r="G43" s="227"/>
      <c r="H43" s="227"/>
      <c r="I43" s="281" t="str">
        <f>IFERROR(H43*INDEX(Config!B:B,MATCH("Cout energie par lot (EUR)",Config!A:A,0))/60,"")</f>
        <v>#ERROR!</v>
      </c>
      <c r="J43" s="367" t="str">
        <f>IF(G43="","",IF(G43&gt;=INDEX(Config!B:B,MATCH("Autoclave temperature minimale (C)",Config!A:A,0)),"OK","Sous-temperature"))</f>
        <v>#ERROR!</v>
      </c>
      <c r="K43" s="233"/>
    </row>
    <row r="44">
      <c r="A44" s="303"/>
      <c r="B44" s="235"/>
      <c r="C44" s="235"/>
      <c r="D44" s="235"/>
      <c r="E44" s="235"/>
      <c r="F44" s="235"/>
      <c r="G44" s="235"/>
      <c r="H44" s="235"/>
      <c r="I44" s="283" t="str">
        <f>IFERROR(H44*INDEX(Config!B:B,MATCH("Cout energie par lot (EUR)",Config!A:A,0))/60,"")</f>
        <v>#ERROR!</v>
      </c>
      <c r="J44" s="368" t="str">
        <f>IF(G44="","",IF(G44&gt;=INDEX(Config!B:B,MATCH("Autoclave temperature minimale (C)",Config!A:A,0)),"OK","Sous-temperature"))</f>
        <v>#ERROR!</v>
      </c>
      <c r="K44" s="240"/>
    </row>
    <row r="45">
      <c r="A45" s="301"/>
      <c r="B45" s="227"/>
      <c r="C45" s="227"/>
      <c r="D45" s="227"/>
      <c r="E45" s="227"/>
      <c r="F45" s="227"/>
      <c r="G45" s="227"/>
      <c r="H45" s="227"/>
      <c r="I45" s="281" t="str">
        <f>IFERROR(H45*INDEX(Config!B:B,MATCH("Cout energie par lot (EUR)",Config!A:A,0))/60,"")</f>
        <v>#ERROR!</v>
      </c>
      <c r="J45" s="367" t="str">
        <f>IF(G45="","",IF(G45&gt;=INDEX(Config!B:B,MATCH("Autoclave temperature minimale (C)",Config!A:A,0)),"OK","Sous-temperature"))</f>
        <v>#ERROR!</v>
      </c>
      <c r="K45" s="233"/>
    </row>
    <row r="46">
      <c r="A46" s="303"/>
      <c r="B46" s="235"/>
      <c r="C46" s="235"/>
      <c r="D46" s="235"/>
      <c r="E46" s="235"/>
      <c r="F46" s="235"/>
      <c r="G46" s="235"/>
      <c r="H46" s="235"/>
      <c r="I46" s="283" t="str">
        <f>IFERROR(H46*INDEX(Config!B:B,MATCH("Cout energie par lot (EUR)",Config!A:A,0))/60,"")</f>
        <v>#ERROR!</v>
      </c>
      <c r="J46" s="368" t="str">
        <f>IF(G46="","",IF(G46&gt;=INDEX(Config!B:B,MATCH("Autoclave temperature minimale (C)",Config!A:A,0)),"OK","Sous-temperature"))</f>
        <v>#ERROR!</v>
      </c>
      <c r="K46" s="240"/>
    </row>
    <row r="47">
      <c r="A47" s="301"/>
      <c r="B47" s="227"/>
      <c r="C47" s="227"/>
      <c r="D47" s="227"/>
      <c r="E47" s="227"/>
      <c r="F47" s="227"/>
      <c r="G47" s="227"/>
      <c r="H47" s="227"/>
      <c r="I47" s="281" t="str">
        <f>IFERROR(H47*INDEX(Config!B:B,MATCH("Cout energie par lot (EUR)",Config!A:A,0))/60,"")</f>
        <v>#ERROR!</v>
      </c>
      <c r="J47" s="367" t="str">
        <f>IF(G47="","",IF(G47&gt;=INDEX(Config!B:B,MATCH("Autoclave temperature minimale (C)",Config!A:A,0)),"OK","Sous-temperature"))</f>
        <v>#ERROR!</v>
      </c>
      <c r="K47" s="233"/>
    </row>
    <row r="48">
      <c r="A48" s="303"/>
      <c r="B48" s="235"/>
      <c r="C48" s="235"/>
      <c r="D48" s="235"/>
      <c r="E48" s="235"/>
      <c r="F48" s="235"/>
      <c r="G48" s="235"/>
      <c r="H48" s="235"/>
      <c r="I48" s="283" t="str">
        <f>IFERROR(H48*INDEX(Config!B:B,MATCH("Cout energie par lot (EUR)",Config!A:A,0))/60,"")</f>
        <v>#ERROR!</v>
      </c>
      <c r="J48" s="368" t="str">
        <f>IF(G48="","",IF(G48&gt;=INDEX(Config!B:B,MATCH("Autoclave temperature minimale (C)",Config!A:A,0)),"OK","Sous-temperature"))</f>
        <v>#ERROR!</v>
      </c>
      <c r="K48" s="240"/>
    </row>
    <row r="49">
      <c r="A49" s="301"/>
      <c r="B49" s="227"/>
      <c r="C49" s="227"/>
      <c r="D49" s="227"/>
      <c r="E49" s="227"/>
      <c r="F49" s="227"/>
      <c r="G49" s="227"/>
      <c r="H49" s="227"/>
      <c r="I49" s="281" t="str">
        <f>IFERROR(H49*INDEX(Config!B:B,MATCH("Cout energie par lot (EUR)",Config!A:A,0))/60,"")</f>
        <v>#ERROR!</v>
      </c>
      <c r="J49" s="367" t="str">
        <f>IF(G49="","",IF(G49&gt;=INDEX(Config!B:B,MATCH("Autoclave temperature minimale (C)",Config!A:A,0)),"OK","Sous-temperature"))</f>
        <v>#ERROR!</v>
      </c>
      <c r="K49" s="233"/>
    </row>
    <row r="50">
      <c r="A50" s="303"/>
      <c r="B50" s="235"/>
      <c r="C50" s="235"/>
      <c r="D50" s="235"/>
      <c r="E50" s="235"/>
      <c r="F50" s="235"/>
      <c r="G50" s="235"/>
      <c r="H50" s="235"/>
      <c r="I50" s="283" t="str">
        <f>IFERROR(H50*INDEX(Config!B:B,MATCH("Cout energie par lot (EUR)",Config!A:A,0))/60,"")</f>
        <v>#ERROR!</v>
      </c>
      <c r="J50" s="368" t="str">
        <f>IF(G50="","",IF(G50&gt;=INDEX(Config!B:B,MATCH("Autoclave temperature minimale (C)",Config!A:A,0)),"OK","Sous-temperature"))</f>
        <v>#ERROR!</v>
      </c>
      <c r="K50" s="240"/>
    </row>
    <row r="51">
      <c r="A51" s="301"/>
      <c r="B51" s="227"/>
      <c r="C51" s="227"/>
      <c r="D51" s="227"/>
      <c r="E51" s="227"/>
      <c r="F51" s="227"/>
      <c r="G51" s="227"/>
      <c r="H51" s="227"/>
      <c r="I51" s="281" t="str">
        <f>IFERROR(H51*INDEX(Config!B:B,MATCH("Cout energie par lot (EUR)",Config!A:A,0))/60,"")</f>
        <v>#ERROR!</v>
      </c>
      <c r="J51" s="367" t="str">
        <f>IF(G51="","",IF(G51&gt;=INDEX(Config!B:B,MATCH("Autoclave temperature minimale (C)",Config!A:A,0)),"OK","Sous-temperature"))</f>
        <v>#ERROR!</v>
      </c>
      <c r="K51" s="233"/>
    </row>
    <row r="52">
      <c r="A52" s="303"/>
      <c r="B52" s="235"/>
      <c r="C52" s="235"/>
      <c r="D52" s="235"/>
      <c r="E52" s="235"/>
      <c r="F52" s="235"/>
      <c r="G52" s="235"/>
      <c r="H52" s="235"/>
      <c r="I52" s="283" t="str">
        <f>IFERROR(H52*INDEX(Config!B:B,MATCH("Cout energie par lot (EUR)",Config!A:A,0))/60,"")</f>
        <v>#ERROR!</v>
      </c>
      <c r="J52" s="368" t="str">
        <f>IF(G52="","",IF(G52&gt;=INDEX(Config!B:B,MATCH("Autoclave temperature minimale (C)",Config!A:A,0)),"OK","Sous-temperature"))</f>
        <v>#ERROR!</v>
      </c>
      <c r="K52" s="240"/>
    </row>
    <row r="53">
      <c r="A53" s="301"/>
      <c r="B53" s="227"/>
      <c r="C53" s="227"/>
      <c r="D53" s="227"/>
      <c r="E53" s="227"/>
      <c r="F53" s="227"/>
      <c r="G53" s="227"/>
      <c r="H53" s="227"/>
      <c r="I53" s="281" t="str">
        <f>IFERROR(H53*INDEX(Config!B:B,MATCH("Cout energie par lot (EUR)",Config!A:A,0))/60,"")</f>
        <v>#ERROR!</v>
      </c>
      <c r="J53" s="367" t="str">
        <f>IF(G53="","",IF(G53&gt;=INDEX(Config!B:B,MATCH("Autoclave temperature minimale (C)",Config!A:A,0)),"OK","Sous-temperature"))</f>
        <v>#ERROR!</v>
      </c>
      <c r="K53" s="233"/>
    </row>
    <row r="54">
      <c r="A54" s="303"/>
      <c r="B54" s="235"/>
      <c r="C54" s="235"/>
      <c r="D54" s="235"/>
      <c r="E54" s="235"/>
      <c r="F54" s="235"/>
      <c r="G54" s="235"/>
      <c r="H54" s="235"/>
      <c r="I54" s="283" t="str">
        <f>IFERROR(H54*INDEX(Config!B:B,MATCH("Cout energie par lot (EUR)",Config!A:A,0))/60,"")</f>
        <v>#ERROR!</v>
      </c>
      <c r="J54" s="368" t="str">
        <f>IF(G54="","",IF(G54&gt;=INDEX(Config!B:B,MATCH("Autoclave temperature minimale (C)",Config!A:A,0)),"OK","Sous-temperature"))</f>
        <v>#ERROR!</v>
      </c>
      <c r="K54" s="240"/>
    </row>
    <row r="55">
      <c r="A55" s="301"/>
      <c r="B55" s="227"/>
      <c r="C55" s="227"/>
      <c r="D55" s="227"/>
      <c r="E55" s="227"/>
      <c r="F55" s="227"/>
      <c r="G55" s="227"/>
      <c r="H55" s="227"/>
      <c r="I55" s="281" t="str">
        <f>IFERROR(H55*INDEX(Config!B:B,MATCH("Cout energie par lot (EUR)",Config!A:A,0))/60,"")</f>
        <v>#ERROR!</v>
      </c>
      <c r="J55" s="367" t="str">
        <f>IF(G55="","",IF(G55&gt;=INDEX(Config!B:B,MATCH("Autoclave temperature minimale (C)",Config!A:A,0)),"OK","Sous-temperature"))</f>
        <v>#ERROR!</v>
      </c>
      <c r="K55" s="233"/>
    </row>
    <row r="56">
      <c r="A56" s="303"/>
      <c r="B56" s="235"/>
      <c r="C56" s="235"/>
      <c r="D56" s="235"/>
      <c r="E56" s="235"/>
      <c r="F56" s="235"/>
      <c r="G56" s="235"/>
      <c r="H56" s="235"/>
      <c r="I56" s="283" t="str">
        <f>IFERROR(H56*INDEX(Config!B:B,MATCH("Cout energie par lot (EUR)",Config!A:A,0))/60,"")</f>
        <v>#ERROR!</v>
      </c>
      <c r="J56" s="368" t="str">
        <f>IF(G56="","",IF(G56&gt;=INDEX(Config!B:B,MATCH("Autoclave temperature minimale (C)",Config!A:A,0)),"OK","Sous-temperature"))</f>
        <v>#ERROR!</v>
      </c>
      <c r="K56" s="240"/>
    </row>
    <row r="57">
      <c r="A57" s="301"/>
      <c r="B57" s="227"/>
      <c r="C57" s="227"/>
      <c r="D57" s="227"/>
      <c r="E57" s="227"/>
      <c r="F57" s="227"/>
      <c r="G57" s="227"/>
      <c r="H57" s="227"/>
      <c r="I57" s="281" t="str">
        <f>IFERROR(H57*INDEX(Config!B:B,MATCH("Cout energie par lot (EUR)",Config!A:A,0))/60,"")</f>
        <v>#ERROR!</v>
      </c>
      <c r="J57" s="367" t="str">
        <f>IF(G57="","",IF(G57&gt;=INDEX(Config!B:B,MATCH("Autoclave temperature minimale (C)",Config!A:A,0)),"OK","Sous-temperature"))</f>
        <v>#ERROR!</v>
      </c>
      <c r="K57" s="233"/>
    </row>
    <row r="58">
      <c r="A58" s="303"/>
      <c r="B58" s="235"/>
      <c r="C58" s="235"/>
      <c r="D58" s="235"/>
      <c r="E58" s="235"/>
      <c r="F58" s="235"/>
      <c r="G58" s="235"/>
      <c r="H58" s="235"/>
      <c r="I58" s="283" t="str">
        <f>IFERROR(H58*INDEX(Config!B:B,MATCH("Cout energie par lot (EUR)",Config!A:A,0))/60,"")</f>
        <v>#ERROR!</v>
      </c>
      <c r="J58" s="368" t="str">
        <f>IF(G58="","",IF(G58&gt;=INDEX(Config!B:B,MATCH("Autoclave temperature minimale (C)",Config!A:A,0)),"OK","Sous-temperature"))</f>
        <v>#ERROR!</v>
      </c>
      <c r="K58" s="240"/>
    </row>
    <row r="59">
      <c r="A59" s="301"/>
      <c r="B59" s="227"/>
      <c r="C59" s="227"/>
      <c r="D59" s="227"/>
      <c r="E59" s="227"/>
      <c r="F59" s="227"/>
      <c r="G59" s="227"/>
      <c r="H59" s="227"/>
      <c r="I59" s="281" t="str">
        <f>IFERROR(H59*INDEX(Config!B:B,MATCH("Cout energie par lot (EUR)",Config!A:A,0))/60,"")</f>
        <v>#ERROR!</v>
      </c>
      <c r="J59" s="367" t="str">
        <f>IF(G59="","",IF(G59&gt;=INDEX(Config!B:B,MATCH("Autoclave temperature minimale (C)",Config!A:A,0)),"OK","Sous-temperature"))</f>
        <v>#ERROR!</v>
      </c>
      <c r="K59" s="233"/>
    </row>
    <row r="60">
      <c r="A60" s="303"/>
      <c r="B60" s="235"/>
      <c r="C60" s="235"/>
      <c r="D60" s="235"/>
      <c r="E60" s="235"/>
      <c r="F60" s="235"/>
      <c r="G60" s="235"/>
      <c r="H60" s="235"/>
      <c r="I60" s="283" t="str">
        <f>IFERROR(H60*INDEX(Config!B:B,MATCH("Cout energie par lot (EUR)",Config!A:A,0))/60,"")</f>
        <v>#ERROR!</v>
      </c>
      <c r="J60" s="368" t="str">
        <f>IF(G60="","",IF(G60&gt;=INDEX(Config!B:B,MATCH("Autoclave temperature minimale (C)",Config!A:A,0)),"OK","Sous-temperature"))</f>
        <v>#ERROR!</v>
      </c>
      <c r="K60" s="240"/>
    </row>
    <row r="61">
      <c r="A61" s="301"/>
      <c r="B61" s="227"/>
      <c r="C61" s="227"/>
      <c r="D61" s="227"/>
      <c r="E61" s="227"/>
      <c r="F61" s="227"/>
      <c r="G61" s="227"/>
      <c r="H61" s="227"/>
      <c r="I61" s="281" t="str">
        <f>IFERROR(H61*INDEX(Config!B:B,MATCH("Cout energie par lot (EUR)",Config!A:A,0))/60,"")</f>
        <v>#ERROR!</v>
      </c>
      <c r="J61" s="367" t="str">
        <f>IF(G61="","",IF(G61&gt;=INDEX(Config!B:B,MATCH("Autoclave temperature minimale (C)",Config!A:A,0)),"OK","Sous-temperature"))</f>
        <v>#ERROR!</v>
      </c>
      <c r="K61" s="233"/>
    </row>
    <row r="62">
      <c r="A62" s="303"/>
      <c r="B62" s="235"/>
      <c r="C62" s="235"/>
      <c r="D62" s="235"/>
      <c r="E62" s="235"/>
      <c r="F62" s="235"/>
      <c r="G62" s="235"/>
      <c r="H62" s="235"/>
      <c r="I62" s="283" t="str">
        <f>IFERROR(H62*INDEX(Config!B:B,MATCH("Cout energie par lot (EUR)",Config!A:A,0))/60,"")</f>
        <v>#ERROR!</v>
      </c>
      <c r="J62" s="368" t="str">
        <f>IF(G62="","",IF(G62&gt;=INDEX(Config!B:B,MATCH("Autoclave temperature minimale (C)",Config!A:A,0)),"OK","Sous-temperature"))</f>
        <v>#ERROR!</v>
      </c>
      <c r="K62" s="240"/>
    </row>
    <row r="63">
      <c r="A63" s="301"/>
      <c r="B63" s="227"/>
      <c r="C63" s="227"/>
      <c r="D63" s="227"/>
      <c r="E63" s="227"/>
      <c r="F63" s="227"/>
      <c r="G63" s="227"/>
      <c r="H63" s="227"/>
      <c r="I63" s="281" t="str">
        <f>IFERROR(H63*INDEX(Config!B:B,MATCH("Cout energie par lot (EUR)",Config!A:A,0))/60,"")</f>
        <v>#ERROR!</v>
      </c>
      <c r="J63" s="367" t="str">
        <f>IF(G63="","",IF(G63&gt;=INDEX(Config!B:B,MATCH("Autoclave temperature minimale (C)",Config!A:A,0)),"OK","Sous-temperature"))</f>
        <v>#ERROR!</v>
      </c>
      <c r="K63" s="233"/>
    </row>
    <row r="64">
      <c r="A64" s="303"/>
      <c r="B64" s="235"/>
      <c r="C64" s="235"/>
      <c r="D64" s="235"/>
      <c r="E64" s="235"/>
      <c r="F64" s="235"/>
      <c r="G64" s="235"/>
      <c r="H64" s="235"/>
      <c r="I64" s="283" t="str">
        <f>IFERROR(H64*INDEX(Config!B:B,MATCH("Cout energie par lot (EUR)",Config!A:A,0))/60,"")</f>
        <v>#ERROR!</v>
      </c>
      <c r="J64" s="368" t="str">
        <f>IF(G64="","",IF(G64&gt;=INDEX(Config!B:B,MATCH("Autoclave temperature minimale (C)",Config!A:A,0)),"OK","Sous-temperature"))</f>
        <v>#ERROR!</v>
      </c>
      <c r="K64" s="240"/>
    </row>
    <row r="65">
      <c r="A65" s="301"/>
      <c r="B65" s="227"/>
      <c r="C65" s="227"/>
      <c r="D65" s="227"/>
      <c r="E65" s="227"/>
      <c r="F65" s="227"/>
      <c r="G65" s="227"/>
      <c r="H65" s="227"/>
      <c r="I65" s="281" t="str">
        <f>IFERROR(H65*INDEX(Config!B:B,MATCH("Cout energie par lot (EUR)",Config!A:A,0))/60,"")</f>
        <v>#ERROR!</v>
      </c>
      <c r="J65" s="367" t="str">
        <f>IF(G65="","",IF(G65&gt;=INDEX(Config!B:B,MATCH("Autoclave temperature minimale (C)",Config!A:A,0)),"OK","Sous-temperature"))</f>
        <v>#ERROR!</v>
      </c>
      <c r="K65" s="233"/>
    </row>
    <row r="66">
      <c r="A66" s="303"/>
      <c r="B66" s="235"/>
      <c r="C66" s="235"/>
      <c r="D66" s="235"/>
      <c r="E66" s="235"/>
      <c r="F66" s="235"/>
      <c r="G66" s="235"/>
      <c r="H66" s="235"/>
      <c r="I66" s="283" t="str">
        <f>IFERROR(H66*INDEX(Config!B:B,MATCH("Cout energie par lot (EUR)",Config!A:A,0))/60,"")</f>
        <v>#ERROR!</v>
      </c>
      <c r="J66" s="368" t="str">
        <f>IF(G66="","",IF(G66&gt;=INDEX(Config!B:B,MATCH("Autoclave temperature minimale (C)",Config!A:A,0)),"OK","Sous-temperature"))</f>
        <v>#ERROR!</v>
      </c>
      <c r="K66" s="240"/>
    </row>
    <row r="67">
      <c r="A67" s="301"/>
      <c r="B67" s="227"/>
      <c r="C67" s="227"/>
      <c r="D67" s="227"/>
      <c r="E67" s="227"/>
      <c r="F67" s="227"/>
      <c r="G67" s="227"/>
      <c r="H67" s="227"/>
      <c r="I67" s="281" t="str">
        <f>IFERROR(H67*INDEX(Config!B:B,MATCH("Cout energie par lot (EUR)",Config!A:A,0))/60,"")</f>
        <v>#ERROR!</v>
      </c>
      <c r="J67" s="367" t="str">
        <f>IF(G67="","",IF(G67&gt;=INDEX(Config!B:B,MATCH("Autoclave temperature minimale (C)",Config!A:A,0)),"OK","Sous-temperature"))</f>
        <v>#ERROR!</v>
      </c>
      <c r="K67" s="233"/>
    </row>
    <row r="68">
      <c r="A68" s="303"/>
      <c r="B68" s="235"/>
      <c r="C68" s="235"/>
      <c r="D68" s="235"/>
      <c r="E68" s="235"/>
      <c r="F68" s="235"/>
      <c r="G68" s="235"/>
      <c r="H68" s="235"/>
      <c r="I68" s="283" t="str">
        <f>IFERROR(H68*INDEX(Config!B:B,MATCH("Cout energie par lot (EUR)",Config!A:A,0))/60,"")</f>
        <v>#ERROR!</v>
      </c>
      <c r="J68" s="368" t="str">
        <f>IF(G68="","",IF(G68&gt;=INDEX(Config!B:B,MATCH("Autoclave temperature minimale (C)",Config!A:A,0)),"OK","Sous-temperature"))</f>
        <v>#ERROR!</v>
      </c>
      <c r="K68" s="240"/>
    </row>
    <row r="69">
      <c r="A69" s="301"/>
      <c r="B69" s="227"/>
      <c r="C69" s="227"/>
      <c r="D69" s="227"/>
      <c r="E69" s="227"/>
      <c r="F69" s="227"/>
      <c r="G69" s="227"/>
      <c r="H69" s="227"/>
      <c r="I69" s="281" t="str">
        <f>IFERROR(H69*INDEX(Config!B:B,MATCH("Cout energie par lot (EUR)",Config!A:A,0))/60,"")</f>
        <v>#ERROR!</v>
      </c>
      <c r="J69" s="367" t="str">
        <f>IF(G69="","",IF(G69&gt;=INDEX(Config!B:B,MATCH("Autoclave temperature minimale (C)",Config!A:A,0)),"OK","Sous-temperature"))</f>
        <v>#ERROR!</v>
      </c>
      <c r="K69" s="233"/>
    </row>
    <row r="70">
      <c r="A70" s="303"/>
      <c r="B70" s="235"/>
      <c r="C70" s="235"/>
      <c r="D70" s="235"/>
      <c r="E70" s="235"/>
      <c r="F70" s="235"/>
      <c r="G70" s="235"/>
      <c r="H70" s="235"/>
      <c r="I70" s="283" t="str">
        <f>IFERROR(H70*INDEX(Config!B:B,MATCH("Cout energie par lot (EUR)",Config!A:A,0))/60,"")</f>
        <v>#ERROR!</v>
      </c>
      <c r="J70" s="368" t="str">
        <f>IF(G70="","",IF(G70&gt;=INDEX(Config!B:B,MATCH("Autoclave temperature minimale (C)",Config!A:A,0)),"OK","Sous-temperature"))</f>
        <v>#ERROR!</v>
      </c>
      <c r="K70" s="240"/>
    </row>
    <row r="71">
      <c r="A71" s="301"/>
      <c r="B71" s="227"/>
      <c r="C71" s="227"/>
      <c r="D71" s="227"/>
      <c r="E71" s="227"/>
      <c r="F71" s="227"/>
      <c r="G71" s="227"/>
      <c r="H71" s="227"/>
      <c r="I71" s="281" t="str">
        <f>IFERROR(H71*INDEX(Config!B:B,MATCH("Cout energie par lot (EUR)",Config!A:A,0))/60,"")</f>
        <v>#ERROR!</v>
      </c>
      <c r="J71" s="367" t="str">
        <f>IF(G71="","",IF(G71&gt;=INDEX(Config!B:B,MATCH("Autoclave temperature minimale (C)",Config!A:A,0)),"OK","Sous-temperature"))</f>
        <v>#ERROR!</v>
      </c>
      <c r="K71" s="233"/>
    </row>
    <row r="72">
      <c r="A72" s="303"/>
      <c r="B72" s="235"/>
      <c r="C72" s="235"/>
      <c r="D72" s="235"/>
      <c r="E72" s="235"/>
      <c r="F72" s="235"/>
      <c r="G72" s="235"/>
      <c r="H72" s="235"/>
      <c r="I72" s="283" t="str">
        <f>IFERROR(H72*INDEX(Config!B:B,MATCH("Cout energie par lot (EUR)",Config!A:A,0))/60,"")</f>
        <v>#ERROR!</v>
      </c>
      <c r="J72" s="368" t="str">
        <f>IF(G72="","",IF(G72&gt;=INDEX(Config!B:B,MATCH("Autoclave temperature minimale (C)",Config!A:A,0)),"OK","Sous-temperature"))</f>
        <v>#ERROR!</v>
      </c>
      <c r="K72" s="240"/>
    </row>
    <row r="73">
      <c r="A73" s="301"/>
      <c r="B73" s="227"/>
      <c r="C73" s="227"/>
      <c r="D73" s="227"/>
      <c r="E73" s="227"/>
      <c r="F73" s="227"/>
      <c r="G73" s="227"/>
      <c r="H73" s="227"/>
      <c r="I73" s="281" t="str">
        <f>IFERROR(H73*INDEX(Config!B:B,MATCH("Cout energie par lot (EUR)",Config!A:A,0))/60,"")</f>
        <v>#ERROR!</v>
      </c>
      <c r="J73" s="367" t="str">
        <f>IF(G73="","",IF(G73&gt;=INDEX(Config!B:B,MATCH("Autoclave temperature minimale (C)",Config!A:A,0)),"OK","Sous-temperature"))</f>
        <v>#ERROR!</v>
      </c>
      <c r="K73" s="233"/>
    </row>
    <row r="74">
      <c r="A74" s="303"/>
      <c r="B74" s="235"/>
      <c r="C74" s="235"/>
      <c r="D74" s="235"/>
      <c r="E74" s="235"/>
      <c r="F74" s="235"/>
      <c r="G74" s="235"/>
      <c r="H74" s="235"/>
      <c r="I74" s="283" t="str">
        <f>IFERROR(H74*INDEX(Config!B:B,MATCH("Cout energie par lot (EUR)",Config!A:A,0))/60,"")</f>
        <v>#ERROR!</v>
      </c>
      <c r="J74" s="368" t="str">
        <f>IF(G74="","",IF(G74&gt;=INDEX(Config!B:B,MATCH("Autoclave temperature minimale (C)",Config!A:A,0)),"OK","Sous-temperature"))</f>
        <v>#ERROR!</v>
      </c>
      <c r="K74" s="240"/>
    </row>
    <row r="75">
      <c r="A75" s="301"/>
      <c r="B75" s="227"/>
      <c r="C75" s="227"/>
      <c r="D75" s="227"/>
      <c r="E75" s="227"/>
      <c r="F75" s="227"/>
      <c r="G75" s="227"/>
      <c r="H75" s="227"/>
      <c r="I75" s="281" t="str">
        <f>IFERROR(H75*INDEX(Config!B:B,MATCH("Cout energie par lot (EUR)",Config!A:A,0))/60,"")</f>
        <v>#ERROR!</v>
      </c>
      <c r="J75" s="367" t="str">
        <f>IF(G75="","",IF(G75&gt;=INDEX(Config!B:B,MATCH("Autoclave temperature minimale (C)",Config!A:A,0)),"OK","Sous-temperature"))</f>
        <v>#ERROR!</v>
      </c>
      <c r="K75" s="233"/>
    </row>
    <row r="76">
      <c r="A76" s="303"/>
      <c r="B76" s="235"/>
      <c r="C76" s="235"/>
      <c r="D76" s="235"/>
      <c r="E76" s="235"/>
      <c r="F76" s="235"/>
      <c r="G76" s="235"/>
      <c r="H76" s="235"/>
      <c r="I76" s="283" t="str">
        <f>IFERROR(H76*INDEX(Config!B:B,MATCH("Cout energie par lot (EUR)",Config!A:A,0))/60,"")</f>
        <v>#ERROR!</v>
      </c>
      <c r="J76" s="368" t="str">
        <f>IF(G76="","",IF(G76&gt;=INDEX(Config!B:B,MATCH("Autoclave temperature minimale (C)",Config!A:A,0)),"OK","Sous-temperature"))</f>
        <v>#ERROR!</v>
      </c>
      <c r="K76" s="240"/>
    </row>
    <row r="77">
      <c r="A77" s="301"/>
      <c r="B77" s="227"/>
      <c r="C77" s="227"/>
      <c r="D77" s="227"/>
      <c r="E77" s="227"/>
      <c r="F77" s="227"/>
      <c r="G77" s="227"/>
      <c r="H77" s="227"/>
      <c r="I77" s="281" t="str">
        <f>IFERROR(H77*INDEX(Config!B:B,MATCH("Cout energie par lot (EUR)",Config!A:A,0))/60,"")</f>
        <v>#ERROR!</v>
      </c>
      <c r="J77" s="367" t="str">
        <f>IF(G77="","",IF(G77&gt;=INDEX(Config!B:B,MATCH("Autoclave temperature minimale (C)",Config!A:A,0)),"OK","Sous-temperature"))</f>
        <v>#ERROR!</v>
      </c>
      <c r="K77" s="233"/>
    </row>
    <row r="78">
      <c r="A78" s="303"/>
      <c r="B78" s="235"/>
      <c r="C78" s="235"/>
      <c r="D78" s="235"/>
      <c r="E78" s="235"/>
      <c r="F78" s="235"/>
      <c r="G78" s="235"/>
      <c r="H78" s="235"/>
      <c r="I78" s="283" t="str">
        <f>IFERROR(H78*INDEX(Config!B:B,MATCH("Cout energie par lot (EUR)",Config!A:A,0))/60,"")</f>
        <v>#ERROR!</v>
      </c>
      <c r="J78" s="368" t="str">
        <f>IF(G78="","",IF(G78&gt;=INDEX(Config!B:B,MATCH("Autoclave temperature minimale (C)",Config!A:A,0)),"OK","Sous-temperature"))</f>
        <v>#ERROR!</v>
      </c>
      <c r="K78" s="240"/>
    </row>
    <row r="79">
      <c r="A79" s="301"/>
      <c r="B79" s="227"/>
      <c r="C79" s="227"/>
      <c r="D79" s="227"/>
      <c r="E79" s="227"/>
      <c r="F79" s="227"/>
      <c r="G79" s="227"/>
      <c r="H79" s="227"/>
      <c r="I79" s="281" t="str">
        <f>IFERROR(H79*INDEX(Config!B:B,MATCH("Cout energie par lot (EUR)",Config!A:A,0))/60,"")</f>
        <v>#ERROR!</v>
      </c>
      <c r="J79" s="367" t="str">
        <f>IF(G79="","",IF(G79&gt;=INDEX(Config!B:B,MATCH("Autoclave temperature minimale (C)",Config!A:A,0)),"OK","Sous-temperature"))</f>
        <v>#ERROR!</v>
      </c>
      <c r="K79" s="233"/>
    </row>
    <row r="80">
      <c r="A80" s="303"/>
      <c r="B80" s="235"/>
      <c r="C80" s="235"/>
      <c r="D80" s="235"/>
      <c r="E80" s="235"/>
      <c r="F80" s="235"/>
      <c r="G80" s="235"/>
      <c r="H80" s="235"/>
      <c r="I80" s="283" t="str">
        <f>IFERROR(H80*INDEX(Config!B:B,MATCH("Cout energie par lot (EUR)",Config!A:A,0))/60,"")</f>
        <v>#ERROR!</v>
      </c>
      <c r="J80" s="368" t="str">
        <f>IF(G80="","",IF(G80&gt;=INDEX(Config!B:B,MATCH("Autoclave temperature minimale (C)",Config!A:A,0)),"OK","Sous-temperature"))</f>
        <v>#ERROR!</v>
      </c>
      <c r="K80" s="240"/>
    </row>
    <row r="81">
      <c r="A81" s="301"/>
      <c r="B81" s="227"/>
      <c r="C81" s="227"/>
      <c r="D81" s="227"/>
      <c r="E81" s="227"/>
      <c r="F81" s="227"/>
      <c r="G81" s="227"/>
      <c r="H81" s="227"/>
      <c r="I81" s="281" t="str">
        <f>IFERROR(H81*INDEX(Config!B:B,MATCH("Cout energie par lot (EUR)",Config!A:A,0))/60,"")</f>
        <v>#ERROR!</v>
      </c>
      <c r="J81" s="367" t="str">
        <f>IF(G81="","",IF(G81&gt;=INDEX(Config!B:B,MATCH("Autoclave temperature minimale (C)",Config!A:A,0)),"OK","Sous-temperature"))</f>
        <v>#ERROR!</v>
      </c>
      <c r="K81" s="233"/>
    </row>
    <row r="82">
      <c r="A82" s="303"/>
      <c r="B82" s="235"/>
      <c r="C82" s="235"/>
      <c r="D82" s="235"/>
      <c r="E82" s="235"/>
      <c r="F82" s="235"/>
      <c r="G82" s="235"/>
      <c r="H82" s="235"/>
      <c r="I82" s="283" t="str">
        <f>IFERROR(H82*INDEX(Config!B:B,MATCH("Cout energie par lot (EUR)",Config!A:A,0))/60,"")</f>
        <v>#ERROR!</v>
      </c>
      <c r="J82" s="368" t="str">
        <f>IF(G82="","",IF(G82&gt;=INDEX(Config!B:B,MATCH("Autoclave temperature minimale (C)",Config!A:A,0)),"OK","Sous-temperature"))</f>
        <v>#ERROR!</v>
      </c>
      <c r="K82" s="240"/>
    </row>
    <row r="83">
      <c r="A83" s="301"/>
      <c r="B83" s="227"/>
      <c r="C83" s="227"/>
      <c r="D83" s="227"/>
      <c r="E83" s="227"/>
      <c r="F83" s="227"/>
      <c r="G83" s="227"/>
      <c r="H83" s="227"/>
      <c r="I83" s="281" t="str">
        <f>IFERROR(H83*INDEX(Config!B:B,MATCH("Cout energie par lot (EUR)",Config!A:A,0))/60,"")</f>
        <v>#ERROR!</v>
      </c>
      <c r="J83" s="367" t="str">
        <f>IF(G83="","",IF(G83&gt;=INDEX(Config!B:B,MATCH("Autoclave temperature minimale (C)",Config!A:A,0)),"OK","Sous-temperature"))</f>
        <v>#ERROR!</v>
      </c>
      <c r="K83" s="233"/>
    </row>
    <row r="84">
      <c r="A84" s="303"/>
      <c r="B84" s="235"/>
      <c r="C84" s="235"/>
      <c r="D84" s="235"/>
      <c r="E84" s="235"/>
      <c r="F84" s="235"/>
      <c r="G84" s="235"/>
      <c r="H84" s="235"/>
      <c r="I84" s="283" t="str">
        <f>IFERROR(H84*INDEX(Config!B:B,MATCH("Cout energie par lot (EUR)",Config!A:A,0))/60,"")</f>
        <v>#ERROR!</v>
      </c>
      <c r="J84" s="368" t="str">
        <f>IF(G84="","",IF(G84&gt;=INDEX(Config!B:B,MATCH("Autoclave temperature minimale (C)",Config!A:A,0)),"OK","Sous-temperature"))</f>
        <v>#ERROR!</v>
      </c>
      <c r="K84" s="240"/>
    </row>
    <row r="85">
      <c r="A85" s="301"/>
      <c r="B85" s="227"/>
      <c r="C85" s="227"/>
      <c r="D85" s="227"/>
      <c r="E85" s="227"/>
      <c r="F85" s="227"/>
      <c r="G85" s="227"/>
      <c r="H85" s="227"/>
      <c r="I85" s="281" t="str">
        <f>IFERROR(H85*INDEX(Config!B:B,MATCH("Cout energie par lot (EUR)",Config!A:A,0))/60,"")</f>
        <v>#ERROR!</v>
      </c>
      <c r="J85" s="367" t="str">
        <f>IF(G85="","",IF(G85&gt;=INDEX(Config!B:B,MATCH("Autoclave temperature minimale (C)",Config!A:A,0)),"OK","Sous-temperature"))</f>
        <v>#ERROR!</v>
      </c>
      <c r="K85" s="233"/>
    </row>
    <row r="86">
      <c r="A86" s="303"/>
      <c r="B86" s="235"/>
      <c r="C86" s="235"/>
      <c r="D86" s="235"/>
      <c r="E86" s="235"/>
      <c r="F86" s="235"/>
      <c r="G86" s="235"/>
      <c r="H86" s="235"/>
      <c r="I86" s="283" t="str">
        <f>IFERROR(H86*INDEX(Config!B:B,MATCH("Cout energie par lot (EUR)",Config!A:A,0))/60,"")</f>
        <v>#ERROR!</v>
      </c>
      <c r="J86" s="368" t="str">
        <f>IF(G86="","",IF(G86&gt;=INDEX(Config!B:B,MATCH("Autoclave temperature minimale (C)",Config!A:A,0)),"OK","Sous-temperature"))</f>
        <v>#ERROR!</v>
      </c>
      <c r="K86" s="240"/>
    </row>
    <row r="87">
      <c r="A87" s="301"/>
      <c r="B87" s="227"/>
      <c r="C87" s="227"/>
      <c r="D87" s="227"/>
      <c r="E87" s="227"/>
      <c r="F87" s="227"/>
      <c r="G87" s="227"/>
      <c r="H87" s="227"/>
      <c r="I87" s="281" t="str">
        <f>IFERROR(H87*INDEX(Config!B:B,MATCH("Cout energie par lot (EUR)",Config!A:A,0))/60,"")</f>
        <v>#ERROR!</v>
      </c>
      <c r="J87" s="367" t="str">
        <f>IF(G87="","",IF(G87&gt;=INDEX(Config!B:B,MATCH("Autoclave temperature minimale (C)",Config!A:A,0)),"OK","Sous-temperature"))</f>
        <v>#ERROR!</v>
      </c>
      <c r="K87" s="233"/>
    </row>
    <row r="88">
      <c r="A88" s="303"/>
      <c r="B88" s="235"/>
      <c r="C88" s="235"/>
      <c r="D88" s="235"/>
      <c r="E88" s="235"/>
      <c r="F88" s="235"/>
      <c r="G88" s="235"/>
      <c r="H88" s="235"/>
      <c r="I88" s="283" t="str">
        <f>IFERROR(H88*INDEX(Config!B:B,MATCH("Cout energie par lot (EUR)",Config!A:A,0))/60,"")</f>
        <v>#ERROR!</v>
      </c>
      <c r="J88" s="368" t="str">
        <f>IF(G88="","",IF(G88&gt;=INDEX(Config!B:B,MATCH("Autoclave temperature minimale (C)",Config!A:A,0)),"OK","Sous-temperature"))</f>
        <v>#ERROR!</v>
      </c>
      <c r="K88" s="240"/>
    </row>
    <row r="89">
      <c r="A89" s="301"/>
      <c r="B89" s="227"/>
      <c r="C89" s="227"/>
      <c r="D89" s="227"/>
      <c r="E89" s="227"/>
      <c r="F89" s="227"/>
      <c r="G89" s="227"/>
      <c r="H89" s="227"/>
      <c r="I89" s="281" t="str">
        <f>IFERROR(H89*INDEX(Config!B:B,MATCH("Cout energie par lot (EUR)",Config!A:A,0))/60,"")</f>
        <v>#ERROR!</v>
      </c>
      <c r="J89" s="367" t="str">
        <f>IF(G89="","",IF(G89&gt;=INDEX(Config!B:B,MATCH("Autoclave temperature minimale (C)",Config!A:A,0)),"OK","Sous-temperature"))</f>
        <v>#ERROR!</v>
      </c>
      <c r="K89" s="233"/>
    </row>
    <row r="90">
      <c r="A90" s="303"/>
      <c r="B90" s="235"/>
      <c r="C90" s="235"/>
      <c r="D90" s="235"/>
      <c r="E90" s="235"/>
      <c r="F90" s="235"/>
      <c r="G90" s="235"/>
      <c r="H90" s="235"/>
      <c r="I90" s="283" t="str">
        <f>IFERROR(H90*INDEX(Config!B:B,MATCH("Cout energie par lot (EUR)",Config!A:A,0))/60,"")</f>
        <v>#ERROR!</v>
      </c>
      <c r="J90" s="368" t="str">
        <f>IF(G90="","",IF(G90&gt;=INDEX(Config!B:B,MATCH("Autoclave temperature minimale (C)",Config!A:A,0)),"OK","Sous-temperature"))</f>
        <v>#ERROR!</v>
      </c>
      <c r="K90" s="240"/>
    </row>
    <row r="91">
      <c r="A91" s="301"/>
      <c r="B91" s="227"/>
      <c r="C91" s="227"/>
      <c r="D91" s="227"/>
      <c r="E91" s="227"/>
      <c r="F91" s="227"/>
      <c r="G91" s="227"/>
      <c r="H91" s="227"/>
      <c r="I91" s="281" t="str">
        <f>IFERROR(H91*INDEX(Config!B:B,MATCH("Cout energie par lot (EUR)",Config!A:A,0))/60,"")</f>
        <v>#ERROR!</v>
      </c>
      <c r="J91" s="367" t="str">
        <f>IF(G91="","",IF(G91&gt;=INDEX(Config!B:B,MATCH("Autoclave temperature minimale (C)",Config!A:A,0)),"OK","Sous-temperature"))</f>
        <v>#ERROR!</v>
      </c>
      <c r="K91" s="233"/>
    </row>
    <row r="92">
      <c r="A92" s="303"/>
      <c r="B92" s="235"/>
      <c r="C92" s="235"/>
      <c r="D92" s="235"/>
      <c r="E92" s="235"/>
      <c r="F92" s="235"/>
      <c r="G92" s="235"/>
      <c r="H92" s="235"/>
      <c r="I92" s="283" t="str">
        <f>IFERROR(H92*INDEX(Config!B:B,MATCH("Cout energie par lot (EUR)",Config!A:A,0))/60,"")</f>
        <v>#ERROR!</v>
      </c>
      <c r="J92" s="368" t="str">
        <f>IF(G92="","",IF(G92&gt;=INDEX(Config!B:B,MATCH("Autoclave temperature minimale (C)",Config!A:A,0)),"OK","Sous-temperature"))</f>
        <v>#ERROR!</v>
      </c>
      <c r="K92" s="240"/>
    </row>
    <row r="93">
      <c r="A93" s="301"/>
      <c r="B93" s="227"/>
      <c r="C93" s="227"/>
      <c r="D93" s="227"/>
      <c r="E93" s="227"/>
      <c r="F93" s="227"/>
      <c r="G93" s="227"/>
      <c r="H93" s="227"/>
      <c r="I93" s="281" t="str">
        <f>IFERROR(H93*INDEX(Config!B:B,MATCH("Cout energie par lot (EUR)",Config!A:A,0))/60,"")</f>
        <v>#ERROR!</v>
      </c>
      <c r="J93" s="367" t="str">
        <f>IF(G93="","",IF(G93&gt;=INDEX(Config!B:B,MATCH("Autoclave temperature minimale (C)",Config!A:A,0)),"OK","Sous-temperature"))</f>
        <v>#ERROR!</v>
      </c>
      <c r="K93" s="233"/>
    </row>
    <row r="94">
      <c r="A94" s="303"/>
      <c r="B94" s="235"/>
      <c r="C94" s="235"/>
      <c r="D94" s="235"/>
      <c r="E94" s="235"/>
      <c r="F94" s="235"/>
      <c r="G94" s="235"/>
      <c r="H94" s="235"/>
      <c r="I94" s="283" t="str">
        <f>IFERROR(H94*INDEX(Config!B:B,MATCH("Cout energie par lot (EUR)",Config!A:A,0))/60,"")</f>
        <v>#ERROR!</v>
      </c>
      <c r="J94" s="368" t="str">
        <f>IF(G94="","",IF(G94&gt;=INDEX(Config!B:B,MATCH("Autoclave temperature minimale (C)",Config!A:A,0)),"OK","Sous-temperature"))</f>
        <v>#ERROR!</v>
      </c>
      <c r="K94" s="240"/>
    </row>
    <row r="95">
      <c r="A95" s="301"/>
      <c r="B95" s="227"/>
      <c r="C95" s="227"/>
      <c r="D95" s="227"/>
      <c r="E95" s="227"/>
      <c r="F95" s="227"/>
      <c r="G95" s="227"/>
      <c r="H95" s="227"/>
      <c r="I95" s="281" t="str">
        <f>IFERROR(H95*INDEX(Config!B:B,MATCH("Cout energie par lot (EUR)",Config!A:A,0))/60,"")</f>
        <v>#ERROR!</v>
      </c>
      <c r="J95" s="367" t="str">
        <f>IF(G95="","",IF(G95&gt;=INDEX(Config!B:B,MATCH("Autoclave temperature minimale (C)",Config!A:A,0)),"OK","Sous-temperature"))</f>
        <v>#ERROR!</v>
      </c>
      <c r="K95" s="233"/>
    </row>
    <row r="96">
      <c r="A96" s="303"/>
      <c r="B96" s="235"/>
      <c r="C96" s="235"/>
      <c r="D96" s="235"/>
      <c r="E96" s="235"/>
      <c r="F96" s="235"/>
      <c r="G96" s="235"/>
      <c r="H96" s="235"/>
      <c r="I96" s="283" t="str">
        <f>IFERROR(H96*INDEX(Config!B:B,MATCH("Cout energie par lot (EUR)",Config!A:A,0))/60,"")</f>
        <v>#ERROR!</v>
      </c>
      <c r="J96" s="368" t="str">
        <f>IF(G96="","",IF(G96&gt;=INDEX(Config!B:B,MATCH("Autoclave temperature minimale (C)",Config!A:A,0)),"OK","Sous-temperature"))</f>
        <v>#ERROR!</v>
      </c>
      <c r="K96" s="240"/>
    </row>
    <row r="97">
      <c r="A97" s="301"/>
      <c r="B97" s="227"/>
      <c r="C97" s="227"/>
      <c r="D97" s="227"/>
      <c r="E97" s="227"/>
      <c r="F97" s="227"/>
      <c r="G97" s="227"/>
      <c r="H97" s="227"/>
      <c r="I97" s="281" t="str">
        <f>IFERROR(H97*INDEX(Config!B:B,MATCH("Cout energie par lot (EUR)",Config!A:A,0))/60,"")</f>
        <v>#ERROR!</v>
      </c>
      <c r="J97" s="367" t="str">
        <f>IF(G97="","",IF(G97&gt;=INDEX(Config!B:B,MATCH("Autoclave temperature minimale (C)",Config!A:A,0)),"OK","Sous-temperature"))</f>
        <v>#ERROR!</v>
      </c>
      <c r="K97" s="233"/>
    </row>
    <row r="98">
      <c r="A98" s="303"/>
      <c r="B98" s="235"/>
      <c r="C98" s="235"/>
      <c r="D98" s="235"/>
      <c r="E98" s="235"/>
      <c r="F98" s="235"/>
      <c r="G98" s="235"/>
      <c r="H98" s="235"/>
      <c r="I98" s="283" t="str">
        <f>IFERROR(H98*INDEX(Config!B:B,MATCH("Cout energie par lot (EUR)",Config!A:A,0))/60,"")</f>
        <v>#ERROR!</v>
      </c>
      <c r="J98" s="368" t="str">
        <f>IF(G98="","",IF(G98&gt;=INDEX(Config!B:B,MATCH("Autoclave temperature minimale (C)",Config!A:A,0)),"OK","Sous-temperature"))</f>
        <v>#ERROR!</v>
      </c>
      <c r="K98" s="240"/>
    </row>
    <row r="99">
      <c r="A99" s="301"/>
      <c r="B99" s="227"/>
      <c r="C99" s="227"/>
      <c r="D99" s="227"/>
      <c r="E99" s="227"/>
      <c r="F99" s="227"/>
      <c r="G99" s="227"/>
      <c r="H99" s="227"/>
      <c r="I99" s="281" t="str">
        <f>IFERROR(H99*INDEX(Config!B:B,MATCH("Cout energie par lot (EUR)",Config!A:A,0))/60,"")</f>
        <v>#ERROR!</v>
      </c>
      <c r="J99" s="367" t="str">
        <f>IF(G99="","",IF(G99&gt;=INDEX(Config!B:B,MATCH("Autoclave temperature minimale (C)",Config!A:A,0)),"OK","Sous-temperature"))</f>
        <v>#ERROR!</v>
      </c>
      <c r="K99" s="233"/>
    </row>
    <row r="100">
      <c r="A100" s="303"/>
      <c r="B100" s="235"/>
      <c r="C100" s="235"/>
      <c r="D100" s="235"/>
      <c r="E100" s="235"/>
      <c r="F100" s="235"/>
      <c r="G100" s="235"/>
      <c r="H100" s="235"/>
      <c r="I100" s="283" t="str">
        <f>IFERROR(H100*INDEX(Config!B:B,MATCH("Cout energie par lot (EUR)",Config!A:A,0))/60,"")</f>
        <v>#ERROR!</v>
      </c>
      <c r="J100" s="368" t="str">
        <f>IF(G100="","",IF(G100&gt;=INDEX(Config!B:B,MATCH("Autoclave temperature minimale (C)",Config!A:A,0)),"OK","Sous-temperature"))</f>
        <v>#ERROR!</v>
      </c>
      <c r="K100" s="240"/>
    </row>
    <row r="101">
      <c r="A101" s="301"/>
      <c r="B101" s="227"/>
      <c r="C101" s="227"/>
      <c r="D101" s="227"/>
      <c r="E101" s="227"/>
      <c r="F101" s="227"/>
      <c r="G101" s="227"/>
      <c r="H101" s="227"/>
      <c r="I101" s="281" t="str">
        <f>IFERROR(H101*INDEX(Config!B:B,MATCH("Cout energie par lot (EUR)",Config!A:A,0))/60,"")</f>
        <v>#ERROR!</v>
      </c>
      <c r="J101" s="367" t="str">
        <f>IF(G101="","",IF(G101&gt;=INDEX(Config!B:B,MATCH("Autoclave temperature minimale (C)",Config!A:A,0)),"OK","Sous-temperature"))</f>
        <v>#ERROR!</v>
      </c>
      <c r="K101" s="233"/>
    </row>
    <row r="102">
      <c r="A102" s="303"/>
      <c r="B102" s="235"/>
      <c r="C102" s="235"/>
      <c r="D102" s="235"/>
      <c r="E102" s="235"/>
      <c r="F102" s="235"/>
      <c r="G102" s="235"/>
      <c r="H102" s="235"/>
      <c r="I102" s="283" t="str">
        <f>IFERROR(H102*INDEX(Config!B:B,MATCH("Cout energie par lot (EUR)",Config!A:A,0))/60,"")</f>
        <v>#ERROR!</v>
      </c>
      <c r="J102" s="368" t="str">
        <f>IF(G102="","",IF(G102&gt;=INDEX(Config!B:B,MATCH("Autoclave temperature minimale (C)",Config!A:A,0)),"OK","Sous-temperature"))</f>
        <v>#ERROR!</v>
      </c>
      <c r="K102" s="240"/>
    </row>
    <row r="103">
      <c r="A103" s="301"/>
      <c r="B103" s="227"/>
      <c r="C103" s="227"/>
      <c r="D103" s="227"/>
      <c r="E103" s="227"/>
      <c r="F103" s="227"/>
      <c r="G103" s="227"/>
      <c r="H103" s="227"/>
      <c r="I103" s="281" t="str">
        <f>IFERROR(H103*INDEX(Config!B:B,MATCH("Cout energie par lot (EUR)",Config!A:A,0))/60,"")</f>
        <v>#ERROR!</v>
      </c>
      <c r="J103" s="367" t="str">
        <f>IF(G103="","",IF(G103&gt;=INDEX(Config!B:B,MATCH("Autoclave temperature minimale (C)",Config!A:A,0)),"OK","Sous-temperature"))</f>
        <v>#ERROR!</v>
      </c>
      <c r="K103" s="233"/>
    </row>
    <row r="104">
      <c r="A104" s="303"/>
      <c r="B104" s="235"/>
      <c r="C104" s="235"/>
      <c r="D104" s="235"/>
      <c r="E104" s="235"/>
      <c r="F104" s="235"/>
      <c r="G104" s="235"/>
      <c r="H104" s="235"/>
      <c r="I104" s="283" t="str">
        <f>IFERROR(H104*INDEX(Config!B:B,MATCH("Cout energie par lot (EUR)",Config!A:A,0))/60,"")</f>
        <v>#ERROR!</v>
      </c>
      <c r="J104" s="368" t="str">
        <f>IF(G104="","",IF(G104&gt;=INDEX(Config!B:B,MATCH("Autoclave temperature minimale (C)",Config!A:A,0)),"OK","Sous-temperature"))</f>
        <v>#ERROR!</v>
      </c>
      <c r="K104" s="240"/>
    </row>
    <row r="105">
      <c r="A105" s="301"/>
      <c r="B105" s="227"/>
      <c r="C105" s="227"/>
      <c r="D105" s="227"/>
      <c r="E105" s="227"/>
      <c r="F105" s="227"/>
      <c r="G105" s="227"/>
      <c r="H105" s="227"/>
      <c r="I105" s="281" t="str">
        <f>IFERROR(H105*INDEX(Config!B:B,MATCH("Cout energie par lot (EUR)",Config!A:A,0))/60,"")</f>
        <v>#ERROR!</v>
      </c>
      <c r="J105" s="367" t="str">
        <f>IF(G105="","",IF(G105&gt;=INDEX(Config!B:B,MATCH("Autoclave temperature minimale (C)",Config!A:A,0)),"OK","Sous-temperature"))</f>
        <v>#ERROR!</v>
      </c>
      <c r="K105" s="233"/>
    </row>
    <row r="106">
      <c r="A106" s="303"/>
      <c r="B106" s="235"/>
      <c r="C106" s="235"/>
      <c r="D106" s="235"/>
      <c r="E106" s="235"/>
      <c r="F106" s="235"/>
      <c r="G106" s="235"/>
      <c r="H106" s="235"/>
      <c r="I106" s="283" t="str">
        <f>IFERROR(H106*INDEX(Config!B:B,MATCH("Cout energie par lot (EUR)",Config!A:A,0))/60,"")</f>
        <v>#ERROR!</v>
      </c>
      <c r="J106" s="368" t="str">
        <f>IF(G106="","",IF(G106&gt;=INDEX(Config!B:B,MATCH("Autoclave temperature minimale (C)",Config!A:A,0)),"OK","Sous-temperature"))</f>
        <v>#ERROR!</v>
      </c>
      <c r="K106" s="240"/>
    </row>
    <row r="107">
      <c r="A107" s="301"/>
      <c r="B107" s="227"/>
      <c r="C107" s="227"/>
      <c r="D107" s="227"/>
      <c r="E107" s="227"/>
      <c r="F107" s="227"/>
      <c r="G107" s="227"/>
      <c r="H107" s="227"/>
      <c r="I107" s="281" t="str">
        <f>IFERROR(H107*INDEX(Config!B:B,MATCH("Cout energie par lot (EUR)",Config!A:A,0))/60,"")</f>
        <v>#ERROR!</v>
      </c>
      <c r="J107" s="367" t="str">
        <f>IF(G107="","",IF(G107&gt;=INDEX(Config!B:B,MATCH("Autoclave temperature minimale (C)",Config!A:A,0)),"OK","Sous-temperature"))</f>
        <v>#ERROR!</v>
      </c>
      <c r="K107" s="233"/>
    </row>
    <row r="108">
      <c r="A108" s="303"/>
      <c r="B108" s="235"/>
      <c r="C108" s="235"/>
      <c r="D108" s="235"/>
      <c r="E108" s="235"/>
      <c r="F108" s="235"/>
      <c r="G108" s="235"/>
      <c r="H108" s="235"/>
      <c r="I108" s="283" t="str">
        <f>IFERROR(H108*INDEX(Config!B:B,MATCH("Cout energie par lot (EUR)",Config!A:A,0))/60,"")</f>
        <v>#ERROR!</v>
      </c>
      <c r="J108" s="368" t="str">
        <f>IF(G108="","",IF(G108&gt;=INDEX(Config!B:B,MATCH("Autoclave temperature minimale (C)",Config!A:A,0)),"OK","Sous-temperature"))</f>
        <v>#ERROR!</v>
      </c>
      <c r="K108" s="240"/>
    </row>
    <row r="109">
      <c r="A109" s="301"/>
      <c r="B109" s="227"/>
      <c r="C109" s="227"/>
      <c r="D109" s="227"/>
      <c r="E109" s="227"/>
      <c r="F109" s="227"/>
      <c r="G109" s="227"/>
      <c r="H109" s="227"/>
      <c r="I109" s="281" t="str">
        <f>IFERROR(H109*INDEX(Config!B:B,MATCH("Cout energie par lot (EUR)",Config!A:A,0))/60,"")</f>
        <v>#ERROR!</v>
      </c>
      <c r="J109" s="367" t="str">
        <f>IF(G109="","",IF(G109&gt;=INDEX(Config!B:B,MATCH("Autoclave temperature minimale (C)",Config!A:A,0)),"OK","Sous-temperature"))</f>
        <v>#ERROR!</v>
      </c>
      <c r="K109" s="233"/>
    </row>
    <row r="110">
      <c r="A110" s="303"/>
      <c r="B110" s="235"/>
      <c r="C110" s="235"/>
      <c r="D110" s="235"/>
      <c r="E110" s="235"/>
      <c r="F110" s="235"/>
      <c r="G110" s="235"/>
      <c r="H110" s="235"/>
      <c r="I110" s="283" t="str">
        <f>IFERROR(H110*INDEX(Config!B:B,MATCH("Cout energie par lot (EUR)",Config!A:A,0))/60,"")</f>
        <v>#ERROR!</v>
      </c>
      <c r="J110" s="368" t="str">
        <f>IF(G110="","",IF(G110&gt;=INDEX(Config!B:B,MATCH("Autoclave temperature minimale (C)",Config!A:A,0)),"OK","Sous-temperature"))</f>
        <v>#ERROR!</v>
      </c>
      <c r="K110" s="240"/>
    </row>
    <row r="111">
      <c r="A111" s="301"/>
      <c r="B111" s="227"/>
      <c r="C111" s="227"/>
      <c r="D111" s="227"/>
      <c r="E111" s="227"/>
      <c r="F111" s="227"/>
      <c r="G111" s="227"/>
      <c r="H111" s="227"/>
      <c r="I111" s="281" t="str">
        <f>IFERROR(H111*INDEX(Config!B:B,MATCH("Cout energie par lot (EUR)",Config!A:A,0))/60,"")</f>
        <v>#ERROR!</v>
      </c>
      <c r="J111" s="367" t="str">
        <f>IF(G111="","",IF(G111&gt;=INDEX(Config!B:B,MATCH("Autoclave temperature minimale (C)",Config!A:A,0)),"OK","Sous-temperature"))</f>
        <v>#ERROR!</v>
      </c>
      <c r="K111" s="233"/>
    </row>
    <row r="112">
      <c r="A112" s="303"/>
      <c r="B112" s="235"/>
      <c r="C112" s="235"/>
      <c r="D112" s="235"/>
      <c r="E112" s="235"/>
      <c r="F112" s="235"/>
      <c r="G112" s="235"/>
      <c r="H112" s="235"/>
      <c r="I112" s="283" t="str">
        <f>IFERROR(H112*INDEX(Config!B:B,MATCH("Cout energie par lot (EUR)",Config!A:A,0))/60,"")</f>
        <v>#ERROR!</v>
      </c>
      <c r="J112" s="368" t="str">
        <f>IF(G112="","",IF(G112&gt;=INDEX(Config!B:B,MATCH("Autoclave temperature minimale (C)",Config!A:A,0)),"OK","Sous-temperature"))</f>
        <v>#ERROR!</v>
      </c>
      <c r="K112" s="240"/>
    </row>
    <row r="113">
      <c r="A113" s="301"/>
      <c r="B113" s="227"/>
      <c r="C113" s="227"/>
      <c r="D113" s="227"/>
      <c r="E113" s="227"/>
      <c r="F113" s="227"/>
      <c r="G113" s="227"/>
      <c r="H113" s="227"/>
      <c r="I113" s="281" t="str">
        <f>IFERROR(H113*INDEX(Config!B:B,MATCH("Cout energie par lot (EUR)",Config!A:A,0))/60,"")</f>
        <v>#ERROR!</v>
      </c>
      <c r="J113" s="367" t="str">
        <f>IF(G113="","",IF(G113&gt;=INDEX(Config!B:B,MATCH("Autoclave temperature minimale (C)",Config!A:A,0)),"OK","Sous-temperature"))</f>
        <v>#ERROR!</v>
      </c>
      <c r="K113" s="233"/>
    </row>
    <row r="114">
      <c r="A114" s="303"/>
      <c r="B114" s="235"/>
      <c r="C114" s="235"/>
      <c r="D114" s="235"/>
      <c r="E114" s="235"/>
      <c r="F114" s="235"/>
      <c r="G114" s="235"/>
      <c r="H114" s="235"/>
      <c r="I114" s="283" t="str">
        <f>IFERROR(H114*INDEX(Config!B:B,MATCH("Cout energie par lot (EUR)",Config!A:A,0))/60,"")</f>
        <v>#ERROR!</v>
      </c>
      <c r="J114" s="368" t="str">
        <f>IF(G114="","",IF(G114&gt;=INDEX(Config!B:B,MATCH("Autoclave temperature minimale (C)",Config!A:A,0)),"OK","Sous-temperature"))</f>
        <v>#ERROR!</v>
      </c>
      <c r="K114" s="240"/>
    </row>
    <row r="115">
      <c r="A115" s="301"/>
      <c r="B115" s="227"/>
      <c r="C115" s="227"/>
      <c r="D115" s="227"/>
      <c r="E115" s="227"/>
      <c r="F115" s="227"/>
      <c r="G115" s="227"/>
      <c r="H115" s="227"/>
      <c r="I115" s="281" t="str">
        <f>IFERROR(H115*INDEX(Config!B:B,MATCH("Cout energie par lot (EUR)",Config!A:A,0))/60,"")</f>
        <v>#ERROR!</v>
      </c>
      <c r="J115" s="367" t="str">
        <f>IF(G115="","",IF(G115&gt;=INDEX(Config!B:B,MATCH("Autoclave temperature minimale (C)",Config!A:A,0)),"OK","Sous-temperature"))</f>
        <v>#ERROR!</v>
      </c>
      <c r="K115" s="233"/>
    </row>
    <row r="116">
      <c r="A116" s="303"/>
      <c r="B116" s="235"/>
      <c r="C116" s="235"/>
      <c r="D116" s="235"/>
      <c r="E116" s="235"/>
      <c r="F116" s="235"/>
      <c r="G116" s="235"/>
      <c r="H116" s="235"/>
      <c r="I116" s="283" t="str">
        <f>IFERROR(H116*INDEX(Config!B:B,MATCH("Cout energie par lot (EUR)",Config!A:A,0))/60,"")</f>
        <v>#ERROR!</v>
      </c>
      <c r="J116" s="368" t="str">
        <f>IF(G116="","",IF(G116&gt;=INDEX(Config!B:B,MATCH("Autoclave temperature minimale (C)",Config!A:A,0)),"OK","Sous-temperature"))</f>
        <v>#ERROR!</v>
      </c>
      <c r="K116" s="240"/>
    </row>
    <row r="117">
      <c r="A117" s="301"/>
      <c r="B117" s="227"/>
      <c r="C117" s="227"/>
      <c r="D117" s="227"/>
      <c r="E117" s="227"/>
      <c r="F117" s="227"/>
      <c r="G117" s="227"/>
      <c r="H117" s="227"/>
      <c r="I117" s="281" t="str">
        <f>IFERROR(H117*INDEX(Config!B:B,MATCH("Cout energie par lot (EUR)",Config!A:A,0))/60,"")</f>
        <v>#ERROR!</v>
      </c>
      <c r="J117" s="367" t="str">
        <f>IF(G117="","",IF(G117&gt;=INDEX(Config!B:B,MATCH("Autoclave temperature minimale (C)",Config!A:A,0)),"OK","Sous-temperature"))</f>
        <v>#ERROR!</v>
      </c>
      <c r="K117" s="233"/>
    </row>
    <row r="118">
      <c r="A118" s="303"/>
      <c r="B118" s="235"/>
      <c r="C118" s="235"/>
      <c r="D118" s="235"/>
      <c r="E118" s="235"/>
      <c r="F118" s="235"/>
      <c r="G118" s="235"/>
      <c r="H118" s="235"/>
      <c r="I118" s="283" t="str">
        <f>IFERROR(H118*INDEX(Config!B:B,MATCH("Cout energie par lot (EUR)",Config!A:A,0))/60,"")</f>
        <v>#ERROR!</v>
      </c>
      <c r="J118" s="368" t="str">
        <f>IF(G118="","",IF(G118&gt;=INDEX(Config!B:B,MATCH("Autoclave temperature minimale (C)",Config!A:A,0)),"OK","Sous-temperature"))</f>
        <v>#ERROR!</v>
      </c>
      <c r="K118" s="240"/>
    </row>
    <row r="119">
      <c r="A119" s="301"/>
      <c r="B119" s="227"/>
      <c r="C119" s="227"/>
      <c r="D119" s="227"/>
      <c r="E119" s="227"/>
      <c r="F119" s="227"/>
      <c r="G119" s="227"/>
      <c r="H119" s="227"/>
      <c r="I119" s="281" t="str">
        <f>IFERROR(H119*INDEX(Config!B:B,MATCH("Cout energie par lot (EUR)",Config!A:A,0))/60,"")</f>
        <v>#ERROR!</v>
      </c>
      <c r="J119" s="367" t="str">
        <f>IF(G119="","",IF(G119&gt;=INDEX(Config!B:B,MATCH("Autoclave temperature minimale (C)",Config!A:A,0)),"OK","Sous-temperature"))</f>
        <v>#ERROR!</v>
      </c>
      <c r="K119" s="233"/>
    </row>
    <row r="120">
      <c r="A120" s="303"/>
      <c r="B120" s="235"/>
      <c r="C120" s="235"/>
      <c r="D120" s="235"/>
      <c r="E120" s="235"/>
      <c r="F120" s="235"/>
      <c r="G120" s="235"/>
      <c r="H120" s="235"/>
      <c r="I120" s="283" t="str">
        <f>IFERROR(H120*INDEX(Config!B:B,MATCH("Cout energie par lot (EUR)",Config!A:A,0))/60,"")</f>
        <v>#ERROR!</v>
      </c>
      <c r="J120" s="368" t="str">
        <f>IF(G120="","",IF(G120&gt;=INDEX(Config!B:B,MATCH("Autoclave temperature minimale (C)",Config!A:A,0)),"OK","Sous-temperature"))</f>
        <v>#ERROR!</v>
      </c>
      <c r="K120" s="240"/>
    </row>
    <row r="121">
      <c r="A121" s="301"/>
      <c r="B121" s="227"/>
      <c r="C121" s="227"/>
      <c r="D121" s="227"/>
      <c r="E121" s="227"/>
      <c r="F121" s="227"/>
      <c r="G121" s="227"/>
      <c r="H121" s="227"/>
      <c r="I121" s="281" t="str">
        <f>IFERROR(H121*INDEX(Config!B:B,MATCH("Cout energie par lot (EUR)",Config!A:A,0))/60,"")</f>
        <v>#ERROR!</v>
      </c>
      <c r="J121" s="367" t="str">
        <f>IF(G121="","",IF(G121&gt;=INDEX(Config!B:B,MATCH("Autoclave temperature minimale (C)",Config!A:A,0)),"OK","Sous-temperature"))</f>
        <v>#ERROR!</v>
      </c>
      <c r="K121" s="233"/>
    </row>
    <row r="122">
      <c r="A122" s="303"/>
      <c r="B122" s="235"/>
      <c r="C122" s="235"/>
      <c r="D122" s="235"/>
      <c r="E122" s="235"/>
      <c r="F122" s="235"/>
      <c r="G122" s="235"/>
      <c r="H122" s="235"/>
      <c r="I122" s="283" t="str">
        <f>IFERROR(H122*INDEX(Config!B:B,MATCH("Cout energie par lot (EUR)",Config!A:A,0))/60,"")</f>
        <v>#ERROR!</v>
      </c>
      <c r="J122" s="368" t="str">
        <f>IF(G122="","",IF(G122&gt;=INDEX(Config!B:B,MATCH("Autoclave temperature minimale (C)",Config!A:A,0)),"OK","Sous-temperature"))</f>
        <v>#ERROR!</v>
      </c>
      <c r="K122" s="240"/>
    </row>
    <row r="123">
      <c r="A123" s="301"/>
      <c r="B123" s="227"/>
      <c r="C123" s="227"/>
      <c r="D123" s="227"/>
      <c r="E123" s="227"/>
      <c r="F123" s="227"/>
      <c r="G123" s="227"/>
      <c r="H123" s="227"/>
      <c r="I123" s="281" t="str">
        <f>IFERROR(H123*INDEX(Config!B:B,MATCH("Cout energie par lot (EUR)",Config!A:A,0))/60,"")</f>
        <v>#ERROR!</v>
      </c>
      <c r="J123" s="367" t="str">
        <f>IF(G123="","",IF(G123&gt;=INDEX(Config!B:B,MATCH("Autoclave temperature minimale (C)",Config!A:A,0)),"OK","Sous-temperature"))</f>
        <v>#ERROR!</v>
      </c>
      <c r="K123" s="233"/>
    </row>
    <row r="124">
      <c r="A124" s="303"/>
      <c r="B124" s="235"/>
      <c r="C124" s="235"/>
      <c r="D124" s="235"/>
      <c r="E124" s="235"/>
      <c r="F124" s="235"/>
      <c r="G124" s="235"/>
      <c r="H124" s="235"/>
      <c r="I124" s="283" t="str">
        <f>IFERROR(H124*INDEX(Config!B:B,MATCH("Cout energie par lot (EUR)",Config!A:A,0))/60,"")</f>
        <v>#ERROR!</v>
      </c>
      <c r="J124" s="368" t="str">
        <f>IF(G124="","",IF(G124&gt;=INDEX(Config!B:B,MATCH("Autoclave temperature minimale (C)",Config!A:A,0)),"OK","Sous-temperature"))</f>
        <v>#ERROR!</v>
      </c>
      <c r="K124" s="240"/>
    </row>
    <row r="125">
      <c r="A125" s="301"/>
      <c r="B125" s="227"/>
      <c r="C125" s="227"/>
      <c r="D125" s="227"/>
      <c r="E125" s="227"/>
      <c r="F125" s="227"/>
      <c r="G125" s="227"/>
      <c r="H125" s="227"/>
      <c r="I125" s="281" t="str">
        <f>IFERROR(H125*INDEX(Config!B:B,MATCH("Cout energie par lot (EUR)",Config!A:A,0))/60,"")</f>
        <v>#ERROR!</v>
      </c>
      <c r="J125" s="367" t="str">
        <f>IF(G125="","",IF(G125&gt;=INDEX(Config!B:B,MATCH("Autoclave temperature minimale (C)",Config!A:A,0)),"OK","Sous-temperature"))</f>
        <v>#ERROR!</v>
      </c>
      <c r="K125" s="233"/>
    </row>
    <row r="126">
      <c r="A126" s="303"/>
      <c r="B126" s="235"/>
      <c r="C126" s="235"/>
      <c r="D126" s="235"/>
      <c r="E126" s="235"/>
      <c r="F126" s="235"/>
      <c r="G126" s="235"/>
      <c r="H126" s="235"/>
      <c r="I126" s="283" t="str">
        <f>IFERROR(H126*INDEX(Config!B:B,MATCH("Cout energie par lot (EUR)",Config!A:A,0))/60,"")</f>
        <v>#ERROR!</v>
      </c>
      <c r="J126" s="368" t="str">
        <f>IF(G126="","",IF(G126&gt;=INDEX(Config!B:B,MATCH("Autoclave temperature minimale (C)",Config!A:A,0)),"OK","Sous-temperature"))</f>
        <v>#ERROR!</v>
      </c>
      <c r="K126" s="240"/>
    </row>
    <row r="127">
      <c r="A127" s="301"/>
      <c r="B127" s="227"/>
      <c r="C127" s="227"/>
      <c r="D127" s="227"/>
      <c r="E127" s="227"/>
      <c r="F127" s="227"/>
      <c r="G127" s="227"/>
      <c r="H127" s="227"/>
      <c r="I127" s="281" t="str">
        <f>IFERROR(H127*INDEX(Config!B:B,MATCH("Cout energie par lot (EUR)",Config!A:A,0))/60,"")</f>
        <v>#ERROR!</v>
      </c>
      <c r="J127" s="367" t="str">
        <f>IF(G127="","",IF(G127&gt;=INDEX(Config!B:B,MATCH("Autoclave temperature minimale (C)",Config!A:A,0)),"OK","Sous-temperature"))</f>
        <v>#ERROR!</v>
      </c>
      <c r="K127" s="233"/>
    </row>
    <row r="128">
      <c r="A128" s="303"/>
      <c r="B128" s="235"/>
      <c r="C128" s="235"/>
      <c r="D128" s="235"/>
      <c r="E128" s="235"/>
      <c r="F128" s="235"/>
      <c r="G128" s="235"/>
      <c r="H128" s="235"/>
      <c r="I128" s="283" t="str">
        <f>IFERROR(H128*INDEX(Config!B:B,MATCH("Cout energie par lot (EUR)",Config!A:A,0))/60,"")</f>
        <v>#ERROR!</v>
      </c>
      <c r="J128" s="368" t="str">
        <f>IF(G128="","",IF(G128&gt;=INDEX(Config!B:B,MATCH("Autoclave temperature minimale (C)",Config!A:A,0)),"OK","Sous-temperature"))</f>
        <v>#ERROR!</v>
      </c>
      <c r="K128" s="240"/>
    </row>
    <row r="129">
      <c r="A129" s="301"/>
      <c r="B129" s="227"/>
      <c r="C129" s="227"/>
      <c r="D129" s="227"/>
      <c r="E129" s="227"/>
      <c r="F129" s="227"/>
      <c r="G129" s="227"/>
      <c r="H129" s="227"/>
      <c r="I129" s="281" t="str">
        <f>IFERROR(H129*INDEX(Config!B:B,MATCH("Cout energie par lot (EUR)",Config!A:A,0))/60,"")</f>
        <v>#ERROR!</v>
      </c>
      <c r="J129" s="367" t="str">
        <f>IF(G129="","",IF(G129&gt;=INDEX(Config!B:B,MATCH("Autoclave temperature minimale (C)",Config!A:A,0)),"OK","Sous-temperature"))</f>
        <v>#ERROR!</v>
      </c>
      <c r="K129" s="233"/>
    </row>
    <row r="130">
      <c r="A130" s="303"/>
      <c r="B130" s="235"/>
      <c r="C130" s="235"/>
      <c r="D130" s="235"/>
      <c r="E130" s="235"/>
      <c r="F130" s="235"/>
      <c r="G130" s="235"/>
      <c r="H130" s="235"/>
      <c r="I130" s="283" t="str">
        <f>IFERROR(H130*INDEX(Config!B:B,MATCH("Cout energie par lot (EUR)",Config!A:A,0))/60,"")</f>
        <v>#ERROR!</v>
      </c>
      <c r="J130" s="368" t="str">
        <f>IF(G130="","",IF(G130&gt;=INDEX(Config!B:B,MATCH("Autoclave temperature minimale (C)",Config!A:A,0)),"OK","Sous-temperature"))</f>
        <v>#ERROR!</v>
      </c>
      <c r="K130" s="240"/>
    </row>
    <row r="131">
      <c r="A131" s="301"/>
      <c r="B131" s="227"/>
      <c r="C131" s="227"/>
      <c r="D131" s="227"/>
      <c r="E131" s="227"/>
      <c r="F131" s="227"/>
      <c r="G131" s="227"/>
      <c r="H131" s="227"/>
      <c r="I131" s="281" t="str">
        <f>IFERROR(H131*INDEX(Config!B:B,MATCH("Cout energie par lot (EUR)",Config!A:A,0))/60,"")</f>
        <v>#ERROR!</v>
      </c>
      <c r="J131" s="367" t="str">
        <f>IF(G131="","",IF(G131&gt;=INDEX(Config!B:B,MATCH("Autoclave temperature minimale (C)",Config!A:A,0)),"OK","Sous-temperature"))</f>
        <v>#ERROR!</v>
      </c>
      <c r="K131" s="233"/>
    </row>
    <row r="132">
      <c r="A132" s="303"/>
      <c r="B132" s="235"/>
      <c r="C132" s="235"/>
      <c r="D132" s="235"/>
      <c r="E132" s="235"/>
      <c r="F132" s="235"/>
      <c r="G132" s="235"/>
      <c r="H132" s="235"/>
      <c r="I132" s="283" t="str">
        <f>IFERROR(H132*INDEX(Config!B:B,MATCH("Cout energie par lot (EUR)",Config!A:A,0))/60,"")</f>
        <v>#ERROR!</v>
      </c>
      <c r="J132" s="368" t="str">
        <f>IF(G132="","",IF(G132&gt;=INDEX(Config!B:B,MATCH("Autoclave temperature minimale (C)",Config!A:A,0)),"OK","Sous-temperature"))</f>
        <v>#ERROR!</v>
      </c>
      <c r="K132" s="240"/>
    </row>
    <row r="133">
      <c r="A133" s="301"/>
      <c r="B133" s="227"/>
      <c r="C133" s="227"/>
      <c r="D133" s="227"/>
      <c r="E133" s="227"/>
      <c r="F133" s="227"/>
      <c r="G133" s="227"/>
      <c r="H133" s="227"/>
      <c r="I133" s="281" t="str">
        <f>IFERROR(H133*INDEX(Config!B:B,MATCH("Cout energie par lot (EUR)",Config!A:A,0))/60,"")</f>
        <v>#ERROR!</v>
      </c>
      <c r="J133" s="367" t="str">
        <f>IF(G133="","",IF(G133&gt;=INDEX(Config!B:B,MATCH("Autoclave temperature minimale (C)",Config!A:A,0)),"OK","Sous-temperature"))</f>
        <v>#ERROR!</v>
      </c>
      <c r="K133" s="233"/>
    </row>
    <row r="134">
      <c r="A134" s="303"/>
      <c r="B134" s="235"/>
      <c r="C134" s="235"/>
      <c r="D134" s="235"/>
      <c r="E134" s="235"/>
      <c r="F134" s="235"/>
      <c r="G134" s="235"/>
      <c r="H134" s="235"/>
      <c r="I134" s="283" t="str">
        <f>IFERROR(H134*INDEX(Config!B:B,MATCH("Cout energie par lot (EUR)",Config!A:A,0))/60,"")</f>
        <v>#ERROR!</v>
      </c>
      <c r="J134" s="368" t="str">
        <f>IF(G134="","",IF(G134&gt;=INDEX(Config!B:B,MATCH("Autoclave temperature minimale (C)",Config!A:A,0)),"OK","Sous-temperature"))</f>
        <v>#ERROR!</v>
      </c>
      <c r="K134" s="240"/>
    </row>
    <row r="135">
      <c r="A135" s="301"/>
      <c r="B135" s="227"/>
      <c r="C135" s="227"/>
      <c r="D135" s="227"/>
      <c r="E135" s="227"/>
      <c r="F135" s="227"/>
      <c r="G135" s="227"/>
      <c r="H135" s="227"/>
      <c r="I135" s="281" t="str">
        <f>IFERROR(H135*INDEX(Config!B:B,MATCH("Cout energie par lot (EUR)",Config!A:A,0))/60,"")</f>
        <v>#ERROR!</v>
      </c>
      <c r="J135" s="367" t="str">
        <f>IF(G135="","",IF(G135&gt;=INDEX(Config!B:B,MATCH("Autoclave temperature minimale (C)",Config!A:A,0)),"OK","Sous-temperature"))</f>
        <v>#ERROR!</v>
      </c>
      <c r="K135" s="233"/>
    </row>
    <row r="136">
      <c r="A136" s="303"/>
      <c r="B136" s="235"/>
      <c r="C136" s="235"/>
      <c r="D136" s="235"/>
      <c r="E136" s="235"/>
      <c r="F136" s="235"/>
      <c r="G136" s="235"/>
      <c r="H136" s="235"/>
      <c r="I136" s="283" t="str">
        <f>IFERROR(H136*INDEX(Config!B:B,MATCH("Cout energie par lot (EUR)",Config!A:A,0))/60,"")</f>
        <v>#ERROR!</v>
      </c>
      <c r="J136" s="368" t="str">
        <f>IF(G136="","",IF(G136&gt;=INDEX(Config!B:B,MATCH("Autoclave temperature minimale (C)",Config!A:A,0)),"OK","Sous-temperature"))</f>
        <v>#ERROR!</v>
      </c>
      <c r="K136" s="240"/>
    </row>
    <row r="137">
      <c r="A137" s="301"/>
      <c r="B137" s="227"/>
      <c r="C137" s="227"/>
      <c r="D137" s="227"/>
      <c r="E137" s="227"/>
      <c r="F137" s="227"/>
      <c r="G137" s="227"/>
      <c r="H137" s="227"/>
      <c r="I137" s="281" t="str">
        <f>IFERROR(H137*INDEX(Config!B:B,MATCH("Cout energie par lot (EUR)",Config!A:A,0))/60,"")</f>
        <v>#ERROR!</v>
      </c>
      <c r="J137" s="367" t="str">
        <f>IF(G137="","",IF(G137&gt;=INDEX(Config!B:B,MATCH("Autoclave temperature minimale (C)",Config!A:A,0)),"OK","Sous-temperature"))</f>
        <v>#ERROR!</v>
      </c>
      <c r="K137" s="233"/>
    </row>
    <row r="138">
      <c r="A138" s="303"/>
      <c r="B138" s="235"/>
      <c r="C138" s="235"/>
      <c r="D138" s="235"/>
      <c r="E138" s="235"/>
      <c r="F138" s="235"/>
      <c r="G138" s="235"/>
      <c r="H138" s="235"/>
      <c r="I138" s="283" t="str">
        <f>IFERROR(H138*INDEX(Config!B:B,MATCH("Cout energie par lot (EUR)",Config!A:A,0))/60,"")</f>
        <v>#ERROR!</v>
      </c>
      <c r="J138" s="368" t="str">
        <f>IF(G138="","",IF(G138&gt;=INDEX(Config!B:B,MATCH("Autoclave temperature minimale (C)",Config!A:A,0)),"OK","Sous-temperature"))</f>
        <v>#ERROR!</v>
      </c>
      <c r="K138" s="240"/>
    </row>
    <row r="139">
      <c r="A139" s="301"/>
      <c r="B139" s="227"/>
      <c r="C139" s="227"/>
      <c r="D139" s="227"/>
      <c r="E139" s="227"/>
      <c r="F139" s="227"/>
      <c r="G139" s="227"/>
      <c r="H139" s="227"/>
      <c r="I139" s="281" t="str">
        <f>IFERROR(H139*INDEX(Config!B:B,MATCH("Cout energie par lot (EUR)",Config!A:A,0))/60,"")</f>
        <v>#ERROR!</v>
      </c>
      <c r="J139" s="367" t="str">
        <f>IF(G139="","",IF(G139&gt;=INDEX(Config!B:B,MATCH("Autoclave temperature minimale (C)",Config!A:A,0)),"OK","Sous-temperature"))</f>
        <v>#ERROR!</v>
      </c>
      <c r="K139" s="233"/>
    </row>
    <row r="140">
      <c r="A140" s="303"/>
      <c r="B140" s="235"/>
      <c r="C140" s="235"/>
      <c r="D140" s="235"/>
      <c r="E140" s="235"/>
      <c r="F140" s="235"/>
      <c r="G140" s="235"/>
      <c r="H140" s="235"/>
      <c r="I140" s="283" t="str">
        <f>IFERROR(H140*INDEX(Config!B:B,MATCH("Cout energie par lot (EUR)",Config!A:A,0))/60,"")</f>
        <v>#ERROR!</v>
      </c>
      <c r="J140" s="368" t="str">
        <f>IF(G140="","",IF(G140&gt;=INDEX(Config!B:B,MATCH("Autoclave temperature minimale (C)",Config!A:A,0)),"OK","Sous-temperature"))</f>
        <v>#ERROR!</v>
      </c>
      <c r="K140" s="240"/>
    </row>
    <row r="141">
      <c r="A141" s="301"/>
      <c r="B141" s="227"/>
      <c r="C141" s="227"/>
      <c r="D141" s="227"/>
      <c r="E141" s="227"/>
      <c r="F141" s="227"/>
      <c r="G141" s="227"/>
      <c r="H141" s="227"/>
      <c r="I141" s="281" t="str">
        <f>IFERROR(H141*INDEX(Config!B:B,MATCH("Cout energie par lot (EUR)",Config!A:A,0))/60,"")</f>
        <v>#ERROR!</v>
      </c>
      <c r="J141" s="367" t="str">
        <f>IF(G141="","",IF(G141&gt;=INDEX(Config!B:B,MATCH("Autoclave temperature minimale (C)",Config!A:A,0)),"OK","Sous-temperature"))</f>
        <v>#ERROR!</v>
      </c>
      <c r="K141" s="233"/>
    </row>
    <row r="142">
      <c r="A142" s="303"/>
      <c r="B142" s="235"/>
      <c r="C142" s="235"/>
      <c r="D142" s="235"/>
      <c r="E142" s="235"/>
      <c r="F142" s="235"/>
      <c r="G142" s="235"/>
      <c r="H142" s="235"/>
      <c r="I142" s="283" t="str">
        <f>IFERROR(H142*INDEX(Config!B:B,MATCH("Cout energie par lot (EUR)",Config!A:A,0))/60,"")</f>
        <v>#ERROR!</v>
      </c>
      <c r="J142" s="368" t="str">
        <f>IF(G142="","",IF(G142&gt;=INDEX(Config!B:B,MATCH("Autoclave temperature minimale (C)",Config!A:A,0)),"OK","Sous-temperature"))</f>
        <v>#ERROR!</v>
      </c>
      <c r="K142" s="240"/>
    </row>
    <row r="143">
      <c r="A143" s="301"/>
      <c r="B143" s="227"/>
      <c r="C143" s="227"/>
      <c r="D143" s="227"/>
      <c r="E143" s="227"/>
      <c r="F143" s="227"/>
      <c r="G143" s="227"/>
      <c r="H143" s="227"/>
      <c r="I143" s="281" t="str">
        <f>IFERROR(H143*INDEX(Config!B:B,MATCH("Cout energie par lot (EUR)",Config!A:A,0))/60,"")</f>
        <v>#ERROR!</v>
      </c>
      <c r="J143" s="367" t="str">
        <f>IF(G143="","",IF(G143&gt;=INDEX(Config!B:B,MATCH("Autoclave temperature minimale (C)",Config!A:A,0)),"OK","Sous-temperature"))</f>
        <v>#ERROR!</v>
      </c>
      <c r="K143" s="233"/>
    </row>
    <row r="144">
      <c r="A144" s="303"/>
      <c r="B144" s="235"/>
      <c r="C144" s="235"/>
      <c r="D144" s="235"/>
      <c r="E144" s="235"/>
      <c r="F144" s="235"/>
      <c r="G144" s="235"/>
      <c r="H144" s="235"/>
      <c r="I144" s="283" t="str">
        <f>IFERROR(H144*INDEX(Config!B:B,MATCH("Cout energie par lot (EUR)",Config!A:A,0))/60,"")</f>
        <v>#ERROR!</v>
      </c>
      <c r="J144" s="368" t="str">
        <f>IF(G144="","",IF(G144&gt;=INDEX(Config!B:B,MATCH("Autoclave temperature minimale (C)",Config!A:A,0)),"OK","Sous-temperature"))</f>
        <v>#ERROR!</v>
      </c>
      <c r="K144" s="240"/>
    </row>
    <row r="145">
      <c r="A145" s="301"/>
      <c r="B145" s="227"/>
      <c r="C145" s="227"/>
      <c r="D145" s="227"/>
      <c r="E145" s="227"/>
      <c r="F145" s="227"/>
      <c r="G145" s="227"/>
      <c r="H145" s="227"/>
      <c r="I145" s="281" t="str">
        <f>IFERROR(H145*INDEX(Config!B:B,MATCH("Cout energie par lot (EUR)",Config!A:A,0))/60,"")</f>
        <v>#ERROR!</v>
      </c>
      <c r="J145" s="367" t="str">
        <f>IF(G145="","",IF(G145&gt;=INDEX(Config!B:B,MATCH("Autoclave temperature minimale (C)",Config!A:A,0)),"OK","Sous-temperature"))</f>
        <v>#ERROR!</v>
      </c>
      <c r="K145" s="233"/>
    </row>
    <row r="146">
      <c r="A146" s="303"/>
      <c r="B146" s="235"/>
      <c r="C146" s="235"/>
      <c r="D146" s="235"/>
      <c r="E146" s="235"/>
      <c r="F146" s="235"/>
      <c r="G146" s="235"/>
      <c r="H146" s="235"/>
      <c r="I146" s="283" t="str">
        <f>IFERROR(H146*INDEX(Config!B:B,MATCH("Cout energie par lot (EUR)",Config!A:A,0))/60,"")</f>
        <v>#ERROR!</v>
      </c>
      <c r="J146" s="368" t="str">
        <f>IF(G146="","",IF(G146&gt;=INDEX(Config!B:B,MATCH("Autoclave temperature minimale (C)",Config!A:A,0)),"OK","Sous-temperature"))</f>
        <v>#ERROR!</v>
      </c>
      <c r="K146" s="240"/>
    </row>
    <row r="147">
      <c r="A147" s="301"/>
      <c r="B147" s="227"/>
      <c r="C147" s="227"/>
      <c r="D147" s="227"/>
      <c r="E147" s="227"/>
      <c r="F147" s="227"/>
      <c r="G147" s="227"/>
      <c r="H147" s="227"/>
      <c r="I147" s="281" t="str">
        <f>IFERROR(H147*INDEX(Config!B:B,MATCH("Cout energie par lot (EUR)",Config!A:A,0))/60,"")</f>
        <v>#ERROR!</v>
      </c>
      <c r="J147" s="367" t="str">
        <f>IF(G147="","",IF(G147&gt;=INDEX(Config!B:B,MATCH("Autoclave temperature minimale (C)",Config!A:A,0)),"OK","Sous-temperature"))</f>
        <v>#ERROR!</v>
      </c>
      <c r="K147" s="233"/>
    </row>
    <row r="148">
      <c r="A148" s="303"/>
      <c r="B148" s="235"/>
      <c r="C148" s="235"/>
      <c r="D148" s="235"/>
      <c r="E148" s="235"/>
      <c r="F148" s="235"/>
      <c r="G148" s="235"/>
      <c r="H148" s="235"/>
      <c r="I148" s="283" t="str">
        <f>IFERROR(H148*INDEX(Config!B:B,MATCH("Cout energie par lot (EUR)",Config!A:A,0))/60,"")</f>
        <v>#ERROR!</v>
      </c>
      <c r="J148" s="368" t="str">
        <f>IF(G148="","",IF(G148&gt;=INDEX(Config!B:B,MATCH("Autoclave temperature minimale (C)",Config!A:A,0)),"OK","Sous-temperature"))</f>
        <v>#ERROR!</v>
      </c>
      <c r="K148" s="240"/>
    </row>
    <row r="149">
      <c r="A149" s="301"/>
      <c r="B149" s="227"/>
      <c r="C149" s="227"/>
      <c r="D149" s="227"/>
      <c r="E149" s="227"/>
      <c r="F149" s="227"/>
      <c r="G149" s="227"/>
      <c r="H149" s="227"/>
      <c r="I149" s="281" t="str">
        <f>IFERROR(H149*INDEX(Config!B:B,MATCH("Cout energie par lot (EUR)",Config!A:A,0))/60,"")</f>
        <v>#ERROR!</v>
      </c>
      <c r="J149" s="367" t="str">
        <f>IF(G149="","",IF(G149&gt;=INDEX(Config!B:B,MATCH("Autoclave temperature minimale (C)",Config!A:A,0)),"OK","Sous-temperature"))</f>
        <v>#ERROR!</v>
      </c>
      <c r="K149" s="233"/>
    </row>
    <row r="150">
      <c r="A150" s="303"/>
      <c r="B150" s="235"/>
      <c r="C150" s="235"/>
      <c r="D150" s="235"/>
      <c r="E150" s="235"/>
      <c r="F150" s="235"/>
      <c r="G150" s="235"/>
      <c r="H150" s="235"/>
      <c r="I150" s="283" t="str">
        <f>IFERROR(H150*INDEX(Config!B:B,MATCH("Cout energie par lot (EUR)",Config!A:A,0))/60,"")</f>
        <v>#ERROR!</v>
      </c>
      <c r="J150" s="368" t="str">
        <f>IF(G150="","",IF(G150&gt;=INDEX(Config!B:B,MATCH("Autoclave temperature minimale (C)",Config!A:A,0)),"OK","Sous-temperature"))</f>
        <v>#ERROR!</v>
      </c>
      <c r="K150" s="240"/>
    </row>
    <row r="151">
      <c r="A151" s="301"/>
      <c r="B151" s="227"/>
      <c r="C151" s="227"/>
      <c r="D151" s="227"/>
      <c r="E151" s="227"/>
      <c r="F151" s="227"/>
      <c r="G151" s="227"/>
      <c r="H151" s="227"/>
      <c r="I151" s="281" t="str">
        <f>IFERROR(H151*INDEX(Config!B:B,MATCH("Cout energie par lot (EUR)",Config!A:A,0))/60,"")</f>
        <v>#ERROR!</v>
      </c>
      <c r="J151" s="367" t="str">
        <f>IF(G151="","",IF(G151&gt;=INDEX(Config!B:B,MATCH("Autoclave temperature minimale (C)",Config!A:A,0)),"OK","Sous-temperature"))</f>
        <v>#ERROR!</v>
      </c>
      <c r="K151" s="233"/>
    </row>
    <row r="152">
      <c r="A152" s="303"/>
      <c r="B152" s="235"/>
      <c r="C152" s="235"/>
      <c r="D152" s="235"/>
      <c r="E152" s="235"/>
      <c r="F152" s="235"/>
      <c r="G152" s="235"/>
      <c r="H152" s="235"/>
      <c r="I152" s="283" t="str">
        <f>IFERROR(H152*INDEX(Config!B:B,MATCH("Cout energie par lot (EUR)",Config!A:A,0))/60,"")</f>
        <v>#ERROR!</v>
      </c>
      <c r="J152" s="368" t="str">
        <f>IF(G152="","",IF(G152&gt;=INDEX(Config!B:B,MATCH("Autoclave temperature minimale (C)",Config!A:A,0)),"OK","Sous-temperature"))</f>
        <v>#ERROR!</v>
      </c>
      <c r="K152" s="240"/>
    </row>
    <row r="153">
      <c r="A153" s="301"/>
      <c r="B153" s="227"/>
      <c r="C153" s="227"/>
      <c r="D153" s="227"/>
      <c r="E153" s="227"/>
      <c r="F153" s="227"/>
      <c r="G153" s="227"/>
      <c r="H153" s="227"/>
      <c r="I153" s="281" t="str">
        <f>IFERROR(H153*INDEX(Config!B:B,MATCH("Cout energie par lot (EUR)",Config!A:A,0))/60,"")</f>
        <v>#ERROR!</v>
      </c>
      <c r="J153" s="367" t="str">
        <f>IF(G153="","",IF(G153&gt;=INDEX(Config!B:B,MATCH("Autoclave temperature minimale (C)",Config!A:A,0)),"OK","Sous-temperature"))</f>
        <v>#ERROR!</v>
      </c>
      <c r="K153" s="233"/>
    </row>
    <row r="154">
      <c r="A154" s="303"/>
      <c r="B154" s="235"/>
      <c r="C154" s="235"/>
      <c r="D154" s="235"/>
      <c r="E154" s="235"/>
      <c r="F154" s="235"/>
      <c r="G154" s="235"/>
      <c r="H154" s="235"/>
      <c r="I154" s="283" t="str">
        <f>IFERROR(H154*INDEX(Config!B:B,MATCH("Cout energie par lot (EUR)",Config!A:A,0))/60,"")</f>
        <v>#ERROR!</v>
      </c>
      <c r="J154" s="368" t="str">
        <f>IF(G154="","",IF(G154&gt;=INDEX(Config!B:B,MATCH("Autoclave temperature minimale (C)",Config!A:A,0)),"OK","Sous-temperature"))</f>
        <v>#ERROR!</v>
      </c>
      <c r="K154" s="240"/>
    </row>
    <row r="155">
      <c r="A155" s="301"/>
      <c r="B155" s="227"/>
      <c r="C155" s="227"/>
      <c r="D155" s="227"/>
      <c r="E155" s="227"/>
      <c r="F155" s="227"/>
      <c r="G155" s="227"/>
      <c r="H155" s="227"/>
      <c r="I155" s="281" t="str">
        <f>IFERROR(H155*INDEX(Config!B:B,MATCH("Cout energie par lot (EUR)",Config!A:A,0))/60,"")</f>
        <v>#ERROR!</v>
      </c>
      <c r="J155" s="367" t="str">
        <f>IF(G155="","",IF(G155&gt;=INDEX(Config!B:B,MATCH("Autoclave temperature minimale (C)",Config!A:A,0)),"OK","Sous-temperature"))</f>
        <v>#ERROR!</v>
      </c>
      <c r="K155" s="233"/>
    </row>
    <row r="156">
      <c r="A156" s="303"/>
      <c r="B156" s="235"/>
      <c r="C156" s="235"/>
      <c r="D156" s="235"/>
      <c r="E156" s="235"/>
      <c r="F156" s="235"/>
      <c r="G156" s="235"/>
      <c r="H156" s="235"/>
      <c r="I156" s="283" t="str">
        <f>IFERROR(H156*INDEX(Config!B:B,MATCH("Cout energie par lot (EUR)",Config!A:A,0))/60,"")</f>
        <v>#ERROR!</v>
      </c>
      <c r="J156" s="368" t="str">
        <f>IF(G156="","",IF(G156&gt;=INDEX(Config!B:B,MATCH("Autoclave temperature minimale (C)",Config!A:A,0)),"OK","Sous-temperature"))</f>
        <v>#ERROR!</v>
      </c>
      <c r="K156" s="240"/>
    </row>
    <row r="157">
      <c r="A157" s="301"/>
      <c r="B157" s="227"/>
      <c r="C157" s="227"/>
      <c r="D157" s="227"/>
      <c r="E157" s="227"/>
      <c r="F157" s="227"/>
      <c r="G157" s="227"/>
      <c r="H157" s="227"/>
      <c r="I157" s="281" t="str">
        <f>IFERROR(H157*INDEX(Config!B:B,MATCH("Cout energie par lot (EUR)",Config!A:A,0))/60,"")</f>
        <v>#ERROR!</v>
      </c>
      <c r="J157" s="367" t="str">
        <f>IF(G157="","",IF(G157&gt;=INDEX(Config!B:B,MATCH("Autoclave temperature minimale (C)",Config!A:A,0)),"OK","Sous-temperature"))</f>
        <v>#ERROR!</v>
      </c>
      <c r="K157" s="233"/>
    </row>
    <row r="158">
      <c r="A158" s="303"/>
      <c r="B158" s="235"/>
      <c r="C158" s="235"/>
      <c r="D158" s="235"/>
      <c r="E158" s="235"/>
      <c r="F158" s="235"/>
      <c r="G158" s="235"/>
      <c r="H158" s="235"/>
      <c r="I158" s="283" t="str">
        <f>IFERROR(H158*INDEX(Config!B:B,MATCH("Cout energie par lot (EUR)",Config!A:A,0))/60,"")</f>
        <v>#ERROR!</v>
      </c>
      <c r="J158" s="368" t="str">
        <f>IF(G158="","",IF(G158&gt;=INDEX(Config!B:B,MATCH("Autoclave temperature minimale (C)",Config!A:A,0)),"OK","Sous-temperature"))</f>
        <v>#ERROR!</v>
      </c>
      <c r="K158" s="240"/>
    </row>
    <row r="159">
      <c r="A159" s="301"/>
      <c r="B159" s="227"/>
      <c r="C159" s="227"/>
      <c r="D159" s="227"/>
      <c r="E159" s="227"/>
      <c r="F159" s="227"/>
      <c r="G159" s="227"/>
      <c r="H159" s="227"/>
      <c r="I159" s="281" t="str">
        <f>IFERROR(H159*INDEX(Config!B:B,MATCH("Cout energie par lot (EUR)",Config!A:A,0))/60,"")</f>
        <v>#ERROR!</v>
      </c>
      <c r="J159" s="367" t="str">
        <f>IF(G159="","",IF(G159&gt;=INDEX(Config!B:B,MATCH("Autoclave temperature minimale (C)",Config!A:A,0)),"OK","Sous-temperature"))</f>
        <v>#ERROR!</v>
      </c>
      <c r="K159" s="233"/>
    </row>
    <row r="160">
      <c r="A160" s="303"/>
      <c r="B160" s="235"/>
      <c r="C160" s="235"/>
      <c r="D160" s="235"/>
      <c r="E160" s="235"/>
      <c r="F160" s="235"/>
      <c r="G160" s="235"/>
      <c r="H160" s="235"/>
      <c r="I160" s="283" t="str">
        <f>IFERROR(H160*INDEX(Config!B:B,MATCH("Cout energie par lot (EUR)",Config!A:A,0))/60,"")</f>
        <v>#ERROR!</v>
      </c>
      <c r="J160" s="368" t="str">
        <f>IF(G160="","",IF(G160&gt;=INDEX(Config!B:B,MATCH("Autoclave temperature minimale (C)",Config!A:A,0)),"OK","Sous-temperature"))</f>
        <v>#ERROR!</v>
      </c>
      <c r="K160" s="240"/>
    </row>
    <row r="161">
      <c r="A161" s="301"/>
      <c r="B161" s="227"/>
      <c r="C161" s="227"/>
      <c r="D161" s="227"/>
      <c r="E161" s="227"/>
      <c r="F161" s="227"/>
      <c r="G161" s="227"/>
      <c r="H161" s="227"/>
      <c r="I161" s="281" t="str">
        <f>IFERROR(H161*INDEX(Config!B:B,MATCH("Cout energie par lot (EUR)",Config!A:A,0))/60,"")</f>
        <v>#ERROR!</v>
      </c>
      <c r="J161" s="367" t="str">
        <f>IF(G161="","",IF(G161&gt;=INDEX(Config!B:B,MATCH("Autoclave temperature minimale (C)",Config!A:A,0)),"OK","Sous-temperature"))</f>
        <v>#ERROR!</v>
      </c>
      <c r="K161" s="233"/>
    </row>
    <row r="162">
      <c r="A162" s="303"/>
      <c r="B162" s="235"/>
      <c r="C162" s="235"/>
      <c r="D162" s="235"/>
      <c r="E162" s="235"/>
      <c r="F162" s="235"/>
      <c r="G162" s="235"/>
      <c r="H162" s="235"/>
      <c r="I162" s="283" t="str">
        <f>IFERROR(H162*INDEX(Config!B:B,MATCH("Cout energie par lot (EUR)",Config!A:A,0))/60,"")</f>
        <v>#ERROR!</v>
      </c>
      <c r="J162" s="368" t="str">
        <f>IF(G162="","",IF(G162&gt;=INDEX(Config!B:B,MATCH("Autoclave temperature minimale (C)",Config!A:A,0)),"OK","Sous-temperature"))</f>
        <v>#ERROR!</v>
      </c>
      <c r="K162" s="240"/>
    </row>
    <row r="163">
      <c r="A163" s="301"/>
      <c r="B163" s="227"/>
      <c r="C163" s="227"/>
      <c r="D163" s="227"/>
      <c r="E163" s="227"/>
      <c r="F163" s="227"/>
      <c r="G163" s="227"/>
      <c r="H163" s="227"/>
      <c r="I163" s="281" t="str">
        <f>IFERROR(H163*INDEX(Config!B:B,MATCH("Cout energie par lot (EUR)",Config!A:A,0))/60,"")</f>
        <v>#ERROR!</v>
      </c>
      <c r="J163" s="367" t="str">
        <f>IF(G163="","",IF(G163&gt;=INDEX(Config!B:B,MATCH("Autoclave temperature minimale (C)",Config!A:A,0)),"OK","Sous-temperature"))</f>
        <v>#ERROR!</v>
      </c>
      <c r="K163" s="233"/>
    </row>
    <row r="164">
      <c r="A164" s="303"/>
      <c r="B164" s="235"/>
      <c r="C164" s="235"/>
      <c r="D164" s="235"/>
      <c r="E164" s="235"/>
      <c r="F164" s="235"/>
      <c r="G164" s="235"/>
      <c r="H164" s="235"/>
      <c r="I164" s="283" t="str">
        <f>IFERROR(H164*INDEX(Config!B:B,MATCH("Cout energie par lot (EUR)",Config!A:A,0))/60,"")</f>
        <v>#ERROR!</v>
      </c>
      <c r="J164" s="368" t="str">
        <f>IF(G164="","",IF(G164&gt;=INDEX(Config!B:B,MATCH("Autoclave temperature minimale (C)",Config!A:A,0)),"OK","Sous-temperature"))</f>
        <v>#ERROR!</v>
      </c>
      <c r="K164" s="240"/>
    </row>
    <row r="165">
      <c r="A165" s="301"/>
      <c r="B165" s="227"/>
      <c r="C165" s="227"/>
      <c r="D165" s="227"/>
      <c r="E165" s="227"/>
      <c r="F165" s="227"/>
      <c r="G165" s="227"/>
      <c r="H165" s="227"/>
      <c r="I165" s="281" t="str">
        <f>IFERROR(H165*INDEX(Config!B:B,MATCH("Cout energie par lot (EUR)",Config!A:A,0))/60,"")</f>
        <v>#ERROR!</v>
      </c>
      <c r="J165" s="367" t="str">
        <f>IF(G165="","",IF(G165&gt;=INDEX(Config!B:B,MATCH("Autoclave temperature minimale (C)",Config!A:A,0)),"OK","Sous-temperature"))</f>
        <v>#ERROR!</v>
      </c>
      <c r="K165" s="233"/>
    </row>
    <row r="166">
      <c r="A166" s="303"/>
      <c r="B166" s="235"/>
      <c r="C166" s="235"/>
      <c r="D166" s="235"/>
      <c r="E166" s="235"/>
      <c r="F166" s="235"/>
      <c r="G166" s="235"/>
      <c r="H166" s="235"/>
      <c r="I166" s="283" t="str">
        <f>IFERROR(H166*INDEX(Config!B:B,MATCH("Cout energie par lot (EUR)",Config!A:A,0))/60,"")</f>
        <v>#ERROR!</v>
      </c>
      <c r="J166" s="368" t="str">
        <f>IF(G166="","",IF(G166&gt;=INDEX(Config!B:B,MATCH("Autoclave temperature minimale (C)",Config!A:A,0)),"OK","Sous-temperature"))</f>
        <v>#ERROR!</v>
      </c>
      <c r="K166" s="240"/>
    </row>
    <row r="167">
      <c r="A167" s="301"/>
      <c r="B167" s="227"/>
      <c r="C167" s="227"/>
      <c r="D167" s="227"/>
      <c r="E167" s="227"/>
      <c r="F167" s="227"/>
      <c r="G167" s="227"/>
      <c r="H167" s="227"/>
      <c r="I167" s="281" t="str">
        <f>IFERROR(H167*INDEX(Config!B:B,MATCH("Cout energie par lot (EUR)",Config!A:A,0))/60,"")</f>
        <v>#ERROR!</v>
      </c>
      <c r="J167" s="367" t="str">
        <f>IF(G167="","",IF(G167&gt;=INDEX(Config!B:B,MATCH("Autoclave temperature minimale (C)",Config!A:A,0)),"OK","Sous-temperature"))</f>
        <v>#ERROR!</v>
      </c>
      <c r="K167" s="233"/>
    </row>
    <row r="168">
      <c r="A168" s="303"/>
      <c r="B168" s="235"/>
      <c r="C168" s="235"/>
      <c r="D168" s="235"/>
      <c r="E168" s="235"/>
      <c r="F168" s="235"/>
      <c r="G168" s="235"/>
      <c r="H168" s="235"/>
      <c r="I168" s="283" t="str">
        <f>IFERROR(H168*INDEX(Config!B:B,MATCH("Cout energie par lot (EUR)",Config!A:A,0))/60,"")</f>
        <v>#ERROR!</v>
      </c>
      <c r="J168" s="368" t="str">
        <f>IF(G168="","",IF(G168&gt;=INDEX(Config!B:B,MATCH("Autoclave temperature minimale (C)",Config!A:A,0)),"OK","Sous-temperature"))</f>
        <v>#ERROR!</v>
      </c>
      <c r="K168" s="240"/>
    </row>
    <row r="169">
      <c r="A169" s="301"/>
      <c r="B169" s="227"/>
      <c r="C169" s="227"/>
      <c r="D169" s="227"/>
      <c r="E169" s="227"/>
      <c r="F169" s="227"/>
      <c r="G169" s="227"/>
      <c r="H169" s="227"/>
      <c r="I169" s="281" t="str">
        <f>IFERROR(H169*INDEX(Config!B:B,MATCH("Cout energie par lot (EUR)",Config!A:A,0))/60,"")</f>
        <v>#ERROR!</v>
      </c>
      <c r="J169" s="367" t="str">
        <f>IF(G169="","",IF(G169&gt;=INDEX(Config!B:B,MATCH("Autoclave temperature minimale (C)",Config!A:A,0)),"OK","Sous-temperature"))</f>
        <v>#ERROR!</v>
      </c>
      <c r="K169" s="233"/>
    </row>
    <row r="170">
      <c r="A170" s="303"/>
      <c r="B170" s="235"/>
      <c r="C170" s="235"/>
      <c r="D170" s="235"/>
      <c r="E170" s="235"/>
      <c r="F170" s="235"/>
      <c r="G170" s="235"/>
      <c r="H170" s="235"/>
      <c r="I170" s="283" t="str">
        <f>IFERROR(H170*INDEX(Config!B:B,MATCH("Cout energie par lot (EUR)",Config!A:A,0))/60,"")</f>
        <v>#ERROR!</v>
      </c>
      <c r="J170" s="368" t="str">
        <f>IF(G170="","",IF(G170&gt;=INDEX(Config!B:B,MATCH("Autoclave temperature minimale (C)",Config!A:A,0)),"OK","Sous-temperature"))</f>
        <v>#ERROR!</v>
      </c>
      <c r="K170" s="240"/>
    </row>
    <row r="171">
      <c r="A171" s="301"/>
      <c r="B171" s="227"/>
      <c r="C171" s="227"/>
      <c r="D171" s="227"/>
      <c r="E171" s="227"/>
      <c r="F171" s="227"/>
      <c r="G171" s="227"/>
      <c r="H171" s="227"/>
      <c r="I171" s="281" t="str">
        <f>IFERROR(H171*INDEX(Config!B:B,MATCH("Cout energie par lot (EUR)",Config!A:A,0))/60,"")</f>
        <v>#ERROR!</v>
      </c>
      <c r="J171" s="367" t="str">
        <f>IF(G171="","",IF(G171&gt;=INDEX(Config!B:B,MATCH("Autoclave temperature minimale (C)",Config!A:A,0)),"OK","Sous-temperature"))</f>
        <v>#ERROR!</v>
      </c>
      <c r="K171" s="233"/>
    </row>
    <row r="172">
      <c r="A172" s="303"/>
      <c r="B172" s="235"/>
      <c r="C172" s="235"/>
      <c r="D172" s="235"/>
      <c r="E172" s="235"/>
      <c r="F172" s="235"/>
      <c r="G172" s="235"/>
      <c r="H172" s="235"/>
      <c r="I172" s="283" t="str">
        <f>IFERROR(H172*INDEX(Config!B:B,MATCH("Cout energie par lot (EUR)",Config!A:A,0))/60,"")</f>
        <v>#ERROR!</v>
      </c>
      <c r="J172" s="368" t="str">
        <f>IF(G172="","",IF(G172&gt;=INDEX(Config!B:B,MATCH("Autoclave temperature minimale (C)",Config!A:A,0)),"OK","Sous-temperature"))</f>
        <v>#ERROR!</v>
      </c>
      <c r="K172" s="240"/>
    </row>
    <row r="173">
      <c r="A173" s="301"/>
      <c r="B173" s="227"/>
      <c r="C173" s="227"/>
      <c r="D173" s="227"/>
      <c r="E173" s="227"/>
      <c r="F173" s="227"/>
      <c r="G173" s="227"/>
      <c r="H173" s="227"/>
      <c r="I173" s="281" t="str">
        <f>IFERROR(H173*INDEX(Config!B:B,MATCH("Cout energie par lot (EUR)",Config!A:A,0))/60,"")</f>
        <v>#ERROR!</v>
      </c>
      <c r="J173" s="367" t="str">
        <f>IF(G173="","",IF(G173&gt;=INDEX(Config!B:B,MATCH("Autoclave temperature minimale (C)",Config!A:A,0)),"OK","Sous-temperature"))</f>
        <v>#ERROR!</v>
      </c>
      <c r="K173" s="233"/>
    </row>
    <row r="174">
      <c r="A174" s="303"/>
      <c r="B174" s="235"/>
      <c r="C174" s="235"/>
      <c r="D174" s="235"/>
      <c r="E174" s="235"/>
      <c r="F174" s="235"/>
      <c r="G174" s="235"/>
      <c r="H174" s="235"/>
      <c r="I174" s="283" t="str">
        <f>IFERROR(H174*INDEX(Config!B:B,MATCH("Cout energie par lot (EUR)",Config!A:A,0))/60,"")</f>
        <v>#ERROR!</v>
      </c>
      <c r="J174" s="368" t="str">
        <f>IF(G174="","",IF(G174&gt;=INDEX(Config!B:B,MATCH("Autoclave temperature minimale (C)",Config!A:A,0)),"OK","Sous-temperature"))</f>
        <v>#ERROR!</v>
      </c>
      <c r="K174" s="240"/>
    </row>
    <row r="175">
      <c r="A175" s="301"/>
      <c r="B175" s="227"/>
      <c r="C175" s="227"/>
      <c r="D175" s="227"/>
      <c r="E175" s="227"/>
      <c r="F175" s="227"/>
      <c r="G175" s="227"/>
      <c r="H175" s="227"/>
      <c r="I175" s="281" t="str">
        <f>IFERROR(H175*INDEX(Config!B:B,MATCH("Cout energie par lot (EUR)",Config!A:A,0))/60,"")</f>
        <v>#ERROR!</v>
      </c>
      <c r="J175" s="367" t="str">
        <f>IF(G175="","",IF(G175&gt;=INDEX(Config!B:B,MATCH("Autoclave temperature minimale (C)",Config!A:A,0)),"OK","Sous-temperature"))</f>
        <v>#ERROR!</v>
      </c>
      <c r="K175" s="233"/>
    </row>
    <row r="176">
      <c r="A176" s="303"/>
      <c r="B176" s="235"/>
      <c r="C176" s="235"/>
      <c r="D176" s="235"/>
      <c r="E176" s="235"/>
      <c r="F176" s="235"/>
      <c r="G176" s="235"/>
      <c r="H176" s="235"/>
      <c r="I176" s="283" t="str">
        <f>IFERROR(H176*INDEX(Config!B:B,MATCH("Cout energie par lot (EUR)",Config!A:A,0))/60,"")</f>
        <v>#ERROR!</v>
      </c>
      <c r="J176" s="368" t="str">
        <f>IF(G176="","",IF(G176&gt;=INDEX(Config!B:B,MATCH("Autoclave temperature minimale (C)",Config!A:A,0)),"OK","Sous-temperature"))</f>
        <v>#ERROR!</v>
      </c>
      <c r="K176" s="240"/>
    </row>
    <row r="177">
      <c r="A177" s="301"/>
      <c r="B177" s="227"/>
      <c r="C177" s="227"/>
      <c r="D177" s="227"/>
      <c r="E177" s="227"/>
      <c r="F177" s="227"/>
      <c r="G177" s="227"/>
      <c r="H177" s="227"/>
      <c r="I177" s="281" t="str">
        <f>IFERROR(H177*INDEX(Config!B:B,MATCH("Cout energie par lot (EUR)",Config!A:A,0))/60,"")</f>
        <v>#ERROR!</v>
      </c>
      <c r="J177" s="367" t="str">
        <f>IF(G177="","",IF(G177&gt;=INDEX(Config!B:B,MATCH("Autoclave temperature minimale (C)",Config!A:A,0)),"OK","Sous-temperature"))</f>
        <v>#ERROR!</v>
      </c>
      <c r="K177" s="233"/>
    </row>
    <row r="178">
      <c r="A178" s="303"/>
      <c r="B178" s="235"/>
      <c r="C178" s="235"/>
      <c r="D178" s="235"/>
      <c r="E178" s="235"/>
      <c r="F178" s="235"/>
      <c r="G178" s="235"/>
      <c r="H178" s="235"/>
      <c r="I178" s="283" t="str">
        <f>IFERROR(H178*INDEX(Config!B:B,MATCH("Cout energie par lot (EUR)",Config!A:A,0))/60,"")</f>
        <v>#ERROR!</v>
      </c>
      <c r="J178" s="368" t="str">
        <f>IF(G178="","",IF(G178&gt;=INDEX(Config!B:B,MATCH("Autoclave temperature minimale (C)",Config!A:A,0)),"OK","Sous-temperature"))</f>
        <v>#ERROR!</v>
      </c>
      <c r="K178" s="240"/>
    </row>
    <row r="179">
      <c r="A179" s="301"/>
      <c r="B179" s="227"/>
      <c r="C179" s="227"/>
      <c r="D179" s="227"/>
      <c r="E179" s="227"/>
      <c r="F179" s="227"/>
      <c r="G179" s="227"/>
      <c r="H179" s="227"/>
      <c r="I179" s="281" t="str">
        <f>IFERROR(H179*INDEX(Config!B:B,MATCH("Cout energie par lot (EUR)",Config!A:A,0))/60,"")</f>
        <v>#ERROR!</v>
      </c>
      <c r="J179" s="367" t="str">
        <f>IF(G179="","",IF(G179&gt;=INDEX(Config!B:B,MATCH("Autoclave temperature minimale (C)",Config!A:A,0)),"OK","Sous-temperature"))</f>
        <v>#ERROR!</v>
      </c>
      <c r="K179" s="233"/>
    </row>
    <row r="180">
      <c r="A180" s="303"/>
      <c r="B180" s="235"/>
      <c r="C180" s="235"/>
      <c r="D180" s="235"/>
      <c r="E180" s="235"/>
      <c r="F180" s="235"/>
      <c r="G180" s="235"/>
      <c r="H180" s="235"/>
      <c r="I180" s="283" t="str">
        <f>IFERROR(H180*INDEX(Config!B:B,MATCH("Cout energie par lot (EUR)",Config!A:A,0))/60,"")</f>
        <v>#ERROR!</v>
      </c>
      <c r="J180" s="368" t="str">
        <f>IF(G180="","",IF(G180&gt;=INDEX(Config!B:B,MATCH("Autoclave temperature minimale (C)",Config!A:A,0)),"OK","Sous-temperature"))</f>
        <v>#ERROR!</v>
      </c>
      <c r="K180" s="240"/>
    </row>
    <row r="181">
      <c r="A181" s="301"/>
      <c r="B181" s="227"/>
      <c r="C181" s="227"/>
      <c r="D181" s="227"/>
      <c r="E181" s="227"/>
      <c r="F181" s="227"/>
      <c r="G181" s="227"/>
      <c r="H181" s="227"/>
      <c r="I181" s="281" t="str">
        <f>IFERROR(H181*INDEX(Config!B:B,MATCH("Cout energie par lot (EUR)",Config!A:A,0))/60,"")</f>
        <v>#ERROR!</v>
      </c>
      <c r="J181" s="367" t="str">
        <f>IF(G181="","",IF(G181&gt;=INDEX(Config!B:B,MATCH("Autoclave temperature minimale (C)",Config!A:A,0)),"OK","Sous-temperature"))</f>
        <v>#ERROR!</v>
      </c>
      <c r="K181" s="233"/>
    </row>
    <row r="182">
      <c r="A182" s="303"/>
      <c r="B182" s="235"/>
      <c r="C182" s="235"/>
      <c r="D182" s="235"/>
      <c r="E182" s="235"/>
      <c r="F182" s="235"/>
      <c r="G182" s="235"/>
      <c r="H182" s="235"/>
      <c r="I182" s="283" t="str">
        <f>IFERROR(H182*INDEX(Config!B:B,MATCH("Cout energie par lot (EUR)",Config!A:A,0))/60,"")</f>
        <v>#ERROR!</v>
      </c>
      <c r="J182" s="368" t="str">
        <f>IF(G182="","",IF(G182&gt;=INDEX(Config!B:B,MATCH("Autoclave temperature minimale (C)",Config!A:A,0)),"OK","Sous-temperature"))</f>
        <v>#ERROR!</v>
      </c>
      <c r="K182" s="240"/>
    </row>
    <row r="183">
      <c r="A183" s="301"/>
      <c r="B183" s="227"/>
      <c r="C183" s="227"/>
      <c r="D183" s="227"/>
      <c r="E183" s="227"/>
      <c r="F183" s="227"/>
      <c r="G183" s="227"/>
      <c r="H183" s="227"/>
      <c r="I183" s="281" t="str">
        <f>IFERROR(H183*INDEX(Config!B:B,MATCH("Cout energie par lot (EUR)",Config!A:A,0))/60,"")</f>
        <v>#ERROR!</v>
      </c>
      <c r="J183" s="367" t="str">
        <f>IF(G183="","",IF(G183&gt;=INDEX(Config!B:B,MATCH("Autoclave temperature minimale (C)",Config!A:A,0)),"OK","Sous-temperature"))</f>
        <v>#ERROR!</v>
      </c>
      <c r="K183" s="233"/>
    </row>
    <row r="184">
      <c r="A184" s="303"/>
      <c r="B184" s="235"/>
      <c r="C184" s="235"/>
      <c r="D184" s="235"/>
      <c r="E184" s="235"/>
      <c r="F184" s="235"/>
      <c r="G184" s="235"/>
      <c r="H184" s="235"/>
      <c r="I184" s="283" t="str">
        <f>IFERROR(H184*INDEX(Config!B:B,MATCH("Cout energie par lot (EUR)",Config!A:A,0))/60,"")</f>
        <v>#ERROR!</v>
      </c>
      <c r="J184" s="368" t="str">
        <f>IF(G184="","",IF(G184&gt;=INDEX(Config!B:B,MATCH("Autoclave temperature minimale (C)",Config!A:A,0)),"OK","Sous-temperature"))</f>
        <v>#ERROR!</v>
      </c>
      <c r="K184" s="240"/>
    </row>
    <row r="185">
      <c r="A185" s="301"/>
      <c r="B185" s="227"/>
      <c r="C185" s="227"/>
      <c r="D185" s="227"/>
      <c r="E185" s="227"/>
      <c r="F185" s="227"/>
      <c r="G185" s="227"/>
      <c r="H185" s="227"/>
      <c r="I185" s="281" t="str">
        <f>IFERROR(H185*INDEX(Config!B:B,MATCH("Cout energie par lot (EUR)",Config!A:A,0))/60,"")</f>
        <v>#ERROR!</v>
      </c>
      <c r="J185" s="367" t="str">
        <f>IF(G185="","",IF(G185&gt;=INDEX(Config!B:B,MATCH("Autoclave temperature minimale (C)",Config!A:A,0)),"OK","Sous-temperature"))</f>
        <v>#ERROR!</v>
      </c>
      <c r="K185" s="233"/>
    </row>
    <row r="186">
      <c r="A186" s="303"/>
      <c r="B186" s="235"/>
      <c r="C186" s="235"/>
      <c r="D186" s="235"/>
      <c r="E186" s="235"/>
      <c r="F186" s="235"/>
      <c r="G186" s="235"/>
      <c r="H186" s="235"/>
      <c r="I186" s="283" t="str">
        <f>IFERROR(H186*INDEX(Config!B:B,MATCH("Cout energie par lot (EUR)",Config!A:A,0))/60,"")</f>
        <v>#ERROR!</v>
      </c>
      <c r="J186" s="368" t="str">
        <f>IF(G186="","",IF(G186&gt;=INDEX(Config!B:B,MATCH("Autoclave temperature minimale (C)",Config!A:A,0)),"OK","Sous-temperature"))</f>
        <v>#ERROR!</v>
      </c>
      <c r="K186" s="240"/>
    </row>
    <row r="187">
      <c r="A187" s="301"/>
      <c r="B187" s="227"/>
      <c r="C187" s="227"/>
      <c r="D187" s="227"/>
      <c r="E187" s="227"/>
      <c r="F187" s="227"/>
      <c r="G187" s="227"/>
      <c r="H187" s="227"/>
      <c r="I187" s="281" t="str">
        <f>IFERROR(H187*INDEX(Config!B:B,MATCH("Cout energie par lot (EUR)",Config!A:A,0))/60,"")</f>
        <v>#ERROR!</v>
      </c>
      <c r="J187" s="367" t="str">
        <f>IF(G187="","",IF(G187&gt;=INDEX(Config!B:B,MATCH("Autoclave temperature minimale (C)",Config!A:A,0)),"OK","Sous-temperature"))</f>
        <v>#ERROR!</v>
      </c>
      <c r="K187" s="233"/>
    </row>
    <row r="188">
      <c r="A188" s="303"/>
      <c r="B188" s="235"/>
      <c r="C188" s="235"/>
      <c r="D188" s="235"/>
      <c r="E188" s="235"/>
      <c r="F188" s="235"/>
      <c r="G188" s="235"/>
      <c r="H188" s="235"/>
      <c r="I188" s="283" t="str">
        <f>IFERROR(H188*INDEX(Config!B:B,MATCH("Cout energie par lot (EUR)",Config!A:A,0))/60,"")</f>
        <v>#ERROR!</v>
      </c>
      <c r="J188" s="368" t="str">
        <f>IF(G188="","",IF(G188&gt;=INDEX(Config!B:B,MATCH("Autoclave temperature minimale (C)",Config!A:A,0)),"OK","Sous-temperature"))</f>
        <v>#ERROR!</v>
      </c>
      <c r="K188" s="240"/>
    </row>
    <row r="189">
      <c r="A189" s="301"/>
      <c r="B189" s="227"/>
      <c r="C189" s="227"/>
      <c r="D189" s="227"/>
      <c r="E189" s="227"/>
      <c r="F189" s="227"/>
      <c r="G189" s="227"/>
      <c r="H189" s="227"/>
      <c r="I189" s="281" t="str">
        <f>IFERROR(H189*INDEX(Config!B:B,MATCH("Cout energie par lot (EUR)",Config!A:A,0))/60,"")</f>
        <v>#ERROR!</v>
      </c>
      <c r="J189" s="367" t="str">
        <f>IF(G189="","",IF(G189&gt;=INDEX(Config!B:B,MATCH("Autoclave temperature minimale (C)",Config!A:A,0)),"OK","Sous-temperature"))</f>
        <v>#ERROR!</v>
      </c>
      <c r="K189" s="233"/>
    </row>
    <row r="190">
      <c r="A190" s="303"/>
      <c r="B190" s="235"/>
      <c r="C190" s="235"/>
      <c r="D190" s="235"/>
      <c r="E190" s="235"/>
      <c r="F190" s="235"/>
      <c r="G190" s="235"/>
      <c r="H190" s="235"/>
      <c r="I190" s="283" t="str">
        <f>IFERROR(H190*INDEX(Config!B:B,MATCH("Cout energie par lot (EUR)",Config!A:A,0))/60,"")</f>
        <v>#ERROR!</v>
      </c>
      <c r="J190" s="368" t="str">
        <f>IF(G190="","",IF(G190&gt;=INDEX(Config!B:B,MATCH("Autoclave temperature minimale (C)",Config!A:A,0)),"OK","Sous-temperature"))</f>
        <v>#ERROR!</v>
      </c>
      <c r="K190" s="240"/>
    </row>
    <row r="191">
      <c r="A191" s="301"/>
      <c r="B191" s="227"/>
      <c r="C191" s="227"/>
      <c r="D191" s="227"/>
      <c r="E191" s="227"/>
      <c r="F191" s="227"/>
      <c r="G191" s="227"/>
      <c r="H191" s="227"/>
      <c r="I191" s="281" t="str">
        <f>IFERROR(H191*INDEX(Config!B:B,MATCH("Cout energie par lot (EUR)",Config!A:A,0))/60,"")</f>
        <v>#ERROR!</v>
      </c>
      <c r="J191" s="367" t="str">
        <f>IF(G191="","",IF(G191&gt;=INDEX(Config!B:B,MATCH("Autoclave temperature minimale (C)",Config!A:A,0)),"OK","Sous-temperature"))</f>
        <v>#ERROR!</v>
      </c>
      <c r="K191" s="233"/>
    </row>
    <row r="192">
      <c r="A192" s="303"/>
      <c r="B192" s="235"/>
      <c r="C192" s="235"/>
      <c r="D192" s="235"/>
      <c r="E192" s="235"/>
      <c r="F192" s="235"/>
      <c r="G192" s="235"/>
      <c r="H192" s="235"/>
      <c r="I192" s="283" t="str">
        <f>IFERROR(H192*INDEX(Config!B:B,MATCH("Cout energie par lot (EUR)",Config!A:A,0))/60,"")</f>
        <v>#ERROR!</v>
      </c>
      <c r="J192" s="368" t="str">
        <f>IF(G192="","",IF(G192&gt;=INDEX(Config!B:B,MATCH("Autoclave temperature minimale (C)",Config!A:A,0)),"OK","Sous-temperature"))</f>
        <v>#ERROR!</v>
      </c>
      <c r="K192" s="240"/>
    </row>
    <row r="193">
      <c r="A193" s="301"/>
      <c r="B193" s="227"/>
      <c r="C193" s="227"/>
      <c r="D193" s="227"/>
      <c r="E193" s="227"/>
      <c r="F193" s="227"/>
      <c r="G193" s="227"/>
      <c r="H193" s="227"/>
      <c r="I193" s="281" t="str">
        <f>IFERROR(H193*INDEX(Config!B:B,MATCH("Cout energie par lot (EUR)",Config!A:A,0))/60,"")</f>
        <v>#ERROR!</v>
      </c>
      <c r="J193" s="367" t="str">
        <f>IF(G193="","",IF(G193&gt;=INDEX(Config!B:B,MATCH("Autoclave temperature minimale (C)",Config!A:A,0)),"OK","Sous-temperature"))</f>
        <v>#ERROR!</v>
      </c>
      <c r="K193" s="233"/>
    </row>
    <row r="194">
      <c r="A194" s="303"/>
      <c r="B194" s="235"/>
      <c r="C194" s="235"/>
      <c r="D194" s="235"/>
      <c r="E194" s="235"/>
      <c r="F194" s="235"/>
      <c r="G194" s="235"/>
      <c r="H194" s="235"/>
      <c r="I194" s="283" t="str">
        <f>IFERROR(H194*INDEX(Config!B:B,MATCH("Cout energie par lot (EUR)",Config!A:A,0))/60,"")</f>
        <v>#ERROR!</v>
      </c>
      <c r="J194" s="368" t="str">
        <f>IF(G194="","",IF(G194&gt;=INDEX(Config!B:B,MATCH("Autoclave temperature minimale (C)",Config!A:A,0)),"OK","Sous-temperature"))</f>
        <v>#ERROR!</v>
      </c>
      <c r="K194" s="240"/>
    </row>
    <row r="195">
      <c r="A195" s="301"/>
      <c r="B195" s="227"/>
      <c r="C195" s="227"/>
      <c r="D195" s="227"/>
      <c r="E195" s="227"/>
      <c r="F195" s="227"/>
      <c r="G195" s="227"/>
      <c r="H195" s="227"/>
      <c r="I195" s="281" t="str">
        <f>IFERROR(H195*INDEX(Config!B:B,MATCH("Cout energie par lot (EUR)",Config!A:A,0))/60,"")</f>
        <v>#ERROR!</v>
      </c>
      <c r="J195" s="367" t="str">
        <f>IF(G195="","",IF(G195&gt;=INDEX(Config!B:B,MATCH("Autoclave temperature minimale (C)",Config!A:A,0)),"OK","Sous-temperature"))</f>
        <v>#ERROR!</v>
      </c>
      <c r="K195" s="233"/>
    </row>
    <row r="196">
      <c r="A196" s="303"/>
      <c r="B196" s="235"/>
      <c r="C196" s="235"/>
      <c r="D196" s="235"/>
      <c r="E196" s="235"/>
      <c r="F196" s="235"/>
      <c r="G196" s="235"/>
      <c r="H196" s="235"/>
      <c r="I196" s="283" t="str">
        <f>IFERROR(H196*INDEX(Config!B:B,MATCH("Cout energie par lot (EUR)",Config!A:A,0))/60,"")</f>
        <v>#ERROR!</v>
      </c>
      <c r="J196" s="368" t="str">
        <f>IF(G196="","",IF(G196&gt;=INDEX(Config!B:B,MATCH("Autoclave temperature minimale (C)",Config!A:A,0)),"OK","Sous-temperature"))</f>
        <v>#ERROR!</v>
      </c>
      <c r="K196" s="240"/>
    </row>
    <row r="197">
      <c r="A197" s="301"/>
      <c r="B197" s="227"/>
      <c r="C197" s="227"/>
      <c r="D197" s="227"/>
      <c r="E197" s="227"/>
      <c r="F197" s="227"/>
      <c r="G197" s="227"/>
      <c r="H197" s="227"/>
      <c r="I197" s="281" t="str">
        <f>IFERROR(H197*INDEX(Config!B:B,MATCH("Cout energie par lot (EUR)",Config!A:A,0))/60,"")</f>
        <v>#ERROR!</v>
      </c>
      <c r="J197" s="367" t="str">
        <f>IF(G197="","",IF(G197&gt;=INDEX(Config!B:B,MATCH("Autoclave temperature minimale (C)",Config!A:A,0)),"OK","Sous-temperature"))</f>
        <v>#ERROR!</v>
      </c>
      <c r="K197" s="233"/>
    </row>
    <row r="198">
      <c r="A198" s="303"/>
      <c r="B198" s="235"/>
      <c r="C198" s="235"/>
      <c r="D198" s="235"/>
      <c r="E198" s="235"/>
      <c r="F198" s="235"/>
      <c r="G198" s="235"/>
      <c r="H198" s="235"/>
      <c r="I198" s="283" t="str">
        <f>IFERROR(H198*INDEX(Config!B:B,MATCH("Cout energie par lot (EUR)",Config!A:A,0))/60,"")</f>
        <v>#ERROR!</v>
      </c>
      <c r="J198" s="368" t="str">
        <f>IF(G198="","",IF(G198&gt;=INDEX(Config!B:B,MATCH("Autoclave temperature minimale (C)",Config!A:A,0)),"OK","Sous-temperature"))</f>
        <v>#ERROR!</v>
      </c>
      <c r="K198" s="240"/>
    </row>
    <row r="199">
      <c r="A199" s="301"/>
      <c r="B199" s="227"/>
      <c r="C199" s="227"/>
      <c r="D199" s="227"/>
      <c r="E199" s="227"/>
      <c r="F199" s="227"/>
      <c r="G199" s="227"/>
      <c r="H199" s="227"/>
      <c r="I199" s="281" t="str">
        <f>IFERROR(H199*INDEX(Config!B:B,MATCH("Cout energie par lot (EUR)",Config!A:A,0))/60,"")</f>
        <v>#ERROR!</v>
      </c>
      <c r="J199" s="367" t="str">
        <f>IF(G199="","",IF(G199&gt;=INDEX(Config!B:B,MATCH("Autoclave temperature minimale (C)",Config!A:A,0)),"OK","Sous-temperature"))</f>
        <v>#ERROR!</v>
      </c>
      <c r="K199" s="233"/>
    </row>
    <row r="200">
      <c r="A200" s="303"/>
      <c r="B200" s="235"/>
      <c r="C200" s="235"/>
      <c r="D200" s="235"/>
      <c r="E200" s="235"/>
      <c r="F200" s="235"/>
      <c r="G200" s="235"/>
      <c r="H200" s="235"/>
      <c r="I200" s="283" t="str">
        <f>IFERROR(H200*INDEX(Config!B:B,MATCH("Cout energie par lot (EUR)",Config!A:A,0))/60,"")</f>
        <v>#ERROR!</v>
      </c>
      <c r="J200" s="368" t="str">
        <f>IF(G200="","",IF(G200&gt;=INDEX(Config!B:B,MATCH("Autoclave temperature minimale (C)",Config!A:A,0)),"OK","Sous-temperature"))</f>
        <v>#ERROR!</v>
      </c>
      <c r="K200" s="240"/>
    </row>
    <row r="201">
      <c r="A201" s="301"/>
      <c r="B201" s="227"/>
      <c r="C201" s="227"/>
      <c r="D201" s="227"/>
      <c r="E201" s="227"/>
      <c r="F201" s="227"/>
      <c r="G201" s="227"/>
      <c r="H201" s="227"/>
      <c r="I201" s="281" t="str">
        <f>IFERROR(H201*INDEX(Config!B:B,MATCH("Cout energie par lot (EUR)",Config!A:A,0))/60,"")</f>
        <v>#ERROR!</v>
      </c>
      <c r="J201" s="367" t="str">
        <f>IF(G201="","",IF(G201&gt;=INDEX(Config!B:B,MATCH("Autoclave temperature minimale (C)",Config!A:A,0)),"OK","Sous-temperature"))</f>
        <v>#ERROR!</v>
      </c>
      <c r="K201" s="233"/>
    </row>
    <row r="202">
      <c r="A202" s="303"/>
      <c r="B202" s="235"/>
      <c r="C202" s="235"/>
      <c r="D202" s="235"/>
      <c r="E202" s="235"/>
      <c r="F202" s="235"/>
      <c r="G202" s="235"/>
      <c r="H202" s="235"/>
      <c r="I202" s="283" t="str">
        <f>IFERROR(H202*INDEX(Config!B:B,MATCH("Cout energie par lot (EUR)",Config!A:A,0))/60,"")</f>
        <v>#ERROR!</v>
      </c>
      <c r="J202" s="368" t="str">
        <f>IF(G202="","",IF(G202&gt;=INDEX(Config!B:B,MATCH("Autoclave temperature minimale (C)",Config!A:A,0)),"OK","Sous-temperature"))</f>
        <v>#ERROR!</v>
      </c>
      <c r="K202" s="240"/>
    </row>
    <row r="203">
      <c r="A203" s="301"/>
      <c r="B203" s="227"/>
      <c r="C203" s="227"/>
      <c r="D203" s="227"/>
      <c r="E203" s="227"/>
      <c r="F203" s="227"/>
      <c r="G203" s="227"/>
      <c r="H203" s="227"/>
      <c r="I203" s="281" t="str">
        <f>IFERROR(H203*INDEX(Config!B:B,MATCH("Cout energie par lot (EUR)",Config!A:A,0))/60,"")</f>
        <v>#ERROR!</v>
      </c>
      <c r="J203" s="367" t="str">
        <f>IF(G203="","",IF(G203&gt;=INDEX(Config!B:B,MATCH("Autoclave temperature minimale (C)",Config!A:A,0)),"OK","Sous-temperature"))</f>
        <v>#ERROR!</v>
      </c>
      <c r="K203" s="233"/>
    </row>
    <row r="204">
      <c r="A204" s="303"/>
      <c r="B204" s="235"/>
      <c r="C204" s="235"/>
      <c r="D204" s="235"/>
      <c r="E204" s="235"/>
      <c r="F204" s="235"/>
      <c r="G204" s="235"/>
      <c r="H204" s="235"/>
      <c r="I204" s="283" t="str">
        <f>IFERROR(H204*INDEX(Config!B:B,MATCH("Cout energie par lot (EUR)",Config!A:A,0))/60,"")</f>
        <v>#ERROR!</v>
      </c>
      <c r="J204" s="368" t="str">
        <f>IF(G204="","",IF(G204&gt;=INDEX(Config!B:B,MATCH("Autoclave temperature minimale (C)",Config!A:A,0)),"OK","Sous-temperature"))</f>
        <v>#ERROR!</v>
      </c>
      <c r="K204" s="240"/>
    </row>
    <row r="205">
      <c r="A205" s="301"/>
      <c r="B205" s="227"/>
      <c r="C205" s="227"/>
      <c r="D205" s="227"/>
      <c r="E205" s="227"/>
      <c r="F205" s="227"/>
      <c r="G205" s="227"/>
      <c r="H205" s="227"/>
      <c r="I205" s="281" t="str">
        <f>IFERROR(H205*INDEX(Config!B:B,MATCH("Cout energie par lot (EUR)",Config!A:A,0))/60,"")</f>
        <v>#ERROR!</v>
      </c>
      <c r="J205" s="367" t="str">
        <f>IF(G205="","",IF(G205&gt;=INDEX(Config!B:B,MATCH("Autoclave temperature minimale (C)",Config!A:A,0)),"OK","Sous-temperature"))</f>
        <v>#ERROR!</v>
      </c>
      <c r="K205" s="233"/>
    </row>
    <row r="206">
      <c r="A206" s="303"/>
      <c r="B206" s="235"/>
      <c r="C206" s="235"/>
      <c r="D206" s="235"/>
      <c r="E206" s="235"/>
      <c r="F206" s="235"/>
      <c r="G206" s="235"/>
      <c r="H206" s="235"/>
      <c r="I206" s="283" t="str">
        <f>IFERROR(H206*INDEX(Config!B:B,MATCH("Cout energie par lot (EUR)",Config!A:A,0))/60,"")</f>
        <v>#ERROR!</v>
      </c>
      <c r="J206" s="368" t="str">
        <f>IF(G206="","",IF(G206&gt;=INDEX(Config!B:B,MATCH("Autoclave temperature minimale (C)",Config!A:A,0)),"OK","Sous-temperature"))</f>
        <v>#ERROR!</v>
      </c>
      <c r="K206" s="240"/>
    </row>
    <row r="207">
      <c r="A207" s="301"/>
      <c r="B207" s="227"/>
      <c r="C207" s="227"/>
      <c r="D207" s="227"/>
      <c r="E207" s="227"/>
      <c r="F207" s="227"/>
      <c r="G207" s="227"/>
      <c r="H207" s="227"/>
      <c r="I207" s="281" t="str">
        <f>IFERROR(H207*INDEX(Config!B:B,MATCH("Cout energie par lot (EUR)",Config!A:A,0))/60,"")</f>
        <v>#ERROR!</v>
      </c>
      <c r="J207" s="367" t="str">
        <f>IF(G207="","",IF(G207&gt;=INDEX(Config!B:B,MATCH("Autoclave temperature minimale (C)",Config!A:A,0)),"OK","Sous-temperature"))</f>
        <v>#ERROR!</v>
      </c>
      <c r="K207" s="233"/>
    </row>
    <row r="208">
      <c r="A208" s="303"/>
      <c r="B208" s="235"/>
      <c r="C208" s="235"/>
      <c r="D208" s="235"/>
      <c r="E208" s="235"/>
      <c r="F208" s="235"/>
      <c r="G208" s="235"/>
      <c r="H208" s="235"/>
      <c r="I208" s="283" t="str">
        <f>IFERROR(H208*INDEX(Config!B:B,MATCH("Cout energie par lot (EUR)",Config!A:A,0))/60,"")</f>
        <v>#ERROR!</v>
      </c>
      <c r="J208" s="368" t="str">
        <f>IF(G208="","",IF(G208&gt;=INDEX(Config!B:B,MATCH("Autoclave temperature minimale (C)",Config!A:A,0)),"OK","Sous-temperature"))</f>
        <v>#ERROR!</v>
      </c>
      <c r="K208" s="240"/>
    </row>
    <row r="209">
      <c r="A209" s="301"/>
      <c r="B209" s="227"/>
      <c r="C209" s="227"/>
      <c r="D209" s="227"/>
      <c r="E209" s="227"/>
      <c r="F209" s="227"/>
      <c r="G209" s="227"/>
      <c r="H209" s="227"/>
      <c r="I209" s="281" t="str">
        <f>IFERROR(H209*INDEX(Config!B:B,MATCH("Cout energie par lot (EUR)",Config!A:A,0))/60,"")</f>
        <v>#ERROR!</v>
      </c>
      <c r="J209" s="367" t="str">
        <f>IF(G209="","",IF(G209&gt;=INDEX(Config!B:B,MATCH("Autoclave temperature minimale (C)",Config!A:A,0)),"OK","Sous-temperature"))</f>
        <v>#ERROR!</v>
      </c>
      <c r="K209" s="233"/>
    </row>
    <row r="210">
      <c r="A210" s="303"/>
      <c r="B210" s="235"/>
      <c r="C210" s="235"/>
      <c r="D210" s="235"/>
      <c r="E210" s="235"/>
      <c r="F210" s="235"/>
      <c r="G210" s="235"/>
      <c r="H210" s="235"/>
      <c r="I210" s="283" t="str">
        <f>IFERROR(H210*INDEX(Config!B:B,MATCH("Cout energie par lot (EUR)",Config!A:A,0))/60,"")</f>
        <v>#ERROR!</v>
      </c>
      <c r="J210" s="368" t="str">
        <f>IF(G210="","",IF(G210&gt;=INDEX(Config!B:B,MATCH("Autoclave temperature minimale (C)",Config!A:A,0)),"OK","Sous-temperature"))</f>
        <v>#ERROR!</v>
      </c>
      <c r="K210" s="240"/>
    </row>
    <row r="211">
      <c r="A211" s="301"/>
      <c r="B211" s="227"/>
      <c r="C211" s="227"/>
      <c r="D211" s="227"/>
      <c r="E211" s="227"/>
      <c r="F211" s="227"/>
      <c r="G211" s="227"/>
      <c r="H211" s="227"/>
      <c r="I211" s="281" t="str">
        <f>IFERROR(H211*INDEX(Config!B:B,MATCH("Cout energie par lot (EUR)",Config!A:A,0))/60,"")</f>
        <v>#ERROR!</v>
      </c>
      <c r="J211" s="367" t="str">
        <f>IF(G211="","",IF(G211&gt;=INDEX(Config!B:B,MATCH("Autoclave temperature minimale (C)",Config!A:A,0)),"OK","Sous-temperature"))</f>
        <v>#ERROR!</v>
      </c>
      <c r="K211" s="233"/>
    </row>
    <row r="212">
      <c r="A212" s="303"/>
      <c r="B212" s="235"/>
      <c r="C212" s="235"/>
      <c r="D212" s="235"/>
      <c r="E212" s="235"/>
      <c r="F212" s="235"/>
      <c r="G212" s="235"/>
      <c r="H212" s="235"/>
      <c r="I212" s="283" t="str">
        <f>IFERROR(H212*INDEX(Config!B:B,MATCH("Cout energie par lot (EUR)",Config!A:A,0))/60,"")</f>
        <v>#ERROR!</v>
      </c>
      <c r="J212" s="368" t="str">
        <f>IF(G212="","",IF(G212&gt;=INDEX(Config!B:B,MATCH("Autoclave temperature minimale (C)",Config!A:A,0)),"OK","Sous-temperature"))</f>
        <v>#ERROR!</v>
      </c>
      <c r="K212" s="240"/>
    </row>
    <row r="213">
      <c r="A213" s="301"/>
      <c r="B213" s="227"/>
      <c r="C213" s="227"/>
      <c r="D213" s="227"/>
      <c r="E213" s="227"/>
      <c r="F213" s="227"/>
      <c r="G213" s="227"/>
      <c r="H213" s="227"/>
      <c r="I213" s="281" t="str">
        <f>IFERROR(H213*INDEX(Config!B:B,MATCH("Cout energie par lot (EUR)",Config!A:A,0))/60,"")</f>
        <v>#ERROR!</v>
      </c>
      <c r="J213" s="367" t="str">
        <f>IF(G213="","",IF(G213&gt;=INDEX(Config!B:B,MATCH("Autoclave temperature minimale (C)",Config!A:A,0)),"OK","Sous-temperature"))</f>
        <v>#ERROR!</v>
      </c>
      <c r="K213" s="233"/>
    </row>
    <row r="214">
      <c r="A214" s="303"/>
      <c r="B214" s="235"/>
      <c r="C214" s="235"/>
      <c r="D214" s="235"/>
      <c r="E214" s="235"/>
      <c r="F214" s="235"/>
      <c r="G214" s="235"/>
      <c r="H214" s="235"/>
      <c r="I214" s="283" t="str">
        <f>IFERROR(H214*INDEX(Config!B:B,MATCH("Cout energie par lot (EUR)",Config!A:A,0))/60,"")</f>
        <v>#ERROR!</v>
      </c>
      <c r="J214" s="368" t="str">
        <f>IF(G214="","",IF(G214&gt;=INDEX(Config!B:B,MATCH("Autoclave temperature minimale (C)",Config!A:A,0)),"OK","Sous-temperature"))</f>
        <v>#ERROR!</v>
      </c>
      <c r="K214" s="240"/>
    </row>
    <row r="215">
      <c r="A215" s="301"/>
      <c r="B215" s="227"/>
      <c r="C215" s="227"/>
      <c r="D215" s="227"/>
      <c r="E215" s="227"/>
      <c r="F215" s="227"/>
      <c r="G215" s="227"/>
      <c r="H215" s="227"/>
      <c r="I215" s="281" t="str">
        <f>IFERROR(H215*INDEX(Config!B:B,MATCH("Cout energie par lot (EUR)",Config!A:A,0))/60,"")</f>
        <v>#ERROR!</v>
      </c>
      <c r="J215" s="367" t="str">
        <f>IF(G215="","",IF(G215&gt;=INDEX(Config!B:B,MATCH("Autoclave temperature minimale (C)",Config!A:A,0)),"OK","Sous-temperature"))</f>
        <v>#ERROR!</v>
      </c>
      <c r="K215" s="233"/>
    </row>
    <row r="216">
      <c r="A216" s="303"/>
      <c r="B216" s="235"/>
      <c r="C216" s="235"/>
      <c r="D216" s="235"/>
      <c r="E216" s="235"/>
      <c r="F216" s="235"/>
      <c r="G216" s="235"/>
      <c r="H216" s="235"/>
      <c r="I216" s="283" t="str">
        <f>IFERROR(H216*INDEX(Config!B:B,MATCH("Cout energie par lot (EUR)",Config!A:A,0))/60,"")</f>
        <v>#ERROR!</v>
      </c>
      <c r="J216" s="368" t="str">
        <f>IF(G216="","",IF(G216&gt;=INDEX(Config!B:B,MATCH("Autoclave temperature minimale (C)",Config!A:A,0)),"OK","Sous-temperature"))</f>
        <v>#ERROR!</v>
      </c>
      <c r="K216" s="240"/>
    </row>
    <row r="217">
      <c r="A217" s="301"/>
      <c r="B217" s="227"/>
      <c r="C217" s="227"/>
      <c r="D217" s="227"/>
      <c r="E217" s="227"/>
      <c r="F217" s="227"/>
      <c r="G217" s="227"/>
      <c r="H217" s="227"/>
      <c r="I217" s="281" t="str">
        <f>IFERROR(H217*INDEX(Config!B:B,MATCH("Cout energie par lot (EUR)",Config!A:A,0))/60,"")</f>
        <v>#ERROR!</v>
      </c>
      <c r="J217" s="367" t="str">
        <f>IF(G217="","",IF(G217&gt;=INDEX(Config!B:B,MATCH("Autoclave temperature minimale (C)",Config!A:A,0)),"OK","Sous-temperature"))</f>
        <v>#ERROR!</v>
      </c>
      <c r="K217" s="233"/>
    </row>
    <row r="218">
      <c r="A218" s="303"/>
      <c r="B218" s="235"/>
      <c r="C218" s="235"/>
      <c r="D218" s="235"/>
      <c r="E218" s="235"/>
      <c r="F218" s="235"/>
      <c r="G218" s="235"/>
      <c r="H218" s="235"/>
      <c r="I218" s="283" t="str">
        <f>IFERROR(H218*INDEX(Config!B:B,MATCH("Cout energie par lot (EUR)",Config!A:A,0))/60,"")</f>
        <v>#ERROR!</v>
      </c>
      <c r="J218" s="368" t="str">
        <f>IF(G218="","",IF(G218&gt;=INDEX(Config!B:B,MATCH("Autoclave temperature minimale (C)",Config!A:A,0)),"OK","Sous-temperature"))</f>
        <v>#ERROR!</v>
      </c>
      <c r="K218" s="240"/>
    </row>
    <row r="219">
      <c r="A219" s="301"/>
      <c r="B219" s="227"/>
      <c r="C219" s="227"/>
      <c r="D219" s="227"/>
      <c r="E219" s="227"/>
      <c r="F219" s="227"/>
      <c r="G219" s="227"/>
      <c r="H219" s="227"/>
      <c r="I219" s="281" t="str">
        <f>IFERROR(H219*INDEX(Config!B:B,MATCH("Cout energie par lot (EUR)",Config!A:A,0))/60,"")</f>
        <v>#ERROR!</v>
      </c>
      <c r="J219" s="367" t="str">
        <f>IF(G219="","",IF(G219&gt;=INDEX(Config!B:B,MATCH("Autoclave temperature minimale (C)",Config!A:A,0)),"OK","Sous-temperature"))</f>
        <v>#ERROR!</v>
      </c>
      <c r="K219" s="233"/>
    </row>
    <row r="220">
      <c r="A220" s="303"/>
      <c r="B220" s="235"/>
      <c r="C220" s="235"/>
      <c r="D220" s="235"/>
      <c r="E220" s="235"/>
      <c r="F220" s="235"/>
      <c r="G220" s="235"/>
      <c r="H220" s="235"/>
      <c r="I220" s="283" t="str">
        <f>IFERROR(H220*INDEX(Config!B:B,MATCH("Cout energie par lot (EUR)",Config!A:A,0))/60,"")</f>
        <v>#ERROR!</v>
      </c>
      <c r="J220" s="368" t="str">
        <f>IF(G220="","",IF(G220&gt;=INDEX(Config!B:B,MATCH("Autoclave temperature minimale (C)",Config!A:A,0)),"OK","Sous-temperature"))</f>
        <v>#ERROR!</v>
      </c>
      <c r="K220" s="240"/>
    </row>
    <row r="221">
      <c r="A221" s="301"/>
      <c r="B221" s="227"/>
      <c r="C221" s="227"/>
      <c r="D221" s="227"/>
      <c r="E221" s="227"/>
      <c r="F221" s="227"/>
      <c r="G221" s="227"/>
      <c r="H221" s="227"/>
      <c r="I221" s="281" t="str">
        <f>IFERROR(H221*INDEX(Config!B:B,MATCH("Cout energie par lot (EUR)",Config!A:A,0))/60,"")</f>
        <v>#ERROR!</v>
      </c>
      <c r="J221" s="367" t="str">
        <f>IF(G221="","",IF(G221&gt;=INDEX(Config!B:B,MATCH("Autoclave temperature minimale (C)",Config!A:A,0)),"OK","Sous-temperature"))</f>
        <v>#ERROR!</v>
      </c>
      <c r="K221" s="233"/>
    </row>
    <row r="222">
      <c r="A222" s="303"/>
      <c r="B222" s="235"/>
      <c r="C222" s="235"/>
      <c r="D222" s="235"/>
      <c r="E222" s="235"/>
      <c r="F222" s="235"/>
      <c r="G222" s="235"/>
      <c r="H222" s="235"/>
      <c r="I222" s="283" t="str">
        <f>IFERROR(H222*INDEX(Config!B:B,MATCH("Cout energie par lot (EUR)",Config!A:A,0))/60,"")</f>
        <v>#ERROR!</v>
      </c>
      <c r="J222" s="368" t="str">
        <f>IF(G222="","",IF(G222&gt;=INDEX(Config!B:B,MATCH("Autoclave temperature minimale (C)",Config!A:A,0)),"OK","Sous-temperature"))</f>
        <v>#ERROR!</v>
      </c>
      <c r="K222" s="240"/>
    </row>
    <row r="223">
      <c r="A223" s="301"/>
      <c r="B223" s="227"/>
      <c r="C223" s="227"/>
      <c r="D223" s="227"/>
      <c r="E223" s="227"/>
      <c r="F223" s="227"/>
      <c r="G223" s="227"/>
      <c r="H223" s="227"/>
      <c r="I223" s="281" t="str">
        <f>IFERROR(H223*INDEX(Config!B:B,MATCH("Cout energie par lot (EUR)",Config!A:A,0))/60,"")</f>
        <v>#ERROR!</v>
      </c>
      <c r="J223" s="367" t="str">
        <f>IF(G223="","",IF(G223&gt;=INDEX(Config!B:B,MATCH("Autoclave temperature minimale (C)",Config!A:A,0)),"OK","Sous-temperature"))</f>
        <v>#ERROR!</v>
      </c>
      <c r="K223" s="233"/>
    </row>
    <row r="224">
      <c r="A224" s="303"/>
      <c r="B224" s="235"/>
      <c r="C224" s="235"/>
      <c r="D224" s="235"/>
      <c r="E224" s="235"/>
      <c r="F224" s="235"/>
      <c r="G224" s="235"/>
      <c r="H224" s="235"/>
      <c r="I224" s="283" t="str">
        <f>IFERROR(H224*INDEX(Config!B:B,MATCH("Cout energie par lot (EUR)",Config!A:A,0))/60,"")</f>
        <v>#ERROR!</v>
      </c>
      <c r="J224" s="368" t="str">
        <f>IF(G224="","",IF(G224&gt;=INDEX(Config!B:B,MATCH("Autoclave temperature minimale (C)",Config!A:A,0)),"OK","Sous-temperature"))</f>
        <v>#ERROR!</v>
      </c>
      <c r="K224" s="240"/>
    </row>
    <row r="225">
      <c r="A225" s="301"/>
      <c r="B225" s="227"/>
      <c r="C225" s="227"/>
      <c r="D225" s="227"/>
      <c r="E225" s="227"/>
      <c r="F225" s="227"/>
      <c r="G225" s="227"/>
      <c r="H225" s="227"/>
      <c r="I225" s="281" t="str">
        <f>IFERROR(H225*INDEX(Config!B:B,MATCH("Cout energie par lot (EUR)",Config!A:A,0))/60,"")</f>
        <v>#ERROR!</v>
      </c>
      <c r="J225" s="367" t="str">
        <f>IF(G225="","",IF(G225&gt;=INDEX(Config!B:B,MATCH("Autoclave temperature minimale (C)",Config!A:A,0)),"OK","Sous-temperature"))</f>
        <v>#ERROR!</v>
      </c>
      <c r="K225" s="233"/>
    </row>
    <row r="226">
      <c r="A226" s="303"/>
      <c r="B226" s="235"/>
      <c r="C226" s="235"/>
      <c r="D226" s="235"/>
      <c r="E226" s="235"/>
      <c r="F226" s="235"/>
      <c r="G226" s="235"/>
      <c r="H226" s="235"/>
      <c r="I226" s="283" t="str">
        <f>IFERROR(H226*INDEX(Config!B:B,MATCH("Cout energie par lot (EUR)",Config!A:A,0))/60,"")</f>
        <v>#ERROR!</v>
      </c>
      <c r="J226" s="368" t="str">
        <f>IF(G226="","",IF(G226&gt;=INDEX(Config!B:B,MATCH("Autoclave temperature minimale (C)",Config!A:A,0)),"OK","Sous-temperature"))</f>
        <v>#ERROR!</v>
      </c>
      <c r="K226" s="240"/>
    </row>
    <row r="227">
      <c r="A227" s="301"/>
      <c r="B227" s="227"/>
      <c r="C227" s="227"/>
      <c r="D227" s="227"/>
      <c r="E227" s="227"/>
      <c r="F227" s="227"/>
      <c r="G227" s="227"/>
      <c r="H227" s="227"/>
      <c r="I227" s="281" t="str">
        <f>IFERROR(H227*INDEX(Config!B:B,MATCH("Cout energie par lot (EUR)",Config!A:A,0))/60,"")</f>
        <v>#ERROR!</v>
      </c>
      <c r="J227" s="367" t="str">
        <f>IF(G227="","",IF(G227&gt;=INDEX(Config!B:B,MATCH("Autoclave temperature minimale (C)",Config!A:A,0)),"OK","Sous-temperature"))</f>
        <v>#ERROR!</v>
      </c>
      <c r="K227" s="233"/>
    </row>
    <row r="228">
      <c r="A228" s="303"/>
      <c r="B228" s="235"/>
      <c r="C228" s="235"/>
      <c r="D228" s="235"/>
      <c r="E228" s="235"/>
      <c r="F228" s="235"/>
      <c r="G228" s="235"/>
      <c r="H228" s="235"/>
      <c r="I228" s="283" t="str">
        <f>IFERROR(H228*INDEX(Config!B:B,MATCH("Cout energie par lot (EUR)",Config!A:A,0))/60,"")</f>
        <v>#ERROR!</v>
      </c>
      <c r="J228" s="368" t="str">
        <f>IF(G228="","",IF(G228&gt;=INDEX(Config!B:B,MATCH("Autoclave temperature minimale (C)",Config!A:A,0)),"OK","Sous-temperature"))</f>
        <v>#ERROR!</v>
      </c>
      <c r="K228" s="240"/>
    </row>
    <row r="229">
      <c r="A229" s="301"/>
      <c r="B229" s="227"/>
      <c r="C229" s="227"/>
      <c r="D229" s="227"/>
      <c r="E229" s="227"/>
      <c r="F229" s="227"/>
      <c r="G229" s="227"/>
      <c r="H229" s="227"/>
      <c r="I229" s="281" t="str">
        <f>IFERROR(H229*INDEX(Config!B:B,MATCH("Cout energie par lot (EUR)",Config!A:A,0))/60,"")</f>
        <v>#ERROR!</v>
      </c>
      <c r="J229" s="367" t="str">
        <f>IF(G229="","",IF(G229&gt;=INDEX(Config!B:B,MATCH("Autoclave temperature minimale (C)",Config!A:A,0)),"OK","Sous-temperature"))</f>
        <v>#ERROR!</v>
      </c>
      <c r="K229" s="233"/>
    </row>
    <row r="230">
      <c r="A230" s="303"/>
      <c r="B230" s="235"/>
      <c r="C230" s="235"/>
      <c r="D230" s="235"/>
      <c r="E230" s="235"/>
      <c r="F230" s="235"/>
      <c r="G230" s="235"/>
      <c r="H230" s="235"/>
      <c r="I230" s="283" t="str">
        <f>IFERROR(H230*INDEX(Config!B:B,MATCH("Cout energie par lot (EUR)",Config!A:A,0))/60,"")</f>
        <v>#ERROR!</v>
      </c>
      <c r="J230" s="368" t="str">
        <f>IF(G230="","",IF(G230&gt;=INDEX(Config!B:B,MATCH("Autoclave temperature minimale (C)",Config!A:A,0)),"OK","Sous-temperature"))</f>
        <v>#ERROR!</v>
      </c>
      <c r="K230" s="240"/>
    </row>
    <row r="231">
      <c r="A231" s="301"/>
      <c r="B231" s="227"/>
      <c r="C231" s="227"/>
      <c r="D231" s="227"/>
      <c r="E231" s="227"/>
      <c r="F231" s="227"/>
      <c r="G231" s="227"/>
      <c r="H231" s="227"/>
      <c r="I231" s="281" t="str">
        <f>IFERROR(H231*INDEX(Config!B:B,MATCH("Cout energie par lot (EUR)",Config!A:A,0))/60,"")</f>
        <v>#ERROR!</v>
      </c>
      <c r="J231" s="367" t="str">
        <f>IF(G231="","",IF(G231&gt;=INDEX(Config!B:B,MATCH("Autoclave temperature minimale (C)",Config!A:A,0)),"OK","Sous-temperature"))</f>
        <v>#ERROR!</v>
      </c>
      <c r="K231" s="233"/>
    </row>
    <row r="232">
      <c r="A232" s="303"/>
      <c r="B232" s="235"/>
      <c r="C232" s="235"/>
      <c r="D232" s="235"/>
      <c r="E232" s="235"/>
      <c r="F232" s="235"/>
      <c r="G232" s="235"/>
      <c r="H232" s="235"/>
      <c r="I232" s="283" t="str">
        <f>IFERROR(H232*INDEX(Config!B:B,MATCH("Cout energie par lot (EUR)",Config!A:A,0))/60,"")</f>
        <v>#ERROR!</v>
      </c>
      <c r="J232" s="368" t="str">
        <f>IF(G232="","",IF(G232&gt;=INDEX(Config!B:B,MATCH("Autoclave temperature minimale (C)",Config!A:A,0)),"OK","Sous-temperature"))</f>
        <v>#ERROR!</v>
      </c>
      <c r="K232" s="240"/>
    </row>
    <row r="233">
      <c r="A233" s="301"/>
      <c r="B233" s="227"/>
      <c r="C233" s="227"/>
      <c r="D233" s="227"/>
      <c r="E233" s="227"/>
      <c r="F233" s="227"/>
      <c r="G233" s="227"/>
      <c r="H233" s="227"/>
      <c r="I233" s="281" t="str">
        <f>IFERROR(H233*INDEX(Config!B:B,MATCH("Cout energie par lot (EUR)",Config!A:A,0))/60,"")</f>
        <v>#ERROR!</v>
      </c>
      <c r="J233" s="367" t="str">
        <f>IF(G233="","",IF(G233&gt;=INDEX(Config!B:B,MATCH("Autoclave temperature minimale (C)",Config!A:A,0)),"OK","Sous-temperature"))</f>
        <v>#ERROR!</v>
      </c>
      <c r="K233" s="233"/>
    </row>
    <row r="234">
      <c r="A234" s="303"/>
      <c r="B234" s="235"/>
      <c r="C234" s="235"/>
      <c r="D234" s="235"/>
      <c r="E234" s="235"/>
      <c r="F234" s="235"/>
      <c r="G234" s="235"/>
      <c r="H234" s="235"/>
      <c r="I234" s="283" t="str">
        <f>IFERROR(H234*INDEX(Config!B:B,MATCH("Cout energie par lot (EUR)",Config!A:A,0))/60,"")</f>
        <v>#ERROR!</v>
      </c>
      <c r="J234" s="368" t="str">
        <f>IF(G234="","",IF(G234&gt;=INDEX(Config!B:B,MATCH("Autoclave temperature minimale (C)",Config!A:A,0)),"OK","Sous-temperature"))</f>
        <v>#ERROR!</v>
      </c>
      <c r="K234" s="240"/>
    </row>
    <row r="235">
      <c r="A235" s="301"/>
      <c r="B235" s="227"/>
      <c r="C235" s="227"/>
      <c r="D235" s="227"/>
      <c r="E235" s="227"/>
      <c r="F235" s="227"/>
      <c r="G235" s="227"/>
      <c r="H235" s="227"/>
      <c r="I235" s="281" t="str">
        <f>IFERROR(H235*INDEX(Config!B:B,MATCH("Cout energie par lot (EUR)",Config!A:A,0))/60,"")</f>
        <v>#ERROR!</v>
      </c>
      <c r="J235" s="367" t="str">
        <f>IF(G235="","",IF(G235&gt;=INDEX(Config!B:B,MATCH("Autoclave temperature minimale (C)",Config!A:A,0)),"OK","Sous-temperature"))</f>
        <v>#ERROR!</v>
      </c>
      <c r="K235" s="233"/>
    </row>
    <row r="236">
      <c r="A236" s="303"/>
      <c r="B236" s="235"/>
      <c r="C236" s="235"/>
      <c r="D236" s="235"/>
      <c r="E236" s="235"/>
      <c r="F236" s="235"/>
      <c r="G236" s="235"/>
      <c r="H236" s="235"/>
      <c r="I236" s="283" t="str">
        <f>IFERROR(H236*INDEX(Config!B:B,MATCH("Cout energie par lot (EUR)",Config!A:A,0))/60,"")</f>
        <v>#ERROR!</v>
      </c>
      <c r="J236" s="368" t="str">
        <f>IF(G236="","",IF(G236&gt;=INDEX(Config!B:B,MATCH("Autoclave temperature minimale (C)",Config!A:A,0)),"OK","Sous-temperature"))</f>
        <v>#ERROR!</v>
      </c>
      <c r="K236" s="240"/>
    </row>
    <row r="237">
      <c r="A237" s="301"/>
      <c r="B237" s="227"/>
      <c r="C237" s="227"/>
      <c r="D237" s="227"/>
      <c r="E237" s="227"/>
      <c r="F237" s="227"/>
      <c r="G237" s="227"/>
      <c r="H237" s="227"/>
      <c r="I237" s="281" t="str">
        <f>IFERROR(H237*INDEX(Config!B:B,MATCH("Cout energie par lot (EUR)",Config!A:A,0))/60,"")</f>
        <v>#ERROR!</v>
      </c>
      <c r="J237" s="367" t="str">
        <f>IF(G237="","",IF(G237&gt;=INDEX(Config!B:B,MATCH("Autoclave temperature minimale (C)",Config!A:A,0)),"OK","Sous-temperature"))</f>
        <v>#ERROR!</v>
      </c>
      <c r="K237" s="233"/>
    </row>
    <row r="238">
      <c r="A238" s="303"/>
      <c r="B238" s="235"/>
      <c r="C238" s="235"/>
      <c r="D238" s="235"/>
      <c r="E238" s="235"/>
      <c r="F238" s="235"/>
      <c r="G238" s="235"/>
      <c r="H238" s="235"/>
      <c r="I238" s="283" t="str">
        <f>IFERROR(H238*INDEX(Config!B:B,MATCH("Cout energie par lot (EUR)",Config!A:A,0))/60,"")</f>
        <v>#ERROR!</v>
      </c>
      <c r="J238" s="368" t="str">
        <f>IF(G238="","",IF(G238&gt;=INDEX(Config!B:B,MATCH("Autoclave temperature minimale (C)",Config!A:A,0)),"OK","Sous-temperature"))</f>
        <v>#ERROR!</v>
      </c>
      <c r="K238" s="240"/>
    </row>
    <row r="239">
      <c r="A239" s="301"/>
      <c r="B239" s="227"/>
      <c r="C239" s="227"/>
      <c r="D239" s="227"/>
      <c r="E239" s="227"/>
      <c r="F239" s="227"/>
      <c r="G239" s="227"/>
      <c r="H239" s="227"/>
      <c r="I239" s="281" t="str">
        <f>IFERROR(H239*INDEX(Config!B:B,MATCH("Cout energie par lot (EUR)",Config!A:A,0))/60,"")</f>
        <v>#ERROR!</v>
      </c>
      <c r="J239" s="367" t="str">
        <f>IF(G239="","",IF(G239&gt;=INDEX(Config!B:B,MATCH("Autoclave temperature minimale (C)",Config!A:A,0)),"OK","Sous-temperature"))</f>
        <v>#ERROR!</v>
      </c>
      <c r="K239" s="233"/>
    </row>
    <row r="240">
      <c r="A240" s="303"/>
      <c r="B240" s="235"/>
      <c r="C240" s="235"/>
      <c r="D240" s="235"/>
      <c r="E240" s="235"/>
      <c r="F240" s="235"/>
      <c r="G240" s="235"/>
      <c r="H240" s="235"/>
      <c r="I240" s="283" t="str">
        <f>IFERROR(H240*INDEX(Config!B:B,MATCH("Cout energie par lot (EUR)",Config!A:A,0))/60,"")</f>
        <v>#ERROR!</v>
      </c>
      <c r="J240" s="368" t="str">
        <f>IF(G240="","",IF(G240&gt;=INDEX(Config!B:B,MATCH("Autoclave temperature minimale (C)",Config!A:A,0)),"OK","Sous-temperature"))</f>
        <v>#ERROR!</v>
      </c>
      <c r="K240" s="240"/>
    </row>
    <row r="241">
      <c r="A241" s="301"/>
      <c r="B241" s="227"/>
      <c r="C241" s="227"/>
      <c r="D241" s="227"/>
      <c r="E241" s="227"/>
      <c r="F241" s="227"/>
      <c r="G241" s="227"/>
      <c r="H241" s="227"/>
      <c r="I241" s="281" t="str">
        <f>IFERROR(H241*INDEX(Config!B:B,MATCH("Cout energie par lot (EUR)",Config!A:A,0))/60,"")</f>
        <v>#ERROR!</v>
      </c>
      <c r="J241" s="367" t="str">
        <f>IF(G241="","",IF(G241&gt;=INDEX(Config!B:B,MATCH("Autoclave temperature minimale (C)",Config!A:A,0)),"OK","Sous-temperature"))</f>
        <v>#ERROR!</v>
      </c>
      <c r="K241" s="233"/>
    </row>
    <row r="242">
      <c r="A242" s="303"/>
      <c r="B242" s="235"/>
      <c r="C242" s="235"/>
      <c r="D242" s="235"/>
      <c r="E242" s="235"/>
      <c r="F242" s="235"/>
      <c r="G242" s="235"/>
      <c r="H242" s="235"/>
      <c r="I242" s="283" t="str">
        <f>IFERROR(H242*INDEX(Config!B:B,MATCH("Cout energie par lot (EUR)",Config!A:A,0))/60,"")</f>
        <v>#ERROR!</v>
      </c>
      <c r="J242" s="368" t="str">
        <f>IF(G242="","",IF(G242&gt;=INDEX(Config!B:B,MATCH("Autoclave temperature minimale (C)",Config!A:A,0)),"OK","Sous-temperature"))</f>
        <v>#ERROR!</v>
      </c>
      <c r="K242" s="240"/>
    </row>
    <row r="243">
      <c r="A243" s="301"/>
      <c r="B243" s="227"/>
      <c r="C243" s="227"/>
      <c r="D243" s="227"/>
      <c r="E243" s="227"/>
      <c r="F243" s="227"/>
      <c r="G243" s="227"/>
      <c r="H243" s="227"/>
      <c r="I243" s="281" t="str">
        <f>IFERROR(H243*INDEX(Config!B:B,MATCH("Cout energie par lot (EUR)",Config!A:A,0))/60,"")</f>
        <v>#ERROR!</v>
      </c>
      <c r="J243" s="367" t="str">
        <f>IF(G243="","",IF(G243&gt;=INDEX(Config!B:B,MATCH("Autoclave temperature minimale (C)",Config!A:A,0)),"OK","Sous-temperature"))</f>
        <v>#ERROR!</v>
      </c>
      <c r="K243" s="233"/>
    </row>
    <row r="244">
      <c r="A244" s="303"/>
      <c r="B244" s="235"/>
      <c r="C244" s="235"/>
      <c r="D244" s="235"/>
      <c r="E244" s="235"/>
      <c r="F244" s="235"/>
      <c r="G244" s="235"/>
      <c r="H244" s="235"/>
      <c r="I244" s="283" t="str">
        <f>IFERROR(H244*INDEX(Config!B:B,MATCH("Cout energie par lot (EUR)",Config!A:A,0))/60,"")</f>
        <v>#ERROR!</v>
      </c>
      <c r="J244" s="368" t="str">
        <f>IF(G244="","",IF(G244&gt;=INDEX(Config!B:B,MATCH("Autoclave temperature minimale (C)",Config!A:A,0)),"OK","Sous-temperature"))</f>
        <v>#ERROR!</v>
      </c>
      <c r="K244" s="240"/>
    </row>
    <row r="245">
      <c r="A245" s="301"/>
      <c r="B245" s="227"/>
      <c r="C245" s="227"/>
      <c r="D245" s="227"/>
      <c r="E245" s="227"/>
      <c r="F245" s="227"/>
      <c r="G245" s="227"/>
      <c r="H245" s="227"/>
      <c r="I245" s="281" t="str">
        <f>IFERROR(H245*INDEX(Config!B:B,MATCH("Cout energie par lot (EUR)",Config!A:A,0))/60,"")</f>
        <v>#ERROR!</v>
      </c>
      <c r="J245" s="367" t="str">
        <f>IF(G245="","",IF(G245&gt;=INDEX(Config!B:B,MATCH("Autoclave temperature minimale (C)",Config!A:A,0)),"OK","Sous-temperature"))</f>
        <v>#ERROR!</v>
      </c>
      <c r="K245" s="233"/>
    </row>
    <row r="246">
      <c r="A246" s="303"/>
      <c r="B246" s="235"/>
      <c r="C246" s="235"/>
      <c r="D246" s="235"/>
      <c r="E246" s="235"/>
      <c r="F246" s="235"/>
      <c r="G246" s="235"/>
      <c r="H246" s="235"/>
      <c r="I246" s="283" t="str">
        <f>IFERROR(H246*INDEX(Config!B:B,MATCH("Cout energie par lot (EUR)",Config!A:A,0))/60,"")</f>
        <v>#ERROR!</v>
      </c>
      <c r="J246" s="368" t="str">
        <f>IF(G246="","",IF(G246&gt;=INDEX(Config!B:B,MATCH("Autoclave temperature minimale (C)",Config!A:A,0)),"OK","Sous-temperature"))</f>
        <v>#ERROR!</v>
      </c>
      <c r="K246" s="240"/>
    </row>
    <row r="247">
      <c r="A247" s="301"/>
      <c r="B247" s="227"/>
      <c r="C247" s="227"/>
      <c r="D247" s="227"/>
      <c r="E247" s="227"/>
      <c r="F247" s="227"/>
      <c r="G247" s="227"/>
      <c r="H247" s="227"/>
      <c r="I247" s="281" t="str">
        <f>IFERROR(H247*INDEX(Config!B:B,MATCH("Cout energie par lot (EUR)",Config!A:A,0))/60,"")</f>
        <v>#ERROR!</v>
      </c>
      <c r="J247" s="367" t="str">
        <f>IF(G247="","",IF(G247&gt;=INDEX(Config!B:B,MATCH("Autoclave temperature minimale (C)",Config!A:A,0)),"OK","Sous-temperature"))</f>
        <v>#ERROR!</v>
      </c>
      <c r="K247" s="233"/>
    </row>
    <row r="248">
      <c r="A248" s="303"/>
      <c r="B248" s="235"/>
      <c r="C248" s="235"/>
      <c r="D248" s="235"/>
      <c r="E248" s="235"/>
      <c r="F248" s="235"/>
      <c r="G248" s="235"/>
      <c r="H248" s="235"/>
      <c r="I248" s="283" t="str">
        <f>IFERROR(H248*INDEX(Config!B:B,MATCH("Cout energie par lot (EUR)",Config!A:A,0))/60,"")</f>
        <v>#ERROR!</v>
      </c>
      <c r="J248" s="368" t="str">
        <f>IF(G248="","",IF(G248&gt;=INDEX(Config!B:B,MATCH("Autoclave temperature minimale (C)",Config!A:A,0)),"OK","Sous-temperature"))</f>
        <v>#ERROR!</v>
      </c>
      <c r="K248" s="240"/>
    </row>
    <row r="249">
      <c r="A249" s="301"/>
      <c r="B249" s="227"/>
      <c r="C249" s="227"/>
      <c r="D249" s="227"/>
      <c r="E249" s="227"/>
      <c r="F249" s="227"/>
      <c r="G249" s="227"/>
      <c r="H249" s="227"/>
      <c r="I249" s="281" t="str">
        <f>IFERROR(H249*INDEX(Config!B:B,MATCH("Cout energie par lot (EUR)",Config!A:A,0))/60,"")</f>
        <v>#ERROR!</v>
      </c>
      <c r="J249" s="367" t="str">
        <f>IF(G249="","",IF(G249&gt;=INDEX(Config!B:B,MATCH("Autoclave temperature minimale (C)",Config!A:A,0)),"OK","Sous-temperature"))</f>
        <v>#ERROR!</v>
      </c>
      <c r="K249" s="233"/>
    </row>
    <row r="250">
      <c r="A250" s="303"/>
      <c r="B250" s="235"/>
      <c r="C250" s="235"/>
      <c r="D250" s="235"/>
      <c r="E250" s="235"/>
      <c r="F250" s="235"/>
      <c r="G250" s="235"/>
      <c r="H250" s="235"/>
      <c r="I250" s="283" t="str">
        <f>IFERROR(H250*INDEX(Config!B:B,MATCH("Cout energie par lot (EUR)",Config!A:A,0))/60,"")</f>
        <v>#ERROR!</v>
      </c>
      <c r="J250" s="368" t="str">
        <f>IF(G250="","",IF(G250&gt;=INDEX(Config!B:B,MATCH("Autoclave temperature minimale (C)",Config!A:A,0)),"OK","Sous-temperature"))</f>
        <v>#ERROR!</v>
      </c>
      <c r="K250" s="240"/>
    </row>
    <row r="251">
      <c r="A251" s="301"/>
      <c r="B251" s="227"/>
      <c r="C251" s="227"/>
      <c r="D251" s="227"/>
      <c r="E251" s="227"/>
      <c r="F251" s="227"/>
      <c r="G251" s="227"/>
      <c r="H251" s="227"/>
      <c r="I251" s="281" t="str">
        <f>IFERROR(H251*INDEX(Config!B:B,MATCH("Cout energie par lot (EUR)",Config!A:A,0))/60,"")</f>
        <v>#ERROR!</v>
      </c>
      <c r="J251" s="367" t="str">
        <f>IF(G251="","",IF(G251&gt;=INDEX(Config!B:B,MATCH("Autoclave temperature minimale (C)",Config!A:A,0)),"OK","Sous-temperature"))</f>
        <v>#ERROR!</v>
      </c>
      <c r="K251" s="233"/>
    </row>
    <row r="252">
      <c r="A252" s="303"/>
      <c r="B252" s="235"/>
      <c r="C252" s="235"/>
      <c r="D252" s="235"/>
      <c r="E252" s="235"/>
      <c r="F252" s="235"/>
      <c r="G252" s="235"/>
      <c r="H252" s="235"/>
      <c r="I252" s="283" t="str">
        <f>IFERROR(H252*INDEX(Config!B:B,MATCH("Cout energie par lot (EUR)",Config!A:A,0))/60,"")</f>
        <v>#ERROR!</v>
      </c>
      <c r="J252" s="368" t="str">
        <f>IF(G252="","",IF(G252&gt;=INDEX(Config!B:B,MATCH("Autoclave temperature minimale (C)",Config!A:A,0)),"OK","Sous-temperature"))</f>
        <v>#ERROR!</v>
      </c>
      <c r="K252" s="240"/>
    </row>
    <row r="253">
      <c r="A253" s="301"/>
      <c r="B253" s="227"/>
      <c r="C253" s="227"/>
      <c r="D253" s="227"/>
      <c r="E253" s="227"/>
      <c r="F253" s="227"/>
      <c r="G253" s="227"/>
      <c r="H253" s="227"/>
      <c r="I253" s="281" t="str">
        <f>IFERROR(H253*INDEX(Config!B:B,MATCH("Cout energie par lot (EUR)",Config!A:A,0))/60,"")</f>
        <v>#ERROR!</v>
      </c>
      <c r="J253" s="367" t="str">
        <f>IF(G253="","",IF(G253&gt;=INDEX(Config!B:B,MATCH("Autoclave temperature minimale (C)",Config!A:A,0)),"OK","Sous-temperature"))</f>
        <v>#ERROR!</v>
      </c>
      <c r="K253" s="233"/>
    </row>
    <row r="254">
      <c r="A254" s="303"/>
      <c r="B254" s="235"/>
      <c r="C254" s="235"/>
      <c r="D254" s="235"/>
      <c r="E254" s="235"/>
      <c r="F254" s="235"/>
      <c r="G254" s="235"/>
      <c r="H254" s="235"/>
      <c r="I254" s="283" t="str">
        <f>IFERROR(H254*INDEX(Config!B:B,MATCH("Cout energie par lot (EUR)",Config!A:A,0))/60,"")</f>
        <v>#ERROR!</v>
      </c>
      <c r="J254" s="368" t="str">
        <f>IF(G254="","",IF(G254&gt;=INDEX(Config!B:B,MATCH("Autoclave temperature minimale (C)",Config!A:A,0)),"OK","Sous-temperature"))</f>
        <v>#ERROR!</v>
      </c>
      <c r="K254" s="240"/>
    </row>
    <row r="255">
      <c r="A255" s="301"/>
      <c r="B255" s="227"/>
      <c r="C255" s="227"/>
      <c r="D255" s="227"/>
      <c r="E255" s="227"/>
      <c r="F255" s="227"/>
      <c r="G255" s="227"/>
      <c r="H255" s="227"/>
      <c r="I255" s="281" t="str">
        <f>IFERROR(H255*INDEX(Config!B:B,MATCH("Cout energie par lot (EUR)",Config!A:A,0))/60,"")</f>
        <v>#ERROR!</v>
      </c>
      <c r="J255" s="367" t="str">
        <f>IF(G255="","",IF(G255&gt;=INDEX(Config!B:B,MATCH("Autoclave temperature minimale (C)",Config!A:A,0)),"OK","Sous-temperature"))</f>
        <v>#ERROR!</v>
      </c>
      <c r="K255" s="233"/>
    </row>
    <row r="256">
      <c r="A256" s="303"/>
      <c r="B256" s="235"/>
      <c r="C256" s="235"/>
      <c r="D256" s="235"/>
      <c r="E256" s="235"/>
      <c r="F256" s="235"/>
      <c r="G256" s="235"/>
      <c r="H256" s="235"/>
      <c r="I256" s="283" t="str">
        <f>IFERROR(H256*INDEX(Config!B:B,MATCH("Cout energie par lot (EUR)",Config!A:A,0))/60,"")</f>
        <v>#ERROR!</v>
      </c>
      <c r="J256" s="368" t="str">
        <f>IF(G256="","",IF(G256&gt;=INDEX(Config!B:B,MATCH("Autoclave temperature minimale (C)",Config!A:A,0)),"OK","Sous-temperature"))</f>
        <v>#ERROR!</v>
      </c>
      <c r="K256" s="240"/>
    </row>
    <row r="257">
      <c r="A257" s="301"/>
      <c r="B257" s="227"/>
      <c r="C257" s="227"/>
      <c r="D257" s="227"/>
      <c r="E257" s="227"/>
      <c r="F257" s="227"/>
      <c r="G257" s="227"/>
      <c r="H257" s="227"/>
      <c r="I257" s="281" t="str">
        <f>IFERROR(H257*INDEX(Config!B:B,MATCH("Cout energie par lot (EUR)",Config!A:A,0))/60,"")</f>
        <v>#ERROR!</v>
      </c>
      <c r="J257" s="367" t="str">
        <f>IF(G257="","",IF(G257&gt;=INDEX(Config!B:B,MATCH("Autoclave temperature minimale (C)",Config!A:A,0)),"OK","Sous-temperature"))</f>
        <v>#ERROR!</v>
      </c>
      <c r="K257" s="233"/>
    </row>
    <row r="258">
      <c r="A258" s="303"/>
      <c r="B258" s="235"/>
      <c r="C258" s="235"/>
      <c r="D258" s="235"/>
      <c r="E258" s="235"/>
      <c r="F258" s="235"/>
      <c r="G258" s="235"/>
      <c r="H258" s="235"/>
      <c r="I258" s="283" t="str">
        <f>IFERROR(H258*INDEX(Config!B:B,MATCH("Cout energie par lot (EUR)",Config!A:A,0))/60,"")</f>
        <v>#ERROR!</v>
      </c>
      <c r="J258" s="368" t="str">
        <f>IF(G258="","",IF(G258&gt;=INDEX(Config!B:B,MATCH("Autoclave temperature minimale (C)",Config!A:A,0)),"OK","Sous-temperature"))</f>
        <v>#ERROR!</v>
      </c>
      <c r="K258" s="240"/>
    </row>
    <row r="259">
      <c r="A259" s="301"/>
      <c r="B259" s="227"/>
      <c r="C259" s="227"/>
      <c r="D259" s="227"/>
      <c r="E259" s="227"/>
      <c r="F259" s="227"/>
      <c r="G259" s="227"/>
      <c r="H259" s="227"/>
      <c r="I259" s="281" t="str">
        <f>IFERROR(H259*INDEX(Config!B:B,MATCH("Cout energie par lot (EUR)",Config!A:A,0))/60,"")</f>
        <v>#ERROR!</v>
      </c>
      <c r="J259" s="367" t="str">
        <f>IF(G259="","",IF(G259&gt;=INDEX(Config!B:B,MATCH("Autoclave temperature minimale (C)",Config!A:A,0)),"OK","Sous-temperature"))</f>
        <v>#ERROR!</v>
      </c>
      <c r="K259" s="233"/>
    </row>
    <row r="260">
      <c r="A260" s="303"/>
      <c r="B260" s="235"/>
      <c r="C260" s="235"/>
      <c r="D260" s="235"/>
      <c r="E260" s="235"/>
      <c r="F260" s="235"/>
      <c r="G260" s="235"/>
      <c r="H260" s="235"/>
      <c r="I260" s="283" t="str">
        <f>IFERROR(H260*INDEX(Config!B:B,MATCH("Cout energie par lot (EUR)",Config!A:A,0))/60,"")</f>
        <v>#ERROR!</v>
      </c>
      <c r="J260" s="368" t="str">
        <f>IF(G260="","",IF(G260&gt;=INDEX(Config!B:B,MATCH("Autoclave temperature minimale (C)",Config!A:A,0)),"OK","Sous-temperature"))</f>
        <v>#ERROR!</v>
      </c>
      <c r="K260" s="240"/>
    </row>
    <row r="261">
      <c r="A261" s="301"/>
      <c r="B261" s="227"/>
      <c r="C261" s="227"/>
      <c r="D261" s="227"/>
      <c r="E261" s="227"/>
      <c r="F261" s="227"/>
      <c r="G261" s="227"/>
      <c r="H261" s="227"/>
      <c r="I261" s="281" t="str">
        <f>IFERROR(H261*INDEX(Config!B:B,MATCH("Cout energie par lot (EUR)",Config!A:A,0))/60,"")</f>
        <v>#ERROR!</v>
      </c>
      <c r="J261" s="367" t="str">
        <f>IF(G261="","",IF(G261&gt;=INDEX(Config!B:B,MATCH("Autoclave temperature minimale (C)",Config!A:A,0)),"OK","Sous-temperature"))</f>
        <v>#ERROR!</v>
      </c>
      <c r="K261" s="233"/>
    </row>
    <row r="262">
      <c r="A262" s="303"/>
      <c r="B262" s="235"/>
      <c r="C262" s="235"/>
      <c r="D262" s="235"/>
      <c r="E262" s="235"/>
      <c r="F262" s="235"/>
      <c r="G262" s="235"/>
      <c r="H262" s="235"/>
      <c r="I262" s="283" t="str">
        <f>IFERROR(H262*INDEX(Config!B:B,MATCH("Cout energie par lot (EUR)",Config!A:A,0))/60,"")</f>
        <v>#ERROR!</v>
      </c>
      <c r="J262" s="368" t="str">
        <f>IF(G262="","",IF(G262&gt;=INDEX(Config!B:B,MATCH("Autoclave temperature minimale (C)",Config!A:A,0)),"OK","Sous-temperature"))</f>
        <v>#ERROR!</v>
      </c>
      <c r="K262" s="240"/>
    </row>
    <row r="263">
      <c r="A263" s="301"/>
      <c r="B263" s="227"/>
      <c r="C263" s="227"/>
      <c r="D263" s="227"/>
      <c r="E263" s="227"/>
      <c r="F263" s="227"/>
      <c r="G263" s="227"/>
      <c r="H263" s="227"/>
      <c r="I263" s="281" t="str">
        <f>IFERROR(H263*INDEX(Config!B:B,MATCH("Cout energie par lot (EUR)",Config!A:A,0))/60,"")</f>
        <v>#ERROR!</v>
      </c>
      <c r="J263" s="367" t="str">
        <f>IF(G263="","",IF(G263&gt;=INDEX(Config!B:B,MATCH("Autoclave temperature minimale (C)",Config!A:A,0)),"OK","Sous-temperature"))</f>
        <v>#ERROR!</v>
      </c>
      <c r="K263" s="233"/>
    </row>
    <row r="264">
      <c r="A264" s="303"/>
      <c r="B264" s="235"/>
      <c r="C264" s="235"/>
      <c r="D264" s="235"/>
      <c r="E264" s="235"/>
      <c r="F264" s="235"/>
      <c r="G264" s="235"/>
      <c r="H264" s="235"/>
      <c r="I264" s="283" t="str">
        <f>IFERROR(H264*INDEX(Config!B:B,MATCH("Cout energie par lot (EUR)",Config!A:A,0))/60,"")</f>
        <v>#ERROR!</v>
      </c>
      <c r="J264" s="368" t="str">
        <f>IF(G264="","",IF(G264&gt;=INDEX(Config!B:B,MATCH("Autoclave temperature minimale (C)",Config!A:A,0)),"OK","Sous-temperature"))</f>
        <v>#ERROR!</v>
      </c>
      <c r="K264" s="240"/>
    </row>
    <row r="265">
      <c r="A265" s="301"/>
      <c r="B265" s="227"/>
      <c r="C265" s="227"/>
      <c r="D265" s="227"/>
      <c r="E265" s="227"/>
      <c r="F265" s="227"/>
      <c r="G265" s="227"/>
      <c r="H265" s="227"/>
      <c r="I265" s="281" t="str">
        <f>IFERROR(H265*INDEX(Config!B:B,MATCH("Cout energie par lot (EUR)",Config!A:A,0))/60,"")</f>
        <v>#ERROR!</v>
      </c>
      <c r="J265" s="367" t="str">
        <f>IF(G265="","",IF(G265&gt;=INDEX(Config!B:B,MATCH("Autoclave temperature minimale (C)",Config!A:A,0)),"OK","Sous-temperature"))</f>
        <v>#ERROR!</v>
      </c>
      <c r="K265" s="233"/>
    </row>
    <row r="266">
      <c r="A266" s="303"/>
      <c r="B266" s="235"/>
      <c r="C266" s="235"/>
      <c r="D266" s="235"/>
      <c r="E266" s="235"/>
      <c r="F266" s="235"/>
      <c r="G266" s="235"/>
      <c r="H266" s="235"/>
      <c r="I266" s="283" t="str">
        <f>IFERROR(H266*INDEX(Config!B:B,MATCH("Cout energie par lot (EUR)",Config!A:A,0))/60,"")</f>
        <v>#ERROR!</v>
      </c>
      <c r="J266" s="368" t="str">
        <f>IF(G266="","",IF(G266&gt;=INDEX(Config!B:B,MATCH("Autoclave temperature minimale (C)",Config!A:A,0)),"OK","Sous-temperature"))</f>
        <v>#ERROR!</v>
      </c>
      <c r="K266" s="240"/>
    </row>
    <row r="267">
      <c r="A267" s="301"/>
      <c r="B267" s="227"/>
      <c r="C267" s="227"/>
      <c r="D267" s="227"/>
      <c r="E267" s="227"/>
      <c r="F267" s="227"/>
      <c r="G267" s="227"/>
      <c r="H267" s="227"/>
      <c r="I267" s="281" t="str">
        <f>IFERROR(H267*INDEX(Config!B:B,MATCH("Cout energie par lot (EUR)",Config!A:A,0))/60,"")</f>
        <v>#ERROR!</v>
      </c>
      <c r="J267" s="367" t="str">
        <f>IF(G267="","",IF(G267&gt;=INDEX(Config!B:B,MATCH("Autoclave temperature minimale (C)",Config!A:A,0)),"OK","Sous-temperature"))</f>
        <v>#ERROR!</v>
      </c>
      <c r="K267" s="233"/>
    </row>
    <row r="268">
      <c r="A268" s="303"/>
      <c r="B268" s="235"/>
      <c r="C268" s="235"/>
      <c r="D268" s="235"/>
      <c r="E268" s="235"/>
      <c r="F268" s="235"/>
      <c r="G268" s="235"/>
      <c r="H268" s="235"/>
      <c r="I268" s="283" t="str">
        <f>IFERROR(H268*INDEX(Config!B:B,MATCH("Cout energie par lot (EUR)",Config!A:A,0))/60,"")</f>
        <v>#ERROR!</v>
      </c>
      <c r="J268" s="368" t="str">
        <f>IF(G268="","",IF(G268&gt;=INDEX(Config!B:B,MATCH("Autoclave temperature minimale (C)",Config!A:A,0)),"OK","Sous-temperature"))</f>
        <v>#ERROR!</v>
      </c>
      <c r="K268" s="240"/>
    </row>
    <row r="269">
      <c r="A269" s="301"/>
      <c r="B269" s="227"/>
      <c r="C269" s="227"/>
      <c r="D269" s="227"/>
      <c r="E269" s="227"/>
      <c r="F269" s="227"/>
      <c r="G269" s="227"/>
      <c r="H269" s="227"/>
      <c r="I269" s="281" t="str">
        <f>IFERROR(H269*INDEX(Config!B:B,MATCH("Cout energie par lot (EUR)",Config!A:A,0))/60,"")</f>
        <v>#ERROR!</v>
      </c>
      <c r="J269" s="367" t="str">
        <f>IF(G269="","",IF(G269&gt;=INDEX(Config!B:B,MATCH("Autoclave temperature minimale (C)",Config!A:A,0)),"OK","Sous-temperature"))</f>
        <v>#ERROR!</v>
      </c>
      <c r="K269" s="233"/>
    </row>
    <row r="270">
      <c r="A270" s="303"/>
      <c r="B270" s="235"/>
      <c r="C270" s="235"/>
      <c r="D270" s="235"/>
      <c r="E270" s="235"/>
      <c r="F270" s="235"/>
      <c r="G270" s="235"/>
      <c r="H270" s="235"/>
      <c r="I270" s="283" t="str">
        <f>IFERROR(H270*INDEX(Config!B:B,MATCH("Cout energie par lot (EUR)",Config!A:A,0))/60,"")</f>
        <v>#ERROR!</v>
      </c>
      <c r="J270" s="368" t="str">
        <f>IF(G270="","",IF(G270&gt;=INDEX(Config!B:B,MATCH("Autoclave temperature minimale (C)",Config!A:A,0)),"OK","Sous-temperature"))</f>
        <v>#ERROR!</v>
      </c>
      <c r="K270" s="240"/>
    </row>
    <row r="271">
      <c r="A271" s="301"/>
      <c r="B271" s="227"/>
      <c r="C271" s="227"/>
      <c r="D271" s="227"/>
      <c r="E271" s="227"/>
      <c r="F271" s="227"/>
      <c r="G271" s="227"/>
      <c r="H271" s="227"/>
      <c r="I271" s="281" t="str">
        <f>IFERROR(H271*INDEX(Config!B:B,MATCH("Cout energie par lot (EUR)",Config!A:A,0))/60,"")</f>
        <v>#ERROR!</v>
      </c>
      <c r="J271" s="367" t="str">
        <f>IF(G271="","",IF(G271&gt;=INDEX(Config!B:B,MATCH("Autoclave temperature minimale (C)",Config!A:A,0)),"OK","Sous-temperature"))</f>
        <v>#ERROR!</v>
      </c>
      <c r="K271" s="233"/>
    </row>
    <row r="272">
      <c r="A272" s="303"/>
      <c r="B272" s="235"/>
      <c r="C272" s="235"/>
      <c r="D272" s="235"/>
      <c r="E272" s="235"/>
      <c r="F272" s="235"/>
      <c r="G272" s="235"/>
      <c r="H272" s="235"/>
      <c r="I272" s="283" t="str">
        <f>IFERROR(H272*INDEX(Config!B:B,MATCH("Cout energie par lot (EUR)",Config!A:A,0))/60,"")</f>
        <v>#ERROR!</v>
      </c>
      <c r="J272" s="368" t="str">
        <f>IF(G272="","",IF(G272&gt;=INDEX(Config!B:B,MATCH("Autoclave temperature minimale (C)",Config!A:A,0)),"OK","Sous-temperature"))</f>
        <v>#ERROR!</v>
      </c>
      <c r="K272" s="240"/>
    </row>
    <row r="273">
      <c r="A273" s="301"/>
      <c r="B273" s="227"/>
      <c r="C273" s="227"/>
      <c r="D273" s="227"/>
      <c r="E273" s="227"/>
      <c r="F273" s="227"/>
      <c r="G273" s="227"/>
      <c r="H273" s="227"/>
      <c r="I273" s="281" t="str">
        <f>IFERROR(H273*INDEX(Config!B:B,MATCH("Cout energie par lot (EUR)",Config!A:A,0))/60,"")</f>
        <v>#ERROR!</v>
      </c>
      <c r="J273" s="367" t="str">
        <f>IF(G273="","",IF(G273&gt;=INDEX(Config!B:B,MATCH("Autoclave temperature minimale (C)",Config!A:A,0)),"OK","Sous-temperature"))</f>
        <v>#ERROR!</v>
      </c>
      <c r="K273" s="233"/>
    </row>
    <row r="274">
      <c r="A274" s="303"/>
      <c r="B274" s="235"/>
      <c r="C274" s="235"/>
      <c r="D274" s="235"/>
      <c r="E274" s="235"/>
      <c r="F274" s="235"/>
      <c r="G274" s="235"/>
      <c r="H274" s="235"/>
      <c r="I274" s="283" t="str">
        <f>IFERROR(H274*INDEX(Config!B:B,MATCH("Cout energie par lot (EUR)",Config!A:A,0))/60,"")</f>
        <v>#ERROR!</v>
      </c>
      <c r="J274" s="368" t="str">
        <f>IF(G274="","",IF(G274&gt;=INDEX(Config!B:B,MATCH("Autoclave temperature minimale (C)",Config!A:A,0)),"OK","Sous-temperature"))</f>
        <v>#ERROR!</v>
      </c>
      <c r="K274" s="240"/>
    </row>
    <row r="275">
      <c r="A275" s="301"/>
      <c r="B275" s="227"/>
      <c r="C275" s="227"/>
      <c r="D275" s="227"/>
      <c r="E275" s="227"/>
      <c r="F275" s="227"/>
      <c r="G275" s="227"/>
      <c r="H275" s="227"/>
      <c r="I275" s="281" t="str">
        <f>IFERROR(H275*INDEX(Config!B:B,MATCH("Cout energie par lot (EUR)",Config!A:A,0))/60,"")</f>
        <v>#ERROR!</v>
      </c>
      <c r="J275" s="367" t="str">
        <f>IF(G275="","",IF(G275&gt;=INDEX(Config!B:B,MATCH("Autoclave temperature minimale (C)",Config!A:A,0)),"OK","Sous-temperature"))</f>
        <v>#ERROR!</v>
      </c>
      <c r="K275" s="233"/>
    </row>
    <row r="276">
      <c r="A276" s="303"/>
      <c r="B276" s="235"/>
      <c r="C276" s="235"/>
      <c r="D276" s="235"/>
      <c r="E276" s="235"/>
      <c r="F276" s="235"/>
      <c r="G276" s="235"/>
      <c r="H276" s="235"/>
      <c r="I276" s="283" t="str">
        <f>IFERROR(H276*INDEX(Config!B:B,MATCH("Cout energie par lot (EUR)",Config!A:A,0))/60,"")</f>
        <v>#ERROR!</v>
      </c>
      <c r="J276" s="368" t="str">
        <f>IF(G276="","",IF(G276&gt;=INDEX(Config!B:B,MATCH("Autoclave temperature minimale (C)",Config!A:A,0)),"OK","Sous-temperature"))</f>
        <v>#ERROR!</v>
      </c>
      <c r="K276" s="240"/>
    </row>
    <row r="277">
      <c r="A277" s="301"/>
      <c r="B277" s="227"/>
      <c r="C277" s="227"/>
      <c r="D277" s="227"/>
      <c r="E277" s="227"/>
      <c r="F277" s="227"/>
      <c r="G277" s="227"/>
      <c r="H277" s="227"/>
      <c r="I277" s="281" t="str">
        <f>IFERROR(H277*INDEX(Config!B:B,MATCH("Cout energie par lot (EUR)",Config!A:A,0))/60,"")</f>
        <v>#ERROR!</v>
      </c>
      <c r="J277" s="367" t="str">
        <f>IF(G277="","",IF(G277&gt;=INDEX(Config!B:B,MATCH("Autoclave temperature minimale (C)",Config!A:A,0)),"OK","Sous-temperature"))</f>
        <v>#ERROR!</v>
      </c>
      <c r="K277" s="233"/>
    </row>
    <row r="278">
      <c r="A278" s="303"/>
      <c r="B278" s="235"/>
      <c r="C278" s="235"/>
      <c r="D278" s="235"/>
      <c r="E278" s="235"/>
      <c r="F278" s="235"/>
      <c r="G278" s="235"/>
      <c r="H278" s="235"/>
      <c r="I278" s="283" t="str">
        <f>IFERROR(H278*INDEX(Config!B:B,MATCH("Cout energie par lot (EUR)",Config!A:A,0))/60,"")</f>
        <v>#ERROR!</v>
      </c>
      <c r="J278" s="368" t="str">
        <f>IF(G278="","",IF(G278&gt;=INDEX(Config!B:B,MATCH("Autoclave temperature minimale (C)",Config!A:A,0)),"OK","Sous-temperature"))</f>
        <v>#ERROR!</v>
      </c>
      <c r="K278" s="240"/>
    </row>
    <row r="279">
      <c r="A279" s="301"/>
      <c r="B279" s="227"/>
      <c r="C279" s="227"/>
      <c r="D279" s="227"/>
      <c r="E279" s="227"/>
      <c r="F279" s="227"/>
      <c r="G279" s="227"/>
      <c r="H279" s="227"/>
      <c r="I279" s="281" t="str">
        <f>IFERROR(H279*INDEX(Config!B:B,MATCH("Cout energie par lot (EUR)",Config!A:A,0))/60,"")</f>
        <v>#ERROR!</v>
      </c>
      <c r="J279" s="367" t="str">
        <f>IF(G279="","",IF(G279&gt;=INDEX(Config!B:B,MATCH("Autoclave temperature minimale (C)",Config!A:A,0)),"OK","Sous-temperature"))</f>
        <v>#ERROR!</v>
      </c>
      <c r="K279" s="233"/>
    </row>
    <row r="280">
      <c r="A280" s="303"/>
      <c r="B280" s="235"/>
      <c r="C280" s="235"/>
      <c r="D280" s="235"/>
      <c r="E280" s="235"/>
      <c r="F280" s="235"/>
      <c r="G280" s="235"/>
      <c r="H280" s="235"/>
      <c r="I280" s="283" t="str">
        <f>IFERROR(H280*INDEX(Config!B:B,MATCH("Cout energie par lot (EUR)",Config!A:A,0))/60,"")</f>
        <v>#ERROR!</v>
      </c>
      <c r="J280" s="368" t="str">
        <f>IF(G280="","",IF(G280&gt;=INDEX(Config!B:B,MATCH("Autoclave temperature minimale (C)",Config!A:A,0)),"OK","Sous-temperature"))</f>
        <v>#ERROR!</v>
      </c>
      <c r="K280" s="240"/>
    </row>
    <row r="281">
      <c r="A281" s="301"/>
      <c r="B281" s="227"/>
      <c r="C281" s="227"/>
      <c r="D281" s="227"/>
      <c r="E281" s="227"/>
      <c r="F281" s="227"/>
      <c r="G281" s="227"/>
      <c r="H281" s="227"/>
      <c r="I281" s="281" t="str">
        <f>IFERROR(H281*INDEX(Config!B:B,MATCH("Cout energie par lot (EUR)",Config!A:A,0))/60,"")</f>
        <v>#ERROR!</v>
      </c>
      <c r="J281" s="367" t="str">
        <f>IF(G281="","",IF(G281&gt;=INDEX(Config!B:B,MATCH("Autoclave temperature minimale (C)",Config!A:A,0)),"OK","Sous-temperature"))</f>
        <v>#ERROR!</v>
      </c>
      <c r="K281" s="233"/>
    </row>
    <row r="282">
      <c r="A282" s="303"/>
      <c r="B282" s="235"/>
      <c r="C282" s="235"/>
      <c r="D282" s="235"/>
      <c r="E282" s="235"/>
      <c r="F282" s="235"/>
      <c r="G282" s="235"/>
      <c r="H282" s="235"/>
      <c r="I282" s="283" t="str">
        <f>IFERROR(H282*INDEX(Config!B:B,MATCH("Cout energie par lot (EUR)",Config!A:A,0))/60,"")</f>
        <v>#ERROR!</v>
      </c>
      <c r="J282" s="368" t="str">
        <f>IF(G282="","",IF(G282&gt;=INDEX(Config!B:B,MATCH("Autoclave temperature minimale (C)",Config!A:A,0)),"OK","Sous-temperature"))</f>
        <v>#ERROR!</v>
      </c>
      <c r="K282" s="240"/>
    </row>
    <row r="283">
      <c r="A283" s="301"/>
      <c r="B283" s="227"/>
      <c r="C283" s="227"/>
      <c r="D283" s="227"/>
      <c r="E283" s="227"/>
      <c r="F283" s="227"/>
      <c r="G283" s="227"/>
      <c r="H283" s="227"/>
      <c r="I283" s="281" t="str">
        <f>IFERROR(H283*INDEX(Config!B:B,MATCH("Cout energie par lot (EUR)",Config!A:A,0))/60,"")</f>
        <v>#ERROR!</v>
      </c>
      <c r="J283" s="367" t="str">
        <f>IF(G283="","",IF(G283&gt;=INDEX(Config!B:B,MATCH("Autoclave temperature minimale (C)",Config!A:A,0)),"OK","Sous-temperature"))</f>
        <v>#ERROR!</v>
      </c>
      <c r="K283" s="233"/>
    </row>
    <row r="284">
      <c r="A284" s="303"/>
      <c r="B284" s="235"/>
      <c r="C284" s="235"/>
      <c r="D284" s="235"/>
      <c r="E284" s="235"/>
      <c r="F284" s="235"/>
      <c r="G284" s="235"/>
      <c r="H284" s="235"/>
      <c r="I284" s="283" t="str">
        <f>IFERROR(H284*INDEX(Config!B:B,MATCH("Cout energie par lot (EUR)",Config!A:A,0))/60,"")</f>
        <v>#ERROR!</v>
      </c>
      <c r="J284" s="368" t="str">
        <f>IF(G284="","",IF(G284&gt;=INDEX(Config!B:B,MATCH("Autoclave temperature minimale (C)",Config!A:A,0)),"OK","Sous-temperature"))</f>
        <v>#ERROR!</v>
      </c>
      <c r="K284" s="240"/>
    </row>
    <row r="285">
      <c r="A285" s="301"/>
      <c r="B285" s="227"/>
      <c r="C285" s="227"/>
      <c r="D285" s="227"/>
      <c r="E285" s="227"/>
      <c r="F285" s="227"/>
      <c r="G285" s="227"/>
      <c r="H285" s="227"/>
      <c r="I285" s="281" t="str">
        <f>IFERROR(H285*INDEX(Config!B:B,MATCH("Cout energie par lot (EUR)",Config!A:A,0))/60,"")</f>
        <v>#ERROR!</v>
      </c>
      <c r="J285" s="367" t="str">
        <f>IF(G285="","",IF(G285&gt;=INDEX(Config!B:B,MATCH("Autoclave temperature minimale (C)",Config!A:A,0)),"OK","Sous-temperature"))</f>
        <v>#ERROR!</v>
      </c>
      <c r="K285" s="233"/>
    </row>
    <row r="286">
      <c r="A286" s="303"/>
      <c r="B286" s="235"/>
      <c r="C286" s="235"/>
      <c r="D286" s="235"/>
      <c r="E286" s="235"/>
      <c r="F286" s="235"/>
      <c r="G286" s="235"/>
      <c r="H286" s="235"/>
      <c r="I286" s="283" t="str">
        <f>IFERROR(H286*INDEX(Config!B:B,MATCH("Cout energie par lot (EUR)",Config!A:A,0))/60,"")</f>
        <v>#ERROR!</v>
      </c>
      <c r="J286" s="368" t="str">
        <f>IF(G286="","",IF(G286&gt;=INDEX(Config!B:B,MATCH("Autoclave temperature minimale (C)",Config!A:A,0)),"OK","Sous-temperature"))</f>
        <v>#ERROR!</v>
      </c>
      <c r="K286" s="240"/>
    </row>
    <row r="287">
      <c r="A287" s="301"/>
      <c r="B287" s="227"/>
      <c r="C287" s="227"/>
      <c r="D287" s="227"/>
      <c r="E287" s="227"/>
      <c r="F287" s="227"/>
      <c r="G287" s="227"/>
      <c r="H287" s="227"/>
      <c r="I287" s="281" t="str">
        <f>IFERROR(H287*INDEX(Config!B:B,MATCH("Cout energie par lot (EUR)",Config!A:A,0))/60,"")</f>
        <v>#ERROR!</v>
      </c>
      <c r="J287" s="367" t="str">
        <f>IF(G287="","",IF(G287&gt;=INDEX(Config!B:B,MATCH("Autoclave temperature minimale (C)",Config!A:A,0)),"OK","Sous-temperature"))</f>
        <v>#ERROR!</v>
      </c>
      <c r="K287" s="233"/>
    </row>
    <row r="288">
      <c r="A288" s="303"/>
      <c r="B288" s="235"/>
      <c r="C288" s="235"/>
      <c r="D288" s="235"/>
      <c r="E288" s="235"/>
      <c r="F288" s="235"/>
      <c r="G288" s="235"/>
      <c r="H288" s="235"/>
      <c r="I288" s="283" t="str">
        <f>IFERROR(H288*INDEX(Config!B:B,MATCH("Cout energie par lot (EUR)",Config!A:A,0))/60,"")</f>
        <v>#ERROR!</v>
      </c>
      <c r="J288" s="368" t="str">
        <f>IF(G288="","",IF(G288&gt;=INDEX(Config!B:B,MATCH("Autoclave temperature minimale (C)",Config!A:A,0)),"OK","Sous-temperature"))</f>
        <v>#ERROR!</v>
      </c>
      <c r="K288" s="240"/>
    </row>
    <row r="289">
      <c r="A289" s="301"/>
      <c r="B289" s="227"/>
      <c r="C289" s="227"/>
      <c r="D289" s="227"/>
      <c r="E289" s="227"/>
      <c r="F289" s="227"/>
      <c r="G289" s="227"/>
      <c r="H289" s="227"/>
      <c r="I289" s="281" t="str">
        <f>IFERROR(H289*INDEX(Config!B:B,MATCH("Cout energie par lot (EUR)",Config!A:A,0))/60,"")</f>
        <v>#ERROR!</v>
      </c>
      <c r="J289" s="367" t="str">
        <f>IF(G289="","",IF(G289&gt;=INDEX(Config!B:B,MATCH("Autoclave temperature minimale (C)",Config!A:A,0)),"OK","Sous-temperature"))</f>
        <v>#ERROR!</v>
      </c>
      <c r="K289" s="233"/>
    </row>
    <row r="290">
      <c r="A290" s="303"/>
      <c r="B290" s="235"/>
      <c r="C290" s="235"/>
      <c r="D290" s="235"/>
      <c r="E290" s="235"/>
      <c r="F290" s="235"/>
      <c r="G290" s="235"/>
      <c r="H290" s="235"/>
      <c r="I290" s="283" t="str">
        <f>IFERROR(H290*INDEX(Config!B:B,MATCH("Cout energie par lot (EUR)",Config!A:A,0))/60,"")</f>
        <v>#ERROR!</v>
      </c>
      <c r="J290" s="368" t="str">
        <f>IF(G290="","",IF(G290&gt;=INDEX(Config!B:B,MATCH("Autoclave temperature minimale (C)",Config!A:A,0)),"OK","Sous-temperature"))</f>
        <v>#ERROR!</v>
      </c>
      <c r="K290" s="240"/>
    </row>
    <row r="291">
      <c r="A291" s="301"/>
      <c r="B291" s="227"/>
      <c r="C291" s="227"/>
      <c r="D291" s="227"/>
      <c r="E291" s="227"/>
      <c r="F291" s="227"/>
      <c r="G291" s="227"/>
      <c r="H291" s="227"/>
      <c r="I291" s="281" t="str">
        <f>IFERROR(H291*INDEX(Config!B:B,MATCH("Cout energie par lot (EUR)",Config!A:A,0))/60,"")</f>
        <v>#ERROR!</v>
      </c>
      <c r="J291" s="367" t="str">
        <f>IF(G291="","",IF(G291&gt;=INDEX(Config!B:B,MATCH("Autoclave temperature minimale (C)",Config!A:A,0)),"OK","Sous-temperature"))</f>
        <v>#ERROR!</v>
      </c>
      <c r="K291" s="233"/>
    </row>
    <row r="292">
      <c r="A292" s="303"/>
      <c r="B292" s="235"/>
      <c r="C292" s="235"/>
      <c r="D292" s="235"/>
      <c r="E292" s="235"/>
      <c r="F292" s="235"/>
      <c r="G292" s="235"/>
      <c r="H292" s="235"/>
      <c r="I292" s="283" t="str">
        <f>IFERROR(H292*INDEX(Config!B:B,MATCH("Cout energie par lot (EUR)",Config!A:A,0))/60,"")</f>
        <v>#ERROR!</v>
      </c>
      <c r="J292" s="368" t="str">
        <f>IF(G292="","",IF(G292&gt;=INDEX(Config!B:B,MATCH("Autoclave temperature minimale (C)",Config!A:A,0)),"OK","Sous-temperature"))</f>
        <v>#ERROR!</v>
      </c>
      <c r="K292" s="240"/>
    </row>
    <row r="293">
      <c r="A293" s="301"/>
      <c r="B293" s="227"/>
      <c r="C293" s="227"/>
      <c r="D293" s="227"/>
      <c r="E293" s="227"/>
      <c r="F293" s="227"/>
      <c r="G293" s="227"/>
      <c r="H293" s="227"/>
      <c r="I293" s="281" t="str">
        <f>IFERROR(H293*INDEX(Config!B:B,MATCH("Cout energie par lot (EUR)",Config!A:A,0))/60,"")</f>
        <v>#ERROR!</v>
      </c>
      <c r="J293" s="367" t="str">
        <f>IF(G293="","",IF(G293&gt;=INDEX(Config!B:B,MATCH("Autoclave temperature minimale (C)",Config!A:A,0)),"OK","Sous-temperature"))</f>
        <v>#ERROR!</v>
      </c>
      <c r="K293" s="233"/>
    </row>
    <row r="294">
      <c r="A294" s="303"/>
      <c r="B294" s="235"/>
      <c r="C294" s="235"/>
      <c r="D294" s="235"/>
      <c r="E294" s="235"/>
      <c r="F294" s="235"/>
      <c r="G294" s="235"/>
      <c r="H294" s="235"/>
      <c r="I294" s="283" t="str">
        <f>IFERROR(H294*INDEX(Config!B:B,MATCH("Cout energie par lot (EUR)",Config!A:A,0))/60,"")</f>
        <v>#ERROR!</v>
      </c>
      <c r="J294" s="368" t="str">
        <f>IF(G294="","",IF(G294&gt;=INDEX(Config!B:B,MATCH("Autoclave temperature minimale (C)",Config!A:A,0)),"OK","Sous-temperature"))</f>
        <v>#ERROR!</v>
      </c>
      <c r="K294" s="240"/>
    </row>
    <row r="295">
      <c r="A295" s="301"/>
      <c r="B295" s="227"/>
      <c r="C295" s="227"/>
      <c r="D295" s="227"/>
      <c r="E295" s="227"/>
      <c r="F295" s="227"/>
      <c r="G295" s="227"/>
      <c r="H295" s="227"/>
      <c r="I295" s="281" t="str">
        <f>IFERROR(H295*INDEX(Config!B:B,MATCH("Cout energie par lot (EUR)",Config!A:A,0))/60,"")</f>
        <v>#ERROR!</v>
      </c>
      <c r="J295" s="367" t="str">
        <f>IF(G295="","",IF(G295&gt;=INDEX(Config!B:B,MATCH("Autoclave temperature minimale (C)",Config!A:A,0)),"OK","Sous-temperature"))</f>
        <v>#ERROR!</v>
      </c>
      <c r="K295" s="233"/>
    </row>
    <row r="296">
      <c r="A296" s="303"/>
      <c r="B296" s="235"/>
      <c r="C296" s="235"/>
      <c r="D296" s="235"/>
      <c r="E296" s="235"/>
      <c r="F296" s="235"/>
      <c r="G296" s="235"/>
      <c r="H296" s="235"/>
      <c r="I296" s="283" t="str">
        <f>IFERROR(H296*INDEX(Config!B:B,MATCH("Cout energie par lot (EUR)",Config!A:A,0))/60,"")</f>
        <v>#ERROR!</v>
      </c>
      <c r="J296" s="368" t="str">
        <f>IF(G296="","",IF(G296&gt;=INDEX(Config!B:B,MATCH("Autoclave temperature minimale (C)",Config!A:A,0)),"OK","Sous-temperature"))</f>
        <v>#ERROR!</v>
      </c>
      <c r="K296" s="240"/>
    </row>
    <row r="297">
      <c r="A297" s="301"/>
      <c r="B297" s="227"/>
      <c r="C297" s="227"/>
      <c r="D297" s="227"/>
      <c r="E297" s="227"/>
      <c r="F297" s="227"/>
      <c r="G297" s="227"/>
      <c r="H297" s="227"/>
      <c r="I297" s="281" t="str">
        <f>IFERROR(H297*INDEX(Config!B:B,MATCH("Cout energie par lot (EUR)",Config!A:A,0))/60,"")</f>
        <v>#ERROR!</v>
      </c>
      <c r="J297" s="367" t="str">
        <f>IF(G297="","",IF(G297&gt;=INDEX(Config!B:B,MATCH("Autoclave temperature minimale (C)",Config!A:A,0)),"OK","Sous-temperature"))</f>
        <v>#ERROR!</v>
      </c>
      <c r="K297" s="233"/>
    </row>
    <row r="298">
      <c r="A298" s="303"/>
      <c r="B298" s="235"/>
      <c r="C298" s="235"/>
      <c r="D298" s="235"/>
      <c r="E298" s="235"/>
      <c r="F298" s="235"/>
      <c r="G298" s="235"/>
      <c r="H298" s="235"/>
      <c r="I298" s="283" t="str">
        <f>IFERROR(H298*INDEX(Config!B:B,MATCH("Cout energie par lot (EUR)",Config!A:A,0))/60,"")</f>
        <v>#ERROR!</v>
      </c>
      <c r="J298" s="368" t="str">
        <f>IF(G298="","",IF(G298&gt;=INDEX(Config!B:B,MATCH("Autoclave temperature minimale (C)",Config!A:A,0)),"OK","Sous-temperature"))</f>
        <v>#ERROR!</v>
      </c>
      <c r="K298" s="240"/>
    </row>
    <row r="299">
      <c r="A299" s="301"/>
      <c r="B299" s="227"/>
      <c r="C299" s="227"/>
      <c r="D299" s="227"/>
      <c r="E299" s="227"/>
      <c r="F299" s="227"/>
      <c r="G299" s="227"/>
      <c r="H299" s="227"/>
      <c r="I299" s="281" t="str">
        <f>IFERROR(H299*INDEX(Config!B:B,MATCH("Cout energie par lot (EUR)",Config!A:A,0))/60,"")</f>
        <v>#ERROR!</v>
      </c>
      <c r="J299" s="367" t="str">
        <f>IF(G299="","",IF(G299&gt;=INDEX(Config!B:B,MATCH("Autoclave temperature minimale (C)",Config!A:A,0)),"OK","Sous-temperature"))</f>
        <v>#ERROR!</v>
      </c>
      <c r="K299" s="233"/>
    </row>
    <row r="300">
      <c r="A300" s="303"/>
      <c r="B300" s="235"/>
      <c r="C300" s="235"/>
      <c r="D300" s="235"/>
      <c r="E300" s="235"/>
      <c r="F300" s="235"/>
      <c r="G300" s="235"/>
      <c r="H300" s="235"/>
      <c r="I300" s="283" t="str">
        <f>IFERROR(H300*INDEX(Config!B:B,MATCH("Cout energie par lot (EUR)",Config!A:A,0))/60,"")</f>
        <v>#ERROR!</v>
      </c>
      <c r="J300" s="368" t="str">
        <f>IF(G300="","",IF(G300&gt;=INDEX(Config!B:B,MATCH("Autoclave temperature minimale (C)",Config!A:A,0)),"OK","Sous-temperature"))</f>
        <v>#ERROR!</v>
      </c>
      <c r="K300" s="240"/>
    </row>
    <row r="301">
      <c r="A301" s="301"/>
      <c r="B301" s="227"/>
      <c r="C301" s="227"/>
      <c r="D301" s="227"/>
      <c r="E301" s="227"/>
      <c r="F301" s="227"/>
      <c r="G301" s="227"/>
      <c r="H301" s="227"/>
      <c r="I301" s="281" t="str">
        <f>IFERROR(H301*INDEX(Config!B:B,MATCH("Cout energie par lot (EUR)",Config!A:A,0))/60,"")</f>
        <v>#ERROR!</v>
      </c>
      <c r="J301" s="367" t="str">
        <f>IF(G301="","",IF(G301&gt;=INDEX(Config!B:B,MATCH("Autoclave temperature minimale (C)",Config!A:A,0)),"OK","Sous-temperature"))</f>
        <v>#ERROR!</v>
      </c>
      <c r="K301" s="233"/>
    </row>
    <row r="302">
      <c r="A302" s="303"/>
      <c r="B302" s="235"/>
      <c r="C302" s="235"/>
      <c r="D302" s="235"/>
      <c r="E302" s="235"/>
      <c r="F302" s="235"/>
      <c r="G302" s="235"/>
      <c r="H302" s="235"/>
      <c r="I302" s="283" t="str">
        <f>IFERROR(H302*INDEX(Config!B:B,MATCH("Cout energie par lot (EUR)",Config!A:A,0))/60,"")</f>
        <v>#ERROR!</v>
      </c>
      <c r="J302" s="368" t="str">
        <f>IF(G302="","",IF(G302&gt;=INDEX(Config!B:B,MATCH("Autoclave temperature minimale (C)",Config!A:A,0)),"OK","Sous-temperature"))</f>
        <v>#ERROR!</v>
      </c>
      <c r="K302" s="240"/>
    </row>
    <row r="303">
      <c r="A303" s="305"/>
      <c r="B303" s="246"/>
      <c r="C303" s="246"/>
      <c r="D303" s="246"/>
      <c r="E303" s="246"/>
      <c r="F303" s="246"/>
      <c r="G303" s="246"/>
      <c r="H303" s="246"/>
      <c r="I303" s="285" t="str">
        <f>IFERROR(H303*INDEX(Config!B:B,MATCH("Cout energie par lot (EUR)",Config!A:A,0))/60,"")</f>
        <v>#ERROR!</v>
      </c>
      <c r="J303" s="369" t="str">
        <f>IF(G303="","",IF(G303&gt;=INDEX(Config!B:B,MATCH("Autoclave temperature minimale (C)",Config!A:A,0)),"OK","Sous-temperature"))</f>
        <v>#ERROR!</v>
      </c>
      <c r="K303" s="251"/>
    </row>
  </sheetData>
  <mergeCells count="2">
    <mergeCell ref="A1:L1"/>
    <mergeCell ref="A2:L2"/>
  </mergeCells>
  <conditionalFormatting sqref="J4:J303">
    <cfRule type="cellIs" dxfId="2" priority="1" stopIfTrue="1" operator="equal">
      <formula>"Rupture"</formula>
    </cfRule>
  </conditionalFormatting>
  <conditionalFormatting sqref="J4:J303">
    <cfRule type="cellIs" dxfId="2" priority="2" stopIfTrue="1" operator="equal">
      <formula>"NC"</formula>
    </cfRule>
  </conditionalFormatting>
  <conditionalFormatting sqref="J4:J303">
    <cfRule type="cellIs" dxfId="2" priority="3" stopIfTrue="1" operator="equal">
      <formula>"Expire"</formula>
    </cfRule>
  </conditionalFormatting>
  <conditionalFormatting sqref="J4:J303">
    <cfRule type="cellIs" dxfId="2" priority="4" stopIfTrue="1" operator="equal">
      <formula>"URGENT"</formula>
    </cfRule>
  </conditionalFormatting>
  <conditionalFormatting sqref="J4:J303">
    <cfRule type="cellIs" dxfId="2" priority="5" stopIfTrue="1" operator="equal">
      <formula>"Bloque"</formula>
    </cfRule>
  </conditionalFormatting>
  <conditionalFormatting sqref="J4:J303">
    <cfRule type="cellIs" dxfId="3" priority="6" stopIfTrue="1" operator="equal">
      <formula>"Proche"</formula>
    </cfRule>
  </conditionalFormatting>
  <conditionalFormatting sqref="J4:J303">
    <cfRule type="cellIs" dxfId="3" priority="7" stopIfTrue="1" operator="equal">
      <formula>"A PRODUIRE"</formula>
    </cfRule>
  </conditionalFormatting>
  <conditionalFormatting sqref="J4:J303">
    <cfRule type="cellIs" dxfId="3" priority="8" stopIfTrue="1" operator="equal">
      <formula>"Sous-temperature"</formula>
    </cfRule>
  </conditionalFormatting>
  <conditionalFormatting sqref="J4:J303">
    <cfRule type="cellIs" dxfId="4" priority="9" stopIfTrue="1" operator="equal">
      <formula>"OK"</formula>
    </cfRule>
  </conditionalFormatting>
  <conditionalFormatting sqref="J4:J303">
    <cfRule type="cellIs" dxfId="4" priority="10" stopIfTrue="1" operator="equal">
      <formula>"Valide"</formula>
    </cfRule>
  </conditionalFormatting>
  <conditionalFormatting sqref="J4:J303">
    <cfRule type="cellIs" dxfId="4" priority="11" stopIfTrue="1" operator="equal">
      <formula>"Termine"</formula>
    </cfRule>
  </conditionalFormatting>
  <conditionalFormatting sqref="J4:J303">
    <cfRule type="cellIs" dxfId="4" priority="12" stopIfTrue="1" operator="equal">
      <formula>"Actif"</formula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5.13"/>
    <col customWidth="1" min="2" max="2" width="20.13"/>
    <col customWidth="1" min="3" max="3" width="22.63"/>
    <col customWidth="1" min="4" max="4" width="16.38"/>
    <col customWidth="1" min="5" max="5" width="27.63"/>
    <col customWidth="1" min="6" max="6" width="10.13"/>
    <col customWidth="1" min="7" max="8" width="16.38"/>
    <col customWidth="1" min="9" max="9" width="18.88"/>
    <col customWidth="1" min="10" max="10" width="16.38"/>
    <col customWidth="1" min="11" max="11" width="15.13"/>
    <col customWidth="1" min="12" max="12" width="12.63"/>
    <col customWidth="1" min="13" max="13" width="13.88"/>
    <col customWidth="1" min="14" max="14" width="15.13"/>
    <col customWidth="1" min="15" max="15" width="16.38"/>
    <col customWidth="1" min="16" max="16" width="12.63"/>
    <col customWidth="1" min="17" max="17" width="15.13"/>
    <col customWidth="1" min="18" max="19" width="13.88"/>
    <col customWidth="1" min="20" max="20" width="12.63"/>
    <col customWidth="1" min="21" max="21" width="31.38"/>
  </cols>
  <sheetData>
    <row r="1" ht="25.5" customHeight="1">
      <c r="A1" s="30" t="s">
        <v>1093</v>
      </c>
    </row>
    <row r="2" ht="25.5" customHeight="1">
      <c r="A2" s="275" t="s">
        <v>1094</v>
      </c>
    </row>
    <row r="4" ht="16.5" customHeight="1">
      <c r="A4" s="3" t="s">
        <v>1095</v>
      </c>
    </row>
    <row r="5" ht="21.0" customHeight="1">
      <c r="A5" s="31" t="s">
        <v>1096</v>
      </c>
      <c r="B5" s="31" t="s">
        <v>89</v>
      </c>
      <c r="C5" s="31" t="s">
        <v>1097</v>
      </c>
      <c r="D5" s="31" t="s">
        <v>1098</v>
      </c>
      <c r="E5" s="31" t="s">
        <v>1099</v>
      </c>
      <c r="F5" s="31" t="s">
        <v>1100</v>
      </c>
      <c r="G5" s="31" t="s">
        <v>1101</v>
      </c>
      <c r="H5" s="31" t="s">
        <v>96</v>
      </c>
      <c r="I5" s="31" t="s">
        <v>717</v>
      </c>
      <c r="J5" s="31" t="s">
        <v>1102</v>
      </c>
      <c r="K5" s="31" t="s">
        <v>1103</v>
      </c>
      <c r="L5" s="31" t="s">
        <v>1104</v>
      </c>
      <c r="M5" s="31" t="s">
        <v>1105</v>
      </c>
      <c r="N5" s="31" t="s">
        <v>105</v>
      </c>
      <c r="O5" s="31" t="s">
        <v>61</v>
      </c>
    </row>
    <row r="6">
      <c r="A6" s="395"/>
      <c r="B6" s="217"/>
      <c r="C6" s="217"/>
      <c r="D6" s="217"/>
      <c r="E6" s="217"/>
      <c r="F6" s="217"/>
      <c r="G6" s="278"/>
      <c r="H6" s="217" t="str">
        <f>IFERROR(COUNTIF(Ventes!D5:D504,A6),"")</f>
        <v>#ERROR!</v>
      </c>
      <c r="I6" s="279" t="str">
        <f>IFERROR(SUMIF(Ventes!D5:D504,A6,Ventes!K5:K504),"")</f>
        <v>#ERROR!</v>
      </c>
      <c r="J6" s="279" t="str">
        <f>IFERROR(I6/H6,"")</f>
        <v>#ERROR!</v>
      </c>
      <c r="K6" s="217"/>
      <c r="L6" s="278" t="str">
        <f>IF(AND(G6&lt;&gt;"",K6&lt;&gt;""),G6+K6,"")</f>
        <v>#ERROR!</v>
      </c>
      <c r="M6" s="217"/>
      <c r="N6" s="217"/>
      <c r="O6" s="223"/>
    </row>
    <row r="7">
      <c r="A7" s="265"/>
      <c r="B7" s="227"/>
      <c r="C7" s="227"/>
      <c r="D7" s="227"/>
      <c r="E7" s="227"/>
      <c r="F7" s="227"/>
      <c r="G7" s="266"/>
      <c r="H7" s="227" t="str">
        <f>IFERROR(COUNTIF(Ventes!D5:D504,A7),"")</f>
        <v>#ERROR!</v>
      </c>
      <c r="I7" s="281" t="str">
        <f>IFERROR(SUMIF(Ventes!D5:D504,A7,Ventes!K5:K504),"")</f>
        <v>#ERROR!</v>
      </c>
      <c r="J7" s="281" t="str">
        <f>IFERROR(I7/H7,"")</f>
        <v>#ERROR!</v>
      </c>
      <c r="K7" s="227"/>
      <c r="L7" s="266" t="str">
        <f>IF(AND(G7&lt;&gt;"",K7&lt;&gt;""),G7+K7,"")</f>
        <v>#ERROR!</v>
      </c>
      <c r="M7" s="227"/>
      <c r="N7" s="227"/>
      <c r="O7" s="233"/>
    </row>
    <row r="8">
      <c r="A8" s="269"/>
      <c r="B8" s="235"/>
      <c r="C8" s="235"/>
      <c r="D8" s="235"/>
      <c r="E8" s="235"/>
      <c r="F8" s="235"/>
      <c r="G8" s="270"/>
      <c r="H8" s="235" t="str">
        <f>IFERROR(COUNTIF(Ventes!D5:D504,A8),"")</f>
        <v>#ERROR!</v>
      </c>
      <c r="I8" s="283" t="str">
        <f>IFERROR(SUMIF(Ventes!D5:D504,A8,Ventes!K5:K504),"")</f>
        <v>#ERROR!</v>
      </c>
      <c r="J8" s="283" t="str">
        <f>IFERROR(I8/H8,"")</f>
        <v>#ERROR!</v>
      </c>
      <c r="K8" s="235"/>
      <c r="L8" s="270" t="str">
        <f>IF(AND(G8&lt;&gt;"",K8&lt;&gt;""),G8+K8,"")</f>
        <v>#ERROR!</v>
      </c>
      <c r="M8" s="235"/>
      <c r="N8" s="235"/>
      <c r="O8" s="240"/>
    </row>
    <row r="9">
      <c r="A9" s="265"/>
      <c r="B9" s="227"/>
      <c r="C9" s="227"/>
      <c r="D9" s="227"/>
      <c r="E9" s="227"/>
      <c r="F9" s="227"/>
      <c r="G9" s="266"/>
      <c r="H9" s="227" t="str">
        <f>IFERROR(COUNTIF(Ventes!D5:D504,A9),"")</f>
        <v>#ERROR!</v>
      </c>
      <c r="I9" s="281" t="str">
        <f>IFERROR(SUMIF(Ventes!D5:D504,A9,Ventes!K5:K504),"")</f>
        <v>#ERROR!</v>
      </c>
      <c r="J9" s="281" t="str">
        <f>IFERROR(I9/H9,"")</f>
        <v>#ERROR!</v>
      </c>
      <c r="K9" s="227"/>
      <c r="L9" s="266" t="str">
        <f>IF(AND(G9&lt;&gt;"",K9&lt;&gt;""),G9+K9,"")</f>
        <v>#ERROR!</v>
      </c>
      <c r="M9" s="227"/>
      <c r="N9" s="227"/>
      <c r="O9" s="233"/>
    </row>
    <row r="10">
      <c r="A10" s="269"/>
      <c r="B10" s="235"/>
      <c r="C10" s="235"/>
      <c r="D10" s="235"/>
      <c r="E10" s="235"/>
      <c r="F10" s="235"/>
      <c r="G10" s="270"/>
      <c r="H10" s="235" t="str">
        <f>IFERROR(COUNTIF(Ventes!D5:D504,A10),"")</f>
        <v>#ERROR!</v>
      </c>
      <c r="I10" s="283" t="str">
        <f>IFERROR(SUMIF(Ventes!D5:D504,A10,Ventes!K5:K504),"")</f>
        <v>#ERROR!</v>
      </c>
      <c r="J10" s="283" t="str">
        <f>IFERROR(I10/H10,"")</f>
        <v>#ERROR!</v>
      </c>
      <c r="K10" s="235"/>
      <c r="L10" s="270" t="str">
        <f>IF(AND(G10&lt;&gt;"",K10&lt;&gt;""),G10+K10,"")</f>
        <v>#ERROR!</v>
      </c>
      <c r="M10" s="235"/>
      <c r="N10" s="235"/>
      <c r="O10" s="240"/>
    </row>
    <row r="11">
      <c r="A11" s="265"/>
      <c r="B11" s="227"/>
      <c r="C11" s="227"/>
      <c r="D11" s="227"/>
      <c r="E11" s="227"/>
      <c r="F11" s="227"/>
      <c r="G11" s="266"/>
      <c r="H11" s="227" t="str">
        <f>IFERROR(COUNTIF(Ventes!D5:D504,A11),"")</f>
        <v>#ERROR!</v>
      </c>
      <c r="I11" s="281" t="str">
        <f>IFERROR(SUMIF(Ventes!D5:D504,A11,Ventes!K5:K504),"")</f>
        <v>#ERROR!</v>
      </c>
      <c r="J11" s="281" t="str">
        <f>IFERROR(I11/H11,"")</f>
        <v>#ERROR!</v>
      </c>
      <c r="K11" s="227"/>
      <c r="L11" s="266" t="str">
        <f>IF(AND(G11&lt;&gt;"",K11&lt;&gt;""),G11+K11,"")</f>
        <v>#ERROR!</v>
      </c>
      <c r="M11" s="227"/>
      <c r="N11" s="227"/>
      <c r="O11" s="233"/>
    </row>
    <row r="12">
      <c r="A12" s="269"/>
      <c r="B12" s="235"/>
      <c r="C12" s="235"/>
      <c r="D12" s="235"/>
      <c r="E12" s="235"/>
      <c r="F12" s="235"/>
      <c r="G12" s="270"/>
      <c r="H12" s="235" t="str">
        <f>IFERROR(COUNTIF(Ventes!D5:D504,A12),"")</f>
        <v>#ERROR!</v>
      </c>
      <c r="I12" s="283" t="str">
        <f>IFERROR(SUMIF(Ventes!D5:D504,A12,Ventes!K5:K504),"")</f>
        <v>#ERROR!</v>
      </c>
      <c r="J12" s="283" t="str">
        <f>IFERROR(I12/H12,"")</f>
        <v>#ERROR!</v>
      </c>
      <c r="K12" s="235"/>
      <c r="L12" s="270" t="str">
        <f>IF(AND(G12&lt;&gt;"",K12&lt;&gt;""),G12+K12,"")</f>
        <v>#ERROR!</v>
      </c>
      <c r="M12" s="235"/>
      <c r="N12" s="235"/>
      <c r="O12" s="240"/>
    </row>
    <row r="13">
      <c r="A13" s="265"/>
      <c r="B13" s="227"/>
      <c r="C13" s="227"/>
      <c r="D13" s="227"/>
      <c r="E13" s="227"/>
      <c r="F13" s="227"/>
      <c r="G13" s="266"/>
      <c r="H13" s="227" t="str">
        <f>IFERROR(COUNTIF(Ventes!D5:D504,A13),"")</f>
        <v>#ERROR!</v>
      </c>
      <c r="I13" s="281" t="str">
        <f>IFERROR(SUMIF(Ventes!D5:D504,A13,Ventes!K5:K504),"")</f>
        <v>#ERROR!</v>
      </c>
      <c r="J13" s="281" t="str">
        <f>IFERROR(I13/H13,"")</f>
        <v>#ERROR!</v>
      </c>
      <c r="K13" s="227"/>
      <c r="L13" s="266" t="str">
        <f>IF(AND(G13&lt;&gt;"",K13&lt;&gt;""),G13+K13,"")</f>
        <v>#ERROR!</v>
      </c>
      <c r="M13" s="227"/>
      <c r="N13" s="227"/>
      <c r="O13" s="233"/>
    </row>
    <row r="14">
      <c r="A14" s="269"/>
      <c r="B14" s="235"/>
      <c r="C14" s="235"/>
      <c r="D14" s="235"/>
      <c r="E14" s="235"/>
      <c r="F14" s="235"/>
      <c r="G14" s="270"/>
      <c r="H14" s="235" t="str">
        <f>IFERROR(COUNTIF(Ventes!D5:D504,A14),"")</f>
        <v>#ERROR!</v>
      </c>
      <c r="I14" s="283" t="str">
        <f>IFERROR(SUMIF(Ventes!D5:D504,A14,Ventes!K5:K504),"")</f>
        <v>#ERROR!</v>
      </c>
      <c r="J14" s="283" t="str">
        <f>IFERROR(I14/H14,"")</f>
        <v>#ERROR!</v>
      </c>
      <c r="K14" s="235"/>
      <c r="L14" s="270" t="str">
        <f>IF(AND(G14&lt;&gt;"",K14&lt;&gt;""),G14+K14,"")</f>
        <v>#ERROR!</v>
      </c>
      <c r="M14" s="235"/>
      <c r="N14" s="235"/>
      <c r="O14" s="240"/>
    </row>
    <row r="15">
      <c r="A15" s="265"/>
      <c r="B15" s="227"/>
      <c r="C15" s="227"/>
      <c r="D15" s="227"/>
      <c r="E15" s="227"/>
      <c r="F15" s="227"/>
      <c r="G15" s="266"/>
      <c r="H15" s="227" t="str">
        <f>IFERROR(COUNTIF(Ventes!D5:D504,A15),"")</f>
        <v>#ERROR!</v>
      </c>
      <c r="I15" s="281" t="str">
        <f>IFERROR(SUMIF(Ventes!D5:D504,A15,Ventes!K5:K504),"")</f>
        <v>#ERROR!</v>
      </c>
      <c r="J15" s="281" t="str">
        <f>IFERROR(I15/H15,"")</f>
        <v>#ERROR!</v>
      </c>
      <c r="K15" s="227"/>
      <c r="L15" s="266" t="str">
        <f>IF(AND(G15&lt;&gt;"",K15&lt;&gt;""),G15+K15,"")</f>
        <v>#ERROR!</v>
      </c>
      <c r="M15" s="227"/>
      <c r="N15" s="227"/>
      <c r="O15" s="233"/>
    </row>
    <row r="16">
      <c r="A16" s="269"/>
      <c r="B16" s="235"/>
      <c r="C16" s="235"/>
      <c r="D16" s="235"/>
      <c r="E16" s="235"/>
      <c r="F16" s="235"/>
      <c r="G16" s="270"/>
      <c r="H16" s="235" t="str">
        <f>IFERROR(COUNTIF(Ventes!D5:D504,A16),"")</f>
        <v>#ERROR!</v>
      </c>
      <c r="I16" s="283" t="str">
        <f>IFERROR(SUMIF(Ventes!D5:D504,A16,Ventes!K5:K504),"")</f>
        <v>#ERROR!</v>
      </c>
      <c r="J16" s="283" t="str">
        <f>IFERROR(I16/H16,"")</f>
        <v>#ERROR!</v>
      </c>
      <c r="K16" s="235"/>
      <c r="L16" s="270" t="str">
        <f>IF(AND(G16&lt;&gt;"",K16&lt;&gt;""),G16+K16,"")</f>
        <v>#ERROR!</v>
      </c>
      <c r="M16" s="235"/>
      <c r="N16" s="235"/>
      <c r="O16" s="240"/>
    </row>
    <row r="17">
      <c r="A17" s="265"/>
      <c r="B17" s="227"/>
      <c r="C17" s="227"/>
      <c r="D17" s="227"/>
      <c r="E17" s="227"/>
      <c r="F17" s="227"/>
      <c r="G17" s="266"/>
      <c r="H17" s="227" t="str">
        <f>IFERROR(COUNTIF(Ventes!D5:D504,A17),"")</f>
        <v>#ERROR!</v>
      </c>
      <c r="I17" s="281" t="str">
        <f>IFERROR(SUMIF(Ventes!D5:D504,A17,Ventes!K5:K504),"")</f>
        <v>#ERROR!</v>
      </c>
      <c r="J17" s="281" t="str">
        <f>IFERROR(I17/H17,"")</f>
        <v>#ERROR!</v>
      </c>
      <c r="K17" s="227"/>
      <c r="L17" s="266" t="str">
        <f>IF(AND(G17&lt;&gt;"",K17&lt;&gt;""),G17+K17,"")</f>
        <v>#ERROR!</v>
      </c>
      <c r="M17" s="227"/>
      <c r="N17" s="227"/>
      <c r="O17" s="233"/>
    </row>
    <row r="18">
      <c r="A18" s="269"/>
      <c r="B18" s="235"/>
      <c r="C18" s="235"/>
      <c r="D18" s="235"/>
      <c r="E18" s="235"/>
      <c r="F18" s="235"/>
      <c r="G18" s="270"/>
      <c r="H18" s="235" t="str">
        <f>IFERROR(COUNTIF(Ventes!D5:D504,A18),"")</f>
        <v>#ERROR!</v>
      </c>
      <c r="I18" s="283" t="str">
        <f>IFERROR(SUMIF(Ventes!D5:D504,A18,Ventes!K5:K504),"")</f>
        <v>#ERROR!</v>
      </c>
      <c r="J18" s="283" t="str">
        <f>IFERROR(I18/H18,"")</f>
        <v>#ERROR!</v>
      </c>
      <c r="K18" s="235"/>
      <c r="L18" s="270" t="str">
        <f>IF(AND(G18&lt;&gt;"",K18&lt;&gt;""),G18+K18,"")</f>
        <v>#ERROR!</v>
      </c>
      <c r="M18" s="235"/>
      <c r="N18" s="235"/>
      <c r="O18" s="240"/>
    </row>
    <row r="19">
      <c r="A19" s="265"/>
      <c r="B19" s="227"/>
      <c r="C19" s="227"/>
      <c r="D19" s="227"/>
      <c r="E19" s="227"/>
      <c r="F19" s="227"/>
      <c r="G19" s="266"/>
      <c r="H19" s="227" t="str">
        <f>IFERROR(COUNTIF(Ventes!D5:D504,A19),"")</f>
        <v>#ERROR!</v>
      </c>
      <c r="I19" s="281" t="str">
        <f>IFERROR(SUMIF(Ventes!D5:D504,A19,Ventes!K5:K504),"")</f>
        <v>#ERROR!</v>
      </c>
      <c r="J19" s="281" t="str">
        <f>IFERROR(I19/H19,"")</f>
        <v>#ERROR!</v>
      </c>
      <c r="K19" s="227"/>
      <c r="L19" s="266" t="str">
        <f>IF(AND(G19&lt;&gt;"",K19&lt;&gt;""),G19+K19,"")</f>
        <v>#ERROR!</v>
      </c>
      <c r="M19" s="227"/>
      <c r="N19" s="227"/>
      <c r="O19" s="233"/>
    </row>
    <row r="20">
      <c r="A20" s="269"/>
      <c r="B20" s="235"/>
      <c r="C20" s="235"/>
      <c r="D20" s="235"/>
      <c r="E20" s="235"/>
      <c r="F20" s="235"/>
      <c r="G20" s="270"/>
      <c r="H20" s="235" t="str">
        <f>IFERROR(COUNTIF(Ventes!D5:D504,A20),"")</f>
        <v>#ERROR!</v>
      </c>
      <c r="I20" s="283" t="str">
        <f>IFERROR(SUMIF(Ventes!D5:D504,A20,Ventes!K5:K504),"")</f>
        <v>#ERROR!</v>
      </c>
      <c r="J20" s="283" t="str">
        <f>IFERROR(I20/H20,"")</f>
        <v>#ERROR!</v>
      </c>
      <c r="K20" s="235"/>
      <c r="L20" s="270" t="str">
        <f>IF(AND(G20&lt;&gt;"",K20&lt;&gt;""),G20+K20,"")</f>
        <v>#ERROR!</v>
      </c>
      <c r="M20" s="235"/>
      <c r="N20" s="235"/>
      <c r="O20" s="240"/>
    </row>
    <row r="21">
      <c r="A21" s="265"/>
      <c r="B21" s="227"/>
      <c r="C21" s="227"/>
      <c r="D21" s="227"/>
      <c r="E21" s="227"/>
      <c r="F21" s="227"/>
      <c r="G21" s="266"/>
      <c r="H21" s="227" t="str">
        <f>IFERROR(COUNTIF(Ventes!D5:D504,A21),"")</f>
        <v>#ERROR!</v>
      </c>
      <c r="I21" s="281" t="str">
        <f>IFERROR(SUMIF(Ventes!D5:D504,A21,Ventes!K5:K504),"")</f>
        <v>#ERROR!</v>
      </c>
      <c r="J21" s="281" t="str">
        <f>IFERROR(I21/H21,"")</f>
        <v>#ERROR!</v>
      </c>
      <c r="K21" s="227"/>
      <c r="L21" s="266" t="str">
        <f>IF(AND(G21&lt;&gt;"",K21&lt;&gt;""),G21+K21,"")</f>
        <v>#ERROR!</v>
      </c>
      <c r="M21" s="227"/>
      <c r="N21" s="227"/>
      <c r="O21" s="233"/>
    </row>
    <row r="22">
      <c r="A22" s="269"/>
      <c r="B22" s="235"/>
      <c r="C22" s="235"/>
      <c r="D22" s="235"/>
      <c r="E22" s="235"/>
      <c r="F22" s="235"/>
      <c r="G22" s="270"/>
      <c r="H22" s="235" t="str">
        <f>IFERROR(COUNTIF(Ventes!D5:D504,A22),"")</f>
        <v>#ERROR!</v>
      </c>
      <c r="I22" s="283" t="str">
        <f>IFERROR(SUMIF(Ventes!D5:D504,A22,Ventes!K5:K504),"")</f>
        <v>#ERROR!</v>
      </c>
      <c r="J22" s="283" t="str">
        <f>IFERROR(I22/H22,"")</f>
        <v>#ERROR!</v>
      </c>
      <c r="K22" s="235"/>
      <c r="L22" s="270" t="str">
        <f>IF(AND(G22&lt;&gt;"",K22&lt;&gt;""),G22+K22,"")</f>
        <v>#ERROR!</v>
      </c>
      <c r="M22" s="235"/>
      <c r="N22" s="235"/>
      <c r="O22" s="240"/>
    </row>
    <row r="23">
      <c r="A23" s="265"/>
      <c r="B23" s="227"/>
      <c r="C23" s="227"/>
      <c r="D23" s="227"/>
      <c r="E23" s="227"/>
      <c r="F23" s="227"/>
      <c r="G23" s="266"/>
      <c r="H23" s="227" t="str">
        <f>IFERROR(COUNTIF(Ventes!D5:D504,A23),"")</f>
        <v>#ERROR!</v>
      </c>
      <c r="I23" s="281" t="str">
        <f>IFERROR(SUMIF(Ventes!D5:D504,A23,Ventes!K5:K504),"")</f>
        <v>#ERROR!</v>
      </c>
      <c r="J23" s="281" t="str">
        <f>IFERROR(I23/H23,"")</f>
        <v>#ERROR!</v>
      </c>
      <c r="K23" s="227"/>
      <c r="L23" s="266" t="str">
        <f>IF(AND(G23&lt;&gt;"",K23&lt;&gt;""),G23+K23,"")</f>
        <v>#ERROR!</v>
      </c>
      <c r="M23" s="227"/>
      <c r="N23" s="227"/>
      <c r="O23" s="233"/>
    </row>
    <row r="24">
      <c r="A24" s="269"/>
      <c r="B24" s="235"/>
      <c r="C24" s="235"/>
      <c r="D24" s="235"/>
      <c r="E24" s="235"/>
      <c r="F24" s="235"/>
      <c r="G24" s="270"/>
      <c r="H24" s="235" t="str">
        <f>IFERROR(COUNTIF(Ventes!D5:D504,A24),"")</f>
        <v>#ERROR!</v>
      </c>
      <c r="I24" s="283" t="str">
        <f>IFERROR(SUMIF(Ventes!D5:D504,A24,Ventes!K5:K504),"")</f>
        <v>#ERROR!</v>
      </c>
      <c r="J24" s="283" t="str">
        <f>IFERROR(I24/H24,"")</f>
        <v>#ERROR!</v>
      </c>
      <c r="K24" s="235"/>
      <c r="L24" s="270" t="str">
        <f>IF(AND(G24&lt;&gt;"",K24&lt;&gt;""),G24+K24,"")</f>
        <v>#ERROR!</v>
      </c>
      <c r="M24" s="235"/>
      <c r="N24" s="235"/>
      <c r="O24" s="240"/>
    </row>
    <row r="25">
      <c r="A25" s="265"/>
      <c r="B25" s="227"/>
      <c r="C25" s="227"/>
      <c r="D25" s="227"/>
      <c r="E25" s="227"/>
      <c r="F25" s="227"/>
      <c r="G25" s="266"/>
      <c r="H25" s="227" t="str">
        <f>IFERROR(COUNTIF(Ventes!D5:D504,A25),"")</f>
        <v>#ERROR!</v>
      </c>
      <c r="I25" s="281" t="str">
        <f>IFERROR(SUMIF(Ventes!D5:D504,A25,Ventes!K5:K504),"")</f>
        <v>#ERROR!</v>
      </c>
      <c r="J25" s="281" t="str">
        <f>IFERROR(I25/H25,"")</f>
        <v>#ERROR!</v>
      </c>
      <c r="K25" s="227"/>
      <c r="L25" s="266" t="str">
        <f>IF(AND(G25&lt;&gt;"",K25&lt;&gt;""),G25+K25,"")</f>
        <v>#ERROR!</v>
      </c>
      <c r="M25" s="227"/>
      <c r="N25" s="227"/>
      <c r="O25" s="233"/>
    </row>
    <row r="26">
      <c r="A26" s="269"/>
      <c r="B26" s="235"/>
      <c r="C26" s="235"/>
      <c r="D26" s="235"/>
      <c r="E26" s="235"/>
      <c r="F26" s="235"/>
      <c r="G26" s="270"/>
      <c r="H26" s="235" t="str">
        <f>IFERROR(COUNTIF(Ventes!D5:D504,A26),"")</f>
        <v>#ERROR!</v>
      </c>
      <c r="I26" s="283" t="str">
        <f>IFERROR(SUMIF(Ventes!D5:D504,A26,Ventes!K5:K504),"")</f>
        <v>#ERROR!</v>
      </c>
      <c r="J26" s="283" t="str">
        <f>IFERROR(I26/H26,"")</f>
        <v>#ERROR!</v>
      </c>
      <c r="K26" s="235"/>
      <c r="L26" s="270" t="str">
        <f>IF(AND(G26&lt;&gt;"",K26&lt;&gt;""),G26+K26,"")</f>
        <v>#ERROR!</v>
      </c>
      <c r="M26" s="235"/>
      <c r="N26" s="235"/>
      <c r="O26" s="240"/>
    </row>
    <row r="27">
      <c r="A27" s="265"/>
      <c r="B27" s="227"/>
      <c r="C27" s="227"/>
      <c r="D27" s="227"/>
      <c r="E27" s="227"/>
      <c r="F27" s="227"/>
      <c r="G27" s="266"/>
      <c r="H27" s="227" t="str">
        <f>IFERROR(COUNTIF(Ventes!D5:D504,A27),"")</f>
        <v>#ERROR!</v>
      </c>
      <c r="I27" s="281" t="str">
        <f>IFERROR(SUMIF(Ventes!D5:D504,A27,Ventes!K5:K504),"")</f>
        <v>#ERROR!</v>
      </c>
      <c r="J27" s="281" t="str">
        <f>IFERROR(I27/H27,"")</f>
        <v>#ERROR!</v>
      </c>
      <c r="K27" s="227"/>
      <c r="L27" s="266" t="str">
        <f>IF(AND(G27&lt;&gt;"",K27&lt;&gt;""),G27+K27,"")</f>
        <v>#ERROR!</v>
      </c>
      <c r="M27" s="227"/>
      <c r="N27" s="227"/>
      <c r="O27" s="233"/>
    </row>
    <row r="28">
      <c r="A28" s="269"/>
      <c r="B28" s="235"/>
      <c r="C28" s="235"/>
      <c r="D28" s="235"/>
      <c r="E28" s="235"/>
      <c r="F28" s="235"/>
      <c r="G28" s="270"/>
      <c r="H28" s="235" t="str">
        <f>IFERROR(COUNTIF(Ventes!D5:D504,A28),"")</f>
        <v>#ERROR!</v>
      </c>
      <c r="I28" s="283" t="str">
        <f>IFERROR(SUMIF(Ventes!D5:D504,A28,Ventes!K5:K504),"")</f>
        <v>#ERROR!</v>
      </c>
      <c r="J28" s="283" t="str">
        <f>IFERROR(I28/H28,"")</f>
        <v>#ERROR!</v>
      </c>
      <c r="K28" s="235"/>
      <c r="L28" s="270" t="str">
        <f>IF(AND(G28&lt;&gt;"",K28&lt;&gt;""),G28+K28,"")</f>
        <v>#ERROR!</v>
      </c>
      <c r="M28" s="235"/>
      <c r="N28" s="235"/>
      <c r="O28" s="240"/>
    </row>
    <row r="29">
      <c r="A29" s="265"/>
      <c r="B29" s="227"/>
      <c r="C29" s="227"/>
      <c r="D29" s="227"/>
      <c r="E29" s="227"/>
      <c r="F29" s="227"/>
      <c r="G29" s="266"/>
      <c r="H29" s="227" t="str">
        <f>IFERROR(COUNTIF(Ventes!D5:D504,A29),"")</f>
        <v>#ERROR!</v>
      </c>
      <c r="I29" s="281" t="str">
        <f>IFERROR(SUMIF(Ventes!D5:D504,A29,Ventes!K5:K504),"")</f>
        <v>#ERROR!</v>
      </c>
      <c r="J29" s="281" t="str">
        <f>IFERROR(I29/H29,"")</f>
        <v>#ERROR!</v>
      </c>
      <c r="K29" s="227"/>
      <c r="L29" s="266" t="str">
        <f>IF(AND(G29&lt;&gt;"",K29&lt;&gt;""),G29+K29,"")</f>
        <v>#ERROR!</v>
      </c>
      <c r="M29" s="227"/>
      <c r="N29" s="227"/>
      <c r="O29" s="233"/>
    </row>
    <row r="30">
      <c r="A30" s="269"/>
      <c r="B30" s="235"/>
      <c r="C30" s="235"/>
      <c r="D30" s="235"/>
      <c r="E30" s="235"/>
      <c r="F30" s="235"/>
      <c r="G30" s="270"/>
      <c r="H30" s="235" t="str">
        <f>IFERROR(COUNTIF(Ventes!D5:D504,A30),"")</f>
        <v>#ERROR!</v>
      </c>
      <c r="I30" s="283" t="str">
        <f>IFERROR(SUMIF(Ventes!D5:D504,A30,Ventes!K5:K504),"")</f>
        <v>#ERROR!</v>
      </c>
      <c r="J30" s="283" t="str">
        <f>IFERROR(I30/H30,"")</f>
        <v>#ERROR!</v>
      </c>
      <c r="K30" s="235"/>
      <c r="L30" s="270" t="str">
        <f>IF(AND(G30&lt;&gt;"",K30&lt;&gt;""),G30+K30,"")</f>
        <v>#ERROR!</v>
      </c>
      <c r="M30" s="235"/>
      <c r="N30" s="235"/>
      <c r="O30" s="240"/>
    </row>
    <row r="31">
      <c r="A31" s="265"/>
      <c r="B31" s="227"/>
      <c r="C31" s="227"/>
      <c r="D31" s="227"/>
      <c r="E31" s="227"/>
      <c r="F31" s="227"/>
      <c r="G31" s="266"/>
      <c r="H31" s="227" t="str">
        <f>IFERROR(COUNTIF(Ventes!D5:D504,A31),"")</f>
        <v>#ERROR!</v>
      </c>
      <c r="I31" s="281" t="str">
        <f>IFERROR(SUMIF(Ventes!D5:D504,A31,Ventes!K5:K504),"")</f>
        <v>#ERROR!</v>
      </c>
      <c r="J31" s="281" t="str">
        <f>IFERROR(I31/H31,"")</f>
        <v>#ERROR!</v>
      </c>
      <c r="K31" s="227"/>
      <c r="L31" s="266" t="str">
        <f>IF(AND(G31&lt;&gt;"",K31&lt;&gt;""),G31+K31,"")</f>
        <v>#ERROR!</v>
      </c>
      <c r="M31" s="227"/>
      <c r="N31" s="227"/>
      <c r="O31" s="233"/>
    </row>
    <row r="32">
      <c r="A32" s="269"/>
      <c r="B32" s="235"/>
      <c r="C32" s="235"/>
      <c r="D32" s="235"/>
      <c r="E32" s="235"/>
      <c r="F32" s="235"/>
      <c r="G32" s="270"/>
      <c r="H32" s="235" t="str">
        <f>IFERROR(COUNTIF(Ventes!D5:D504,A32),"")</f>
        <v>#ERROR!</v>
      </c>
      <c r="I32" s="283" t="str">
        <f>IFERROR(SUMIF(Ventes!D5:D504,A32,Ventes!K5:K504),"")</f>
        <v>#ERROR!</v>
      </c>
      <c r="J32" s="283" t="str">
        <f>IFERROR(I32/H32,"")</f>
        <v>#ERROR!</v>
      </c>
      <c r="K32" s="235"/>
      <c r="L32" s="270" t="str">
        <f>IF(AND(G32&lt;&gt;"",K32&lt;&gt;""),G32+K32,"")</f>
        <v>#ERROR!</v>
      </c>
      <c r="M32" s="235"/>
      <c r="N32" s="235"/>
      <c r="O32" s="240"/>
    </row>
    <row r="33">
      <c r="A33" s="265"/>
      <c r="B33" s="227"/>
      <c r="C33" s="227"/>
      <c r="D33" s="227"/>
      <c r="E33" s="227"/>
      <c r="F33" s="227"/>
      <c r="G33" s="266"/>
      <c r="H33" s="227" t="str">
        <f>IFERROR(COUNTIF(Ventes!D5:D504,A33),"")</f>
        <v>#ERROR!</v>
      </c>
      <c r="I33" s="281" t="str">
        <f>IFERROR(SUMIF(Ventes!D5:D504,A33,Ventes!K5:K504),"")</f>
        <v>#ERROR!</v>
      </c>
      <c r="J33" s="281" t="str">
        <f>IFERROR(I33/H33,"")</f>
        <v>#ERROR!</v>
      </c>
      <c r="K33" s="227"/>
      <c r="L33" s="266" t="str">
        <f>IF(AND(G33&lt;&gt;"",K33&lt;&gt;""),G33+K33,"")</f>
        <v>#ERROR!</v>
      </c>
      <c r="M33" s="227"/>
      <c r="N33" s="227"/>
      <c r="O33" s="233"/>
    </row>
    <row r="34">
      <c r="A34" s="269"/>
      <c r="B34" s="235"/>
      <c r="C34" s="235"/>
      <c r="D34" s="235"/>
      <c r="E34" s="235"/>
      <c r="F34" s="235"/>
      <c r="G34" s="270"/>
      <c r="H34" s="235" t="str">
        <f>IFERROR(COUNTIF(Ventes!D5:D504,A34),"")</f>
        <v>#ERROR!</v>
      </c>
      <c r="I34" s="283" t="str">
        <f>IFERROR(SUMIF(Ventes!D5:D504,A34,Ventes!K5:K504),"")</f>
        <v>#ERROR!</v>
      </c>
      <c r="J34" s="283" t="str">
        <f>IFERROR(I34/H34,"")</f>
        <v>#ERROR!</v>
      </c>
      <c r="K34" s="235"/>
      <c r="L34" s="270" t="str">
        <f>IF(AND(G34&lt;&gt;"",K34&lt;&gt;""),G34+K34,"")</f>
        <v>#ERROR!</v>
      </c>
      <c r="M34" s="235"/>
      <c r="N34" s="235"/>
      <c r="O34" s="240"/>
    </row>
    <row r="35">
      <c r="A35" s="265"/>
      <c r="B35" s="227"/>
      <c r="C35" s="227"/>
      <c r="D35" s="227"/>
      <c r="E35" s="227"/>
      <c r="F35" s="227"/>
      <c r="G35" s="266"/>
      <c r="H35" s="227" t="str">
        <f>IFERROR(COUNTIF(Ventes!D5:D504,A35),"")</f>
        <v>#ERROR!</v>
      </c>
      <c r="I35" s="281" t="str">
        <f>IFERROR(SUMIF(Ventes!D5:D504,A35,Ventes!K5:K504),"")</f>
        <v>#ERROR!</v>
      </c>
      <c r="J35" s="281" t="str">
        <f>IFERROR(I35/H35,"")</f>
        <v>#ERROR!</v>
      </c>
      <c r="K35" s="227"/>
      <c r="L35" s="266" t="str">
        <f>IF(AND(G35&lt;&gt;"",K35&lt;&gt;""),G35+K35,"")</f>
        <v>#ERROR!</v>
      </c>
      <c r="M35" s="227"/>
      <c r="N35" s="227"/>
      <c r="O35" s="233"/>
    </row>
    <row r="36">
      <c r="A36" s="269"/>
      <c r="B36" s="235"/>
      <c r="C36" s="235"/>
      <c r="D36" s="235"/>
      <c r="E36" s="235"/>
      <c r="F36" s="235"/>
      <c r="G36" s="270"/>
      <c r="H36" s="235" t="str">
        <f>IFERROR(COUNTIF(Ventes!D5:D504,A36),"")</f>
        <v>#ERROR!</v>
      </c>
      <c r="I36" s="283" t="str">
        <f>IFERROR(SUMIF(Ventes!D5:D504,A36,Ventes!K5:K504),"")</f>
        <v>#ERROR!</v>
      </c>
      <c r="J36" s="283" t="str">
        <f>IFERROR(I36/H36,"")</f>
        <v>#ERROR!</v>
      </c>
      <c r="K36" s="235"/>
      <c r="L36" s="270" t="str">
        <f>IF(AND(G36&lt;&gt;"",K36&lt;&gt;""),G36+K36,"")</f>
        <v>#ERROR!</v>
      </c>
      <c r="M36" s="235"/>
      <c r="N36" s="235"/>
      <c r="O36" s="240"/>
    </row>
    <row r="37">
      <c r="A37" s="265"/>
      <c r="B37" s="227"/>
      <c r="C37" s="227"/>
      <c r="D37" s="227"/>
      <c r="E37" s="227"/>
      <c r="F37" s="227"/>
      <c r="G37" s="266"/>
      <c r="H37" s="227" t="str">
        <f>IFERROR(COUNTIF(Ventes!D5:D504,A37),"")</f>
        <v>#ERROR!</v>
      </c>
      <c r="I37" s="281" t="str">
        <f>IFERROR(SUMIF(Ventes!D5:D504,A37,Ventes!K5:K504),"")</f>
        <v>#ERROR!</v>
      </c>
      <c r="J37" s="281" t="str">
        <f>IFERROR(I37/H37,"")</f>
        <v>#ERROR!</v>
      </c>
      <c r="K37" s="227"/>
      <c r="L37" s="266" t="str">
        <f>IF(AND(G37&lt;&gt;"",K37&lt;&gt;""),G37+K37,"")</f>
        <v>#ERROR!</v>
      </c>
      <c r="M37" s="227"/>
      <c r="N37" s="227"/>
      <c r="O37" s="233"/>
    </row>
    <row r="38">
      <c r="A38" s="269"/>
      <c r="B38" s="235"/>
      <c r="C38" s="235"/>
      <c r="D38" s="235"/>
      <c r="E38" s="235"/>
      <c r="F38" s="235"/>
      <c r="G38" s="270"/>
      <c r="H38" s="235" t="str">
        <f>IFERROR(COUNTIF(Ventes!D5:D504,A38),"")</f>
        <v>#ERROR!</v>
      </c>
      <c r="I38" s="283" t="str">
        <f>IFERROR(SUMIF(Ventes!D5:D504,A38,Ventes!K5:K504),"")</f>
        <v>#ERROR!</v>
      </c>
      <c r="J38" s="283" t="str">
        <f>IFERROR(I38/H38,"")</f>
        <v>#ERROR!</v>
      </c>
      <c r="K38" s="235"/>
      <c r="L38" s="270" t="str">
        <f>IF(AND(G38&lt;&gt;"",K38&lt;&gt;""),G38+K38,"")</f>
        <v>#ERROR!</v>
      </c>
      <c r="M38" s="235"/>
      <c r="N38" s="235"/>
      <c r="O38" s="240"/>
    </row>
    <row r="39">
      <c r="A39" s="265"/>
      <c r="B39" s="227"/>
      <c r="C39" s="227"/>
      <c r="D39" s="227"/>
      <c r="E39" s="227"/>
      <c r="F39" s="227"/>
      <c r="G39" s="266"/>
      <c r="H39" s="227" t="str">
        <f>IFERROR(COUNTIF(Ventes!D5:D504,A39),"")</f>
        <v>#ERROR!</v>
      </c>
      <c r="I39" s="281" t="str">
        <f>IFERROR(SUMIF(Ventes!D5:D504,A39,Ventes!K5:K504),"")</f>
        <v>#ERROR!</v>
      </c>
      <c r="J39" s="281" t="str">
        <f>IFERROR(I39/H39,"")</f>
        <v>#ERROR!</v>
      </c>
      <c r="K39" s="227"/>
      <c r="L39" s="266" t="str">
        <f>IF(AND(G39&lt;&gt;"",K39&lt;&gt;""),G39+K39,"")</f>
        <v>#ERROR!</v>
      </c>
      <c r="M39" s="227"/>
      <c r="N39" s="227"/>
      <c r="O39" s="233"/>
    </row>
    <row r="40">
      <c r="A40" s="269"/>
      <c r="B40" s="235"/>
      <c r="C40" s="235"/>
      <c r="D40" s="235"/>
      <c r="E40" s="235"/>
      <c r="F40" s="235"/>
      <c r="G40" s="270"/>
      <c r="H40" s="235" t="str">
        <f>IFERROR(COUNTIF(Ventes!D5:D504,A40),"")</f>
        <v>#ERROR!</v>
      </c>
      <c r="I40" s="283" t="str">
        <f>IFERROR(SUMIF(Ventes!D5:D504,A40,Ventes!K5:K504),"")</f>
        <v>#ERROR!</v>
      </c>
      <c r="J40" s="283" t="str">
        <f>IFERROR(I40/H40,"")</f>
        <v>#ERROR!</v>
      </c>
      <c r="K40" s="235"/>
      <c r="L40" s="270" t="str">
        <f>IF(AND(G40&lt;&gt;"",K40&lt;&gt;""),G40+K40,"")</f>
        <v>#ERROR!</v>
      </c>
      <c r="M40" s="235"/>
      <c r="N40" s="235"/>
      <c r="O40" s="240"/>
    </row>
    <row r="41">
      <c r="A41" s="265"/>
      <c r="B41" s="227"/>
      <c r="C41" s="227"/>
      <c r="D41" s="227"/>
      <c r="E41" s="227"/>
      <c r="F41" s="227"/>
      <c r="G41" s="266"/>
      <c r="H41" s="227" t="str">
        <f>IFERROR(COUNTIF(Ventes!D5:D504,A41),"")</f>
        <v>#ERROR!</v>
      </c>
      <c r="I41" s="281" t="str">
        <f>IFERROR(SUMIF(Ventes!D5:D504,A41,Ventes!K5:K504),"")</f>
        <v>#ERROR!</v>
      </c>
      <c r="J41" s="281" t="str">
        <f>IFERROR(I41/H41,"")</f>
        <v>#ERROR!</v>
      </c>
      <c r="K41" s="227"/>
      <c r="L41" s="266" t="str">
        <f>IF(AND(G41&lt;&gt;"",K41&lt;&gt;""),G41+K41,"")</f>
        <v>#ERROR!</v>
      </c>
      <c r="M41" s="227"/>
      <c r="N41" s="227"/>
      <c r="O41" s="233"/>
    </row>
    <row r="42">
      <c r="A42" s="269"/>
      <c r="B42" s="235"/>
      <c r="C42" s="235"/>
      <c r="D42" s="235"/>
      <c r="E42" s="235"/>
      <c r="F42" s="235"/>
      <c r="G42" s="270"/>
      <c r="H42" s="235" t="str">
        <f>IFERROR(COUNTIF(Ventes!D5:D504,A42),"")</f>
        <v>#ERROR!</v>
      </c>
      <c r="I42" s="283" t="str">
        <f>IFERROR(SUMIF(Ventes!D5:D504,A42,Ventes!K5:K504),"")</f>
        <v>#ERROR!</v>
      </c>
      <c r="J42" s="283" t="str">
        <f>IFERROR(I42/H42,"")</f>
        <v>#ERROR!</v>
      </c>
      <c r="K42" s="235"/>
      <c r="L42" s="270" t="str">
        <f>IF(AND(G42&lt;&gt;"",K42&lt;&gt;""),G42+K42,"")</f>
        <v>#ERROR!</v>
      </c>
      <c r="M42" s="235"/>
      <c r="N42" s="235"/>
      <c r="O42" s="240"/>
    </row>
    <row r="43">
      <c r="A43" s="265"/>
      <c r="B43" s="227"/>
      <c r="C43" s="227"/>
      <c r="D43" s="227"/>
      <c r="E43" s="227"/>
      <c r="F43" s="227"/>
      <c r="G43" s="266"/>
      <c r="H43" s="227" t="str">
        <f>IFERROR(COUNTIF(Ventes!D5:D504,A43),"")</f>
        <v>#ERROR!</v>
      </c>
      <c r="I43" s="281" t="str">
        <f>IFERROR(SUMIF(Ventes!D5:D504,A43,Ventes!K5:K504),"")</f>
        <v>#ERROR!</v>
      </c>
      <c r="J43" s="281" t="str">
        <f>IFERROR(I43/H43,"")</f>
        <v>#ERROR!</v>
      </c>
      <c r="K43" s="227"/>
      <c r="L43" s="266" t="str">
        <f>IF(AND(G43&lt;&gt;"",K43&lt;&gt;""),G43+K43,"")</f>
        <v>#ERROR!</v>
      </c>
      <c r="M43" s="227"/>
      <c r="N43" s="227"/>
      <c r="O43" s="233"/>
    </row>
    <row r="44">
      <c r="A44" s="269"/>
      <c r="B44" s="235"/>
      <c r="C44" s="235"/>
      <c r="D44" s="235"/>
      <c r="E44" s="235"/>
      <c r="F44" s="235"/>
      <c r="G44" s="270"/>
      <c r="H44" s="235" t="str">
        <f>IFERROR(COUNTIF(Ventes!D5:D504,A44),"")</f>
        <v>#ERROR!</v>
      </c>
      <c r="I44" s="283" t="str">
        <f>IFERROR(SUMIF(Ventes!D5:D504,A44,Ventes!K5:K504),"")</f>
        <v>#ERROR!</v>
      </c>
      <c r="J44" s="283" t="str">
        <f>IFERROR(I44/H44,"")</f>
        <v>#ERROR!</v>
      </c>
      <c r="K44" s="235"/>
      <c r="L44" s="270" t="str">
        <f>IF(AND(G44&lt;&gt;"",K44&lt;&gt;""),G44+K44,"")</f>
        <v>#ERROR!</v>
      </c>
      <c r="M44" s="235"/>
      <c r="N44" s="235"/>
      <c r="O44" s="240"/>
    </row>
    <row r="45">
      <c r="A45" s="265"/>
      <c r="B45" s="227"/>
      <c r="C45" s="227"/>
      <c r="D45" s="227"/>
      <c r="E45" s="227"/>
      <c r="F45" s="227"/>
      <c r="G45" s="266"/>
      <c r="H45" s="227" t="str">
        <f>IFERROR(COUNTIF(Ventes!D5:D504,A45),"")</f>
        <v>#ERROR!</v>
      </c>
      <c r="I45" s="281" t="str">
        <f>IFERROR(SUMIF(Ventes!D5:D504,A45,Ventes!K5:K504),"")</f>
        <v>#ERROR!</v>
      </c>
      <c r="J45" s="281" t="str">
        <f>IFERROR(I45/H45,"")</f>
        <v>#ERROR!</v>
      </c>
      <c r="K45" s="227"/>
      <c r="L45" s="266" t="str">
        <f>IF(AND(G45&lt;&gt;"",K45&lt;&gt;""),G45+K45,"")</f>
        <v>#ERROR!</v>
      </c>
      <c r="M45" s="227"/>
      <c r="N45" s="227"/>
      <c r="O45" s="233"/>
    </row>
    <row r="46">
      <c r="A46" s="269"/>
      <c r="B46" s="235"/>
      <c r="C46" s="235"/>
      <c r="D46" s="235"/>
      <c r="E46" s="235"/>
      <c r="F46" s="235"/>
      <c r="G46" s="270"/>
      <c r="H46" s="235" t="str">
        <f>IFERROR(COUNTIF(Ventes!D5:D504,A46),"")</f>
        <v>#ERROR!</v>
      </c>
      <c r="I46" s="283" t="str">
        <f>IFERROR(SUMIF(Ventes!D5:D504,A46,Ventes!K5:K504),"")</f>
        <v>#ERROR!</v>
      </c>
      <c r="J46" s="283" t="str">
        <f>IFERROR(I46/H46,"")</f>
        <v>#ERROR!</v>
      </c>
      <c r="K46" s="235"/>
      <c r="L46" s="270" t="str">
        <f>IF(AND(G46&lt;&gt;"",K46&lt;&gt;""),G46+K46,"")</f>
        <v>#ERROR!</v>
      </c>
      <c r="M46" s="235"/>
      <c r="N46" s="235"/>
      <c r="O46" s="240"/>
    </row>
    <row r="47">
      <c r="A47" s="265"/>
      <c r="B47" s="227"/>
      <c r="C47" s="227"/>
      <c r="D47" s="227"/>
      <c r="E47" s="227"/>
      <c r="F47" s="227"/>
      <c r="G47" s="266"/>
      <c r="H47" s="227" t="str">
        <f>IFERROR(COUNTIF(Ventes!D5:D504,A47),"")</f>
        <v>#ERROR!</v>
      </c>
      <c r="I47" s="281" t="str">
        <f>IFERROR(SUMIF(Ventes!D5:D504,A47,Ventes!K5:K504),"")</f>
        <v>#ERROR!</v>
      </c>
      <c r="J47" s="281" t="str">
        <f>IFERROR(I47/H47,"")</f>
        <v>#ERROR!</v>
      </c>
      <c r="K47" s="227"/>
      <c r="L47" s="266" t="str">
        <f>IF(AND(G47&lt;&gt;"",K47&lt;&gt;""),G47+K47,"")</f>
        <v>#ERROR!</v>
      </c>
      <c r="M47" s="227"/>
      <c r="N47" s="227"/>
      <c r="O47" s="233"/>
    </row>
    <row r="48">
      <c r="A48" s="269"/>
      <c r="B48" s="235"/>
      <c r="C48" s="235"/>
      <c r="D48" s="235"/>
      <c r="E48" s="235"/>
      <c r="F48" s="235"/>
      <c r="G48" s="270"/>
      <c r="H48" s="235" t="str">
        <f>IFERROR(COUNTIF(Ventes!D5:D504,A48),"")</f>
        <v>#ERROR!</v>
      </c>
      <c r="I48" s="283" t="str">
        <f>IFERROR(SUMIF(Ventes!D5:D504,A48,Ventes!K5:K504),"")</f>
        <v>#ERROR!</v>
      </c>
      <c r="J48" s="283" t="str">
        <f>IFERROR(I48/H48,"")</f>
        <v>#ERROR!</v>
      </c>
      <c r="K48" s="235"/>
      <c r="L48" s="270" t="str">
        <f>IF(AND(G48&lt;&gt;"",K48&lt;&gt;""),G48+K48,"")</f>
        <v>#ERROR!</v>
      </c>
      <c r="M48" s="235"/>
      <c r="N48" s="235"/>
      <c r="O48" s="240"/>
    </row>
    <row r="49">
      <c r="A49" s="265"/>
      <c r="B49" s="227"/>
      <c r="C49" s="227"/>
      <c r="D49" s="227"/>
      <c r="E49" s="227"/>
      <c r="F49" s="227"/>
      <c r="G49" s="266"/>
      <c r="H49" s="227" t="str">
        <f>IFERROR(COUNTIF(Ventes!D5:D504,A49),"")</f>
        <v>#ERROR!</v>
      </c>
      <c r="I49" s="281" t="str">
        <f>IFERROR(SUMIF(Ventes!D5:D504,A49,Ventes!K5:K504),"")</f>
        <v>#ERROR!</v>
      </c>
      <c r="J49" s="281" t="str">
        <f>IFERROR(I49/H49,"")</f>
        <v>#ERROR!</v>
      </c>
      <c r="K49" s="227"/>
      <c r="L49" s="266" t="str">
        <f>IF(AND(G49&lt;&gt;"",K49&lt;&gt;""),G49+K49,"")</f>
        <v>#ERROR!</v>
      </c>
      <c r="M49" s="227"/>
      <c r="N49" s="227"/>
      <c r="O49" s="233"/>
    </row>
    <row r="50">
      <c r="A50" s="269"/>
      <c r="B50" s="235"/>
      <c r="C50" s="235"/>
      <c r="D50" s="235"/>
      <c r="E50" s="235"/>
      <c r="F50" s="235"/>
      <c r="G50" s="270"/>
      <c r="H50" s="235" t="str">
        <f>IFERROR(COUNTIF(Ventes!D5:D504,A50),"")</f>
        <v>#ERROR!</v>
      </c>
      <c r="I50" s="283" t="str">
        <f>IFERROR(SUMIF(Ventes!D5:D504,A50,Ventes!K5:K504),"")</f>
        <v>#ERROR!</v>
      </c>
      <c r="J50" s="283" t="str">
        <f>IFERROR(I50/H50,"")</f>
        <v>#ERROR!</v>
      </c>
      <c r="K50" s="235"/>
      <c r="L50" s="270" t="str">
        <f>IF(AND(G50&lt;&gt;"",K50&lt;&gt;""),G50+K50,"")</f>
        <v>#ERROR!</v>
      </c>
      <c r="M50" s="235"/>
      <c r="N50" s="235"/>
      <c r="O50" s="240"/>
    </row>
    <row r="51">
      <c r="A51" s="265"/>
      <c r="B51" s="227"/>
      <c r="C51" s="227"/>
      <c r="D51" s="227"/>
      <c r="E51" s="227"/>
      <c r="F51" s="227"/>
      <c r="G51" s="266"/>
      <c r="H51" s="227" t="str">
        <f>IFERROR(COUNTIF(Ventes!D5:D504,A51),"")</f>
        <v>#ERROR!</v>
      </c>
      <c r="I51" s="281" t="str">
        <f>IFERROR(SUMIF(Ventes!D5:D504,A51,Ventes!K5:K504),"")</f>
        <v>#ERROR!</v>
      </c>
      <c r="J51" s="281" t="str">
        <f>IFERROR(I51/H51,"")</f>
        <v>#ERROR!</v>
      </c>
      <c r="K51" s="227"/>
      <c r="L51" s="266" t="str">
        <f>IF(AND(G51&lt;&gt;"",K51&lt;&gt;""),G51+K51,"")</f>
        <v>#ERROR!</v>
      </c>
      <c r="M51" s="227"/>
      <c r="N51" s="227"/>
      <c r="O51" s="233"/>
    </row>
    <row r="52">
      <c r="A52" s="269"/>
      <c r="B52" s="235"/>
      <c r="C52" s="235"/>
      <c r="D52" s="235"/>
      <c r="E52" s="235"/>
      <c r="F52" s="235"/>
      <c r="G52" s="270"/>
      <c r="H52" s="235" t="str">
        <f>IFERROR(COUNTIF(Ventes!D5:D504,A52),"")</f>
        <v>#ERROR!</v>
      </c>
      <c r="I52" s="283" t="str">
        <f>IFERROR(SUMIF(Ventes!D5:D504,A52,Ventes!K5:K504),"")</f>
        <v>#ERROR!</v>
      </c>
      <c r="J52" s="283" t="str">
        <f>IFERROR(I52/H52,"")</f>
        <v>#ERROR!</v>
      </c>
      <c r="K52" s="235"/>
      <c r="L52" s="270" t="str">
        <f>IF(AND(G52&lt;&gt;"",K52&lt;&gt;""),G52+K52,"")</f>
        <v>#ERROR!</v>
      </c>
      <c r="M52" s="235"/>
      <c r="N52" s="235"/>
      <c r="O52" s="240"/>
    </row>
    <row r="53">
      <c r="A53" s="265"/>
      <c r="B53" s="227"/>
      <c r="C53" s="227"/>
      <c r="D53" s="227"/>
      <c r="E53" s="227"/>
      <c r="F53" s="227"/>
      <c r="G53" s="266"/>
      <c r="H53" s="227" t="str">
        <f>IFERROR(COUNTIF(Ventes!D5:D504,A53),"")</f>
        <v>#ERROR!</v>
      </c>
      <c r="I53" s="281" t="str">
        <f>IFERROR(SUMIF(Ventes!D5:D504,A53,Ventes!K5:K504),"")</f>
        <v>#ERROR!</v>
      </c>
      <c r="J53" s="281" t="str">
        <f>IFERROR(I53/H53,"")</f>
        <v>#ERROR!</v>
      </c>
      <c r="K53" s="227"/>
      <c r="L53" s="266" t="str">
        <f>IF(AND(G53&lt;&gt;"",K53&lt;&gt;""),G53+K53,"")</f>
        <v>#ERROR!</v>
      </c>
      <c r="M53" s="227"/>
      <c r="N53" s="227"/>
      <c r="O53" s="233"/>
    </row>
    <row r="54">
      <c r="A54" s="269"/>
      <c r="B54" s="235"/>
      <c r="C54" s="235"/>
      <c r="D54" s="235"/>
      <c r="E54" s="235"/>
      <c r="F54" s="235"/>
      <c r="G54" s="270"/>
      <c r="H54" s="235" t="str">
        <f>IFERROR(COUNTIF(Ventes!D5:D504,A54),"")</f>
        <v>#ERROR!</v>
      </c>
      <c r="I54" s="283" t="str">
        <f>IFERROR(SUMIF(Ventes!D5:D504,A54,Ventes!K5:K504),"")</f>
        <v>#ERROR!</v>
      </c>
      <c r="J54" s="283" t="str">
        <f>IFERROR(I54/H54,"")</f>
        <v>#ERROR!</v>
      </c>
      <c r="K54" s="235"/>
      <c r="L54" s="270" t="str">
        <f>IF(AND(G54&lt;&gt;"",K54&lt;&gt;""),G54+K54,"")</f>
        <v>#ERROR!</v>
      </c>
      <c r="M54" s="235"/>
      <c r="N54" s="235"/>
      <c r="O54" s="240"/>
    </row>
    <row r="55">
      <c r="A55" s="265"/>
      <c r="B55" s="227"/>
      <c r="C55" s="227"/>
      <c r="D55" s="227"/>
      <c r="E55" s="227"/>
      <c r="F55" s="227"/>
      <c r="G55" s="266"/>
      <c r="H55" s="227" t="str">
        <f>IFERROR(COUNTIF(Ventes!D5:D504,A55),"")</f>
        <v>#ERROR!</v>
      </c>
      <c r="I55" s="281" t="str">
        <f>IFERROR(SUMIF(Ventes!D5:D504,A55,Ventes!K5:K504),"")</f>
        <v>#ERROR!</v>
      </c>
      <c r="J55" s="281" t="str">
        <f>IFERROR(I55/H55,"")</f>
        <v>#ERROR!</v>
      </c>
      <c r="K55" s="227"/>
      <c r="L55" s="266" t="str">
        <f>IF(AND(G55&lt;&gt;"",K55&lt;&gt;""),G55+K55,"")</f>
        <v>#ERROR!</v>
      </c>
      <c r="M55" s="227"/>
      <c r="N55" s="227"/>
      <c r="O55" s="233"/>
    </row>
    <row r="56">
      <c r="A56" s="269"/>
      <c r="B56" s="235"/>
      <c r="C56" s="235"/>
      <c r="D56" s="235"/>
      <c r="E56" s="235"/>
      <c r="F56" s="235"/>
      <c r="G56" s="270"/>
      <c r="H56" s="235" t="str">
        <f>IFERROR(COUNTIF(Ventes!D5:D504,A56),"")</f>
        <v>#ERROR!</v>
      </c>
      <c r="I56" s="283" t="str">
        <f>IFERROR(SUMIF(Ventes!D5:D504,A56,Ventes!K5:K504),"")</f>
        <v>#ERROR!</v>
      </c>
      <c r="J56" s="283" t="str">
        <f>IFERROR(I56/H56,"")</f>
        <v>#ERROR!</v>
      </c>
      <c r="K56" s="235"/>
      <c r="L56" s="270" t="str">
        <f>IF(AND(G56&lt;&gt;"",K56&lt;&gt;""),G56+K56,"")</f>
        <v>#ERROR!</v>
      </c>
      <c r="M56" s="235"/>
      <c r="N56" s="235"/>
      <c r="O56" s="240"/>
    </row>
    <row r="57">
      <c r="A57" s="265"/>
      <c r="B57" s="227"/>
      <c r="C57" s="227"/>
      <c r="D57" s="227"/>
      <c r="E57" s="227"/>
      <c r="F57" s="227"/>
      <c r="G57" s="266"/>
      <c r="H57" s="227" t="str">
        <f>IFERROR(COUNTIF(Ventes!D5:D504,A57),"")</f>
        <v>#ERROR!</v>
      </c>
      <c r="I57" s="281" t="str">
        <f>IFERROR(SUMIF(Ventes!D5:D504,A57,Ventes!K5:K504),"")</f>
        <v>#ERROR!</v>
      </c>
      <c r="J57" s="281" t="str">
        <f>IFERROR(I57/H57,"")</f>
        <v>#ERROR!</v>
      </c>
      <c r="K57" s="227"/>
      <c r="L57" s="266" t="str">
        <f>IF(AND(G57&lt;&gt;"",K57&lt;&gt;""),G57+K57,"")</f>
        <v>#ERROR!</v>
      </c>
      <c r="M57" s="227"/>
      <c r="N57" s="227"/>
      <c r="O57" s="233"/>
    </row>
    <row r="58">
      <c r="A58" s="269"/>
      <c r="B58" s="235"/>
      <c r="C58" s="235"/>
      <c r="D58" s="235"/>
      <c r="E58" s="235"/>
      <c r="F58" s="235"/>
      <c r="G58" s="270"/>
      <c r="H58" s="235" t="str">
        <f>IFERROR(COUNTIF(Ventes!D5:D504,A58),"")</f>
        <v>#ERROR!</v>
      </c>
      <c r="I58" s="283" t="str">
        <f>IFERROR(SUMIF(Ventes!D5:D504,A58,Ventes!K5:K504),"")</f>
        <v>#ERROR!</v>
      </c>
      <c r="J58" s="283" t="str">
        <f>IFERROR(I58/H58,"")</f>
        <v>#ERROR!</v>
      </c>
      <c r="K58" s="235"/>
      <c r="L58" s="270" t="str">
        <f>IF(AND(G58&lt;&gt;"",K58&lt;&gt;""),G58+K58,"")</f>
        <v>#ERROR!</v>
      </c>
      <c r="M58" s="235"/>
      <c r="N58" s="235"/>
      <c r="O58" s="240"/>
    </row>
    <row r="59">
      <c r="A59" s="265"/>
      <c r="B59" s="227"/>
      <c r="C59" s="227"/>
      <c r="D59" s="227"/>
      <c r="E59" s="227"/>
      <c r="F59" s="227"/>
      <c r="G59" s="266"/>
      <c r="H59" s="227" t="str">
        <f>IFERROR(COUNTIF(Ventes!D5:D504,A59),"")</f>
        <v>#ERROR!</v>
      </c>
      <c r="I59" s="281" t="str">
        <f>IFERROR(SUMIF(Ventes!D5:D504,A59,Ventes!K5:K504),"")</f>
        <v>#ERROR!</v>
      </c>
      <c r="J59" s="281" t="str">
        <f>IFERROR(I59/H59,"")</f>
        <v>#ERROR!</v>
      </c>
      <c r="K59" s="227"/>
      <c r="L59" s="266" t="str">
        <f>IF(AND(G59&lt;&gt;"",K59&lt;&gt;""),G59+K59,"")</f>
        <v>#ERROR!</v>
      </c>
      <c r="M59" s="227"/>
      <c r="N59" s="227"/>
      <c r="O59" s="233"/>
    </row>
    <row r="60">
      <c r="A60" s="269"/>
      <c r="B60" s="235"/>
      <c r="C60" s="235"/>
      <c r="D60" s="235"/>
      <c r="E60" s="235"/>
      <c r="F60" s="235"/>
      <c r="G60" s="270"/>
      <c r="H60" s="235" t="str">
        <f>IFERROR(COUNTIF(Ventes!D5:D504,A60),"")</f>
        <v>#ERROR!</v>
      </c>
      <c r="I60" s="283" t="str">
        <f>IFERROR(SUMIF(Ventes!D5:D504,A60,Ventes!K5:K504),"")</f>
        <v>#ERROR!</v>
      </c>
      <c r="J60" s="283" t="str">
        <f>IFERROR(I60/H60,"")</f>
        <v>#ERROR!</v>
      </c>
      <c r="K60" s="235"/>
      <c r="L60" s="270" t="str">
        <f>IF(AND(G60&lt;&gt;"",K60&lt;&gt;""),G60+K60,"")</f>
        <v>#ERROR!</v>
      </c>
      <c r="M60" s="235"/>
      <c r="N60" s="235"/>
      <c r="O60" s="240"/>
    </row>
    <row r="61">
      <c r="A61" s="265"/>
      <c r="B61" s="227"/>
      <c r="C61" s="227"/>
      <c r="D61" s="227"/>
      <c r="E61" s="227"/>
      <c r="F61" s="227"/>
      <c r="G61" s="266"/>
      <c r="H61" s="227" t="str">
        <f>IFERROR(COUNTIF(Ventes!D5:D504,A61),"")</f>
        <v>#ERROR!</v>
      </c>
      <c r="I61" s="281" t="str">
        <f>IFERROR(SUMIF(Ventes!D5:D504,A61,Ventes!K5:K504),"")</f>
        <v>#ERROR!</v>
      </c>
      <c r="J61" s="281" t="str">
        <f>IFERROR(I61/H61,"")</f>
        <v>#ERROR!</v>
      </c>
      <c r="K61" s="227"/>
      <c r="L61" s="266" t="str">
        <f>IF(AND(G61&lt;&gt;"",K61&lt;&gt;""),G61+K61,"")</f>
        <v>#ERROR!</v>
      </c>
      <c r="M61" s="227"/>
      <c r="N61" s="227"/>
      <c r="O61" s="233"/>
    </row>
    <row r="62">
      <c r="A62" s="269"/>
      <c r="B62" s="235"/>
      <c r="C62" s="235"/>
      <c r="D62" s="235"/>
      <c r="E62" s="235"/>
      <c r="F62" s="235"/>
      <c r="G62" s="270"/>
      <c r="H62" s="235" t="str">
        <f>IFERROR(COUNTIF(Ventes!D5:D504,A62),"")</f>
        <v>#ERROR!</v>
      </c>
      <c r="I62" s="283" t="str">
        <f>IFERROR(SUMIF(Ventes!D5:D504,A62,Ventes!K5:K504),"")</f>
        <v>#ERROR!</v>
      </c>
      <c r="J62" s="283" t="str">
        <f>IFERROR(I62/H62,"")</f>
        <v>#ERROR!</v>
      </c>
      <c r="K62" s="235"/>
      <c r="L62" s="270" t="str">
        <f>IF(AND(G62&lt;&gt;"",K62&lt;&gt;""),G62+K62,"")</f>
        <v>#ERROR!</v>
      </c>
      <c r="M62" s="235"/>
      <c r="N62" s="235"/>
      <c r="O62" s="240"/>
    </row>
    <row r="63">
      <c r="A63" s="265"/>
      <c r="B63" s="227"/>
      <c r="C63" s="227"/>
      <c r="D63" s="227"/>
      <c r="E63" s="227"/>
      <c r="F63" s="227"/>
      <c r="G63" s="266"/>
      <c r="H63" s="227" t="str">
        <f>IFERROR(COUNTIF(Ventes!D5:D504,A63),"")</f>
        <v>#ERROR!</v>
      </c>
      <c r="I63" s="281" t="str">
        <f>IFERROR(SUMIF(Ventes!D5:D504,A63,Ventes!K5:K504),"")</f>
        <v>#ERROR!</v>
      </c>
      <c r="J63" s="281" t="str">
        <f>IFERROR(I63/H63,"")</f>
        <v>#ERROR!</v>
      </c>
      <c r="K63" s="227"/>
      <c r="L63" s="266" t="str">
        <f>IF(AND(G63&lt;&gt;"",K63&lt;&gt;""),G63+K63,"")</f>
        <v>#ERROR!</v>
      </c>
      <c r="M63" s="227"/>
      <c r="N63" s="227"/>
      <c r="O63" s="233"/>
    </row>
    <row r="64">
      <c r="A64" s="269"/>
      <c r="B64" s="235"/>
      <c r="C64" s="235"/>
      <c r="D64" s="235"/>
      <c r="E64" s="235"/>
      <c r="F64" s="235"/>
      <c r="G64" s="270"/>
      <c r="H64" s="235" t="str">
        <f>IFERROR(COUNTIF(Ventes!D5:D504,A64),"")</f>
        <v>#ERROR!</v>
      </c>
      <c r="I64" s="283" t="str">
        <f>IFERROR(SUMIF(Ventes!D5:D504,A64,Ventes!K5:K504),"")</f>
        <v>#ERROR!</v>
      </c>
      <c r="J64" s="283" t="str">
        <f>IFERROR(I64/H64,"")</f>
        <v>#ERROR!</v>
      </c>
      <c r="K64" s="235"/>
      <c r="L64" s="270" t="str">
        <f>IF(AND(G64&lt;&gt;"",K64&lt;&gt;""),G64+K64,"")</f>
        <v>#ERROR!</v>
      </c>
      <c r="M64" s="235"/>
      <c r="N64" s="235"/>
      <c r="O64" s="240"/>
    </row>
    <row r="65">
      <c r="A65" s="265"/>
      <c r="B65" s="227"/>
      <c r="C65" s="227"/>
      <c r="D65" s="227"/>
      <c r="E65" s="227"/>
      <c r="F65" s="227"/>
      <c r="G65" s="266"/>
      <c r="H65" s="227" t="str">
        <f>IFERROR(COUNTIF(Ventes!D5:D504,A65),"")</f>
        <v>#ERROR!</v>
      </c>
      <c r="I65" s="281" t="str">
        <f>IFERROR(SUMIF(Ventes!D5:D504,A65,Ventes!K5:K504),"")</f>
        <v>#ERROR!</v>
      </c>
      <c r="J65" s="281" t="str">
        <f>IFERROR(I65/H65,"")</f>
        <v>#ERROR!</v>
      </c>
      <c r="K65" s="227"/>
      <c r="L65" s="266" t="str">
        <f>IF(AND(G65&lt;&gt;"",K65&lt;&gt;""),G65+K65,"")</f>
        <v>#ERROR!</v>
      </c>
      <c r="M65" s="227"/>
      <c r="N65" s="227"/>
      <c r="O65" s="233"/>
    </row>
    <row r="66">
      <c r="A66" s="269"/>
      <c r="B66" s="235"/>
      <c r="C66" s="235"/>
      <c r="D66" s="235"/>
      <c r="E66" s="235"/>
      <c r="F66" s="235"/>
      <c r="G66" s="270"/>
      <c r="H66" s="235" t="str">
        <f>IFERROR(COUNTIF(Ventes!D5:D504,A66),"")</f>
        <v>#ERROR!</v>
      </c>
      <c r="I66" s="283" t="str">
        <f>IFERROR(SUMIF(Ventes!D5:D504,A66,Ventes!K5:K504),"")</f>
        <v>#ERROR!</v>
      </c>
      <c r="J66" s="283" t="str">
        <f>IFERROR(I66/H66,"")</f>
        <v>#ERROR!</v>
      </c>
      <c r="K66" s="235"/>
      <c r="L66" s="270" t="str">
        <f>IF(AND(G66&lt;&gt;"",K66&lt;&gt;""),G66+K66,"")</f>
        <v>#ERROR!</v>
      </c>
      <c r="M66" s="235"/>
      <c r="N66" s="235"/>
      <c r="O66" s="240"/>
    </row>
    <row r="67">
      <c r="A67" s="265"/>
      <c r="B67" s="227"/>
      <c r="C67" s="227"/>
      <c r="D67" s="227"/>
      <c r="E67" s="227"/>
      <c r="F67" s="227"/>
      <c r="G67" s="266"/>
      <c r="H67" s="227" t="str">
        <f>IFERROR(COUNTIF(Ventes!D5:D504,A67),"")</f>
        <v>#ERROR!</v>
      </c>
      <c r="I67" s="281" t="str">
        <f>IFERROR(SUMIF(Ventes!D5:D504,A67,Ventes!K5:K504),"")</f>
        <v>#ERROR!</v>
      </c>
      <c r="J67" s="281" t="str">
        <f>IFERROR(I67/H67,"")</f>
        <v>#ERROR!</v>
      </c>
      <c r="K67" s="227"/>
      <c r="L67" s="266" t="str">
        <f>IF(AND(G67&lt;&gt;"",K67&lt;&gt;""),G67+K67,"")</f>
        <v>#ERROR!</v>
      </c>
      <c r="M67" s="227"/>
      <c r="N67" s="227"/>
      <c r="O67" s="233"/>
    </row>
    <row r="68">
      <c r="A68" s="269"/>
      <c r="B68" s="235"/>
      <c r="C68" s="235"/>
      <c r="D68" s="235"/>
      <c r="E68" s="235"/>
      <c r="F68" s="235"/>
      <c r="G68" s="270"/>
      <c r="H68" s="235" t="str">
        <f>IFERROR(COUNTIF(Ventes!D5:D504,A68),"")</f>
        <v>#ERROR!</v>
      </c>
      <c r="I68" s="283" t="str">
        <f>IFERROR(SUMIF(Ventes!D5:D504,A68,Ventes!K5:K504),"")</f>
        <v>#ERROR!</v>
      </c>
      <c r="J68" s="283" t="str">
        <f>IFERROR(I68/H68,"")</f>
        <v>#ERROR!</v>
      </c>
      <c r="K68" s="235"/>
      <c r="L68" s="270" t="str">
        <f>IF(AND(G68&lt;&gt;"",K68&lt;&gt;""),G68+K68,"")</f>
        <v>#ERROR!</v>
      </c>
      <c r="M68" s="235"/>
      <c r="N68" s="235"/>
      <c r="O68" s="240"/>
    </row>
    <row r="69">
      <c r="A69" s="265"/>
      <c r="B69" s="227"/>
      <c r="C69" s="227"/>
      <c r="D69" s="227"/>
      <c r="E69" s="227"/>
      <c r="F69" s="227"/>
      <c r="G69" s="266"/>
      <c r="H69" s="227" t="str">
        <f>IFERROR(COUNTIF(Ventes!D5:D504,A69),"")</f>
        <v>#ERROR!</v>
      </c>
      <c r="I69" s="281" t="str">
        <f>IFERROR(SUMIF(Ventes!D5:D504,A69,Ventes!K5:K504),"")</f>
        <v>#ERROR!</v>
      </c>
      <c r="J69" s="281" t="str">
        <f>IFERROR(I69/H69,"")</f>
        <v>#ERROR!</v>
      </c>
      <c r="K69" s="227"/>
      <c r="L69" s="266" t="str">
        <f>IF(AND(G69&lt;&gt;"",K69&lt;&gt;""),G69+K69,"")</f>
        <v>#ERROR!</v>
      </c>
      <c r="M69" s="227"/>
      <c r="N69" s="227"/>
      <c r="O69" s="233"/>
    </row>
    <row r="70">
      <c r="A70" s="269"/>
      <c r="B70" s="235"/>
      <c r="C70" s="235"/>
      <c r="D70" s="235"/>
      <c r="E70" s="235"/>
      <c r="F70" s="235"/>
      <c r="G70" s="270"/>
      <c r="H70" s="235" t="str">
        <f>IFERROR(COUNTIF(Ventes!D5:D504,A70),"")</f>
        <v>#ERROR!</v>
      </c>
      <c r="I70" s="283" t="str">
        <f>IFERROR(SUMIF(Ventes!D5:D504,A70,Ventes!K5:K504),"")</f>
        <v>#ERROR!</v>
      </c>
      <c r="J70" s="283" t="str">
        <f>IFERROR(I70/H70,"")</f>
        <v>#ERROR!</v>
      </c>
      <c r="K70" s="235"/>
      <c r="L70" s="270" t="str">
        <f>IF(AND(G70&lt;&gt;"",K70&lt;&gt;""),G70+K70,"")</f>
        <v>#ERROR!</v>
      </c>
      <c r="M70" s="235"/>
      <c r="N70" s="235"/>
      <c r="O70" s="240"/>
    </row>
    <row r="71">
      <c r="A71" s="265"/>
      <c r="B71" s="227"/>
      <c r="C71" s="227"/>
      <c r="D71" s="227"/>
      <c r="E71" s="227"/>
      <c r="F71" s="227"/>
      <c r="G71" s="266"/>
      <c r="H71" s="227" t="str">
        <f>IFERROR(COUNTIF(Ventes!D5:D504,A71),"")</f>
        <v>#ERROR!</v>
      </c>
      <c r="I71" s="281" t="str">
        <f>IFERROR(SUMIF(Ventes!D5:D504,A71,Ventes!K5:K504),"")</f>
        <v>#ERROR!</v>
      </c>
      <c r="J71" s="281" t="str">
        <f>IFERROR(I71/H71,"")</f>
        <v>#ERROR!</v>
      </c>
      <c r="K71" s="227"/>
      <c r="L71" s="266" t="str">
        <f>IF(AND(G71&lt;&gt;"",K71&lt;&gt;""),G71+K71,"")</f>
        <v>#ERROR!</v>
      </c>
      <c r="M71" s="227"/>
      <c r="N71" s="227"/>
      <c r="O71" s="233"/>
    </row>
    <row r="72">
      <c r="A72" s="269"/>
      <c r="B72" s="235"/>
      <c r="C72" s="235"/>
      <c r="D72" s="235"/>
      <c r="E72" s="235"/>
      <c r="F72" s="235"/>
      <c r="G72" s="270"/>
      <c r="H72" s="235" t="str">
        <f>IFERROR(COUNTIF(Ventes!D5:D504,A72),"")</f>
        <v>#ERROR!</v>
      </c>
      <c r="I72" s="283" t="str">
        <f>IFERROR(SUMIF(Ventes!D5:D504,A72,Ventes!K5:K504),"")</f>
        <v>#ERROR!</v>
      </c>
      <c r="J72" s="283" t="str">
        <f>IFERROR(I72/H72,"")</f>
        <v>#ERROR!</v>
      </c>
      <c r="K72" s="235"/>
      <c r="L72" s="270" t="str">
        <f>IF(AND(G72&lt;&gt;"",K72&lt;&gt;""),G72+K72,"")</f>
        <v>#ERROR!</v>
      </c>
      <c r="M72" s="235"/>
      <c r="N72" s="235"/>
      <c r="O72" s="240"/>
    </row>
    <row r="73">
      <c r="A73" s="265"/>
      <c r="B73" s="227"/>
      <c r="C73" s="227"/>
      <c r="D73" s="227"/>
      <c r="E73" s="227"/>
      <c r="F73" s="227"/>
      <c r="G73" s="266"/>
      <c r="H73" s="227" t="str">
        <f>IFERROR(COUNTIF(Ventes!D5:D504,A73),"")</f>
        <v>#ERROR!</v>
      </c>
      <c r="I73" s="281" t="str">
        <f>IFERROR(SUMIF(Ventes!D5:D504,A73,Ventes!K5:K504),"")</f>
        <v>#ERROR!</v>
      </c>
      <c r="J73" s="281" t="str">
        <f>IFERROR(I73/H73,"")</f>
        <v>#ERROR!</v>
      </c>
      <c r="K73" s="227"/>
      <c r="L73" s="266" t="str">
        <f>IF(AND(G73&lt;&gt;"",K73&lt;&gt;""),G73+K73,"")</f>
        <v>#ERROR!</v>
      </c>
      <c r="M73" s="227"/>
      <c r="N73" s="227"/>
      <c r="O73" s="233"/>
    </row>
    <row r="74">
      <c r="A74" s="269"/>
      <c r="B74" s="235"/>
      <c r="C74" s="235"/>
      <c r="D74" s="235"/>
      <c r="E74" s="235"/>
      <c r="F74" s="235"/>
      <c r="G74" s="270"/>
      <c r="H74" s="235" t="str">
        <f>IFERROR(COUNTIF(Ventes!D5:D504,A74),"")</f>
        <v>#ERROR!</v>
      </c>
      <c r="I74" s="283" t="str">
        <f>IFERROR(SUMIF(Ventes!D5:D504,A74,Ventes!K5:K504),"")</f>
        <v>#ERROR!</v>
      </c>
      <c r="J74" s="283" t="str">
        <f>IFERROR(I74/H74,"")</f>
        <v>#ERROR!</v>
      </c>
      <c r="K74" s="235"/>
      <c r="L74" s="270" t="str">
        <f>IF(AND(G74&lt;&gt;"",K74&lt;&gt;""),G74+K74,"")</f>
        <v>#ERROR!</v>
      </c>
      <c r="M74" s="235"/>
      <c r="N74" s="235"/>
      <c r="O74" s="240"/>
    </row>
    <row r="75">
      <c r="A75" s="265"/>
      <c r="B75" s="227"/>
      <c r="C75" s="227"/>
      <c r="D75" s="227"/>
      <c r="E75" s="227"/>
      <c r="F75" s="227"/>
      <c r="G75" s="266"/>
      <c r="H75" s="227" t="str">
        <f>IFERROR(COUNTIF(Ventes!D5:D504,A75),"")</f>
        <v>#ERROR!</v>
      </c>
      <c r="I75" s="281" t="str">
        <f>IFERROR(SUMIF(Ventes!D5:D504,A75,Ventes!K5:K504),"")</f>
        <v>#ERROR!</v>
      </c>
      <c r="J75" s="281" t="str">
        <f>IFERROR(I75/H75,"")</f>
        <v>#ERROR!</v>
      </c>
      <c r="K75" s="227"/>
      <c r="L75" s="266" t="str">
        <f>IF(AND(G75&lt;&gt;"",K75&lt;&gt;""),G75+K75,"")</f>
        <v>#ERROR!</v>
      </c>
      <c r="M75" s="227"/>
      <c r="N75" s="227"/>
      <c r="O75" s="233"/>
    </row>
    <row r="76">
      <c r="A76" s="269"/>
      <c r="B76" s="235"/>
      <c r="C76" s="235"/>
      <c r="D76" s="235"/>
      <c r="E76" s="235"/>
      <c r="F76" s="235"/>
      <c r="G76" s="270"/>
      <c r="H76" s="235" t="str">
        <f>IFERROR(COUNTIF(Ventes!D5:D504,A76),"")</f>
        <v>#ERROR!</v>
      </c>
      <c r="I76" s="283" t="str">
        <f>IFERROR(SUMIF(Ventes!D5:D504,A76,Ventes!K5:K504),"")</f>
        <v>#ERROR!</v>
      </c>
      <c r="J76" s="283" t="str">
        <f>IFERROR(I76/H76,"")</f>
        <v>#ERROR!</v>
      </c>
      <c r="K76" s="235"/>
      <c r="L76" s="270" t="str">
        <f>IF(AND(G76&lt;&gt;"",K76&lt;&gt;""),G76+K76,"")</f>
        <v>#ERROR!</v>
      </c>
      <c r="M76" s="235"/>
      <c r="N76" s="235"/>
      <c r="O76" s="240"/>
    </row>
    <row r="77">
      <c r="A77" s="265"/>
      <c r="B77" s="227"/>
      <c r="C77" s="227"/>
      <c r="D77" s="227"/>
      <c r="E77" s="227"/>
      <c r="F77" s="227"/>
      <c r="G77" s="266"/>
      <c r="H77" s="227" t="str">
        <f>IFERROR(COUNTIF(Ventes!D5:D504,A77),"")</f>
        <v>#ERROR!</v>
      </c>
      <c r="I77" s="281" t="str">
        <f>IFERROR(SUMIF(Ventes!D5:D504,A77,Ventes!K5:K504),"")</f>
        <v>#ERROR!</v>
      </c>
      <c r="J77" s="281" t="str">
        <f>IFERROR(I77/H77,"")</f>
        <v>#ERROR!</v>
      </c>
      <c r="K77" s="227"/>
      <c r="L77" s="266" t="str">
        <f>IF(AND(G77&lt;&gt;"",K77&lt;&gt;""),G77+K77,"")</f>
        <v>#ERROR!</v>
      </c>
      <c r="M77" s="227"/>
      <c r="N77" s="227"/>
      <c r="O77" s="233"/>
    </row>
    <row r="78">
      <c r="A78" s="269"/>
      <c r="B78" s="235"/>
      <c r="C78" s="235"/>
      <c r="D78" s="235"/>
      <c r="E78" s="235"/>
      <c r="F78" s="235"/>
      <c r="G78" s="270"/>
      <c r="H78" s="235" t="str">
        <f>IFERROR(COUNTIF(Ventes!D5:D504,A78),"")</f>
        <v>#ERROR!</v>
      </c>
      <c r="I78" s="283" t="str">
        <f>IFERROR(SUMIF(Ventes!D5:D504,A78,Ventes!K5:K504),"")</f>
        <v>#ERROR!</v>
      </c>
      <c r="J78" s="283" t="str">
        <f>IFERROR(I78/H78,"")</f>
        <v>#ERROR!</v>
      </c>
      <c r="K78" s="235"/>
      <c r="L78" s="270" t="str">
        <f>IF(AND(G78&lt;&gt;"",K78&lt;&gt;""),G78+K78,"")</f>
        <v>#ERROR!</v>
      </c>
      <c r="M78" s="235"/>
      <c r="N78" s="235"/>
      <c r="O78" s="240"/>
    </row>
    <row r="79">
      <c r="A79" s="265"/>
      <c r="B79" s="227"/>
      <c r="C79" s="227"/>
      <c r="D79" s="227"/>
      <c r="E79" s="227"/>
      <c r="F79" s="227"/>
      <c r="G79" s="266"/>
      <c r="H79" s="227" t="str">
        <f>IFERROR(COUNTIF(Ventes!D5:D504,A79),"")</f>
        <v>#ERROR!</v>
      </c>
      <c r="I79" s="281" t="str">
        <f>IFERROR(SUMIF(Ventes!D5:D504,A79,Ventes!K5:K504),"")</f>
        <v>#ERROR!</v>
      </c>
      <c r="J79" s="281" t="str">
        <f>IFERROR(I79/H79,"")</f>
        <v>#ERROR!</v>
      </c>
      <c r="K79" s="227"/>
      <c r="L79" s="266" t="str">
        <f>IF(AND(G79&lt;&gt;"",K79&lt;&gt;""),G79+K79,"")</f>
        <v>#ERROR!</v>
      </c>
      <c r="M79" s="227"/>
      <c r="N79" s="227"/>
      <c r="O79" s="233"/>
    </row>
    <row r="80">
      <c r="A80" s="269"/>
      <c r="B80" s="235"/>
      <c r="C80" s="235"/>
      <c r="D80" s="235"/>
      <c r="E80" s="235"/>
      <c r="F80" s="235"/>
      <c r="G80" s="270"/>
      <c r="H80" s="235" t="str">
        <f>IFERROR(COUNTIF(Ventes!D5:D504,A80),"")</f>
        <v>#ERROR!</v>
      </c>
      <c r="I80" s="283" t="str">
        <f>IFERROR(SUMIF(Ventes!D5:D504,A80,Ventes!K5:K504),"")</f>
        <v>#ERROR!</v>
      </c>
      <c r="J80" s="283" t="str">
        <f>IFERROR(I80/H80,"")</f>
        <v>#ERROR!</v>
      </c>
      <c r="K80" s="235"/>
      <c r="L80" s="270" t="str">
        <f>IF(AND(G80&lt;&gt;"",K80&lt;&gt;""),G80+K80,"")</f>
        <v>#ERROR!</v>
      </c>
      <c r="M80" s="235"/>
      <c r="N80" s="235"/>
      <c r="O80" s="240"/>
    </row>
    <row r="81">
      <c r="A81" s="265"/>
      <c r="B81" s="227"/>
      <c r="C81" s="227"/>
      <c r="D81" s="227"/>
      <c r="E81" s="227"/>
      <c r="F81" s="227"/>
      <c r="G81" s="266"/>
      <c r="H81" s="227" t="str">
        <f>IFERROR(COUNTIF(Ventes!D5:D504,A81),"")</f>
        <v>#ERROR!</v>
      </c>
      <c r="I81" s="281" t="str">
        <f>IFERROR(SUMIF(Ventes!D5:D504,A81,Ventes!K5:K504),"")</f>
        <v>#ERROR!</v>
      </c>
      <c r="J81" s="281" t="str">
        <f>IFERROR(I81/H81,"")</f>
        <v>#ERROR!</v>
      </c>
      <c r="K81" s="227"/>
      <c r="L81" s="266" t="str">
        <f>IF(AND(G81&lt;&gt;"",K81&lt;&gt;""),G81+K81,"")</f>
        <v>#ERROR!</v>
      </c>
      <c r="M81" s="227"/>
      <c r="N81" s="227"/>
      <c r="O81" s="233"/>
    </row>
    <row r="82">
      <c r="A82" s="269"/>
      <c r="B82" s="235"/>
      <c r="C82" s="235"/>
      <c r="D82" s="235"/>
      <c r="E82" s="235"/>
      <c r="F82" s="235"/>
      <c r="G82" s="270"/>
      <c r="H82" s="235" t="str">
        <f>IFERROR(COUNTIF(Ventes!D5:D504,A82),"")</f>
        <v>#ERROR!</v>
      </c>
      <c r="I82" s="283" t="str">
        <f>IFERROR(SUMIF(Ventes!D5:D504,A82,Ventes!K5:K504),"")</f>
        <v>#ERROR!</v>
      </c>
      <c r="J82" s="283" t="str">
        <f>IFERROR(I82/H82,"")</f>
        <v>#ERROR!</v>
      </c>
      <c r="K82" s="235"/>
      <c r="L82" s="270" t="str">
        <f>IF(AND(G82&lt;&gt;"",K82&lt;&gt;""),G82+K82,"")</f>
        <v>#ERROR!</v>
      </c>
      <c r="M82" s="235"/>
      <c r="N82" s="235"/>
      <c r="O82" s="240"/>
    </row>
    <row r="83">
      <c r="A83" s="265"/>
      <c r="B83" s="227"/>
      <c r="C83" s="227"/>
      <c r="D83" s="227"/>
      <c r="E83" s="227"/>
      <c r="F83" s="227"/>
      <c r="G83" s="266"/>
      <c r="H83" s="227" t="str">
        <f>IFERROR(COUNTIF(Ventes!D5:D504,A83),"")</f>
        <v>#ERROR!</v>
      </c>
      <c r="I83" s="281" t="str">
        <f>IFERROR(SUMIF(Ventes!D5:D504,A83,Ventes!K5:K504),"")</f>
        <v>#ERROR!</v>
      </c>
      <c r="J83" s="281" t="str">
        <f>IFERROR(I83/H83,"")</f>
        <v>#ERROR!</v>
      </c>
      <c r="K83" s="227"/>
      <c r="L83" s="266" t="str">
        <f>IF(AND(G83&lt;&gt;"",K83&lt;&gt;""),G83+K83,"")</f>
        <v>#ERROR!</v>
      </c>
      <c r="M83" s="227"/>
      <c r="N83" s="227"/>
      <c r="O83" s="233"/>
    </row>
    <row r="84">
      <c r="A84" s="269"/>
      <c r="B84" s="235"/>
      <c r="C84" s="235"/>
      <c r="D84" s="235"/>
      <c r="E84" s="235"/>
      <c r="F84" s="235"/>
      <c r="G84" s="270"/>
      <c r="H84" s="235" t="str">
        <f>IFERROR(COUNTIF(Ventes!D5:D504,A84),"")</f>
        <v>#ERROR!</v>
      </c>
      <c r="I84" s="283" t="str">
        <f>IFERROR(SUMIF(Ventes!D5:D504,A84,Ventes!K5:K504),"")</f>
        <v>#ERROR!</v>
      </c>
      <c r="J84" s="283" t="str">
        <f>IFERROR(I84/H84,"")</f>
        <v>#ERROR!</v>
      </c>
      <c r="K84" s="235"/>
      <c r="L84" s="270" t="str">
        <f>IF(AND(G84&lt;&gt;"",K84&lt;&gt;""),G84+K84,"")</f>
        <v>#ERROR!</v>
      </c>
      <c r="M84" s="235"/>
      <c r="N84" s="235"/>
      <c r="O84" s="240"/>
    </row>
    <row r="85">
      <c r="A85" s="265"/>
      <c r="B85" s="227"/>
      <c r="C85" s="227"/>
      <c r="D85" s="227"/>
      <c r="E85" s="227"/>
      <c r="F85" s="227"/>
      <c r="G85" s="266"/>
      <c r="H85" s="227" t="str">
        <f>IFERROR(COUNTIF(Ventes!D5:D504,A85),"")</f>
        <v>#ERROR!</v>
      </c>
      <c r="I85" s="281" t="str">
        <f>IFERROR(SUMIF(Ventes!D5:D504,A85,Ventes!K5:K504),"")</f>
        <v>#ERROR!</v>
      </c>
      <c r="J85" s="281" t="str">
        <f>IFERROR(I85/H85,"")</f>
        <v>#ERROR!</v>
      </c>
      <c r="K85" s="227"/>
      <c r="L85" s="266" t="str">
        <f>IF(AND(G85&lt;&gt;"",K85&lt;&gt;""),G85+K85,"")</f>
        <v>#ERROR!</v>
      </c>
      <c r="M85" s="227"/>
      <c r="N85" s="227"/>
      <c r="O85" s="233"/>
    </row>
    <row r="86">
      <c r="A86" s="269"/>
      <c r="B86" s="235"/>
      <c r="C86" s="235"/>
      <c r="D86" s="235"/>
      <c r="E86" s="235"/>
      <c r="F86" s="235"/>
      <c r="G86" s="270"/>
      <c r="H86" s="235" t="str">
        <f>IFERROR(COUNTIF(Ventes!D5:D504,A86),"")</f>
        <v>#ERROR!</v>
      </c>
      <c r="I86" s="283" t="str">
        <f>IFERROR(SUMIF(Ventes!D5:D504,A86,Ventes!K5:K504),"")</f>
        <v>#ERROR!</v>
      </c>
      <c r="J86" s="283" t="str">
        <f>IFERROR(I86/H86,"")</f>
        <v>#ERROR!</v>
      </c>
      <c r="K86" s="235"/>
      <c r="L86" s="270" t="str">
        <f>IF(AND(G86&lt;&gt;"",K86&lt;&gt;""),G86+K86,"")</f>
        <v>#ERROR!</v>
      </c>
      <c r="M86" s="235"/>
      <c r="N86" s="235"/>
      <c r="O86" s="240"/>
    </row>
    <row r="87">
      <c r="A87" s="265"/>
      <c r="B87" s="227"/>
      <c r="C87" s="227"/>
      <c r="D87" s="227"/>
      <c r="E87" s="227"/>
      <c r="F87" s="227"/>
      <c r="G87" s="266"/>
      <c r="H87" s="227" t="str">
        <f>IFERROR(COUNTIF(Ventes!D5:D504,A87),"")</f>
        <v>#ERROR!</v>
      </c>
      <c r="I87" s="281" t="str">
        <f>IFERROR(SUMIF(Ventes!D5:D504,A87,Ventes!K5:K504),"")</f>
        <v>#ERROR!</v>
      </c>
      <c r="J87" s="281" t="str">
        <f>IFERROR(I87/H87,"")</f>
        <v>#ERROR!</v>
      </c>
      <c r="K87" s="227"/>
      <c r="L87" s="266" t="str">
        <f>IF(AND(G87&lt;&gt;"",K87&lt;&gt;""),G87+K87,"")</f>
        <v>#ERROR!</v>
      </c>
      <c r="M87" s="227"/>
      <c r="N87" s="227"/>
      <c r="O87" s="233"/>
    </row>
    <row r="88">
      <c r="A88" s="269"/>
      <c r="B88" s="235"/>
      <c r="C88" s="235"/>
      <c r="D88" s="235"/>
      <c r="E88" s="235"/>
      <c r="F88" s="235"/>
      <c r="G88" s="270"/>
      <c r="H88" s="235" t="str">
        <f>IFERROR(COUNTIF(Ventes!D5:D504,A88),"")</f>
        <v>#ERROR!</v>
      </c>
      <c r="I88" s="283" t="str">
        <f>IFERROR(SUMIF(Ventes!D5:D504,A88,Ventes!K5:K504),"")</f>
        <v>#ERROR!</v>
      </c>
      <c r="J88" s="283" t="str">
        <f>IFERROR(I88/H88,"")</f>
        <v>#ERROR!</v>
      </c>
      <c r="K88" s="235"/>
      <c r="L88" s="270" t="str">
        <f>IF(AND(G88&lt;&gt;"",K88&lt;&gt;""),G88+K88,"")</f>
        <v>#ERROR!</v>
      </c>
      <c r="M88" s="235"/>
      <c r="N88" s="235"/>
      <c r="O88" s="240"/>
    </row>
    <row r="89">
      <c r="A89" s="265"/>
      <c r="B89" s="227"/>
      <c r="C89" s="227"/>
      <c r="D89" s="227"/>
      <c r="E89" s="227"/>
      <c r="F89" s="227"/>
      <c r="G89" s="266"/>
      <c r="H89" s="227" t="str">
        <f>IFERROR(COUNTIF(Ventes!D5:D504,A89),"")</f>
        <v>#ERROR!</v>
      </c>
      <c r="I89" s="281" t="str">
        <f>IFERROR(SUMIF(Ventes!D5:D504,A89,Ventes!K5:K504),"")</f>
        <v>#ERROR!</v>
      </c>
      <c r="J89" s="281" t="str">
        <f>IFERROR(I89/H89,"")</f>
        <v>#ERROR!</v>
      </c>
      <c r="K89" s="227"/>
      <c r="L89" s="266" t="str">
        <f>IF(AND(G89&lt;&gt;"",K89&lt;&gt;""),G89+K89,"")</f>
        <v>#ERROR!</v>
      </c>
      <c r="M89" s="227"/>
      <c r="N89" s="227"/>
      <c r="O89" s="233"/>
    </row>
    <row r="90">
      <c r="A90" s="269"/>
      <c r="B90" s="235"/>
      <c r="C90" s="235"/>
      <c r="D90" s="235"/>
      <c r="E90" s="235"/>
      <c r="F90" s="235"/>
      <c r="G90" s="270"/>
      <c r="H90" s="235" t="str">
        <f>IFERROR(COUNTIF(Ventes!D5:D504,A90),"")</f>
        <v>#ERROR!</v>
      </c>
      <c r="I90" s="283" t="str">
        <f>IFERROR(SUMIF(Ventes!D5:D504,A90,Ventes!K5:K504),"")</f>
        <v>#ERROR!</v>
      </c>
      <c r="J90" s="283" t="str">
        <f>IFERROR(I90/H90,"")</f>
        <v>#ERROR!</v>
      </c>
      <c r="K90" s="235"/>
      <c r="L90" s="270" t="str">
        <f>IF(AND(G90&lt;&gt;"",K90&lt;&gt;""),G90+K90,"")</f>
        <v>#ERROR!</v>
      </c>
      <c r="M90" s="235"/>
      <c r="N90" s="235"/>
      <c r="O90" s="240"/>
    </row>
    <row r="91">
      <c r="A91" s="265"/>
      <c r="B91" s="227"/>
      <c r="C91" s="227"/>
      <c r="D91" s="227"/>
      <c r="E91" s="227"/>
      <c r="F91" s="227"/>
      <c r="G91" s="266"/>
      <c r="H91" s="227" t="str">
        <f>IFERROR(COUNTIF(Ventes!D5:D504,A91),"")</f>
        <v>#ERROR!</v>
      </c>
      <c r="I91" s="281" t="str">
        <f>IFERROR(SUMIF(Ventes!D5:D504,A91,Ventes!K5:K504),"")</f>
        <v>#ERROR!</v>
      </c>
      <c r="J91" s="281" t="str">
        <f>IFERROR(I91/H91,"")</f>
        <v>#ERROR!</v>
      </c>
      <c r="K91" s="227"/>
      <c r="L91" s="266" t="str">
        <f>IF(AND(G91&lt;&gt;"",K91&lt;&gt;""),G91+K91,"")</f>
        <v>#ERROR!</v>
      </c>
      <c r="M91" s="227"/>
      <c r="N91" s="227"/>
      <c r="O91" s="233"/>
    </row>
    <row r="92">
      <c r="A92" s="269"/>
      <c r="B92" s="235"/>
      <c r="C92" s="235"/>
      <c r="D92" s="235"/>
      <c r="E92" s="235"/>
      <c r="F92" s="235"/>
      <c r="G92" s="270"/>
      <c r="H92" s="235" t="str">
        <f>IFERROR(COUNTIF(Ventes!D5:D504,A92),"")</f>
        <v>#ERROR!</v>
      </c>
      <c r="I92" s="283" t="str">
        <f>IFERROR(SUMIF(Ventes!D5:D504,A92,Ventes!K5:K504),"")</f>
        <v>#ERROR!</v>
      </c>
      <c r="J92" s="283" t="str">
        <f>IFERROR(I92/H92,"")</f>
        <v>#ERROR!</v>
      </c>
      <c r="K92" s="235"/>
      <c r="L92" s="270" t="str">
        <f>IF(AND(G92&lt;&gt;"",K92&lt;&gt;""),G92+K92,"")</f>
        <v>#ERROR!</v>
      </c>
      <c r="M92" s="235"/>
      <c r="N92" s="235"/>
      <c r="O92" s="240"/>
    </row>
    <row r="93">
      <c r="A93" s="265"/>
      <c r="B93" s="227"/>
      <c r="C93" s="227"/>
      <c r="D93" s="227"/>
      <c r="E93" s="227"/>
      <c r="F93" s="227"/>
      <c r="G93" s="266"/>
      <c r="H93" s="227" t="str">
        <f>IFERROR(COUNTIF(Ventes!D5:D504,A93),"")</f>
        <v>#ERROR!</v>
      </c>
      <c r="I93" s="281" t="str">
        <f>IFERROR(SUMIF(Ventes!D5:D504,A93,Ventes!K5:K504),"")</f>
        <v>#ERROR!</v>
      </c>
      <c r="J93" s="281" t="str">
        <f>IFERROR(I93/H93,"")</f>
        <v>#ERROR!</v>
      </c>
      <c r="K93" s="227"/>
      <c r="L93" s="266" t="str">
        <f>IF(AND(G93&lt;&gt;"",K93&lt;&gt;""),G93+K93,"")</f>
        <v>#ERROR!</v>
      </c>
      <c r="M93" s="227"/>
      <c r="N93" s="227"/>
      <c r="O93" s="233"/>
    </row>
    <row r="94">
      <c r="A94" s="269"/>
      <c r="B94" s="235"/>
      <c r="C94" s="235"/>
      <c r="D94" s="235"/>
      <c r="E94" s="235"/>
      <c r="F94" s="235"/>
      <c r="G94" s="270"/>
      <c r="H94" s="235" t="str">
        <f>IFERROR(COUNTIF(Ventes!D5:D504,A94),"")</f>
        <v>#ERROR!</v>
      </c>
      <c r="I94" s="283" t="str">
        <f>IFERROR(SUMIF(Ventes!D5:D504,A94,Ventes!K5:K504),"")</f>
        <v>#ERROR!</v>
      </c>
      <c r="J94" s="283" t="str">
        <f>IFERROR(I94/H94,"")</f>
        <v>#ERROR!</v>
      </c>
      <c r="K94" s="235"/>
      <c r="L94" s="270" t="str">
        <f>IF(AND(G94&lt;&gt;"",K94&lt;&gt;""),G94+K94,"")</f>
        <v>#ERROR!</v>
      </c>
      <c r="M94" s="235"/>
      <c r="N94" s="235"/>
      <c r="O94" s="240"/>
    </row>
    <row r="95">
      <c r="A95" s="265"/>
      <c r="B95" s="227"/>
      <c r="C95" s="227"/>
      <c r="D95" s="227"/>
      <c r="E95" s="227"/>
      <c r="F95" s="227"/>
      <c r="G95" s="266"/>
      <c r="H95" s="227" t="str">
        <f>IFERROR(COUNTIF(Ventes!D5:D504,A95),"")</f>
        <v>#ERROR!</v>
      </c>
      <c r="I95" s="281" t="str">
        <f>IFERROR(SUMIF(Ventes!D5:D504,A95,Ventes!K5:K504),"")</f>
        <v>#ERROR!</v>
      </c>
      <c r="J95" s="281" t="str">
        <f>IFERROR(I95/H95,"")</f>
        <v>#ERROR!</v>
      </c>
      <c r="K95" s="227"/>
      <c r="L95" s="266" t="str">
        <f>IF(AND(G95&lt;&gt;"",K95&lt;&gt;""),G95+K95,"")</f>
        <v>#ERROR!</v>
      </c>
      <c r="M95" s="227"/>
      <c r="N95" s="227"/>
      <c r="O95" s="233"/>
    </row>
    <row r="96">
      <c r="A96" s="269"/>
      <c r="B96" s="235"/>
      <c r="C96" s="235"/>
      <c r="D96" s="235"/>
      <c r="E96" s="235"/>
      <c r="F96" s="235"/>
      <c r="G96" s="270"/>
      <c r="H96" s="235" t="str">
        <f>IFERROR(COUNTIF(Ventes!D5:D504,A96),"")</f>
        <v>#ERROR!</v>
      </c>
      <c r="I96" s="283" t="str">
        <f>IFERROR(SUMIF(Ventes!D5:D504,A96,Ventes!K5:K504),"")</f>
        <v>#ERROR!</v>
      </c>
      <c r="J96" s="283" t="str">
        <f>IFERROR(I96/H96,"")</f>
        <v>#ERROR!</v>
      </c>
      <c r="K96" s="235"/>
      <c r="L96" s="270" t="str">
        <f>IF(AND(G96&lt;&gt;"",K96&lt;&gt;""),G96+K96,"")</f>
        <v>#ERROR!</v>
      </c>
      <c r="M96" s="235"/>
      <c r="N96" s="235"/>
      <c r="O96" s="240"/>
    </row>
    <row r="97">
      <c r="A97" s="265"/>
      <c r="B97" s="227"/>
      <c r="C97" s="227"/>
      <c r="D97" s="227"/>
      <c r="E97" s="227"/>
      <c r="F97" s="227"/>
      <c r="G97" s="266"/>
      <c r="H97" s="227" t="str">
        <f>IFERROR(COUNTIF(Ventes!D5:D504,A97),"")</f>
        <v>#ERROR!</v>
      </c>
      <c r="I97" s="281" t="str">
        <f>IFERROR(SUMIF(Ventes!D5:D504,A97,Ventes!K5:K504),"")</f>
        <v>#ERROR!</v>
      </c>
      <c r="J97" s="281" t="str">
        <f>IFERROR(I97/H97,"")</f>
        <v>#ERROR!</v>
      </c>
      <c r="K97" s="227"/>
      <c r="L97" s="266" t="str">
        <f>IF(AND(G97&lt;&gt;"",K97&lt;&gt;""),G97+K97,"")</f>
        <v>#ERROR!</v>
      </c>
      <c r="M97" s="227"/>
      <c r="N97" s="227"/>
      <c r="O97" s="233"/>
    </row>
    <row r="98">
      <c r="A98" s="269"/>
      <c r="B98" s="235"/>
      <c r="C98" s="235"/>
      <c r="D98" s="235"/>
      <c r="E98" s="235"/>
      <c r="F98" s="235"/>
      <c r="G98" s="270"/>
      <c r="H98" s="235" t="str">
        <f>IFERROR(COUNTIF(Ventes!D5:D504,A98),"")</f>
        <v>#ERROR!</v>
      </c>
      <c r="I98" s="283" t="str">
        <f>IFERROR(SUMIF(Ventes!D5:D504,A98,Ventes!K5:K504),"")</f>
        <v>#ERROR!</v>
      </c>
      <c r="J98" s="283" t="str">
        <f>IFERROR(I98/H98,"")</f>
        <v>#ERROR!</v>
      </c>
      <c r="K98" s="235"/>
      <c r="L98" s="270" t="str">
        <f>IF(AND(G98&lt;&gt;"",K98&lt;&gt;""),G98+K98,"")</f>
        <v>#ERROR!</v>
      </c>
      <c r="M98" s="235"/>
      <c r="N98" s="235"/>
      <c r="O98" s="240"/>
    </row>
    <row r="99">
      <c r="A99" s="265"/>
      <c r="B99" s="227"/>
      <c r="C99" s="227"/>
      <c r="D99" s="227"/>
      <c r="E99" s="227"/>
      <c r="F99" s="227"/>
      <c r="G99" s="266"/>
      <c r="H99" s="227" t="str">
        <f>IFERROR(COUNTIF(Ventes!D5:D504,A99),"")</f>
        <v>#ERROR!</v>
      </c>
      <c r="I99" s="281" t="str">
        <f>IFERROR(SUMIF(Ventes!D5:D504,A99,Ventes!K5:K504),"")</f>
        <v>#ERROR!</v>
      </c>
      <c r="J99" s="281" t="str">
        <f>IFERROR(I99/H99,"")</f>
        <v>#ERROR!</v>
      </c>
      <c r="K99" s="227"/>
      <c r="L99" s="266" t="str">
        <f>IF(AND(G99&lt;&gt;"",K99&lt;&gt;""),G99+K99,"")</f>
        <v>#ERROR!</v>
      </c>
      <c r="M99" s="227"/>
      <c r="N99" s="227"/>
      <c r="O99" s="233"/>
    </row>
    <row r="100">
      <c r="A100" s="269"/>
      <c r="B100" s="235"/>
      <c r="C100" s="235"/>
      <c r="D100" s="235"/>
      <c r="E100" s="235"/>
      <c r="F100" s="235"/>
      <c r="G100" s="270"/>
      <c r="H100" s="235" t="str">
        <f>IFERROR(COUNTIF(Ventes!D5:D504,A100),"")</f>
        <v>#ERROR!</v>
      </c>
      <c r="I100" s="283" t="str">
        <f>IFERROR(SUMIF(Ventes!D5:D504,A100,Ventes!K5:K504),"")</f>
        <v>#ERROR!</v>
      </c>
      <c r="J100" s="283" t="str">
        <f>IFERROR(I100/H100,"")</f>
        <v>#ERROR!</v>
      </c>
      <c r="K100" s="235"/>
      <c r="L100" s="270" t="str">
        <f>IF(AND(G100&lt;&gt;"",K100&lt;&gt;""),G100+K100,"")</f>
        <v>#ERROR!</v>
      </c>
      <c r="M100" s="235"/>
      <c r="N100" s="235"/>
      <c r="O100" s="240"/>
    </row>
    <row r="101">
      <c r="A101" s="265"/>
      <c r="B101" s="227"/>
      <c r="C101" s="227"/>
      <c r="D101" s="227"/>
      <c r="E101" s="227"/>
      <c r="F101" s="227"/>
      <c r="G101" s="266"/>
      <c r="H101" s="227" t="str">
        <f>IFERROR(COUNTIF(Ventes!D5:D504,A101),"")</f>
        <v>#ERROR!</v>
      </c>
      <c r="I101" s="281" t="str">
        <f>IFERROR(SUMIF(Ventes!D5:D504,A101,Ventes!K5:K504),"")</f>
        <v>#ERROR!</v>
      </c>
      <c r="J101" s="281" t="str">
        <f>IFERROR(I101/H101,"")</f>
        <v>#ERROR!</v>
      </c>
      <c r="K101" s="227"/>
      <c r="L101" s="266" t="str">
        <f>IF(AND(G101&lt;&gt;"",K101&lt;&gt;""),G101+K101,"")</f>
        <v>#ERROR!</v>
      </c>
      <c r="M101" s="227"/>
      <c r="N101" s="227"/>
      <c r="O101" s="233"/>
    </row>
    <row r="102">
      <c r="A102" s="269"/>
      <c r="B102" s="235"/>
      <c r="C102" s="235"/>
      <c r="D102" s="235"/>
      <c r="E102" s="235"/>
      <c r="F102" s="235"/>
      <c r="G102" s="270"/>
      <c r="H102" s="235" t="str">
        <f>IFERROR(COUNTIF(Ventes!D5:D504,A102),"")</f>
        <v>#ERROR!</v>
      </c>
      <c r="I102" s="283" t="str">
        <f>IFERROR(SUMIF(Ventes!D5:D504,A102,Ventes!K5:K504),"")</f>
        <v>#ERROR!</v>
      </c>
      <c r="J102" s="283" t="str">
        <f>IFERROR(I102/H102,"")</f>
        <v>#ERROR!</v>
      </c>
      <c r="K102" s="235"/>
      <c r="L102" s="270" t="str">
        <f>IF(AND(G102&lt;&gt;"",K102&lt;&gt;""),G102+K102,"")</f>
        <v>#ERROR!</v>
      </c>
      <c r="M102" s="235"/>
      <c r="N102" s="235"/>
      <c r="O102" s="240"/>
    </row>
    <row r="103">
      <c r="A103" s="265"/>
      <c r="B103" s="227"/>
      <c r="C103" s="227"/>
      <c r="D103" s="227"/>
      <c r="E103" s="227"/>
      <c r="F103" s="227"/>
      <c r="G103" s="266"/>
      <c r="H103" s="227" t="str">
        <f>IFERROR(COUNTIF(Ventes!D5:D504,A103),"")</f>
        <v>#ERROR!</v>
      </c>
      <c r="I103" s="281" t="str">
        <f>IFERROR(SUMIF(Ventes!D5:D504,A103,Ventes!K5:K504),"")</f>
        <v>#ERROR!</v>
      </c>
      <c r="J103" s="281" t="str">
        <f>IFERROR(I103/H103,"")</f>
        <v>#ERROR!</v>
      </c>
      <c r="K103" s="227"/>
      <c r="L103" s="266" t="str">
        <f>IF(AND(G103&lt;&gt;"",K103&lt;&gt;""),G103+K103,"")</f>
        <v>#ERROR!</v>
      </c>
      <c r="M103" s="227"/>
      <c r="N103" s="227"/>
      <c r="O103" s="233"/>
    </row>
    <row r="104">
      <c r="A104" s="269"/>
      <c r="B104" s="235"/>
      <c r="C104" s="235"/>
      <c r="D104" s="235"/>
      <c r="E104" s="235"/>
      <c r="F104" s="235"/>
      <c r="G104" s="270"/>
      <c r="H104" s="235" t="str">
        <f>IFERROR(COUNTIF(Ventes!D5:D504,A104),"")</f>
        <v>#ERROR!</v>
      </c>
      <c r="I104" s="283" t="str">
        <f>IFERROR(SUMIF(Ventes!D5:D504,A104,Ventes!K5:K504),"")</f>
        <v>#ERROR!</v>
      </c>
      <c r="J104" s="283" t="str">
        <f>IFERROR(I104/H104,"")</f>
        <v>#ERROR!</v>
      </c>
      <c r="K104" s="235"/>
      <c r="L104" s="270" t="str">
        <f>IF(AND(G104&lt;&gt;"",K104&lt;&gt;""),G104+K104,"")</f>
        <v>#ERROR!</v>
      </c>
      <c r="M104" s="235"/>
      <c r="N104" s="235"/>
      <c r="O104" s="240"/>
    </row>
    <row r="105">
      <c r="A105" s="265"/>
      <c r="B105" s="227"/>
      <c r="C105" s="227"/>
      <c r="D105" s="227"/>
      <c r="E105" s="227"/>
      <c r="F105" s="227"/>
      <c r="G105" s="266"/>
      <c r="H105" s="227" t="str">
        <f>IFERROR(COUNTIF(Ventes!D5:D504,A105),"")</f>
        <v>#ERROR!</v>
      </c>
      <c r="I105" s="281" t="str">
        <f>IFERROR(SUMIF(Ventes!D5:D504,A105,Ventes!K5:K504),"")</f>
        <v>#ERROR!</v>
      </c>
      <c r="J105" s="281" t="str">
        <f>IFERROR(I105/H105,"")</f>
        <v>#ERROR!</v>
      </c>
      <c r="K105" s="227"/>
      <c r="L105" s="266" t="str">
        <f>IF(AND(G105&lt;&gt;"",K105&lt;&gt;""),G105+K105,"")</f>
        <v>#ERROR!</v>
      </c>
      <c r="M105" s="227"/>
      <c r="N105" s="227"/>
      <c r="O105" s="233"/>
    </row>
    <row r="106">
      <c r="A106" s="269"/>
      <c r="B106" s="235"/>
      <c r="C106" s="235"/>
      <c r="D106" s="235"/>
      <c r="E106" s="235"/>
      <c r="F106" s="235"/>
      <c r="G106" s="270"/>
      <c r="H106" s="235" t="str">
        <f>IFERROR(COUNTIF(Ventes!D5:D504,A106),"")</f>
        <v>#ERROR!</v>
      </c>
      <c r="I106" s="283" t="str">
        <f>IFERROR(SUMIF(Ventes!D5:D504,A106,Ventes!K5:K504),"")</f>
        <v>#ERROR!</v>
      </c>
      <c r="J106" s="283" t="str">
        <f>IFERROR(I106/H106,"")</f>
        <v>#ERROR!</v>
      </c>
      <c r="K106" s="235"/>
      <c r="L106" s="270" t="str">
        <f>IF(AND(G106&lt;&gt;"",K106&lt;&gt;""),G106+K106,"")</f>
        <v>#ERROR!</v>
      </c>
      <c r="M106" s="235"/>
      <c r="N106" s="235"/>
      <c r="O106" s="240"/>
    </row>
    <row r="107">
      <c r="A107" s="265"/>
      <c r="B107" s="227"/>
      <c r="C107" s="227"/>
      <c r="D107" s="227"/>
      <c r="E107" s="227"/>
      <c r="F107" s="227"/>
      <c r="G107" s="266"/>
      <c r="H107" s="227" t="str">
        <f>IFERROR(COUNTIF(Ventes!D5:D504,A107),"")</f>
        <v>#ERROR!</v>
      </c>
      <c r="I107" s="281" t="str">
        <f>IFERROR(SUMIF(Ventes!D5:D504,A107,Ventes!K5:K504),"")</f>
        <v>#ERROR!</v>
      </c>
      <c r="J107" s="281" t="str">
        <f>IFERROR(I107/H107,"")</f>
        <v>#ERROR!</v>
      </c>
      <c r="K107" s="227"/>
      <c r="L107" s="266" t="str">
        <f>IF(AND(G107&lt;&gt;"",K107&lt;&gt;""),G107+K107,"")</f>
        <v>#ERROR!</v>
      </c>
      <c r="M107" s="227"/>
      <c r="N107" s="227"/>
      <c r="O107" s="233"/>
    </row>
    <row r="108">
      <c r="A108" s="269"/>
      <c r="B108" s="235"/>
      <c r="C108" s="235"/>
      <c r="D108" s="235"/>
      <c r="E108" s="235"/>
      <c r="F108" s="235"/>
      <c r="G108" s="270"/>
      <c r="H108" s="235" t="str">
        <f>IFERROR(COUNTIF(Ventes!D5:D504,A108),"")</f>
        <v>#ERROR!</v>
      </c>
      <c r="I108" s="283" t="str">
        <f>IFERROR(SUMIF(Ventes!D5:D504,A108,Ventes!K5:K504),"")</f>
        <v>#ERROR!</v>
      </c>
      <c r="J108" s="283" t="str">
        <f>IFERROR(I108/H108,"")</f>
        <v>#ERROR!</v>
      </c>
      <c r="K108" s="235"/>
      <c r="L108" s="270" t="str">
        <f>IF(AND(G108&lt;&gt;"",K108&lt;&gt;""),G108+K108,"")</f>
        <v>#ERROR!</v>
      </c>
      <c r="M108" s="235"/>
      <c r="N108" s="235"/>
      <c r="O108" s="240"/>
    </row>
    <row r="109">
      <c r="A109" s="265"/>
      <c r="B109" s="227"/>
      <c r="C109" s="227"/>
      <c r="D109" s="227"/>
      <c r="E109" s="227"/>
      <c r="F109" s="227"/>
      <c r="G109" s="266"/>
      <c r="H109" s="227" t="str">
        <f>IFERROR(COUNTIF(Ventes!D5:D504,A109),"")</f>
        <v>#ERROR!</v>
      </c>
      <c r="I109" s="281" t="str">
        <f>IFERROR(SUMIF(Ventes!D5:D504,A109,Ventes!K5:K504),"")</f>
        <v>#ERROR!</v>
      </c>
      <c r="J109" s="281" t="str">
        <f>IFERROR(I109/H109,"")</f>
        <v>#ERROR!</v>
      </c>
      <c r="K109" s="227"/>
      <c r="L109" s="266" t="str">
        <f>IF(AND(G109&lt;&gt;"",K109&lt;&gt;""),G109+K109,"")</f>
        <v>#ERROR!</v>
      </c>
      <c r="M109" s="227"/>
      <c r="N109" s="227"/>
      <c r="O109" s="233"/>
    </row>
    <row r="110">
      <c r="A110" s="269"/>
      <c r="B110" s="235"/>
      <c r="C110" s="235"/>
      <c r="D110" s="235"/>
      <c r="E110" s="235"/>
      <c r="F110" s="235"/>
      <c r="G110" s="270"/>
      <c r="H110" s="235" t="str">
        <f>IFERROR(COUNTIF(Ventes!D5:D504,A110),"")</f>
        <v>#ERROR!</v>
      </c>
      <c r="I110" s="283" t="str">
        <f>IFERROR(SUMIF(Ventes!D5:D504,A110,Ventes!K5:K504),"")</f>
        <v>#ERROR!</v>
      </c>
      <c r="J110" s="283" t="str">
        <f>IFERROR(I110/H110,"")</f>
        <v>#ERROR!</v>
      </c>
      <c r="K110" s="235"/>
      <c r="L110" s="270" t="str">
        <f>IF(AND(G110&lt;&gt;"",K110&lt;&gt;""),G110+K110,"")</f>
        <v>#ERROR!</v>
      </c>
      <c r="M110" s="235"/>
      <c r="N110" s="235"/>
      <c r="O110" s="240"/>
    </row>
    <row r="111">
      <c r="A111" s="265"/>
      <c r="B111" s="227"/>
      <c r="C111" s="227"/>
      <c r="D111" s="227"/>
      <c r="E111" s="227"/>
      <c r="F111" s="227"/>
      <c r="G111" s="266"/>
      <c r="H111" s="227" t="str">
        <f>IFERROR(COUNTIF(Ventes!D5:D504,A111),"")</f>
        <v>#ERROR!</v>
      </c>
      <c r="I111" s="281" t="str">
        <f>IFERROR(SUMIF(Ventes!D5:D504,A111,Ventes!K5:K504),"")</f>
        <v>#ERROR!</v>
      </c>
      <c r="J111" s="281" t="str">
        <f>IFERROR(I111/H111,"")</f>
        <v>#ERROR!</v>
      </c>
      <c r="K111" s="227"/>
      <c r="L111" s="266" t="str">
        <f>IF(AND(G111&lt;&gt;"",K111&lt;&gt;""),G111+K111,"")</f>
        <v>#ERROR!</v>
      </c>
      <c r="M111" s="227"/>
      <c r="N111" s="227"/>
      <c r="O111" s="233"/>
    </row>
    <row r="112">
      <c r="A112" s="269"/>
      <c r="B112" s="235"/>
      <c r="C112" s="235"/>
      <c r="D112" s="235"/>
      <c r="E112" s="235"/>
      <c r="F112" s="235"/>
      <c r="G112" s="270"/>
      <c r="H112" s="235" t="str">
        <f>IFERROR(COUNTIF(Ventes!D5:D504,A112),"")</f>
        <v>#ERROR!</v>
      </c>
      <c r="I112" s="283" t="str">
        <f>IFERROR(SUMIF(Ventes!D5:D504,A112,Ventes!K5:K504),"")</f>
        <v>#ERROR!</v>
      </c>
      <c r="J112" s="283" t="str">
        <f>IFERROR(I112/H112,"")</f>
        <v>#ERROR!</v>
      </c>
      <c r="K112" s="235"/>
      <c r="L112" s="270" t="str">
        <f>IF(AND(G112&lt;&gt;"",K112&lt;&gt;""),G112+K112,"")</f>
        <v>#ERROR!</v>
      </c>
      <c r="M112" s="235"/>
      <c r="N112" s="235"/>
      <c r="O112" s="240"/>
    </row>
    <row r="113">
      <c r="A113" s="265"/>
      <c r="B113" s="227"/>
      <c r="C113" s="227"/>
      <c r="D113" s="227"/>
      <c r="E113" s="227"/>
      <c r="F113" s="227"/>
      <c r="G113" s="266"/>
      <c r="H113" s="227" t="str">
        <f>IFERROR(COUNTIF(Ventes!D5:D504,A113),"")</f>
        <v>#ERROR!</v>
      </c>
      <c r="I113" s="281" t="str">
        <f>IFERROR(SUMIF(Ventes!D5:D504,A113,Ventes!K5:K504),"")</f>
        <v>#ERROR!</v>
      </c>
      <c r="J113" s="281" t="str">
        <f>IFERROR(I113/H113,"")</f>
        <v>#ERROR!</v>
      </c>
      <c r="K113" s="227"/>
      <c r="L113" s="266" t="str">
        <f>IF(AND(G113&lt;&gt;"",K113&lt;&gt;""),G113+K113,"")</f>
        <v>#ERROR!</v>
      </c>
      <c r="M113" s="227"/>
      <c r="N113" s="227"/>
      <c r="O113" s="233"/>
    </row>
    <row r="114">
      <c r="A114" s="269"/>
      <c r="B114" s="235"/>
      <c r="C114" s="235"/>
      <c r="D114" s="235"/>
      <c r="E114" s="235"/>
      <c r="F114" s="235"/>
      <c r="G114" s="270"/>
      <c r="H114" s="235" t="str">
        <f>IFERROR(COUNTIF(Ventes!D5:D504,A114),"")</f>
        <v>#ERROR!</v>
      </c>
      <c r="I114" s="283" t="str">
        <f>IFERROR(SUMIF(Ventes!D5:D504,A114,Ventes!K5:K504),"")</f>
        <v>#ERROR!</v>
      </c>
      <c r="J114" s="283" t="str">
        <f>IFERROR(I114/H114,"")</f>
        <v>#ERROR!</v>
      </c>
      <c r="K114" s="235"/>
      <c r="L114" s="270" t="str">
        <f>IF(AND(G114&lt;&gt;"",K114&lt;&gt;""),G114+K114,"")</f>
        <v>#ERROR!</v>
      </c>
      <c r="M114" s="235"/>
      <c r="N114" s="235"/>
      <c r="O114" s="240"/>
    </row>
    <row r="115">
      <c r="A115" s="265"/>
      <c r="B115" s="227"/>
      <c r="C115" s="227"/>
      <c r="D115" s="227"/>
      <c r="E115" s="227"/>
      <c r="F115" s="227"/>
      <c r="G115" s="266"/>
      <c r="H115" s="227" t="str">
        <f>IFERROR(COUNTIF(Ventes!D5:D504,A115),"")</f>
        <v>#ERROR!</v>
      </c>
      <c r="I115" s="281" t="str">
        <f>IFERROR(SUMIF(Ventes!D5:D504,A115,Ventes!K5:K504),"")</f>
        <v>#ERROR!</v>
      </c>
      <c r="J115" s="281" t="str">
        <f>IFERROR(I115/H115,"")</f>
        <v>#ERROR!</v>
      </c>
      <c r="K115" s="227"/>
      <c r="L115" s="266" t="str">
        <f>IF(AND(G115&lt;&gt;"",K115&lt;&gt;""),G115+K115,"")</f>
        <v>#ERROR!</v>
      </c>
      <c r="M115" s="227"/>
      <c r="N115" s="227"/>
      <c r="O115" s="233"/>
    </row>
    <row r="116">
      <c r="A116" s="269"/>
      <c r="B116" s="235"/>
      <c r="C116" s="235"/>
      <c r="D116" s="235"/>
      <c r="E116" s="235"/>
      <c r="F116" s="235"/>
      <c r="G116" s="270"/>
      <c r="H116" s="235" t="str">
        <f>IFERROR(COUNTIF(Ventes!D5:D504,A116),"")</f>
        <v>#ERROR!</v>
      </c>
      <c r="I116" s="283" t="str">
        <f>IFERROR(SUMIF(Ventes!D5:D504,A116,Ventes!K5:K504),"")</f>
        <v>#ERROR!</v>
      </c>
      <c r="J116" s="283" t="str">
        <f>IFERROR(I116/H116,"")</f>
        <v>#ERROR!</v>
      </c>
      <c r="K116" s="235"/>
      <c r="L116" s="270" t="str">
        <f>IF(AND(G116&lt;&gt;"",K116&lt;&gt;""),G116+K116,"")</f>
        <v>#ERROR!</v>
      </c>
      <c r="M116" s="235"/>
      <c r="N116" s="235"/>
      <c r="O116" s="240"/>
    </row>
    <row r="117">
      <c r="A117" s="265"/>
      <c r="B117" s="227"/>
      <c r="C117" s="227"/>
      <c r="D117" s="227"/>
      <c r="E117" s="227"/>
      <c r="F117" s="227"/>
      <c r="G117" s="266"/>
      <c r="H117" s="227" t="str">
        <f>IFERROR(COUNTIF(Ventes!D5:D504,A117),"")</f>
        <v>#ERROR!</v>
      </c>
      <c r="I117" s="281" t="str">
        <f>IFERROR(SUMIF(Ventes!D5:D504,A117,Ventes!K5:K504),"")</f>
        <v>#ERROR!</v>
      </c>
      <c r="J117" s="281" t="str">
        <f>IFERROR(I117/H117,"")</f>
        <v>#ERROR!</v>
      </c>
      <c r="K117" s="227"/>
      <c r="L117" s="266" t="str">
        <f>IF(AND(G117&lt;&gt;"",K117&lt;&gt;""),G117+K117,"")</f>
        <v>#ERROR!</v>
      </c>
      <c r="M117" s="227"/>
      <c r="N117" s="227"/>
      <c r="O117" s="233"/>
    </row>
    <row r="118">
      <c r="A118" s="269"/>
      <c r="B118" s="235"/>
      <c r="C118" s="235"/>
      <c r="D118" s="235"/>
      <c r="E118" s="235"/>
      <c r="F118" s="235"/>
      <c r="G118" s="270"/>
      <c r="H118" s="235" t="str">
        <f>IFERROR(COUNTIF(Ventes!D5:D504,A118),"")</f>
        <v>#ERROR!</v>
      </c>
      <c r="I118" s="283" t="str">
        <f>IFERROR(SUMIF(Ventes!D5:D504,A118,Ventes!K5:K504),"")</f>
        <v>#ERROR!</v>
      </c>
      <c r="J118" s="283" t="str">
        <f>IFERROR(I118/H118,"")</f>
        <v>#ERROR!</v>
      </c>
      <c r="K118" s="235"/>
      <c r="L118" s="270" t="str">
        <f>IF(AND(G118&lt;&gt;"",K118&lt;&gt;""),G118+K118,"")</f>
        <v>#ERROR!</v>
      </c>
      <c r="M118" s="235"/>
      <c r="N118" s="235"/>
      <c r="O118" s="240"/>
    </row>
    <row r="119">
      <c r="A119" s="265"/>
      <c r="B119" s="227"/>
      <c r="C119" s="227"/>
      <c r="D119" s="227"/>
      <c r="E119" s="227"/>
      <c r="F119" s="227"/>
      <c r="G119" s="266"/>
      <c r="H119" s="227" t="str">
        <f>IFERROR(COUNTIF(Ventes!D5:D504,A119),"")</f>
        <v>#ERROR!</v>
      </c>
      <c r="I119" s="281" t="str">
        <f>IFERROR(SUMIF(Ventes!D5:D504,A119,Ventes!K5:K504),"")</f>
        <v>#ERROR!</v>
      </c>
      <c r="J119" s="281" t="str">
        <f>IFERROR(I119/H119,"")</f>
        <v>#ERROR!</v>
      </c>
      <c r="K119" s="227"/>
      <c r="L119" s="266" t="str">
        <f>IF(AND(G119&lt;&gt;"",K119&lt;&gt;""),G119+K119,"")</f>
        <v>#ERROR!</v>
      </c>
      <c r="M119" s="227"/>
      <c r="N119" s="227"/>
      <c r="O119" s="233"/>
    </row>
    <row r="120">
      <c r="A120" s="269"/>
      <c r="B120" s="235"/>
      <c r="C120" s="235"/>
      <c r="D120" s="235"/>
      <c r="E120" s="235"/>
      <c r="F120" s="235"/>
      <c r="G120" s="270"/>
      <c r="H120" s="235" t="str">
        <f>IFERROR(COUNTIF(Ventes!D5:D504,A120),"")</f>
        <v>#ERROR!</v>
      </c>
      <c r="I120" s="283" t="str">
        <f>IFERROR(SUMIF(Ventes!D5:D504,A120,Ventes!K5:K504),"")</f>
        <v>#ERROR!</v>
      </c>
      <c r="J120" s="283" t="str">
        <f>IFERROR(I120/H120,"")</f>
        <v>#ERROR!</v>
      </c>
      <c r="K120" s="235"/>
      <c r="L120" s="270" t="str">
        <f>IF(AND(G120&lt;&gt;"",K120&lt;&gt;""),G120+K120,"")</f>
        <v>#ERROR!</v>
      </c>
      <c r="M120" s="235"/>
      <c r="N120" s="235"/>
      <c r="O120" s="240"/>
    </row>
    <row r="121">
      <c r="A121" s="265"/>
      <c r="B121" s="227"/>
      <c r="C121" s="227"/>
      <c r="D121" s="227"/>
      <c r="E121" s="227"/>
      <c r="F121" s="227"/>
      <c r="G121" s="266"/>
      <c r="H121" s="227" t="str">
        <f>IFERROR(COUNTIF(Ventes!D5:D504,A121),"")</f>
        <v>#ERROR!</v>
      </c>
      <c r="I121" s="281" t="str">
        <f>IFERROR(SUMIF(Ventes!D5:D504,A121,Ventes!K5:K504),"")</f>
        <v>#ERROR!</v>
      </c>
      <c r="J121" s="281" t="str">
        <f>IFERROR(I121/H121,"")</f>
        <v>#ERROR!</v>
      </c>
      <c r="K121" s="227"/>
      <c r="L121" s="266" t="str">
        <f>IF(AND(G121&lt;&gt;"",K121&lt;&gt;""),G121+K121,"")</f>
        <v>#ERROR!</v>
      </c>
      <c r="M121" s="227"/>
      <c r="N121" s="227"/>
      <c r="O121" s="233"/>
    </row>
    <row r="122">
      <c r="A122" s="269"/>
      <c r="B122" s="235"/>
      <c r="C122" s="235"/>
      <c r="D122" s="235"/>
      <c r="E122" s="235"/>
      <c r="F122" s="235"/>
      <c r="G122" s="270"/>
      <c r="H122" s="235" t="str">
        <f>IFERROR(COUNTIF(Ventes!D5:D504,A122),"")</f>
        <v>#ERROR!</v>
      </c>
      <c r="I122" s="283" t="str">
        <f>IFERROR(SUMIF(Ventes!D5:D504,A122,Ventes!K5:K504),"")</f>
        <v>#ERROR!</v>
      </c>
      <c r="J122" s="283" t="str">
        <f>IFERROR(I122/H122,"")</f>
        <v>#ERROR!</v>
      </c>
      <c r="K122" s="235"/>
      <c r="L122" s="270" t="str">
        <f>IF(AND(G122&lt;&gt;"",K122&lt;&gt;""),G122+K122,"")</f>
        <v>#ERROR!</v>
      </c>
      <c r="M122" s="235"/>
      <c r="N122" s="235"/>
      <c r="O122" s="240"/>
    </row>
    <row r="123">
      <c r="A123" s="265"/>
      <c r="B123" s="227"/>
      <c r="C123" s="227"/>
      <c r="D123" s="227"/>
      <c r="E123" s="227"/>
      <c r="F123" s="227"/>
      <c r="G123" s="266"/>
      <c r="H123" s="227" t="str">
        <f>IFERROR(COUNTIF(Ventes!D5:D504,A123),"")</f>
        <v>#ERROR!</v>
      </c>
      <c r="I123" s="281" t="str">
        <f>IFERROR(SUMIF(Ventes!D5:D504,A123,Ventes!K5:K504),"")</f>
        <v>#ERROR!</v>
      </c>
      <c r="J123" s="281" t="str">
        <f>IFERROR(I123/H123,"")</f>
        <v>#ERROR!</v>
      </c>
      <c r="K123" s="227"/>
      <c r="L123" s="266" t="str">
        <f>IF(AND(G123&lt;&gt;"",K123&lt;&gt;""),G123+K123,"")</f>
        <v>#ERROR!</v>
      </c>
      <c r="M123" s="227"/>
      <c r="N123" s="227"/>
      <c r="O123" s="233"/>
    </row>
    <row r="124">
      <c r="A124" s="269"/>
      <c r="B124" s="235"/>
      <c r="C124" s="235"/>
      <c r="D124" s="235"/>
      <c r="E124" s="235"/>
      <c r="F124" s="235"/>
      <c r="G124" s="270"/>
      <c r="H124" s="235" t="str">
        <f>IFERROR(COUNTIF(Ventes!D5:D504,A124),"")</f>
        <v>#ERROR!</v>
      </c>
      <c r="I124" s="283" t="str">
        <f>IFERROR(SUMIF(Ventes!D5:D504,A124,Ventes!K5:K504),"")</f>
        <v>#ERROR!</v>
      </c>
      <c r="J124" s="283" t="str">
        <f>IFERROR(I124/H124,"")</f>
        <v>#ERROR!</v>
      </c>
      <c r="K124" s="235"/>
      <c r="L124" s="270" t="str">
        <f>IF(AND(G124&lt;&gt;"",K124&lt;&gt;""),G124+K124,"")</f>
        <v>#ERROR!</v>
      </c>
      <c r="M124" s="235"/>
      <c r="N124" s="235"/>
      <c r="O124" s="240"/>
    </row>
    <row r="125">
      <c r="A125" s="265"/>
      <c r="B125" s="227"/>
      <c r="C125" s="227"/>
      <c r="D125" s="227"/>
      <c r="E125" s="227"/>
      <c r="F125" s="227"/>
      <c r="G125" s="266"/>
      <c r="H125" s="227" t="str">
        <f>IFERROR(COUNTIF(Ventes!D5:D504,A125),"")</f>
        <v>#ERROR!</v>
      </c>
      <c r="I125" s="281" t="str">
        <f>IFERROR(SUMIF(Ventes!D5:D504,A125,Ventes!K5:K504),"")</f>
        <v>#ERROR!</v>
      </c>
      <c r="J125" s="281" t="str">
        <f>IFERROR(I125/H125,"")</f>
        <v>#ERROR!</v>
      </c>
      <c r="K125" s="227"/>
      <c r="L125" s="266" t="str">
        <f>IF(AND(G125&lt;&gt;"",K125&lt;&gt;""),G125+K125,"")</f>
        <v>#ERROR!</v>
      </c>
      <c r="M125" s="227"/>
      <c r="N125" s="227"/>
      <c r="O125" s="233"/>
    </row>
    <row r="126">
      <c r="A126" s="269"/>
      <c r="B126" s="235"/>
      <c r="C126" s="235"/>
      <c r="D126" s="235"/>
      <c r="E126" s="235"/>
      <c r="F126" s="235"/>
      <c r="G126" s="270"/>
      <c r="H126" s="235" t="str">
        <f>IFERROR(COUNTIF(Ventes!D5:D504,A126),"")</f>
        <v>#ERROR!</v>
      </c>
      <c r="I126" s="283" t="str">
        <f>IFERROR(SUMIF(Ventes!D5:D504,A126,Ventes!K5:K504),"")</f>
        <v>#ERROR!</v>
      </c>
      <c r="J126" s="283" t="str">
        <f>IFERROR(I126/H126,"")</f>
        <v>#ERROR!</v>
      </c>
      <c r="K126" s="235"/>
      <c r="L126" s="270" t="str">
        <f>IF(AND(G126&lt;&gt;"",K126&lt;&gt;""),G126+K126,"")</f>
        <v>#ERROR!</v>
      </c>
      <c r="M126" s="235"/>
      <c r="N126" s="235"/>
      <c r="O126" s="240"/>
    </row>
    <row r="127">
      <c r="A127" s="265"/>
      <c r="B127" s="227"/>
      <c r="C127" s="227"/>
      <c r="D127" s="227"/>
      <c r="E127" s="227"/>
      <c r="F127" s="227"/>
      <c r="G127" s="266"/>
      <c r="H127" s="227" t="str">
        <f>IFERROR(COUNTIF(Ventes!D5:D504,A127),"")</f>
        <v>#ERROR!</v>
      </c>
      <c r="I127" s="281" t="str">
        <f>IFERROR(SUMIF(Ventes!D5:D504,A127,Ventes!K5:K504),"")</f>
        <v>#ERROR!</v>
      </c>
      <c r="J127" s="281" t="str">
        <f>IFERROR(I127/H127,"")</f>
        <v>#ERROR!</v>
      </c>
      <c r="K127" s="227"/>
      <c r="L127" s="266" t="str">
        <f>IF(AND(G127&lt;&gt;"",K127&lt;&gt;""),G127+K127,"")</f>
        <v>#ERROR!</v>
      </c>
      <c r="M127" s="227"/>
      <c r="N127" s="227"/>
      <c r="O127" s="233"/>
    </row>
    <row r="128">
      <c r="A128" s="269"/>
      <c r="B128" s="235"/>
      <c r="C128" s="235"/>
      <c r="D128" s="235"/>
      <c r="E128" s="235"/>
      <c r="F128" s="235"/>
      <c r="G128" s="270"/>
      <c r="H128" s="235" t="str">
        <f>IFERROR(COUNTIF(Ventes!D5:D504,A128),"")</f>
        <v>#ERROR!</v>
      </c>
      <c r="I128" s="283" t="str">
        <f>IFERROR(SUMIF(Ventes!D5:D504,A128,Ventes!K5:K504),"")</f>
        <v>#ERROR!</v>
      </c>
      <c r="J128" s="283" t="str">
        <f>IFERROR(I128/H128,"")</f>
        <v>#ERROR!</v>
      </c>
      <c r="K128" s="235"/>
      <c r="L128" s="270" t="str">
        <f>IF(AND(G128&lt;&gt;"",K128&lt;&gt;""),G128+K128,"")</f>
        <v>#ERROR!</v>
      </c>
      <c r="M128" s="235"/>
      <c r="N128" s="235"/>
      <c r="O128" s="240"/>
    </row>
    <row r="129">
      <c r="A129" s="265"/>
      <c r="B129" s="227"/>
      <c r="C129" s="227"/>
      <c r="D129" s="227"/>
      <c r="E129" s="227"/>
      <c r="F129" s="227"/>
      <c r="G129" s="266"/>
      <c r="H129" s="227" t="str">
        <f>IFERROR(COUNTIF(Ventes!D5:D504,A129),"")</f>
        <v>#ERROR!</v>
      </c>
      <c r="I129" s="281" t="str">
        <f>IFERROR(SUMIF(Ventes!D5:D504,A129,Ventes!K5:K504),"")</f>
        <v>#ERROR!</v>
      </c>
      <c r="J129" s="281" t="str">
        <f>IFERROR(I129/H129,"")</f>
        <v>#ERROR!</v>
      </c>
      <c r="K129" s="227"/>
      <c r="L129" s="266" t="str">
        <f>IF(AND(G129&lt;&gt;"",K129&lt;&gt;""),G129+K129,"")</f>
        <v>#ERROR!</v>
      </c>
      <c r="M129" s="227"/>
      <c r="N129" s="227"/>
      <c r="O129" s="233"/>
    </row>
    <row r="130">
      <c r="A130" s="269"/>
      <c r="B130" s="235"/>
      <c r="C130" s="235"/>
      <c r="D130" s="235"/>
      <c r="E130" s="235"/>
      <c r="F130" s="235"/>
      <c r="G130" s="270"/>
      <c r="H130" s="235" t="str">
        <f>IFERROR(COUNTIF(Ventes!D5:D504,A130),"")</f>
        <v>#ERROR!</v>
      </c>
      <c r="I130" s="283" t="str">
        <f>IFERROR(SUMIF(Ventes!D5:D504,A130,Ventes!K5:K504),"")</f>
        <v>#ERROR!</v>
      </c>
      <c r="J130" s="283" t="str">
        <f>IFERROR(I130/H130,"")</f>
        <v>#ERROR!</v>
      </c>
      <c r="K130" s="235"/>
      <c r="L130" s="270" t="str">
        <f>IF(AND(G130&lt;&gt;"",K130&lt;&gt;""),G130+K130,"")</f>
        <v>#ERROR!</v>
      </c>
      <c r="M130" s="235"/>
      <c r="N130" s="235"/>
      <c r="O130" s="240"/>
    </row>
    <row r="131">
      <c r="A131" s="265"/>
      <c r="B131" s="227"/>
      <c r="C131" s="227"/>
      <c r="D131" s="227"/>
      <c r="E131" s="227"/>
      <c r="F131" s="227"/>
      <c r="G131" s="266"/>
      <c r="H131" s="227" t="str">
        <f>IFERROR(COUNTIF(Ventes!D5:D504,A131),"")</f>
        <v>#ERROR!</v>
      </c>
      <c r="I131" s="281" t="str">
        <f>IFERROR(SUMIF(Ventes!D5:D504,A131,Ventes!K5:K504),"")</f>
        <v>#ERROR!</v>
      </c>
      <c r="J131" s="281" t="str">
        <f>IFERROR(I131/H131,"")</f>
        <v>#ERROR!</v>
      </c>
      <c r="K131" s="227"/>
      <c r="L131" s="266" t="str">
        <f>IF(AND(G131&lt;&gt;"",K131&lt;&gt;""),G131+K131,"")</f>
        <v>#ERROR!</v>
      </c>
      <c r="M131" s="227"/>
      <c r="N131" s="227"/>
      <c r="O131" s="233"/>
    </row>
    <row r="132">
      <c r="A132" s="269"/>
      <c r="B132" s="235"/>
      <c r="C132" s="235"/>
      <c r="D132" s="235"/>
      <c r="E132" s="235"/>
      <c r="F132" s="235"/>
      <c r="G132" s="270"/>
      <c r="H132" s="235" t="str">
        <f>IFERROR(COUNTIF(Ventes!D5:D504,A132),"")</f>
        <v>#ERROR!</v>
      </c>
      <c r="I132" s="283" t="str">
        <f>IFERROR(SUMIF(Ventes!D5:D504,A132,Ventes!K5:K504),"")</f>
        <v>#ERROR!</v>
      </c>
      <c r="J132" s="283" t="str">
        <f>IFERROR(I132/H132,"")</f>
        <v>#ERROR!</v>
      </c>
      <c r="K132" s="235"/>
      <c r="L132" s="270" t="str">
        <f>IF(AND(G132&lt;&gt;"",K132&lt;&gt;""),G132+K132,"")</f>
        <v>#ERROR!</v>
      </c>
      <c r="M132" s="235"/>
      <c r="N132" s="235"/>
      <c r="O132" s="240"/>
    </row>
    <row r="133">
      <c r="A133" s="265"/>
      <c r="B133" s="227"/>
      <c r="C133" s="227"/>
      <c r="D133" s="227"/>
      <c r="E133" s="227"/>
      <c r="F133" s="227"/>
      <c r="G133" s="266"/>
      <c r="H133" s="227" t="str">
        <f>IFERROR(COUNTIF(Ventes!D5:D504,A133),"")</f>
        <v>#ERROR!</v>
      </c>
      <c r="I133" s="281" t="str">
        <f>IFERROR(SUMIF(Ventes!D5:D504,A133,Ventes!K5:K504),"")</f>
        <v>#ERROR!</v>
      </c>
      <c r="J133" s="281" t="str">
        <f>IFERROR(I133/H133,"")</f>
        <v>#ERROR!</v>
      </c>
      <c r="K133" s="227"/>
      <c r="L133" s="266" t="str">
        <f>IF(AND(G133&lt;&gt;"",K133&lt;&gt;""),G133+K133,"")</f>
        <v>#ERROR!</v>
      </c>
      <c r="M133" s="227"/>
      <c r="N133" s="227"/>
      <c r="O133" s="233"/>
    </row>
    <row r="134">
      <c r="A134" s="269"/>
      <c r="B134" s="235"/>
      <c r="C134" s="235"/>
      <c r="D134" s="235"/>
      <c r="E134" s="235"/>
      <c r="F134" s="235"/>
      <c r="G134" s="270"/>
      <c r="H134" s="235" t="str">
        <f>IFERROR(COUNTIF(Ventes!D5:D504,A134),"")</f>
        <v>#ERROR!</v>
      </c>
      <c r="I134" s="283" t="str">
        <f>IFERROR(SUMIF(Ventes!D5:D504,A134,Ventes!K5:K504),"")</f>
        <v>#ERROR!</v>
      </c>
      <c r="J134" s="283" t="str">
        <f>IFERROR(I134/H134,"")</f>
        <v>#ERROR!</v>
      </c>
      <c r="K134" s="235"/>
      <c r="L134" s="270" t="str">
        <f>IF(AND(G134&lt;&gt;"",K134&lt;&gt;""),G134+K134,"")</f>
        <v>#ERROR!</v>
      </c>
      <c r="M134" s="235"/>
      <c r="N134" s="235"/>
      <c r="O134" s="240"/>
    </row>
    <row r="135">
      <c r="A135" s="265"/>
      <c r="B135" s="227"/>
      <c r="C135" s="227"/>
      <c r="D135" s="227"/>
      <c r="E135" s="227"/>
      <c r="F135" s="227"/>
      <c r="G135" s="266"/>
      <c r="H135" s="227" t="str">
        <f>IFERROR(COUNTIF(Ventes!D5:D504,A135),"")</f>
        <v>#ERROR!</v>
      </c>
      <c r="I135" s="281" t="str">
        <f>IFERROR(SUMIF(Ventes!D5:D504,A135,Ventes!K5:K504),"")</f>
        <v>#ERROR!</v>
      </c>
      <c r="J135" s="281" t="str">
        <f>IFERROR(I135/H135,"")</f>
        <v>#ERROR!</v>
      </c>
      <c r="K135" s="227"/>
      <c r="L135" s="266" t="str">
        <f>IF(AND(G135&lt;&gt;"",K135&lt;&gt;""),G135+K135,"")</f>
        <v>#ERROR!</v>
      </c>
      <c r="M135" s="227"/>
      <c r="N135" s="227"/>
      <c r="O135" s="233"/>
    </row>
    <row r="136">
      <c r="A136" s="269"/>
      <c r="B136" s="235"/>
      <c r="C136" s="235"/>
      <c r="D136" s="235"/>
      <c r="E136" s="235"/>
      <c r="F136" s="235"/>
      <c r="G136" s="270"/>
      <c r="H136" s="235" t="str">
        <f>IFERROR(COUNTIF(Ventes!D5:D504,A136),"")</f>
        <v>#ERROR!</v>
      </c>
      <c r="I136" s="283" t="str">
        <f>IFERROR(SUMIF(Ventes!D5:D504,A136,Ventes!K5:K504),"")</f>
        <v>#ERROR!</v>
      </c>
      <c r="J136" s="283" t="str">
        <f>IFERROR(I136/H136,"")</f>
        <v>#ERROR!</v>
      </c>
      <c r="K136" s="235"/>
      <c r="L136" s="270" t="str">
        <f>IF(AND(G136&lt;&gt;"",K136&lt;&gt;""),G136+K136,"")</f>
        <v>#ERROR!</v>
      </c>
      <c r="M136" s="235"/>
      <c r="N136" s="235"/>
      <c r="O136" s="240"/>
    </row>
    <row r="137">
      <c r="A137" s="265"/>
      <c r="B137" s="227"/>
      <c r="C137" s="227"/>
      <c r="D137" s="227"/>
      <c r="E137" s="227"/>
      <c r="F137" s="227"/>
      <c r="G137" s="266"/>
      <c r="H137" s="227" t="str">
        <f>IFERROR(COUNTIF(Ventes!D5:D504,A137),"")</f>
        <v>#ERROR!</v>
      </c>
      <c r="I137" s="281" t="str">
        <f>IFERROR(SUMIF(Ventes!D5:D504,A137,Ventes!K5:K504),"")</f>
        <v>#ERROR!</v>
      </c>
      <c r="J137" s="281" t="str">
        <f>IFERROR(I137/H137,"")</f>
        <v>#ERROR!</v>
      </c>
      <c r="K137" s="227"/>
      <c r="L137" s="266" t="str">
        <f>IF(AND(G137&lt;&gt;"",K137&lt;&gt;""),G137+K137,"")</f>
        <v>#ERROR!</v>
      </c>
      <c r="M137" s="227"/>
      <c r="N137" s="227"/>
      <c r="O137" s="233"/>
    </row>
    <row r="138">
      <c r="A138" s="269"/>
      <c r="B138" s="235"/>
      <c r="C138" s="235"/>
      <c r="D138" s="235"/>
      <c r="E138" s="235"/>
      <c r="F138" s="235"/>
      <c r="G138" s="270"/>
      <c r="H138" s="235" t="str">
        <f>IFERROR(COUNTIF(Ventes!D5:D504,A138),"")</f>
        <v>#ERROR!</v>
      </c>
      <c r="I138" s="283" t="str">
        <f>IFERROR(SUMIF(Ventes!D5:D504,A138,Ventes!K5:K504),"")</f>
        <v>#ERROR!</v>
      </c>
      <c r="J138" s="283" t="str">
        <f>IFERROR(I138/H138,"")</f>
        <v>#ERROR!</v>
      </c>
      <c r="K138" s="235"/>
      <c r="L138" s="270" t="str">
        <f>IF(AND(G138&lt;&gt;"",K138&lt;&gt;""),G138+K138,"")</f>
        <v>#ERROR!</v>
      </c>
      <c r="M138" s="235"/>
      <c r="N138" s="235"/>
      <c r="O138" s="240"/>
    </row>
    <row r="139">
      <c r="A139" s="265"/>
      <c r="B139" s="227"/>
      <c r="C139" s="227"/>
      <c r="D139" s="227"/>
      <c r="E139" s="227"/>
      <c r="F139" s="227"/>
      <c r="G139" s="266"/>
      <c r="H139" s="227" t="str">
        <f>IFERROR(COUNTIF(Ventes!D5:D504,A139),"")</f>
        <v>#ERROR!</v>
      </c>
      <c r="I139" s="281" t="str">
        <f>IFERROR(SUMIF(Ventes!D5:D504,A139,Ventes!K5:K504),"")</f>
        <v>#ERROR!</v>
      </c>
      <c r="J139" s="281" t="str">
        <f>IFERROR(I139/H139,"")</f>
        <v>#ERROR!</v>
      </c>
      <c r="K139" s="227"/>
      <c r="L139" s="266" t="str">
        <f>IF(AND(G139&lt;&gt;"",K139&lt;&gt;""),G139+K139,"")</f>
        <v>#ERROR!</v>
      </c>
      <c r="M139" s="227"/>
      <c r="N139" s="227"/>
      <c r="O139" s="233"/>
    </row>
    <row r="140">
      <c r="A140" s="269"/>
      <c r="B140" s="235"/>
      <c r="C140" s="235"/>
      <c r="D140" s="235"/>
      <c r="E140" s="235"/>
      <c r="F140" s="235"/>
      <c r="G140" s="270"/>
      <c r="H140" s="235" t="str">
        <f>IFERROR(COUNTIF(Ventes!D5:D504,A140),"")</f>
        <v>#ERROR!</v>
      </c>
      <c r="I140" s="283" t="str">
        <f>IFERROR(SUMIF(Ventes!D5:D504,A140,Ventes!K5:K504),"")</f>
        <v>#ERROR!</v>
      </c>
      <c r="J140" s="283" t="str">
        <f>IFERROR(I140/H140,"")</f>
        <v>#ERROR!</v>
      </c>
      <c r="K140" s="235"/>
      <c r="L140" s="270" t="str">
        <f>IF(AND(G140&lt;&gt;"",K140&lt;&gt;""),G140+K140,"")</f>
        <v>#ERROR!</v>
      </c>
      <c r="M140" s="235"/>
      <c r="N140" s="235"/>
      <c r="O140" s="240"/>
    </row>
    <row r="141">
      <c r="A141" s="265"/>
      <c r="B141" s="227"/>
      <c r="C141" s="227"/>
      <c r="D141" s="227"/>
      <c r="E141" s="227"/>
      <c r="F141" s="227"/>
      <c r="G141" s="266"/>
      <c r="H141" s="227" t="str">
        <f>IFERROR(COUNTIF(Ventes!D5:D504,A141),"")</f>
        <v>#ERROR!</v>
      </c>
      <c r="I141" s="281" t="str">
        <f>IFERROR(SUMIF(Ventes!D5:D504,A141,Ventes!K5:K504),"")</f>
        <v>#ERROR!</v>
      </c>
      <c r="J141" s="281" t="str">
        <f>IFERROR(I141/H141,"")</f>
        <v>#ERROR!</v>
      </c>
      <c r="K141" s="227"/>
      <c r="L141" s="266" t="str">
        <f>IF(AND(G141&lt;&gt;"",K141&lt;&gt;""),G141+K141,"")</f>
        <v>#ERROR!</v>
      </c>
      <c r="M141" s="227"/>
      <c r="N141" s="227"/>
      <c r="O141" s="233"/>
    </row>
    <row r="142">
      <c r="A142" s="269"/>
      <c r="B142" s="235"/>
      <c r="C142" s="235"/>
      <c r="D142" s="235"/>
      <c r="E142" s="235"/>
      <c r="F142" s="235"/>
      <c r="G142" s="270"/>
      <c r="H142" s="235" t="str">
        <f>IFERROR(COUNTIF(Ventes!D5:D504,A142),"")</f>
        <v>#ERROR!</v>
      </c>
      <c r="I142" s="283" t="str">
        <f>IFERROR(SUMIF(Ventes!D5:D504,A142,Ventes!K5:K504),"")</f>
        <v>#ERROR!</v>
      </c>
      <c r="J142" s="283" t="str">
        <f>IFERROR(I142/H142,"")</f>
        <v>#ERROR!</v>
      </c>
      <c r="K142" s="235"/>
      <c r="L142" s="270" t="str">
        <f>IF(AND(G142&lt;&gt;"",K142&lt;&gt;""),G142+K142,"")</f>
        <v>#ERROR!</v>
      </c>
      <c r="M142" s="235"/>
      <c r="N142" s="235"/>
      <c r="O142" s="240"/>
    </row>
    <row r="143">
      <c r="A143" s="265"/>
      <c r="B143" s="227"/>
      <c r="C143" s="227"/>
      <c r="D143" s="227"/>
      <c r="E143" s="227"/>
      <c r="F143" s="227"/>
      <c r="G143" s="266"/>
      <c r="H143" s="227" t="str">
        <f>IFERROR(COUNTIF(Ventes!D5:D504,A143),"")</f>
        <v>#ERROR!</v>
      </c>
      <c r="I143" s="281" t="str">
        <f>IFERROR(SUMIF(Ventes!D5:D504,A143,Ventes!K5:K504),"")</f>
        <v>#ERROR!</v>
      </c>
      <c r="J143" s="281" t="str">
        <f>IFERROR(I143/H143,"")</f>
        <v>#ERROR!</v>
      </c>
      <c r="K143" s="227"/>
      <c r="L143" s="266" t="str">
        <f>IF(AND(G143&lt;&gt;"",K143&lt;&gt;""),G143+K143,"")</f>
        <v>#ERROR!</v>
      </c>
      <c r="M143" s="227"/>
      <c r="N143" s="227"/>
      <c r="O143" s="233"/>
    </row>
    <row r="144">
      <c r="A144" s="269"/>
      <c r="B144" s="235"/>
      <c r="C144" s="235"/>
      <c r="D144" s="235"/>
      <c r="E144" s="235"/>
      <c r="F144" s="235"/>
      <c r="G144" s="270"/>
      <c r="H144" s="235" t="str">
        <f>IFERROR(COUNTIF(Ventes!D5:D504,A144),"")</f>
        <v>#ERROR!</v>
      </c>
      <c r="I144" s="283" t="str">
        <f>IFERROR(SUMIF(Ventes!D5:D504,A144,Ventes!K5:K504),"")</f>
        <v>#ERROR!</v>
      </c>
      <c r="J144" s="283" t="str">
        <f>IFERROR(I144/H144,"")</f>
        <v>#ERROR!</v>
      </c>
      <c r="K144" s="235"/>
      <c r="L144" s="270" t="str">
        <f>IF(AND(G144&lt;&gt;"",K144&lt;&gt;""),G144+K144,"")</f>
        <v>#ERROR!</v>
      </c>
      <c r="M144" s="235"/>
      <c r="N144" s="235"/>
      <c r="O144" s="240"/>
    </row>
    <row r="145">
      <c r="A145" s="265"/>
      <c r="B145" s="227"/>
      <c r="C145" s="227"/>
      <c r="D145" s="227"/>
      <c r="E145" s="227"/>
      <c r="F145" s="227"/>
      <c r="G145" s="266"/>
      <c r="H145" s="227" t="str">
        <f>IFERROR(COUNTIF(Ventes!D5:D504,A145),"")</f>
        <v>#ERROR!</v>
      </c>
      <c r="I145" s="281" t="str">
        <f>IFERROR(SUMIF(Ventes!D5:D504,A145,Ventes!K5:K504),"")</f>
        <v>#ERROR!</v>
      </c>
      <c r="J145" s="281" t="str">
        <f>IFERROR(I145/H145,"")</f>
        <v>#ERROR!</v>
      </c>
      <c r="K145" s="227"/>
      <c r="L145" s="266" t="str">
        <f>IF(AND(G145&lt;&gt;"",K145&lt;&gt;""),G145+K145,"")</f>
        <v>#ERROR!</v>
      </c>
      <c r="M145" s="227"/>
      <c r="N145" s="227"/>
      <c r="O145" s="233"/>
    </row>
    <row r="146">
      <c r="A146" s="269"/>
      <c r="B146" s="235"/>
      <c r="C146" s="235"/>
      <c r="D146" s="235"/>
      <c r="E146" s="235"/>
      <c r="F146" s="235"/>
      <c r="G146" s="270"/>
      <c r="H146" s="235" t="str">
        <f>IFERROR(COUNTIF(Ventes!D5:D504,A146),"")</f>
        <v>#ERROR!</v>
      </c>
      <c r="I146" s="283" t="str">
        <f>IFERROR(SUMIF(Ventes!D5:D504,A146,Ventes!K5:K504),"")</f>
        <v>#ERROR!</v>
      </c>
      <c r="J146" s="283" t="str">
        <f>IFERROR(I146/H146,"")</f>
        <v>#ERROR!</v>
      </c>
      <c r="K146" s="235"/>
      <c r="L146" s="270" t="str">
        <f>IF(AND(G146&lt;&gt;"",K146&lt;&gt;""),G146+K146,"")</f>
        <v>#ERROR!</v>
      </c>
      <c r="M146" s="235"/>
      <c r="N146" s="235"/>
      <c r="O146" s="240"/>
    </row>
    <row r="147">
      <c r="A147" s="265"/>
      <c r="B147" s="227"/>
      <c r="C147" s="227"/>
      <c r="D147" s="227"/>
      <c r="E147" s="227"/>
      <c r="F147" s="227"/>
      <c r="G147" s="266"/>
      <c r="H147" s="227" t="str">
        <f>IFERROR(COUNTIF(Ventes!D5:D504,A147),"")</f>
        <v>#ERROR!</v>
      </c>
      <c r="I147" s="281" t="str">
        <f>IFERROR(SUMIF(Ventes!D5:D504,A147,Ventes!K5:K504),"")</f>
        <v>#ERROR!</v>
      </c>
      <c r="J147" s="281" t="str">
        <f>IFERROR(I147/H147,"")</f>
        <v>#ERROR!</v>
      </c>
      <c r="K147" s="227"/>
      <c r="L147" s="266" t="str">
        <f>IF(AND(G147&lt;&gt;"",K147&lt;&gt;""),G147+K147,"")</f>
        <v>#ERROR!</v>
      </c>
      <c r="M147" s="227"/>
      <c r="N147" s="227"/>
      <c r="O147" s="233"/>
    </row>
    <row r="148">
      <c r="A148" s="269"/>
      <c r="B148" s="235"/>
      <c r="C148" s="235"/>
      <c r="D148" s="235"/>
      <c r="E148" s="235"/>
      <c r="F148" s="235"/>
      <c r="G148" s="270"/>
      <c r="H148" s="235" t="str">
        <f>IFERROR(COUNTIF(Ventes!D5:D504,A148),"")</f>
        <v>#ERROR!</v>
      </c>
      <c r="I148" s="283" t="str">
        <f>IFERROR(SUMIF(Ventes!D5:D504,A148,Ventes!K5:K504),"")</f>
        <v>#ERROR!</v>
      </c>
      <c r="J148" s="283" t="str">
        <f>IFERROR(I148/H148,"")</f>
        <v>#ERROR!</v>
      </c>
      <c r="K148" s="235"/>
      <c r="L148" s="270" t="str">
        <f>IF(AND(G148&lt;&gt;"",K148&lt;&gt;""),G148+K148,"")</f>
        <v>#ERROR!</v>
      </c>
      <c r="M148" s="235"/>
      <c r="N148" s="235"/>
      <c r="O148" s="240"/>
    </row>
    <row r="149">
      <c r="A149" s="265"/>
      <c r="B149" s="227"/>
      <c r="C149" s="227"/>
      <c r="D149" s="227"/>
      <c r="E149" s="227"/>
      <c r="F149" s="227"/>
      <c r="G149" s="266"/>
      <c r="H149" s="227" t="str">
        <f>IFERROR(COUNTIF(Ventes!D5:D504,A149),"")</f>
        <v>#ERROR!</v>
      </c>
      <c r="I149" s="281" t="str">
        <f>IFERROR(SUMIF(Ventes!D5:D504,A149,Ventes!K5:K504),"")</f>
        <v>#ERROR!</v>
      </c>
      <c r="J149" s="281" t="str">
        <f>IFERROR(I149/H149,"")</f>
        <v>#ERROR!</v>
      </c>
      <c r="K149" s="227"/>
      <c r="L149" s="266" t="str">
        <f>IF(AND(G149&lt;&gt;"",K149&lt;&gt;""),G149+K149,"")</f>
        <v>#ERROR!</v>
      </c>
      <c r="M149" s="227"/>
      <c r="N149" s="227"/>
      <c r="O149" s="233"/>
    </row>
    <row r="150">
      <c r="A150" s="269"/>
      <c r="B150" s="235"/>
      <c r="C150" s="235"/>
      <c r="D150" s="235"/>
      <c r="E150" s="235"/>
      <c r="F150" s="235"/>
      <c r="G150" s="270"/>
      <c r="H150" s="235" t="str">
        <f>IFERROR(COUNTIF(Ventes!D5:D504,A150),"")</f>
        <v>#ERROR!</v>
      </c>
      <c r="I150" s="283" t="str">
        <f>IFERROR(SUMIF(Ventes!D5:D504,A150,Ventes!K5:K504),"")</f>
        <v>#ERROR!</v>
      </c>
      <c r="J150" s="283" t="str">
        <f>IFERROR(I150/H150,"")</f>
        <v>#ERROR!</v>
      </c>
      <c r="K150" s="235"/>
      <c r="L150" s="270" t="str">
        <f>IF(AND(G150&lt;&gt;"",K150&lt;&gt;""),G150+K150,"")</f>
        <v>#ERROR!</v>
      </c>
      <c r="M150" s="235"/>
      <c r="N150" s="235"/>
      <c r="O150" s="240"/>
    </row>
    <row r="151">
      <c r="A151" s="265"/>
      <c r="B151" s="227"/>
      <c r="C151" s="227"/>
      <c r="D151" s="227"/>
      <c r="E151" s="227"/>
      <c r="F151" s="227"/>
      <c r="G151" s="266"/>
      <c r="H151" s="227" t="str">
        <f>IFERROR(COUNTIF(Ventes!D5:D504,A151),"")</f>
        <v>#ERROR!</v>
      </c>
      <c r="I151" s="281" t="str">
        <f>IFERROR(SUMIF(Ventes!D5:D504,A151,Ventes!K5:K504),"")</f>
        <v>#ERROR!</v>
      </c>
      <c r="J151" s="281" t="str">
        <f>IFERROR(I151/H151,"")</f>
        <v>#ERROR!</v>
      </c>
      <c r="K151" s="227"/>
      <c r="L151" s="266" t="str">
        <f>IF(AND(G151&lt;&gt;"",K151&lt;&gt;""),G151+K151,"")</f>
        <v>#ERROR!</v>
      </c>
      <c r="M151" s="227"/>
      <c r="N151" s="227"/>
      <c r="O151" s="233"/>
    </row>
    <row r="152">
      <c r="A152" s="269"/>
      <c r="B152" s="235"/>
      <c r="C152" s="235"/>
      <c r="D152" s="235"/>
      <c r="E152" s="235"/>
      <c r="F152" s="235"/>
      <c r="G152" s="270"/>
      <c r="H152" s="235" t="str">
        <f>IFERROR(COUNTIF(Ventes!D5:D504,A152),"")</f>
        <v>#ERROR!</v>
      </c>
      <c r="I152" s="283" t="str">
        <f>IFERROR(SUMIF(Ventes!D5:D504,A152,Ventes!K5:K504),"")</f>
        <v>#ERROR!</v>
      </c>
      <c r="J152" s="283" t="str">
        <f>IFERROR(I152/H152,"")</f>
        <v>#ERROR!</v>
      </c>
      <c r="K152" s="235"/>
      <c r="L152" s="270" t="str">
        <f>IF(AND(G152&lt;&gt;"",K152&lt;&gt;""),G152+K152,"")</f>
        <v>#ERROR!</v>
      </c>
      <c r="M152" s="235"/>
      <c r="N152" s="235"/>
      <c r="O152" s="240"/>
    </row>
    <row r="153">
      <c r="A153" s="265"/>
      <c r="B153" s="227"/>
      <c r="C153" s="227"/>
      <c r="D153" s="227"/>
      <c r="E153" s="227"/>
      <c r="F153" s="227"/>
      <c r="G153" s="266"/>
      <c r="H153" s="227" t="str">
        <f>IFERROR(COUNTIF(Ventes!D5:D504,A153),"")</f>
        <v>#ERROR!</v>
      </c>
      <c r="I153" s="281" t="str">
        <f>IFERROR(SUMIF(Ventes!D5:D504,A153,Ventes!K5:K504),"")</f>
        <v>#ERROR!</v>
      </c>
      <c r="J153" s="281" t="str">
        <f>IFERROR(I153/H153,"")</f>
        <v>#ERROR!</v>
      </c>
      <c r="K153" s="227"/>
      <c r="L153" s="266" t="str">
        <f>IF(AND(G153&lt;&gt;"",K153&lt;&gt;""),G153+K153,"")</f>
        <v>#ERROR!</v>
      </c>
      <c r="M153" s="227"/>
      <c r="N153" s="227"/>
      <c r="O153" s="233"/>
    </row>
    <row r="154">
      <c r="A154" s="269"/>
      <c r="B154" s="235"/>
      <c r="C154" s="235"/>
      <c r="D154" s="235"/>
      <c r="E154" s="235"/>
      <c r="F154" s="235"/>
      <c r="G154" s="270"/>
      <c r="H154" s="235" t="str">
        <f>IFERROR(COUNTIF(Ventes!D5:D504,A154),"")</f>
        <v>#ERROR!</v>
      </c>
      <c r="I154" s="283" t="str">
        <f>IFERROR(SUMIF(Ventes!D5:D504,A154,Ventes!K5:K504),"")</f>
        <v>#ERROR!</v>
      </c>
      <c r="J154" s="283" t="str">
        <f>IFERROR(I154/H154,"")</f>
        <v>#ERROR!</v>
      </c>
      <c r="K154" s="235"/>
      <c r="L154" s="270" t="str">
        <f>IF(AND(G154&lt;&gt;"",K154&lt;&gt;""),G154+K154,"")</f>
        <v>#ERROR!</v>
      </c>
      <c r="M154" s="235"/>
      <c r="N154" s="235"/>
      <c r="O154" s="240"/>
    </row>
    <row r="155">
      <c r="A155" s="271"/>
      <c r="B155" s="246"/>
      <c r="C155" s="246"/>
      <c r="D155" s="246"/>
      <c r="E155" s="246"/>
      <c r="F155" s="246"/>
      <c r="G155" s="272"/>
      <c r="H155" s="246" t="str">
        <f>IFERROR(COUNTIF(Ventes!D5:D504,A155),"")</f>
        <v>#ERROR!</v>
      </c>
      <c r="I155" s="285" t="str">
        <f>IFERROR(SUMIF(Ventes!D5:D504,A155,Ventes!K5:K504),"")</f>
        <v>#ERROR!</v>
      </c>
      <c r="J155" s="285" t="str">
        <f>IFERROR(I155/H155,"")</f>
        <v>#ERROR!</v>
      </c>
      <c r="K155" s="246"/>
      <c r="L155" s="272" t="str">
        <f>IF(AND(G155&lt;&gt;"",K155&lt;&gt;""),G155+K155,"")</f>
        <v>#ERROR!</v>
      </c>
      <c r="M155" s="246"/>
      <c r="N155" s="246"/>
      <c r="O155" s="251"/>
    </row>
    <row r="158" ht="16.5" customHeight="1">
      <c r="A158" s="7" t="s">
        <v>1106</v>
      </c>
    </row>
    <row r="159" ht="24.0" customHeight="1">
      <c r="A159" s="31" t="s">
        <v>881</v>
      </c>
      <c r="B159" s="31" t="s">
        <v>1107</v>
      </c>
      <c r="C159" s="31" t="s">
        <v>89</v>
      </c>
      <c r="D159" s="31" t="s">
        <v>1097</v>
      </c>
      <c r="E159" s="31" t="s">
        <v>91</v>
      </c>
      <c r="F159" s="31" t="s">
        <v>1108</v>
      </c>
      <c r="G159" s="31" t="s">
        <v>1099</v>
      </c>
      <c r="H159" s="31" t="s">
        <v>880</v>
      </c>
      <c r="I159" s="31" t="s">
        <v>1109</v>
      </c>
      <c r="J159" s="31" t="s">
        <v>1110</v>
      </c>
      <c r="K159" s="31" t="s">
        <v>93</v>
      </c>
      <c r="L159" s="31" t="s">
        <v>1111</v>
      </c>
      <c r="M159" s="31" t="s">
        <v>1112</v>
      </c>
      <c r="N159" s="31" t="s">
        <v>1113</v>
      </c>
      <c r="O159" s="31" t="s">
        <v>1114</v>
      </c>
      <c r="P159" s="31" t="s">
        <v>1101</v>
      </c>
      <c r="Q159" s="31" t="s">
        <v>717</v>
      </c>
      <c r="R159" s="31" t="s">
        <v>126</v>
      </c>
      <c r="S159" s="31" t="s">
        <v>1102</v>
      </c>
      <c r="T159" s="31" t="s">
        <v>105</v>
      </c>
      <c r="U159" s="31" t="s">
        <v>1115</v>
      </c>
    </row>
    <row r="160">
      <c r="A160" s="395"/>
      <c r="B160" s="217"/>
      <c r="C160" s="217"/>
      <c r="D160" s="217"/>
      <c r="E160" s="217"/>
      <c r="F160" s="217"/>
      <c r="G160" s="217"/>
      <c r="H160" s="217"/>
      <c r="I160" s="217"/>
      <c r="J160" s="217"/>
      <c r="K160" s="217"/>
      <c r="L160" s="396"/>
      <c r="M160" s="279"/>
      <c r="N160" s="217"/>
      <c r="O160" s="217"/>
      <c r="P160" s="278"/>
      <c r="Q160" s="279" t="str">
        <f>IFERROR(SUMIF(Ventes!D5:D504,A160,Ventes!K5:K504),"")</f>
        <v>#ERROR!</v>
      </c>
      <c r="R160" s="217" t="str">
        <f>IFERROR(COUNTIF(Ventes!D5:D504,A160),"")</f>
        <v>#ERROR!</v>
      </c>
      <c r="S160" s="279" t="str">
        <f>IFERROR(Q160/R160,"")</f>
        <v>#ERROR!</v>
      </c>
      <c r="T160" s="217"/>
      <c r="U160" s="223"/>
    </row>
    <row r="161">
      <c r="A161" s="265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302"/>
      <c r="M161" s="281"/>
      <c r="N161" s="227"/>
      <c r="O161" s="227"/>
      <c r="P161" s="266"/>
      <c r="Q161" s="281" t="str">
        <f>IFERROR(SUMIF(Ventes!D5:D504,A161,Ventes!K5:K504),"")</f>
        <v>#ERROR!</v>
      </c>
      <c r="R161" s="227" t="str">
        <f>IFERROR(COUNTIF(Ventes!D5:D504,A161),"")</f>
        <v>#ERROR!</v>
      </c>
      <c r="S161" s="281" t="str">
        <f>IFERROR(Q161/R161,"")</f>
        <v>#ERROR!</v>
      </c>
      <c r="T161" s="227"/>
      <c r="U161" s="233"/>
    </row>
    <row r="162">
      <c r="A162" s="269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304"/>
      <c r="M162" s="283"/>
      <c r="N162" s="235"/>
      <c r="O162" s="235"/>
      <c r="P162" s="270"/>
      <c r="Q162" s="283" t="str">
        <f>IFERROR(SUMIF(Ventes!D5:D504,A162,Ventes!K5:K504),"")</f>
        <v>#ERROR!</v>
      </c>
      <c r="R162" s="235" t="str">
        <f>IFERROR(COUNTIF(Ventes!D5:D504,A162),"")</f>
        <v>#ERROR!</v>
      </c>
      <c r="S162" s="283" t="str">
        <f>IFERROR(Q162/R162,"")</f>
        <v>#ERROR!</v>
      </c>
      <c r="T162" s="235"/>
      <c r="U162" s="240"/>
    </row>
    <row r="163">
      <c r="A163" s="265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302"/>
      <c r="M163" s="281"/>
      <c r="N163" s="227"/>
      <c r="O163" s="227"/>
      <c r="P163" s="266"/>
      <c r="Q163" s="281" t="str">
        <f>IFERROR(SUMIF(Ventes!D5:D504,A163,Ventes!K5:K504),"")</f>
        <v>#ERROR!</v>
      </c>
      <c r="R163" s="227" t="str">
        <f>IFERROR(COUNTIF(Ventes!D5:D504,A163),"")</f>
        <v>#ERROR!</v>
      </c>
      <c r="S163" s="281" t="str">
        <f>IFERROR(Q163/R163,"")</f>
        <v>#ERROR!</v>
      </c>
      <c r="T163" s="227"/>
      <c r="U163" s="233"/>
    </row>
    <row r="164">
      <c r="A164" s="269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304"/>
      <c r="M164" s="283"/>
      <c r="N164" s="235"/>
      <c r="O164" s="235"/>
      <c r="P164" s="270"/>
      <c r="Q164" s="283" t="str">
        <f>IFERROR(SUMIF(Ventes!D5:D504,A164,Ventes!K5:K504),"")</f>
        <v>#ERROR!</v>
      </c>
      <c r="R164" s="235" t="str">
        <f>IFERROR(COUNTIF(Ventes!D5:D504,A164),"")</f>
        <v>#ERROR!</v>
      </c>
      <c r="S164" s="283" t="str">
        <f>IFERROR(Q164/R164,"")</f>
        <v>#ERROR!</v>
      </c>
      <c r="T164" s="235"/>
      <c r="U164" s="240"/>
    </row>
    <row r="165">
      <c r="A165" s="265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302"/>
      <c r="M165" s="281"/>
      <c r="N165" s="227"/>
      <c r="O165" s="227"/>
      <c r="P165" s="266"/>
      <c r="Q165" s="281" t="str">
        <f>IFERROR(SUMIF(Ventes!D5:D504,A165,Ventes!K5:K504),"")</f>
        <v>#ERROR!</v>
      </c>
      <c r="R165" s="227" t="str">
        <f>IFERROR(COUNTIF(Ventes!D5:D504,A165),"")</f>
        <v>#ERROR!</v>
      </c>
      <c r="S165" s="281" t="str">
        <f>IFERROR(Q165/R165,"")</f>
        <v>#ERROR!</v>
      </c>
      <c r="T165" s="227"/>
      <c r="U165" s="233"/>
    </row>
    <row r="166">
      <c r="A166" s="269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304"/>
      <c r="M166" s="283"/>
      <c r="N166" s="235"/>
      <c r="O166" s="235"/>
      <c r="P166" s="270"/>
      <c r="Q166" s="283" t="str">
        <f>IFERROR(SUMIF(Ventes!D5:D504,A166,Ventes!K5:K504),"")</f>
        <v>#ERROR!</v>
      </c>
      <c r="R166" s="235" t="str">
        <f>IFERROR(COUNTIF(Ventes!D5:D504,A166),"")</f>
        <v>#ERROR!</v>
      </c>
      <c r="S166" s="283" t="str">
        <f>IFERROR(Q166/R166,"")</f>
        <v>#ERROR!</v>
      </c>
      <c r="T166" s="235"/>
      <c r="U166" s="240"/>
    </row>
    <row r="167">
      <c r="A167" s="265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302"/>
      <c r="M167" s="281"/>
      <c r="N167" s="227"/>
      <c r="O167" s="227"/>
      <c r="P167" s="266"/>
      <c r="Q167" s="281" t="str">
        <f>IFERROR(SUMIF(Ventes!D5:D504,A167,Ventes!K5:K504),"")</f>
        <v>#ERROR!</v>
      </c>
      <c r="R167" s="227" t="str">
        <f>IFERROR(COUNTIF(Ventes!D5:D504,A167),"")</f>
        <v>#ERROR!</v>
      </c>
      <c r="S167" s="281" t="str">
        <f>IFERROR(Q167/R167,"")</f>
        <v>#ERROR!</v>
      </c>
      <c r="T167" s="227"/>
      <c r="U167" s="233"/>
    </row>
    <row r="168">
      <c r="A168" s="269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304"/>
      <c r="M168" s="283"/>
      <c r="N168" s="235"/>
      <c r="O168" s="235"/>
      <c r="P168" s="270"/>
      <c r="Q168" s="283" t="str">
        <f>IFERROR(SUMIF(Ventes!D5:D504,A168,Ventes!K5:K504),"")</f>
        <v>#ERROR!</v>
      </c>
      <c r="R168" s="235" t="str">
        <f>IFERROR(COUNTIF(Ventes!D5:D504,A168),"")</f>
        <v>#ERROR!</v>
      </c>
      <c r="S168" s="283" t="str">
        <f>IFERROR(Q168/R168,"")</f>
        <v>#ERROR!</v>
      </c>
      <c r="T168" s="235"/>
      <c r="U168" s="240"/>
    </row>
    <row r="169">
      <c r="A169" s="265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302"/>
      <c r="M169" s="281"/>
      <c r="N169" s="227"/>
      <c r="O169" s="227"/>
      <c r="P169" s="266"/>
      <c r="Q169" s="281" t="str">
        <f>IFERROR(SUMIF(Ventes!D5:D504,A169,Ventes!K5:K504),"")</f>
        <v>#ERROR!</v>
      </c>
      <c r="R169" s="227" t="str">
        <f>IFERROR(COUNTIF(Ventes!D5:D504,A169),"")</f>
        <v>#ERROR!</v>
      </c>
      <c r="S169" s="281" t="str">
        <f>IFERROR(Q169/R169,"")</f>
        <v>#ERROR!</v>
      </c>
      <c r="T169" s="227"/>
      <c r="U169" s="233"/>
    </row>
    <row r="170">
      <c r="A170" s="269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304"/>
      <c r="M170" s="283"/>
      <c r="N170" s="235"/>
      <c r="O170" s="235"/>
      <c r="P170" s="270"/>
      <c r="Q170" s="283" t="str">
        <f>IFERROR(SUMIF(Ventes!D5:D504,A170,Ventes!K5:K504),"")</f>
        <v>#ERROR!</v>
      </c>
      <c r="R170" s="235" t="str">
        <f>IFERROR(COUNTIF(Ventes!D5:D504,A170),"")</f>
        <v>#ERROR!</v>
      </c>
      <c r="S170" s="283" t="str">
        <f>IFERROR(Q170/R170,"")</f>
        <v>#ERROR!</v>
      </c>
      <c r="T170" s="235"/>
      <c r="U170" s="240"/>
    </row>
    <row r="171">
      <c r="A171" s="265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302"/>
      <c r="M171" s="281"/>
      <c r="N171" s="227"/>
      <c r="O171" s="227"/>
      <c r="P171" s="266"/>
      <c r="Q171" s="281" t="str">
        <f>IFERROR(SUMIF(Ventes!D5:D504,A171,Ventes!K5:K504),"")</f>
        <v>#ERROR!</v>
      </c>
      <c r="R171" s="227" t="str">
        <f>IFERROR(COUNTIF(Ventes!D5:D504,A171),"")</f>
        <v>#ERROR!</v>
      </c>
      <c r="S171" s="281" t="str">
        <f>IFERROR(Q171/R171,"")</f>
        <v>#ERROR!</v>
      </c>
      <c r="T171" s="227"/>
      <c r="U171" s="233"/>
    </row>
    <row r="172">
      <c r="A172" s="269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304"/>
      <c r="M172" s="283"/>
      <c r="N172" s="235"/>
      <c r="O172" s="235"/>
      <c r="P172" s="270"/>
      <c r="Q172" s="283" t="str">
        <f>IFERROR(SUMIF(Ventes!D5:D504,A172,Ventes!K5:K504),"")</f>
        <v>#ERROR!</v>
      </c>
      <c r="R172" s="235" t="str">
        <f>IFERROR(COUNTIF(Ventes!D5:D504,A172),"")</f>
        <v>#ERROR!</v>
      </c>
      <c r="S172" s="283" t="str">
        <f>IFERROR(Q172/R172,"")</f>
        <v>#ERROR!</v>
      </c>
      <c r="T172" s="235"/>
      <c r="U172" s="240"/>
    </row>
    <row r="173">
      <c r="A173" s="265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302"/>
      <c r="M173" s="281"/>
      <c r="N173" s="227"/>
      <c r="O173" s="227"/>
      <c r="P173" s="266"/>
      <c r="Q173" s="281" t="str">
        <f>IFERROR(SUMIF(Ventes!D5:D504,A173,Ventes!K5:K504),"")</f>
        <v>#ERROR!</v>
      </c>
      <c r="R173" s="227" t="str">
        <f>IFERROR(COUNTIF(Ventes!D5:D504,A173),"")</f>
        <v>#ERROR!</v>
      </c>
      <c r="S173" s="281" t="str">
        <f>IFERROR(Q173/R173,"")</f>
        <v>#ERROR!</v>
      </c>
      <c r="T173" s="227"/>
      <c r="U173" s="233"/>
    </row>
    <row r="174">
      <c r="A174" s="269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304"/>
      <c r="M174" s="283"/>
      <c r="N174" s="235"/>
      <c r="O174" s="235"/>
      <c r="P174" s="270"/>
      <c r="Q174" s="283" t="str">
        <f>IFERROR(SUMIF(Ventes!D5:D504,A174,Ventes!K5:K504),"")</f>
        <v>#ERROR!</v>
      </c>
      <c r="R174" s="235" t="str">
        <f>IFERROR(COUNTIF(Ventes!D5:D504,A174),"")</f>
        <v>#ERROR!</v>
      </c>
      <c r="S174" s="283" t="str">
        <f>IFERROR(Q174/R174,"")</f>
        <v>#ERROR!</v>
      </c>
      <c r="T174" s="235"/>
      <c r="U174" s="240"/>
    </row>
    <row r="175">
      <c r="A175" s="265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302"/>
      <c r="M175" s="281"/>
      <c r="N175" s="227"/>
      <c r="O175" s="227"/>
      <c r="P175" s="266"/>
      <c r="Q175" s="281" t="str">
        <f>IFERROR(SUMIF(Ventes!D5:D504,A175,Ventes!K5:K504),"")</f>
        <v>#ERROR!</v>
      </c>
      <c r="R175" s="227" t="str">
        <f>IFERROR(COUNTIF(Ventes!D5:D504,A175),"")</f>
        <v>#ERROR!</v>
      </c>
      <c r="S175" s="281" t="str">
        <f>IFERROR(Q175/R175,"")</f>
        <v>#ERROR!</v>
      </c>
      <c r="T175" s="227"/>
      <c r="U175" s="233"/>
    </row>
    <row r="176">
      <c r="A176" s="269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304"/>
      <c r="M176" s="283"/>
      <c r="N176" s="235"/>
      <c r="O176" s="235"/>
      <c r="P176" s="270"/>
      <c r="Q176" s="283" t="str">
        <f>IFERROR(SUMIF(Ventes!D5:D504,A176,Ventes!K5:K504),"")</f>
        <v>#ERROR!</v>
      </c>
      <c r="R176" s="235" t="str">
        <f>IFERROR(COUNTIF(Ventes!D5:D504,A176),"")</f>
        <v>#ERROR!</v>
      </c>
      <c r="S176" s="283" t="str">
        <f>IFERROR(Q176/R176,"")</f>
        <v>#ERROR!</v>
      </c>
      <c r="T176" s="235"/>
      <c r="U176" s="240"/>
    </row>
    <row r="177">
      <c r="A177" s="265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302"/>
      <c r="M177" s="281"/>
      <c r="N177" s="227"/>
      <c r="O177" s="227"/>
      <c r="P177" s="266"/>
      <c r="Q177" s="281" t="str">
        <f>IFERROR(SUMIF(Ventes!D5:D504,A177,Ventes!K5:K504),"")</f>
        <v>#ERROR!</v>
      </c>
      <c r="R177" s="227" t="str">
        <f>IFERROR(COUNTIF(Ventes!D5:D504,A177),"")</f>
        <v>#ERROR!</v>
      </c>
      <c r="S177" s="281" t="str">
        <f>IFERROR(Q177/R177,"")</f>
        <v>#ERROR!</v>
      </c>
      <c r="T177" s="227"/>
      <c r="U177" s="233"/>
    </row>
    <row r="178">
      <c r="A178" s="269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304"/>
      <c r="M178" s="283"/>
      <c r="N178" s="235"/>
      <c r="O178" s="235"/>
      <c r="P178" s="270"/>
      <c r="Q178" s="283" t="str">
        <f>IFERROR(SUMIF(Ventes!D5:D504,A178,Ventes!K5:K504),"")</f>
        <v>#ERROR!</v>
      </c>
      <c r="R178" s="235" t="str">
        <f>IFERROR(COUNTIF(Ventes!D5:D504,A178),"")</f>
        <v>#ERROR!</v>
      </c>
      <c r="S178" s="283" t="str">
        <f>IFERROR(Q178/R178,"")</f>
        <v>#ERROR!</v>
      </c>
      <c r="T178" s="235"/>
      <c r="U178" s="240"/>
    </row>
    <row r="179">
      <c r="A179" s="265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302"/>
      <c r="M179" s="281"/>
      <c r="N179" s="227"/>
      <c r="O179" s="227"/>
      <c r="P179" s="266"/>
      <c r="Q179" s="281" t="str">
        <f>IFERROR(SUMIF(Ventes!D5:D504,A179,Ventes!K5:K504),"")</f>
        <v>#ERROR!</v>
      </c>
      <c r="R179" s="227" t="str">
        <f>IFERROR(COUNTIF(Ventes!D5:D504,A179),"")</f>
        <v>#ERROR!</v>
      </c>
      <c r="S179" s="281" t="str">
        <f>IFERROR(Q179/R179,"")</f>
        <v>#ERROR!</v>
      </c>
      <c r="T179" s="227"/>
      <c r="U179" s="233"/>
    </row>
    <row r="180">
      <c r="A180" s="269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304"/>
      <c r="M180" s="283"/>
      <c r="N180" s="235"/>
      <c r="O180" s="235"/>
      <c r="P180" s="270"/>
      <c r="Q180" s="283" t="str">
        <f>IFERROR(SUMIF(Ventes!D5:D504,A180,Ventes!K5:K504),"")</f>
        <v>#ERROR!</v>
      </c>
      <c r="R180" s="235" t="str">
        <f>IFERROR(COUNTIF(Ventes!D5:D504,A180),"")</f>
        <v>#ERROR!</v>
      </c>
      <c r="S180" s="283" t="str">
        <f>IFERROR(Q180/R180,"")</f>
        <v>#ERROR!</v>
      </c>
      <c r="T180" s="235"/>
      <c r="U180" s="240"/>
    </row>
    <row r="181">
      <c r="A181" s="265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302"/>
      <c r="M181" s="281"/>
      <c r="N181" s="227"/>
      <c r="O181" s="227"/>
      <c r="P181" s="266"/>
      <c r="Q181" s="281" t="str">
        <f>IFERROR(SUMIF(Ventes!D5:D504,A181,Ventes!K5:K504),"")</f>
        <v>#ERROR!</v>
      </c>
      <c r="R181" s="227" t="str">
        <f>IFERROR(COUNTIF(Ventes!D5:D504,A181),"")</f>
        <v>#ERROR!</v>
      </c>
      <c r="S181" s="281" t="str">
        <f>IFERROR(Q181/R181,"")</f>
        <v>#ERROR!</v>
      </c>
      <c r="T181" s="227"/>
      <c r="U181" s="233"/>
    </row>
    <row r="182">
      <c r="A182" s="269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304"/>
      <c r="M182" s="283"/>
      <c r="N182" s="235"/>
      <c r="O182" s="235"/>
      <c r="P182" s="270"/>
      <c r="Q182" s="283" t="str">
        <f>IFERROR(SUMIF(Ventes!D5:D504,A182,Ventes!K5:K504),"")</f>
        <v>#ERROR!</v>
      </c>
      <c r="R182" s="235" t="str">
        <f>IFERROR(COUNTIF(Ventes!D5:D504,A182),"")</f>
        <v>#ERROR!</v>
      </c>
      <c r="S182" s="283" t="str">
        <f>IFERROR(Q182/R182,"")</f>
        <v>#ERROR!</v>
      </c>
      <c r="T182" s="235"/>
      <c r="U182" s="240"/>
    </row>
    <row r="183">
      <c r="A183" s="265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302"/>
      <c r="M183" s="281"/>
      <c r="N183" s="227"/>
      <c r="O183" s="227"/>
      <c r="P183" s="266"/>
      <c r="Q183" s="281" t="str">
        <f>IFERROR(SUMIF(Ventes!D5:D504,A183,Ventes!K5:K504),"")</f>
        <v>#ERROR!</v>
      </c>
      <c r="R183" s="227" t="str">
        <f>IFERROR(COUNTIF(Ventes!D5:D504,A183),"")</f>
        <v>#ERROR!</v>
      </c>
      <c r="S183" s="281" t="str">
        <f>IFERROR(Q183/R183,"")</f>
        <v>#ERROR!</v>
      </c>
      <c r="T183" s="227"/>
      <c r="U183" s="233"/>
    </row>
    <row r="184">
      <c r="A184" s="269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304"/>
      <c r="M184" s="283"/>
      <c r="N184" s="235"/>
      <c r="O184" s="235"/>
      <c r="P184" s="270"/>
      <c r="Q184" s="283" t="str">
        <f>IFERROR(SUMIF(Ventes!D5:D504,A184,Ventes!K5:K504),"")</f>
        <v>#ERROR!</v>
      </c>
      <c r="R184" s="235" t="str">
        <f>IFERROR(COUNTIF(Ventes!D5:D504,A184),"")</f>
        <v>#ERROR!</v>
      </c>
      <c r="S184" s="283" t="str">
        <f>IFERROR(Q184/R184,"")</f>
        <v>#ERROR!</v>
      </c>
      <c r="T184" s="235"/>
      <c r="U184" s="240"/>
    </row>
    <row r="185">
      <c r="A185" s="265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302"/>
      <c r="M185" s="281"/>
      <c r="N185" s="227"/>
      <c r="O185" s="227"/>
      <c r="P185" s="266"/>
      <c r="Q185" s="281" t="str">
        <f>IFERROR(SUMIF(Ventes!D5:D504,A185,Ventes!K5:K504),"")</f>
        <v>#ERROR!</v>
      </c>
      <c r="R185" s="227" t="str">
        <f>IFERROR(COUNTIF(Ventes!D5:D504,A185),"")</f>
        <v>#ERROR!</v>
      </c>
      <c r="S185" s="281" t="str">
        <f>IFERROR(Q185/R185,"")</f>
        <v>#ERROR!</v>
      </c>
      <c r="T185" s="227"/>
      <c r="U185" s="233"/>
    </row>
    <row r="186">
      <c r="A186" s="269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304"/>
      <c r="M186" s="283"/>
      <c r="N186" s="235"/>
      <c r="O186" s="235"/>
      <c r="P186" s="270"/>
      <c r="Q186" s="283" t="str">
        <f>IFERROR(SUMIF(Ventes!D5:D504,A186,Ventes!K5:K504),"")</f>
        <v>#ERROR!</v>
      </c>
      <c r="R186" s="235" t="str">
        <f>IFERROR(COUNTIF(Ventes!D5:D504,A186),"")</f>
        <v>#ERROR!</v>
      </c>
      <c r="S186" s="283" t="str">
        <f>IFERROR(Q186/R186,"")</f>
        <v>#ERROR!</v>
      </c>
      <c r="T186" s="235"/>
      <c r="U186" s="240"/>
    </row>
    <row r="187">
      <c r="A187" s="265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302"/>
      <c r="M187" s="281"/>
      <c r="N187" s="227"/>
      <c r="O187" s="227"/>
      <c r="P187" s="266"/>
      <c r="Q187" s="281" t="str">
        <f>IFERROR(SUMIF(Ventes!D5:D504,A187,Ventes!K5:K504),"")</f>
        <v>#ERROR!</v>
      </c>
      <c r="R187" s="227" t="str">
        <f>IFERROR(COUNTIF(Ventes!D5:D504,A187),"")</f>
        <v>#ERROR!</v>
      </c>
      <c r="S187" s="281" t="str">
        <f>IFERROR(Q187/R187,"")</f>
        <v>#ERROR!</v>
      </c>
      <c r="T187" s="227"/>
      <c r="U187" s="233"/>
    </row>
    <row r="188">
      <c r="A188" s="269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304"/>
      <c r="M188" s="283"/>
      <c r="N188" s="235"/>
      <c r="O188" s="235"/>
      <c r="P188" s="270"/>
      <c r="Q188" s="283" t="str">
        <f>IFERROR(SUMIF(Ventes!D5:D504,A188,Ventes!K5:K504),"")</f>
        <v>#ERROR!</v>
      </c>
      <c r="R188" s="235" t="str">
        <f>IFERROR(COUNTIF(Ventes!D5:D504,A188),"")</f>
        <v>#ERROR!</v>
      </c>
      <c r="S188" s="283" t="str">
        <f>IFERROR(Q188/R188,"")</f>
        <v>#ERROR!</v>
      </c>
      <c r="T188" s="235"/>
      <c r="U188" s="240"/>
    </row>
    <row r="189">
      <c r="A189" s="265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302"/>
      <c r="M189" s="281"/>
      <c r="N189" s="227"/>
      <c r="O189" s="227"/>
      <c r="P189" s="266"/>
      <c r="Q189" s="281" t="str">
        <f>IFERROR(SUMIF(Ventes!D5:D504,A189,Ventes!K5:K504),"")</f>
        <v>#ERROR!</v>
      </c>
      <c r="R189" s="227" t="str">
        <f>IFERROR(COUNTIF(Ventes!D5:D504,A189),"")</f>
        <v>#ERROR!</v>
      </c>
      <c r="S189" s="281" t="str">
        <f>IFERROR(Q189/R189,"")</f>
        <v>#ERROR!</v>
      </c>
      <c r="T189" s="227"/>
      <c r="U189" s="233"/>
    </row>
    <row r="190">
      <c r="A190" s="269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304"/>
      <c r="M190" s="283"/>
      <c r="N190" s="235"/>
      <c r="O190" s="235"/>
      <c r="P190" s="270"/>
      <c r="Q190" s="283" t="str">
        <f>IFERROR(SUMIF(Ventes!D5:D504,A190,Ventes!K5:K504),"")</f>
        <v>#ERROR!</v>
      </c>
      <c r="R190" s="235" t="str">
        <f>IFERROR(COUNTIF(Ventes!D5:D504,A190),"")</f>
        <v>#ERROR!</v>
      </c>
      <c r="S190" s="283" t="str">
        <f>IFERROR(Q190/R190,"")</f>
        <v>#ERROR!</v>
      </c>
      <c r="T190" s="235"/>
      <c r="U190" s="240"/>
    </row>
    <row r="191">
      <c r="A191" s="265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302"/>
      <c r="M191" s="281"/>
      <c r="N191" s="227"/>
      <c r="O191" s="227"/>
      <c r="P191" s="266"/>
      <c r="Q191" s="281" t="str">
        <f>IFERROR(SUMIF(Ventes!D5:D504,A191,Ventes!K5:K504),"")</f>
        <v>#ERROR!</v>
      </c>
      <c r="R191" s="227" t="str">
        <f>IFERROR(COUNTIF(Ventes!D5:D504,A191),"")</f>
        <v>#ERROR!</v>
      </c>
      <c r="S191" s="281" t="str">
        <f>IFERROR(Q191/R191,"")</f>
        <v>#ERROR!</v>
      </c>
      <c r="T191" s="227"/>
      <c r="U191" s="233"/>
    </row>
    <row r="192">
      <c r="A192" s="269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304"/>
      <c r="M192" s="283"/>
      <c r="N192" s="235"/>
      <c r="O192" s="235"/>
      <c r="P192" s="270"/>
      <c r="Q192" s="283" t="str">
        <f>IFERROR(SUMIF(Ventes!D5:D504,A192,Ventes!K5:K504),"")</f>
        <v>#ERROR!</v>
      </c>
      <c r="R192" s="235" t="str">
        <f>IFERROR(COUNTIF(Ventes!D5:D504,A192),"")</f>
        <v>#ERROR!</v>
      </c>
      <c r="S192" s="283" t="str">
        <f>IFERROR(Q192/R192,"")</f>
        <v>#ERROR!</v>
      </c>
      <c r="T192" s="235"/>
      <c r="U192" s="240"/>
    </row>
    <row r="193">
      <c r="A193" s="265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302"/>
      <c r="M193" s="281"/>
      <c r="N193" s="227"/>
      <c r="O193" s="227"/>
      <c r="P193" s="266"/>
      <c r="Q193" s="281" t="str">
        <f>IFERROR(SUMIF(Ventes!D5:D504,A193,Ventes!K5:K504),"")</f>
        <v>#ERROR!</v>
      </c>
      <c r="R193" s="227" t="str">
        <f>IFERROR(COUNTIF(Ventes!D5:D504,A193),"")</f>
        <v>#ERROR!</v>
      </c>
      <c r="S193" s="281" t="str">
        <f>IFERROR(Q193/R193,"")</f>
        <v>#ERROR!</v>
      </c>
      <c r="T193" s="227"/>
      <c r="U193" s="233"/>
    </row>
    <row r="194">
      <c r="A194" s="269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304"/>
      <c r="M194" s="283"/>
      <c r="N194" s="235"/>
      <c r="O194" s="235"/>
      <c r="P194" s="270"/>
      <c r="Q194" s="283" t="str">
        <f>IFERROR(SUMIF(Ventes!D5:D504,A194,Ventes!K5:K504),"")</f>
        <v>#ERROR!</v>
      </c>
      <c r="R194" s="235" t="str">
        <f>IFERROR(COUNTIF(Ventes!D5:D504,A194),"")</f>
        <v>#ERROR!</v>
      </c>
      <c r="S194" s="283" t="str">
        <f>IFERROR(Q194/R194,"")</f>
        <v>#ERROR!</v>
      </c>
      <c r="T194" s="235"/>
      <c r="U194" s="240"/>
    </row>
    <row r="195">
      <c r="A195" s="265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302"/>
      <c r="M195" s="281"/>
      <c r="N195" s="227"/>
      <c r="O195" s="227"/>
      <c r="P195" s="266"/>
      <c r="Q195" s="281" t="str">
        <f>IFERROR(SUMIF(Ventes!D5:D504,A195,Ventes!K5:K504),"")</f>
        <v>#ERROR!</v>
      </c>
      <c r="R195" s="227" t="str">
        <f>IFERROR(COUNTIF(Ventes!D5:D504,A195),"")</f>
        <v>#ERROR!</v>
      </c>
      <c r="S195" s="281" t="str">
        <f>IFERROR(Q195/R195,"")</f>
        <v>#ERROR!</v>
      </c>
      <c r="T195" s="227"/>
      <c r="U195" s="233"/>
    </row>
    <row r="196">
      <c r="A196" s="269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304"/>
      <c r="M196" s="283"/>
      <c r="N196" s="235"/>
      <c r="O196" s="235"/>
      <c r="P196" s="270"/>
      <c r="Q196" s="283" t="str">
        <f>IFERROR(SUMIF(Ventes!D5:D504,A196,Ventes!K5:K504),"")</f>
        <v>#ERROR!</v>
      </c>
      <c r="R196" s="235" t="str">
        <f>IFERROR(COUNTIF(Ventes!D5:D504,A196),"")</f>
        <v>#ERROR!</v>
      </c>
      <c r="S196" s="283" t="str">
        <f>IFERROR(Q196/R196,"")</f>
        <v>#ERROR!</v>
      </c>
      <c r="T196" s="235"/>
      <c r="U196" s="240"/>
    </row>
    <row r="197">
      <c r="A197" s="265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302"/>
      <c r="M197" s="281"/>
      <c r="N197" s="227"/>
      <c r="O197" s="227"/>
      <c r="P197" s="266"/>
      <c r="Q197" s="281" t="str">
        <f>IFERROR(SUMIF(Ventes!D5:D504,A197,Ventes!K5:K504),"")</f>
        <v>#ERROR!</v>
      </c>
      <c r="R197" s="227" t="str">
        <f>IFERROR(COUNTIF(Ventes!D5:D504,A197),"")</f>
        <v>#ERROR!</v>
      </c>
      <c r="S197" s="281" t="str">
        <f>IFERROR(Q197/R197,"")</f>
        <v>#ERROR!</v>
      </c>
      <c r="T197" s="227"/>
      <c r="U197" s="233"/>
    </row>
    <row r="198">
      <c r="A198" s="269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304"/>
      <c r="M198" s="283"/>
      <c r="N198" s="235"/>
      <c r="O198" s="235"/>
      <c r="P198" s="270"/>
      <c r="Q198" s="283" t="str">
        <f>IFERROR(SUMIF(Ventes!D5:D504,A198,Ventes!K5:K504),"")</f>
        <v>#ERROR!</v>
      </c>
      <c r="R198" s="235" t="str">
        <f>IFERROR(COUNTIF(Ventes!D5:D504,A198),"")</f>
        <v>#ERROR!</v>
      </c>
      <c r="S198" s="283" t="str">
        <f>IFERROR(Q198/R198,"")</f>
        <v>#ERROR!</v>
      </c>
      <c r="T198" s="235"/>
      <c r="U198" s="240"/>
    </row>
    <row r="199">
      <c r="A199" s="265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302"/>
      <c r="M199" s="281"/>
      <c r="N199" s="227"/>
      <c r="O199" s="227"/>
      <c r="P199" s="266"/>
      <c r="Q199" s="281" t="str">
        <f>IFERROR(SUMIF(Ventes!D5:D504,A199,Ventes!K5:K504),"")</f>
        <v>#ERROR!</v>
      </c>
      <c r="R199" s="227" t="str">
        <f>IFERROR(COUNTIF(Ventes!D5:D504,A199),"")</f>
        <v>#ERROR!</v>
      </c>
      <c r="S199" s="281" t="str">
        <f>IFERROR(Q199/R199,"")</f>
        <v>#ERROR!</v>
      </c>
      <c r="T199" s="227"/>
      <c r="U199" s="233"/>
    </row>
    <row r="200">
      <c r="A200" s="269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304"/>
      <c r="M200" s="283"/>
      <c r="N200" s="235"/>
      <c r="O200" s="235"/>
      <c r="P200" s="270"/>
      <c r="Q200" s="283" t="str">
        <f>IFERROR(SUMIF(Ventes!D5:D504,A200,Ventes!K5:K504),"")</f>
        <v>#ERROR!</v>
      </c>
      <c r="R200" s="235" t="str">
        <f>IFERROR(COUNTIF(Ventes!D5:D504,A200),"")</f>
        <v>#ERROR!</v>
      </c>
      <c r="S200" s="283" t="str">
        <f>IFERROR(Q200/R200,"")</f>
        <v>#ERROR!</v>
      </c>
      <c r="T200" s="235"/>
      <c r="U200" s="240"/>
    </row>
    <row r="201">
      <c r="A201" s="265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302"/>
      <c r="M201" s="281"/>
      <c r="N201" s="227"/>
      <c r="O201" s="227"/>
      <c r="P201" s="266"/>
      <c r="Q201" s="281" t="str">
        <f>IFERROR(SUMIF(Ventes!D5:D504,A201,Ventes!K5:K504),"")</f>
        <v>#ERROR!</v>
      </c>
      <c r="R201" s="227" t="str">
        <f>IFERROR(COUNTIF(Ventes!D5:D504,A201),"")</f>
        <v>#ERROR!</v>
      </c>
      <c r="S201" s="281" t="str">
        <f>IFERROR(Q201/R201,"")</f>
        <v>#ERROR!</v>
      </c>
      <c r="T201" s="227"/>
      <c r="U201" s="233"/>
    </row>
    <row r="202">
      <c r="A202" s="269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304"/>
      <c r="M202" s="283"/>
      <c r="N202" s="235"/>
      <c r="O202" s="235"/>
      <c r="P202" s="270"/>
      <c r="Q202" s="283" t="str">
        <f>IFERROR(SUMIF(Ventes!D5:D504,A202,Ventes!K5:K504),"")</f>
        <v>#ERROR!</v>
      </c>
      <c r="R202" s="235" t="str">
        <f>IFERROR(COUNTIF(Ventes!D5:D504,A202),"")</f>
        <v>#ERROR!</v>
      </c>
      <c r="S202" s="283" t="str">
        <f>IFERROR(Q202/R202,"")</f>
        <v>#ERROR!</v>
      </c>
      <c r="T202" s="235"/>
      <c r="U202" s="240"/>
    </row>
    <row r="203">
      <c r="A203" s="265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302"/>
      <c r="M203" s="281"/>
      <c r="N203" s="227"/>
      <c r="O203" s="227"/>
      <c r="P203" s="266"/>
      <c r="Q203" s="281" t="str">
        <f>IFERROR(SUMIF(Ventes!D5:D504,A203,Ventes!K5:K504),"")</f>
        <v>#ERROR!</v>
      </c>
      <c r="R203" s="227" t="str">
        <f>IFERROR(COUNTIF(Ventes!D5:D504,A203),"")</f>
        <v>#ERROR!</v>
      </c>
      <c r="S203" s="281" t="str">
        <f>IFERROR(Q203/R203,"")</f>
        <v>#ERROR!</v>
      </c>
      <c r="T203" s="227"/>
      <c r="U203" s="233"/>
    </row>
    <row r="204">
      <c r="A204" s="269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304"/>
      <c r="M204" s="283"/>
      <c r="N204" s="235"/>
      <c r="O204" s="235"/>
      <c r="P204" s="270"/>
      <c r="Q204" s="283" t="str">
        <f>IFERROR(SUMIF(Ventes!D5:D504,A204,Ventes!K5:K504),"")</f>
        <v>#ERROR!</v>
      </c>
      <c r="R204" s="235" t="str">
        <f>IFERROR(COUNTIF(Ventes!D5:D504,A204),"")</f>
        <v>#ERROR!</v>
      </c>
      <c r="S204" s="283" t="str">
        <f>IFERROR(Q204/R204,"")</f>
        <v>#ERROR!</v>
      </c>
      <c r="T204" s="235"/>
      <c r="U204" s="240"/>
    </row>
    <row r="205">
      <c r="A205" s="265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302"/>
      <c r="M205" s="281"/>
      <c r="N205" s="227"/>
      <c r="O205" s="227"/>
      <c r="P205" s="266"/>
      <c r="Q205" s="281" t="str">
        <f>IFERROR(SUMIF(Ventes!D5:D504,A205,Ventes!K5:K504),"")</f>
        <v>#ERROR!</v>
      </c>
      <c r="R205" s="227" t="str">
        <f>IFERROR(COUNTIF(Ventes!D5:D504,A205),"")</f>
        <v>#ERROR!</v>
      </c>
      <c r="S205" s="281" t="str">
        <f>IFERROR(Q205/R205,"")</f>
        <v>#ERROR!</v>
      </c>
      <c r="T205" s="227"/>
      <c r="U205" s="233"/>
    </row>
    <row r="206">
      <c r="A206" s="269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304"/>
      <c r="M206" s="283"/>
      <c r="N206" s="235"/>
      <c r="O206" s="235"/>
      <c r="P206" s="270"/>
      <c r="Q206" s="283" t="str">
        <f>IFERROR(SUMIF(Ventes!D5:D504,A206,Ventes!K5:K504),"")</f>
        <v>#ERROR!</v>
      </c>
      <c r="R206" s="235" t="str">
        <f>IFERROR(COUNTIF(Ventes!D5:D504,A206),"")</f>
        <v>#ERROR!</v>
      </c>
      <c r="S206" s="283" t="str">
        <f>IFERROR(Q206/R206,"")</f>
        <v>#ERROR!</v>
      </c>
      <c r="T206" s="235"/>
      <c r="U206" s="240"/>
    </row>
    <row r="207">
      <c r="A207" s="265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302"/>
      <c r="M207" s="281"/>
      <c r="N207" s="227"/>
      <c r="O207" s="227"/>
      <c r="P207" s="266"/>
      <c r="Q207" s="281" t="str">
        <f>IFERROR(SUMIF(Ventes!D5:D504,A207,Ventes!K5:K504),"")</f>
        <v>#ERROR!</v>
      </c>
      <c r="R207" s="227" t="str">
        <f>IFERROR(COUNTIF(Ventes!D5:D504,A207),"")</f>
        <v>#ERROR!</v>
      </c>
      <c r="S207" s="281" t="str">
        <f>IFERROR(Q207/R207,"")</f>
        <v>#ERROR!</v>
      </c>
      <c r="T207" s="227"/>
      <c r="U207" s="233"/>
    </row>
    <row r="208">
      <c r="A208" s="269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304"/>
      <c r="M208" s="283"/>
      <c r="N208" s="235"/>
      <c r="O208" s="235"/>
      <c r="P208" s="270"/>
      <c r="Q208" s="283" t="str">
        <f>IFERROR(SUMIF(Ventes!D5:D504,A208,Ventes!K5:K504),"")</f>
        <v>#ERROR!</v>
      </c>
      <c r="R208" s="235" t="str">
        <f>IFERROR(COUNTIF(Ventes!D5:D504,A208),"")</f>
        <v>#ERROR!</v>
      </c>
      <c r="S208" s="283" t="str">
        <f>IFERROR(Q208/R208,"")</f>
        <v>#ERROR!</v>
      </c>
      <c r="T208" s="235"/>
      <c r="U208" s="240"/>
    </row>
    <row r="209">
      <c r="A209" s="265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302"/>
      <c r="M209" s="281"/>
      <c r="N209" s="227"/>
      <c r="O209" s="227"/>
      <c r="P209" s="266"/>
      <c r="Q209" s="281" t="str">
        <f>IFERROR(SUMIF(Ventes!D5:D504,A209,Ventes!K5:K504),"")</f>
        <v>#ERROR!</v>
      </c>
      <c r="R209" s="227" t="str">
        <f>IFERROR(COUNTIF(Ventes!D5:D504,A209),"")</f>
        <v>#ERROR!</v>
      </c>
      <c r="S209" s="281" t="str">
        <f>IFERROR(Q209/R209,"")</f>
        <v>#ERROR!</v>
      </c>
      <c r="T209" s="227"/>
      <c r="U209" s="233"/>
    </row>
    <row r="210">
      <c r="A210" s="269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304"/>
      <c r="M210" s="283"/>
      <c r="N210" s="235"/>
      <c r="O210" s="235"/>
      <c r="P210" s="270"/>
      <c r="Q210" s="283" t="str">
        <f>IFERROR(SUMIF(Ventes!D5:D504,A210,Ventes!K5:K504),"")</f>
        <v>#ERROR!</v>
      </c>
      <c r="R210" s="235" t="str">
        <f>IFERROR(COUNTIF(Ventes!D5:D504,A210),"")</f>
        <v>#ERROR!</v>
      </c>
      <c r="S210" s="283" t="str">
        <f>IFERROR(Q210/R210,"")</f>
        <v>#ERROR!</v>
      </c>
      <c r="T210" s="235"/>
      <c r="U210" s="240"/>
    </row>
    <row r="211">
      <c r="A211" s="265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302"/>
      <c r="M211" s="281"/>
      <c r="N211" s="227"/>
      <c r="O211" s="227"/>
      <c r="P211" s="266"/>
      <c r="Q211" s="281" t="str">
        <f>IFERROR(SUMIF(Ventes!D5:D504,A211,Ventes!K5:K504),"")</f>
        <v>#ERROR!</v>
      </c>
      <c r="R211" s="227" t="str">
        <f>IFERROR(COUNTIF(Ventes!D5:D504,A211),"")</f>
        <v>#ERROR!</v>
      </c>
      <c r="S211" s="281" t="str">
        <f>IFERROR(Q211/R211,"")</f>
        <v>#ERROR!</v>
      </c>
      <c r="T211" s="227"/>
      <c r="U211" s="233"/>
    </row>
    <row r="212">
      <c r="A212" s="269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304"/>
      <c r="M212" s="283"/>
      <c r="N212" s="235"/>
      <c r="O212" s="235"/>
      <c r="P212" s="270"/>
      <c r="Q212" s="283" t="str">
        <f>IFERROR(SUMIF(Ventes!D5:D504,A212,Ventes!K5:K504),"")</f>
        <v>#ERROR!</v>
      </c>
      <c r="R212" s="235" t="str">
        <f>IFERROR(COUNTIF(Ventes!D5:D504,A212),"")</f>
        <v>#ERROR!</v>
      </c>
      <c r="S212" s="283" t="str">
        <f>IFERROR(Q212/R212,"")</f>
        <v>#ERROR!</v>
      </c>
      <c r="T212" s="235"/>
      <c r="U212" s="240"/>
    </row>
    <row r="213">
      <c r="A213" s="265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302"/>
      <c r="M213" s="281"/>
      <c r="N213" s="227"/>
      <c r="O213" s="227"/>
      <c r="P213" s="266"/>
      <c r="Q213" s="281" t="str">
        <f>IFERROR(SUMIF(Ventes!D5:D504,A213,Ventes!K5:K504),"")</f>
        <v>#ERROR!</v>
      </c>
      <c r="R213" s="227" t="str">
        <f>IFERROR(COUNTIF(Ventes!D5:D504,A213),"")</f>
        <v>#ERROR!</v>
      </c>
      <c r="S213" s="281" t="str">
        <f>IFERROR(Q213/R213,"")</f>
        <v>#ERROR!</v>
      </c>
      <c r="T213" s="227"/>
      <c r="U213" s="233"/>
    </row>
    <row r="214">
      <c r="A214" s="269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304"/>
      <c r="M214" s="283"/>
      <c r="N214" s="235"/>
      <c r="O214" s="235"/>
      <c r="P214" s="270"/>
      <c r="Q214" s="283" t="str">
        <f>IFERROR(SUMIF(Ventes!D5:D504,A214,Ventes!K5:K504),"")</f>
        <v>#ERROR!</v>
      </c>
      <c r="R214" s="235" t="str">
        <f>IFERROR(COUNTIF(Ventes!D5:D504,A214),"")</f>
        <v>#ERROR!</v>
      </c>
      <c r="S214" s="283" t="str">
        <f>IFERROR(Q214/R214,"")</f>
        <v>#ERROR!</v>
      </c>
      <c r="T214" s="235"/>
      <c r="U214" s="240"/>
    </row>
    <row r="215">
      <c r="A215" s="265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302"/>
      <c r="M215" s="281"/>
      <c r="N215" s="227"/>
      <c r="O215" s="227"/>
      <c r="P215" s="266"/>
      <c r="Q215" s="281" t="str">
        <f>IFERROR(SUMIF(Ventes!D5:D504,A215,Ventes!K5:K504),"")</f>
        <v>#ERROR!</v>
      </c>
      <c r="R215" s="227" t="str">
        <f>IFERROR(COUNTIF(Ventes!D5:D504,A215),"")</f>
        <v>#ERROR!</v>
      </c>
      <c r="S215" s="281" t="str">
        <f>IFERROR(Q215/R215,"")</f>
        <v>#ERROR!</v>
      </c>
      <c r="T215" s="227"/>
      <c r="U215" s="233"/>
    </row>
    <row r="216">
      <c r="A216" s="269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304"/>
      <c r="M216" s="283"/>
      <c r="N216" s="235"/>
      <c r="O216" s="235"/>
      <c r="P216" s="270"/>
      <c r="Q216" s="283" t="str">
        <f>IFERROR(SUMIF(Ventes!D5:D504,A216,Ventes!K5:K504),"")</f>
        <v>#ERROR!</v>
      </c>
      <c r="R216" s="235" t="str">
        <f>IFERROR(COUNTIF(Ventes!D5:D504,A216),"")</f>
        <v>#ERROR!</v>
      </c>
      <c r="S216" s="283" t="str">
        <f>IFERROR(Q216/R216,"")</f>
        <v>#ERROR!</v>
      </c>
      <c r="T216" s="235"/>
      <c r="U216" s="240"/>
    </row>
    <row r="217">
      <c r="A217" s="265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302"/>
      <c r="M217" s="281"/>
      <c r="N217" s="227"/>
      <c r="O217" s="227"/>
      <c r="P217" s="266"/>
      <c r="Q217" s="281" t="str">
        <f>IFERROR(SUMIF(Ventes!D5:D504,A217,Ventes!K5:K504),"")</f>
        <v>#ERROR!</v>
      </c>
      <c r="R217" s="227" t="str">
        <f>IFERROR(COUNTIF(Ventes!D5:D504,A217),"")</f>
        <v>#ERROR!</v>
      </c>
      <c r="S217" s="281" t="str">
        <f>IFERROR(Q217/R217,"")</f>
        <v>#ERROR!</v>
      </c>
      <c r="T217" s="227"/>
      <c r="U217" s="233"/>
    </row>
    <row r="218">
      <c r="A218" s="269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304"/>
      <c r="M218" s="283"/>
      <c r="N218" s="235"/>
      <c r="O218" s="235"/>
      <c r="P218" s="270"/>
      <c r="Q218" s="283" t="str">
        <f>IFERROR(SUMIF(Ventes!D5:D504,A218,Ventes!K5:K504),"")</f>
        <v>#ERROR!</v>
      </c>
      <c r="R218" s="235" t="str">
        <f>IFERROR(COUNTIF(Ventes!D5:D504,A218),"")</f>
        <v>#ERROR!</v>
      </c>
      <c r="S218" s="283" t="str">
        <f>IFERROR(Q218/R218,"")</f>
        <v>#ERROR!</v>
      </c>
      <c r="T218" s="235"/>
      <c r="U218" s="240"/>
    </row>
    <row r="219">
      <c r="A219" s="265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302"/>
      <c r="M219" s="281"/>
      <c r="N219" s="227"/>
      <c r="O219" s="227"/>
      <c r="P219" s="266"/>
      <c r="Q219" s="281" t="str">
        <f>IFERROR(SUMIF(Ventes!D5:D504,A219,Ventes!K5:K504),"")</f>
        <v>#ERROR!</v>
      </c>
      <c r="R219" s="227" t="str">
        <f>IFERROR(COUNTIF(Ventes!D5:D504,A219),"")</f>
        <v>#ERROR!</v>
      </c>
      <c r="S219" s="281" t="str">
        <f>IFERROR(Q219/R219,"")</f>
        <v>#ERROR!</v>
      </c>
      <c r="T219" s="227"/>
      <c r="U219" s="233"/>
    </row>
    <row r="220">
      <c r="A220" s="269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304"/>
      <c r="M220" s="283"/>
      <c r="N220" s="235"/>
      <c r="O220" s="235"/>
      <c r="P220" s="270"/>
      <c r="Q220" s="283" t="str">
        <f>IFERROR(SUMIF(Ventes!D5:D504,A220,Ventes!K5:K504),"")</f>
        <v>#ERROR!</v>
      </c>
      <c r="R220" s="235" t="str">
        <f>IFERROR(COUNTIF(Ventes!D5:D504,A220),"")</f>
        <v>#ERROR!</v>
      </c>
      <c r="S220" s="283" t="str">
        <f>IFERROR(Q220/R220,"")</f>
        <v>#ERROR!</v>
      </c>
      <c r="T220" s="235"/>
      <c r="U220" s="240"/>
    </row>
    <row r="221">
      <c r="A221" s="265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302"/>
      <c r="M221" s="281"/>
      <c r="N221" s="227"/>
      <c r="O221" s="227"/>
      <c r="P221" s="266"/>
      <c r="Q221" s="281" t="str">
        <f>IFERROR(SUMIF(Ventes!D5:D504,A221,Ventes!K5:K504),"")</f>
        <v>#ERROR!</v>
      </c>
      <c r="R221" s="227" t="str">
        <f>IFERROR(COUNTIF(Ventes!D5:D504,A221),"")</f>
        <v>#ERROR!</v>
      </c>
      <c r="S221" s="281" t="str">
        <f>IFERROR(Q221/R221,"")</f>
        <v>#ERROR!</v>
      </c>
      <c r="T221" s="227"/>
      <c r="U221" s="233"/>
    </row>
    <row r="222">
      <c r="A222" s="269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304"/>
      <c r="M222" s="283"/>
      <c r="N222" s="235"/>
      <c r="O222" s="235"/>
      <c r="P222" s="270"/>
      <c r="Q222" s="283" t="str">
        <f>IFERROR(SUMIF(Ventes!D5:D504,A222,Ventes!K5:K504),"")</f>
        <v>#ERROR!</v>
      </c>
      <c r="R222" s="235" t="str">
        <f>IFERROR(COUNTIF(Ventes!D5:D504,A222),"")</f>
        <v>#ERROR!</v>
      </c>
      <c r="S222" s="283" t="str">
        <f>IFERROR(Q222/R222,"")</f>
        <v>#ERROR!</v>
      </c>
      <c r="T222" s="235"/>
      <c r="U222" s="240"/>
    </row>
    <row r="223">
      <c r="A223" s="265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302"/>
      <c r="M223" s="281"/>
      <c r="N223" s="227"/>
      <c r="O223" s="227"/>
      <c r="P223" s="266"/>
      <c r="Q223" s="281" t="str">
        <f>IFERROR(SUMIF(Ventes!D5:D504,A223,Ventes!K5:K504),"")</f>
        <v>#ERROR!</v>
      </c>
      <c r="R223" s="227" t="str">
        <f>IFERROR(COUNTIF(Ventes!D5:D504,A223),"")</f>
        <v>#ERROR!</v>
      </c>
      <c r="S223" s="281" t="str">
        <f>IFERROR(Q223/R223,"")</f>
        <v>#ERROR!</v>
      </c>
      <c r="T223" s="227"/>
      <c r="U223" s="233"/>
    </row>
    <row r="224">
      <c r="A224" s="269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304"/>
      <c r="M224" s="283"/>
      <c r="N224" s="235"/>
      <c r="O224" s="235"/>
      <c r="P224" s="270"/>
      <c r="Q224" s="283" t="str">
        <f>IFERROR(SUMIF(Ventes!D5:D504,A224,Ventes!K5:K504),"")</f>
        <v>#ERROR!</v>
      </c>
      <c r="R224" s="235" t="str">
        <f>IFERROR(COUNTIF(Ventes!D5:D504,A224),"")</f>
        <v>#ERROR!</v>
      </c>
      <c r="S224" s="283" t="str">
        <f>IFERROR(Q224/R224,"")</f>
        <v>#ERROR!</v>
      </c>
      <c r="T224" s="235"/>
      <c r="U224" s="240"/>
    </row>
    <row r="225">
      <c r="A225" s="265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302"/>
      <c r="M225" s="281"/>
      <c r="N225" s="227"/>
      <c r="O225" s="227"/>
      <c r="P225" s="266"/>
      <c r="Q225" s="281" t="str">
        <f>IFERROR(SUMIF(Ventes!D5:D504,A225,Ventes!K5:K504),"")</f>
        <v>#ERROR!</v>
      </c>
      <c r="R225" s="227" t="str">
        <f>IFERROR(COUNTIF(Ventes!D5:D504,A225),"")</f>
        <v>#ERROR!</v>
      </c>
      <c r="S225" s="281" t="str">
        <f>IFERROR(Q225/R225,"")</f>
        <v>#ERROR!</v>
      </c>
      <c r="T225" s="227"/>
      <c r="U225" s="233"/>
    </row>
    <row r="226">
      <c r="A226" s="269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304"/>
      <c r="M226" s="283"/>
      <c r="N226" s="235"/>
      <c r="O226" s="235"/>
      <c r="P226" s="270"/>
      <c r="Q226" s="283" t="str">
        <f>IFERROR(SUMIF(Ventes!D5:D504,A226,Ventes!K5:K504),"")</f>
        <v>#ERROR!</v>
      </c>
      <c r="R226" s="235" t="str">
        <f>IFERROR(COUNTIF(Ventes!D5:D504,A226),"")</f>
        <v>#ERROR!</v>
      </c>
      <c r="S226" s="283" t="str">
        <f>IFERROR(Q226/R226,"")</f>
        <v>#ERROR!</v>
      </c>
      <c r="T226" s="235"/>
      <c r="U226" s="240"/>
    </row>
    <row r="227">
      <c r="A227" s="265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302"/>
      <c r="M227" s="281"/>
      <c r="N227" s="227"/>
      <c r="O227" s="227"/>
      <c r="P227" s="266"/>
      <c r="Q227" s="281" t="str">
        <f>IFERROR(SUMIF(Ventes!D5:D504,A227,Ventes!K5:K504),"")</f>
        <v>#ERROR!</v>
      </c>
      <c r="R227" s="227" t="str">
        <f>IFERROR(COUNTIF(Ventes!D5:D504,A227),"")</f>
        <v>#ERROR!</v>
      </c>
      <c r="S227" s="281" t="str">
        <f>IFERROR(Q227/R227,"")</f>
        <v>#ERROR!</v>
      </c>
      <c r="T227" s="227"/>
      <c r="U227" s="233"/>
    </row>
    <row r="228">
      <c r="A228" s="269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304"/>
      <c r="M228" s="283"/>
      <c r="N228" s="235"/>
      <c r="O228" s="235"/>
      <c r="P228" s="270"/>
      <c r="Q228" s="283" t="str">
        <f>IFERROR(SUMIF(Ventes!D5:D504,A228,Ventes!K5:K504),"")</f>
        <v>#ERROR!</v>
      </c>
      <c r="R228" s="235" t="str">
        <f>IFERROR(COUNTIF(Ventes!D5:D504,A228),"")</f>
        <v>#ERROR!</v>
      </c>
      <c r="S228" s="283" t="str">
        <f>IFERROR(Q228/R228,"")</f>
        <v>#ERROR!</v>
      </c>
      <c r="T228" s="235"/>
      <c r="U228" s="240"/>
    </row>
    <row r="229">
      <c r="A229" s="265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302"/>
      <c r="M229" s="281"/>
      <c r="N229" s="227"/>
      <c r="O229" s="227"/>
      <c r="P229" s="266"/>
      <c r="Q229" s="281" t="str">
        <f>IFERROR(SUMIF(Ventes!D5:D504,A229,Ventes!K5:K504),"")</f>
        <v>#ERROR!</v>
      </c>
      <c r="R229" s="227" t="str">
        <f>IFERROR(COUNTIF(Ventes!D5:D504,A229),"")</f>
        <v>#ERROR!</v>
      </c>
      <c r="S229" s="281" t="str">
        <f>IFERROR(Q229/R229,"")</f>
        <v>#ERROR!</v>
      </c>
      <c r="T229" s="227"/>
      <c r="U229" s="233"/>
    </row>
    <row r="230">
      <c r="A230" s="269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304"/>
      <c r="M230" s="283"/>
      <c r="N230" s="235"/>
      <c r="O230" s="235"/>
      <c r="P230" s="270"/>
      <c r="Q230" s="283" t="str">
        <f>IFERROR(SUMIF(Ventes!D5:D504,A230,Ventes!K5:K504),"")</f>
        <v>#ERROR!</v>
      </c>
      <c r="R230" s="235" t="str">
        <f>IFERROR(COUNTIF(Ventes!D5:D504,A230),"")</f>
        <v>#ERROR!</v>
      </c>
      <c r="S230" s="283" t="str">
        <f>IFERROR(Q230/R230,"")</f>
        <v>#ERROR!</v>
      </c>
      <c r="T230" s="235"/>
      <c r="U230" s="240"/>
    </row>
    <row r="231">
      <c r="A231" s="265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302"/>
      <c r="M231" s="281"/>
      <c r="N231" s="227"/>
      <c r="O231" s="227"/>
      <c r="P231" s="266"/>
      <c r="Q231" s="281" t="str">
        <f>IFERROR(SUMIF(Ventes!D5:D504,A231,Ventes!K5:K504),"")</f>
        <v>#ERROR!</v>
      </c>
      <c r="R231" s="227" t="str">
        <f>IFERROR(COUNTIF(Ventes!D5:D504,A231),"")</f>
        <v>#ERROR!</v>
      </c>
      <c r="S231" s="281" t="str">
        <f>IFERROR(Q231/R231,"")</f>
        <v>#ERROR!</v>
      </c>
      <c r="T231" s="227"/>
      <c r="U231" s="233"/>
    </row>
    <row r="232">
      <c r="A232" s="269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304"/>
      <c r="M232" s="283"/>
      <c r="N232" s="235"/>
      <c r="O232" s="235"/>
      <c r="P232" s="270"/>
      <c r="Q232" s="283" t="str">
        <f>IFERROR(SUMIF(Ventes!D5:D504,A232,Ventes!K5:K504),"")</f>
        <v>#ERROR!</v>
      </c>
      <c r="R232" s="235" t="str">
        <f>IFERROR(COUNTIF(Ventes!D5:D504,A232),"")</f>
        <v>#ERROR!</v>
      </c>
      <c r="S232" s="283" t="str">
        <f>IFERROR(Q232/R232,"")</f>
        <v>#ERROR!</v>
      </c>
      <c r="T232" s="235"/>
      <c r="U232" s="240"/>
    </row>
    <row r="233">
      <c r="A233" s="265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302"/>
      <c r="M233" s="281"/>
      <c r="N233" s="227"/>
      <c r="O233" s="227"/>
      <c r="P233" s="266"/>
      <c r="Q233" s="281" t="str">
        <f>IFERROR(SUMIF(Ventes!D5:D504,A233,Ventes!K5:K504),"")</f>
        <v>#ERROR!</v>
      </c>
      <c r="R233" s="227" t="str">
        <f>IFERROR(COUNTIF(Ventes!D5:D504,A233),"")</f>
        <v>#ERROR!</v>
      </c>
      <c r="S233" s="281" t="str">
        <f>IFERROR(Q233/R233,"")</f>
        <v>#ERROR!</v>
      </c>
      <c r="T233" s="227"/>
      <c r="U233" s="233"/>
    </row>
    <row r="234">
      <c r="A234" s="269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304"/>
      <c r="M234" s="283"/>
      <c r="N234" s="235"/>
      <c r="O234" s="235"/>
      <c r="P234" s="270"/>
      <c r="Q234" s="283" t="str">
        <f>IFERROR(SUMIF(Ventes!D5:D504,A234,Ventes!K5:K504),"")</f>
        <v>#ERROR!</v>
      </c>
      <c r="R234" s="235" t="str">
        <f>IFERROR(COUNTIF(Ventes!D5:D504,A234),"")</f>
        <v>#ERROR!</v>
      </c>
      <c r="S234" s="283" t="str">
        <f>IFERROR(Q234/R234,"")</f>
        <v>#ERROR!</v>
      </c>
      <c r="T234" s="235"/>
      <c r="U234" s="240"/>
    </row>
    <row r="235">
      <c r="A235" s="265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302"/>
      <c r="M235" s="281"/>
      <c r="N235" s="227"/>
      <c r="O235" s="227"/>
      <c r="P235" s="266"/>
      <c r="Q235" s="281" t="str">
        <f>IFERROR(SUMIF(Ventes!D5:D504,A235,Ventes!K5:K504),"")</f>
        <v>#ERROR!</v>
      </c>
      <c r="R235" s="227" t="str">
        <f>IFERROR(COUNTIF(Ventes!D5:D504,A235),"")</f>
        <v>#ERROR!</v>
      </c>
      <c r="S235" s="281" t="str">
        <f>IFERROR(Q235/R235,"")</f>
        <v>#ERROR!</v>
      </c>
      <c r="T235" s="227"/>
      <c r="U235" s="233"/>
    </row>
    <row r="236">
      <c r="A236" s="269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304"/>
      <c r="M236" s="283"/>
      <c r="N236" s="235"/>
      <c r="O236" s="235"/>
      <c r="P236" s="270"/>
      <c r="Q236" s="283" t="str">
        <f>IFERROR(SUMIF(Ventes!D5:D504,A236,Ventes!K5:K504),"")</f>
        <v>#ERROR!</v>
      </c>
      <c r="R236" s="235" t="str">
        <f>IFERROR(COUNTIF(Ventes!D5:D504,A236),"")</f>
        <v>#ERROR!</v>
      </c>
      <c r="S236" s="283" t="str">
        <f>IFERROR(Q236/R236,"")</f>
        <v>#ERROR!</v>
      </c>
      <c r="T236" s="235"/>
      <c r="U236" s="240"/>
    </row>
    <row r="237">
      <c r="A237" s="265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302"/>
      <c r="M237" s="281"/>
      <c r="N237" s="227"/>
      <c r="O237" s="227"/>
      <c r="P237" s="266"/>
      <c r="Q237" s="281" t="str">
        <f>IFERROR(SUMIF(Ventes!D5:D504,A237,Ventes!K5:K504),"")</f>
        <v>#ERROR!</v>
      </c>
      <c r="R237" s="227" t="str">
        <f>IFERROR(COUNTIF(Ventes!D5:D504,A237),"")</f>
        <v>#ERROR!</v>
      </c>
      <c r="S237" s="281" t="str">
        <f>IFERROR(Q237/R237,"")</f>
        <v>#ERROR!</v>
      </c>
      <c r="T237" s="227"/>
      <c r="U237" s="233"/>
    </row>
    <row r="238">
      <c r="A238" s="269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304"/>
      <c r="M238" s="283"/>
      <c r="N238" s="235"/>
      <c r="O238" s="235"/>
      <c r="P238" s="270"/>
      <c r="Q238" s="283" t="str">
        <f>IFERROR(SUMIF(Ventes!D5:D504,A238,Ventes!K5:K504),"")</f>
        <v>#ERROR!</v>
      </c>
      <c r="R238" s="235" t="str">
        <f>IFERROR(COUNTIF(Ventes!D5:D504,A238),"")</f>
        <v>#ERROR!</v>
      </c>
      <c r="S238" s="283" t="str">
        <f>IFERROR(Q238/R238,"")</f>
        <v>#ERROR!</v>
      </c>
      <c r="T238" s="235"/>
      <c r="U238" s="240"/>
    </row>
    <row r="239">
      <c r="A239" s="265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302"/>
      <c r="M239" s="281"/>
      <c r="N239" s="227"/>
      <c r="O239" s="227"/>
      <c r="P239" s="266"/>
      <c r="Q239" s="281" t="str">
        <f>IFERROR(SUMIF(Ventes!D5:D504,A239,Ventes!K5:K504),"")</f>
        <v>#ERROR!</v>
      </c>
      <c r="R239" s="227" t="str">
        <f>IFERROR(COUNTIF(Ventes!D5:D504,A239),"")</f>
        <v>#ERROR!</v>
      </c>
      <c r="S239" s="281" t="str">
        <f>IFERROR(Q239/R239,"")</f>
        <v>#ERROR!</v>
      </c>
      <c r="T239" s="227"/>
      <c r="U239" s="233"/>
    </row>
    <row r="240">
      <c r="A240" s="269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304"/>
      <c r="M240" s="283"/>
      <c r="N240" s="235"/>
      <c r="O240" s="235"/>
      <c r="P240" s="270"/>
      <c r="Q240" s="283" t="str">
        <f>IFERROR(SUMIF(Ventes!D5:D504,A240,Ventes!K5:K504),"")</f>
        <v>#ERROR!</v>
      </c>
      <c r="R240" s="235" t="str">
        <f>IFERROR(COUNTIF(Ventes!D5:D504,A240),"")</f>
        <v>#ERROR!</v>
      </c>
      <c r="S240" s="283" t="str">
        <f>IFERROR(Q240/R240,"")</f>
        <v>#ERROR!</v>
      </c>
      <c r="T240" s="235"/>
      <c r="U240" s="240"/>
    </row>
    <row r="241">
      <c r="A241" s="265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302"/>
      <c r="M241" s="281"/>
      <c r="N241" s="227"/>
      <c r="O241" s="227"/>
      <c r="P241" s="266"/>
      <c r="Q241" s="281" t="str">
        <f>IFERROR(SUMIF(Ventes!D5:D504,A241,Ventes!K5:K504),"")</f>
        <v>#ERROR!</v>
      </c>
      <c r="R241" s="227" t="str">
        <f>IFERROR(COUNTIF(Ventes!D5:D504,A241),"")</f>
        <v>#ERROR!</v>
      </c>
      <c r="S241" s="281" t="str">
        <f>IFERROR(Q241/R241,"")</f>
        <v>#ERROR!</v>
      </c>
      <c r="T241" s="227"/>
      <c r="U241" s="233"/>
    </row>
    <row r="242">
      <c r="A242" s="269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304"/>
      <c r="M242" s="283"/>
      <c r="N242" s="235"/>
      <c r="O242" s="235"/>
      <c r="P242" s="270"/>
      <c r="Q242" s="283" t="str">
        <f>IFERROR(SUMIF(Ventes!D5:D504,A242,Ventes!K5:K504),"")</f>
        <v>#ERROR!</v>
      </c>
      <c r="R242" s="235" t="str">
        <f>IFERROR(COUNTIF(Ventes!D5:D504,A242),"")</f>
        <v>#ERROR!</v>
      </c>
      <c r="S242" s="283" t="str">
        <f>IFERROR(Q242/R242,"")</f>
        <v>#ERROR!</v>
      </c>
      <c r="T242" s="235"/>
      <c r="U242" s="240"/>
    </row>
    <row r="243">
      <c r="A243" s="265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302"/>
      <c r="M243" s="281"/>
      <c r="N243" s="227"/>
      <c r="O243" s="227"/>
      <c r="P243" s="266"/>
      <c r="Q243" s="281" t="str">
        <f>IFERROR(SUMIF(Ventes!D5:D504,A243,Ventes!K5:K504),"")</f>
        <v>#ERROR!</v>
      </c>
      <c r="R243" s="227" t="str">
        <f>IFERROR(COUNTIF(Ventes!D5:D504,A243),"")</f>
        <v>#ERROR!</v>
      </c>
      <c r="S243" s="281" t="str">
        <f>IFERROR(Q243/R243,"")</f>
        <v>#ERROR!</v>
      </c>
      <c r="T243" s="227"/>
      <c r="U243" s="233"/>
    </row>
    <row r="244">
      <c r="A244" s="269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304"/>
      <c r="M244" s="283"/>
      <c r="N244" s="235"/>
      <c r="O244" s="235"/>
      <c r="P244" s="270"/>
      <c r="Q244" s="283" t="str">
        <f>IFERROR(SUMIF(Ventes!D5:D504,A244,Ventes!K5:K504),"")</f>
        <v>#ERROR!</v>
      </c>
      <c r="R244" s="235" t="str">
        <f>IFERROR(COUNTIF(Ventes!D5:D504,A244),"")</f>
        <v>#ERROR!</v>
      </c>
      <c r="S244" s="283" t="str">
        <f>IFERROR(Q244/R244,"")</f>
        <v>#ERROR!</v>
      </c>
      <c r="T244" s="235"/>
      <c r="U244" s="240"/>
    </row>
    <row r="245">
      <c r="A245" s="265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302"/>
      <c r="M245" s="281"/>
      <c r="N245" s="227"/>
      <c r="O245" s="227"/>
      <c r="P245" s="266"/>
      <c r="Q245" s="281" t="str">
        <f>IFERROR(SUMIF(Ventes!D5:D504,A245,Ventes!K5:K504),"")</f>
        <v>#ERROR!</v>
      </c>
      <c r="R245" s="227" t="str">
        <f>IFERROR(COUNTIF(Ventes!D5:D504,A245),"")</f>
        <v>#ERROR!</v>
      </c>
      <c r="S245" s="281" t="str">
        <f>IFERROR(Q245/R245,"")</f>
        <v>#ERROR!</v>
      </c>
      <c r="T245" s="227"/>
      <c r="U245" s="233"/>
    </row>
    <row r="246">
      <c r="A246" s="269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304"/>
      <c r="M246" s="283"/>
      <c r="N246" s="235"/>
      <c r="O246" s="235"/>
      <c r="P246" s="270"/>
      <c r="Q246" s="283" t="str">
        <f>IFERROR(SUMIF(Ventes!D5:D504,A246,Ventes!K5:K504),"")</f>
        <v>#ERROR!</v>
      </c>
      <c r="R246" s="235" t="str">
        <f>IFERROR(COUNTIF(Ventes!D5:D504,A246),"")</f>
        <v>#ERROR!</v>
      </c>
      <c r="S246" s="283" t="str">
        <f>IFERROR(Q246/R246,"")</f>
        <v>#ERROR!</v>
      </c>
      <c r="T246" s="235"/>
      <c r="U246" s="240"/>
    </row>
    <row r="247">
      <c r="A247" s="265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302"/>
      <c r="M247" s="281"/>
      <c r="N247" s="227"/>
      <c r="O247" s="227"/>
      <c r="P247" s="266"/>
      <c r="Q247" s="281" t="str">
        <f>IFERROR(SUMIF(Ventes!D5:D504,A247,Ventes!K5:K504),"")</f>
        <v>#ERROR!</v>
      </c>
      <c r="R247" s="227" t="str">
        <f>IFERROR(COUNTIF(Ventes!D5:D504,A247),"")</f>
        <v>#ERROR!</v>
      </c>
      <c r="S247" s="281" t="str">
        <f>IFERROR(Q247/R247,"")</f>
        <v>#ERROR!</v>
      </c>
      <c r="T247" s="227"/>
      <c r="U247" s="233"/>
    </row>
    <row r="248">
      <c r="A248" s="269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304"/>
      <c r="M248" s="283"/>
      <c r="N248" s="235"/>
      <c r="O248" s="235"/>
      <c r="P248" s="270"/>
      <c r="Q248" s="283" t="str">
        <f>IFERROR(SUMIF(Ventes!D5:D504,A248,Ventes!K5:K504),"")</f>
        <v>#ERROR!</v>
      </c>
      <c r="R248" s="235" t="str">
        <f>IFERROR(COUNTIF(Ventes!D5:D504,A248),"")</f>
        <v>#ERROR!</v>
      </c>
      <c r="S248" s="283" t="str">
        <f>IFERROR(Q248/R248,"")</f>
        <v>#ERROR!</v>
      </c>
      <c r="T248" s="235"/>
      <c r="U248" s="240"/>
    </row>
    <row r="249">
      <c r="A249" s="265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302"/>
      <c r="M249" s="281"/>
      <c r="N249" s="227"/>
      <c r="O249" s="227"/>
      <c r="P249" s="266"/>
      <c r="Q249" s="281" t="str">
        <f>IFERROR(SUMIF(Ventes!D5:D504,A249,Ventes!K5:K504),"")</f>
        <v>#ERROR!</v>
      </c>
      <c r="R249" s="227" t="str">
        <f>IFERROR(COUNTIF(Ventes!D5:D504,A249),"")</f>
        <v>#ERROR!</v>
      </c>
      <c r="S249" s="281" t="str">
        <f>IFERROR(Q249/R249,"")</f>
        <v>#ERROR!</v>
      </c>
      <c r="T249" s="227"/>
      <c r="U249" s="233"/>
    </row>
    <row r="250">
      <c r="A250" s="269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304"/>
      <c r="M250" s="283"/>
      <c r="N250" s="235"/>
      <c r="O250" s="235"/>
      <c r="P250" s="270"/>
      <c r="Q250" s="283" t="str">
        <f>IFERROR(SUMIF(Ventes!D5:D504,A250,Ventes!K5:K504),"")</f>
        <v>#ERROR!</v>
      </c>
      <c r="R250" s="235" t="str">
        <f>IFERROR(COUNTIF(Ventes!D5:D504,A250),"")</f>
        <v>#ERROR!</v>
      </c>
      <c r="S250" s="283" t="str">
        <f>IFERROR(Q250/R250,"")</f>
        <v>#ERROR!</v>
      </c>
      <c r="T250" s="235"/>
      <c r="U250" s="240"/>
    </row>
    <row r="251">
      <c r="A251" s="265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302"/>
      <c r="M251" s="281"/>
      <c r="N251" s="227"/>
      <c r="O251" s="227"/>
      <c r="P251" s="266"/>
      <c r="Q251" s="281" t="str">
        <f>IFERROR(SUMIF(Ventes!D5:D504,A251,Ventes!K5:K504),"")</f>
        <v>#ERROR!</v>
      </c>
      <c r="R251" s="227" t="str">
        <f>IFERROR(COUNTIF(Ventes!D5:D504,A251),"")</f>
        <v>#ERROR!</v>
      </c>
      <c r="S251" s="281" t="str">
        <f>IFERROR(Q251/R251,"")</f>
        <v>#ERROR!</v>
      </c>
      <c r="T251" s="227"/>
      <c r="U251" s="233"/>
    </row>
    <row r="252">
      <c r="A252" s="269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304"/>
      <c r="M252" s="283"/>
      <c r="N252" s="235"/>
      <c r="O252" s="235"/>
      <c r="P252" s="270"/>
      <c r="Q252" s="283" t="str">
        <f>IFERROR(SUMIF(Ventes!D5:D504,A252,Ventes!K5:K504),"")</f>
        <v>#ERROR!</v>
      </c>
      <c r="R252" s="235" t="str">
        <f>IFERROR(COUNTIF(Ventes!D5:D504,A252),"")</f>
        <v>#ERROR!</v>
      </c>
      <c r="S252" s="283" t="str">
        <f>IFERROR(Q252/R252,"")</f>
        <v>#ERROR!</v>
      </c>
      <c r="T252" s="235"/>
      <c r="U252" s="240"/>
    </row>
    <row r="253">
      <c r="A253" s="265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302"/>
      <c r="M253" s="281"/>
      <c r="N253" s="227"/>
      <c r="O253" s="227"/>
      <c r="P253" s="266"/>
      <c r="Q253" s="281" t="str">
        <f>IFERROR(SUMIF(Ventes!D5:D504,A253,Ventes!K5:K504),"")</f>
        <v>#ERROR!</v>
      </c>
      <c r="R253" s="227" t="str">
        <f>IFERROR(COUNTIF(Ventes!D5:D504,A253),"")</f>
        <v>#ERROR!</v>
      </c>
      <c r="S253" s="281" t="str">
        <f>IFERROR(Q253/R253,"")</f>
        <v>#ERROR!</v>
      </c>
      <c r="T253" s="227"/>
      <c r="U253" s="233"/>
    </row>
    <row r="254">
      <c r="A254" s="269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304"/>
      <c r="M254" s="283"/>
      <c r="N254" s="235"/>
      <c r="O254" s="235"/>
      <c r="P254" s="270"/>
      <c r="Q254" s="283" t="str">
        <f>IFERROR(SUMIF(Ventes!D5:D504,A254,Ventes!K5:K504),"")</f>
        <v>#ERROR!</v>
      </c>
      <c r="R254" s="235" t="str">
        <f>IFERROR(COUNTIF(Ventes!D5:D504,A254),"")</f>
        <v>#ERROR!</v>
      </c>
      <c r="S254" s="283" t="str">
        <f>IFERROR(Q254/R254,"")</f>
        <v>#ERROR!</v>
      </c>
      <c r="T254" s="235"/>
      <c r="U254" s="240"/>
    </row>
    <row r="255">
      <c r="A255" s="265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302"/>
      <c r="M255" s="281"/>
      <c r="N255" s="227"/>
      <c r="O255" s="227"/>
      <c r="P255" s="266"/>
      <c r="Q255" s="281" t="str">
        <f>IFERROR(SUMIF(Ventes!D5:D504,A255,Ventes!K5:K504),"")</f>
        <v>#ERROR!</v>
      </c>
      <c r="R255" s="227" t="str">
        <f>IFERROR(COUNTIF(Ventes!D5:D504,A255),"")</f>
        <v>#ERROR!</v>
      </c>
      <c r="S255" s="281" t="str">
        <f>IFERROR(Q255/R255,"")</f>
        <v>#ERROR!</v>
      </c>
      <c r="T255" s="227"/>
      <c r="U255" s="233"/>
    </row>
    <row r="256">
      <c r="A256" s="269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304"/>
      <c r="M256" s="283"/>
      <c r="N256" s="235"/>
      <c r="O256" s="235"/>
      <c r="P256" s="270"/>
      <c r="Q256" s="283" t="str">
        <f>IFERROR(SUMIF(Ventes!D5:D504,A256,Ventes!K5:K504),"")</f>
        <v>#ERROR!</v>
      </c>
      <c r="R256" s="235" t="str">
        <f>IFERROR(COUNTIF(Ventes!D5:D504,A256),"")</f>
        <v>#ERROR!</v>
      </c>
      <c r="S256" s="283" t="str">
        <f>IFERROR(Q256/R256,"")</f>
        <v>#ERROR!</v>
      </c>
      <c r="T256" s="235"/>
      <c r="U256" s="240"/>
    </row>
    <row r="257">
      <c r="A257" s="265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302"/>
      <c r="M257" s="281"/>
      <c r="N257" s="227"/>
      <c r="O257" s="227"/>
      <c r="P257" s="266"/>
      <c r="Q257" s="281" t="str">
        <f>IFERROR(SUMIF(Ventes!D5:D504,A257,Ventes!K5:K504),"")</f>
        <v>#ERROR!</v>
      </c>
      <c r="R257" s="227" t="str">
        <f>IFERROR(COUNTIF(Ventes!D5:D504,A257),"")</f>
        <v>#ERROR!</v>
      </c>
      <c r="S257" s="281" t="str">
        <f>IFERROR(Q257/R257,"")</f>
        <v>#ERROR!</v>
      </c>
      <c r="T257" s="227"/>
      <c r="U257" s="233"/>
    </row>
    <row r="258">
      <c r="A258" s="269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304"/>
      <c r="M258" s="283"/>
      <c r="N258" s="235"/>
      <c r="O258" s="235"/>
      <c r="P258" s="270"/>
      <c r="Q258" s="283" t="str">
        <f>IFERROR(SUMIF(Ventes!D5:D504,A258,Ventes!K5:K504),"")</f>
        <v>#ERROR!</v>
      </c>
      <c r="R258" s="235" t="str">
        <f>IFERROR(COUNTIF(Ventes!D5:D504,A258),"")</f>
        <v>#ERROR!</v>
      </c>
      <c r="S258" s="283" t="str">
        <f>IFERROR(Q258/R258,"")</f>
        <v>#ERROR!</v>
      </c>
      <c r="T258" s="235"/>
      <c r="U258" s="240"/>
    </row>
    <row r="259">
      <c r="A259" s="265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302"/>
      <c r="M259" s="281"/>
      <c r="N259" s="227"/>
      <c r="O259" s="227"/>
      <c r="P259" s="266"/>
      <c r="Q259" s="281" t="str">
        <f>IFERROR(SUMIF(Ventes!D5:D504,A259,Ventes!K5:K504),"")</f>
        <v>#ERROR!</v>
      </c>
      <c r="R259" s="227" t="str">
        <f>IFERROR(COUNTIF(Ventes!D5:D504,A259),"")</f>
        <v>#ERROR!</v>
      </c>
      <c r="S259" s="281" t="str">
        <f>IFERROR(Q259/R259,"")</f>
        <v>#ERROR!</v>
      </c>
      <c r="T259" s="227"/>
      <c r="U259" s="233"/>
    </row>
    <row r="260">
      <c r="A260" s="269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304"/>
      <c r="M260" s="283"/>
      <c r="N260" s="235"/>
      <c r="O260" s="235"/>
      <c r="P260" s="270"/>
      <c r="Q260" s="283" t="str">
        <f>IFERROR(SUMIF(Ventes!D5:D504,A260,Ventes!K5:K504),"")</f>
        <v>#ERROR!</v>
      </c>
      <c r="R260" s="235" t="str">
        <f>IFERROR(COUNTIF(Ventes!D5:D504,A260),"")</f>
        <v>#ERROR!</v>
      </c>
      <c r="S260" s="283" t="str">
        <f>IFERROR(Q260/R260,"")</f>
        <v>#ERROR!</v>
      </c>
      <c r="T260" s="235"/>
      <c r="U260" s="240"/>
    </row>
    <row r="261">
      <c r="A261" s="265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302"/>
      <c r="M261" s="281"/>
      <c r="N261" s="227"/>
      <c r="O261" s="227"/>
      <c r="P261" s="266"/>
      <c r="Q261" s="281" t="str">
        <f>IFERROR(SUMIF(Ventes!D5:D504,A261,Ventes!K5:K504),"")</f>
        <v>#ERROR!</v>
      </c>
      <c r="R261" s="227" t="str">
        <f>IFERROR(COUNTIF(Ventes!D5:D504,A261),"")</f>
        <v>#ERROR!</v>
      </c>
      <c r="S261" s="281" t="str">
        <f>IFERROR(Q261/R261,"")</f>
        <v>#ERROR!</v>
      </c>
      <c r="T261" s="227"/>
      <c r="U261" s="233"/>
    </row>
    <row r="262">
      <c r="A262" s="269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304"/>
      <c r="M262" s="283"/>
      <c r="N262" s="235"/>
      <c r="O262" s="235"/>
      <c r="P262" s="270"/>
      <c r="Q262" s="283" t="str">
        <f>IFERROR(SUMIF(Ventes!D5:D504,A262,Ventes!K5:K504),"")</f>
        <v>#ERROR!</v>
      </c>
      <c r="R262" s="235" t="str">
        <f>IFERROR(COUNTIF(Ventes!D5:D504,A262),"")</f>
        <v>#ERROR!</v>
      </c>
      <c r="S262" s="283" t="str">
        <f>IFERROR(Q262/R262,"")</f>
        <v>#ERROR!</v>
      </c>
      <c r="T262" s="235"/>
      <c r="U262" s="240"/>
    </row>
    <row r="263">
      <c r="A263" s="265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302"/>
      <c r="M263" s="281"/>
      <c r="N263" s="227"/>
      <c r="O263" s="227"/>
      <c r="P263" s="266"/>
      <c r="Q263" s="281" t="str">
        <f>IFERROR(SUMIF(Ventes!D5:D504,A263,Ventes!K5:K504),"")</f>
        <v>#ERROR!</v>
      </c>
      <c r="R263" s="227" t="str">
        <f>IFERROR(COUNTIF(Ventes!D5:D504,A263),"")</f>
        <v>#ERROR!</v>
      </c>
      <c r="S263" s="281" t="str">
        <f>IFERROR(Q263/R263,"")</f>
        <v>#ERROR!</v>
      </c>
      <c r="T263" s="227"/>
      <c r="U263" s="233"/>
    </row>
    <row r="264">
      <c r="A264" s="269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304"/>
      <c r="M264" s="283"/>
      <c r="N264" s="235"/>
      <c r="O264" s="235"/>
      <c r="P264" s="270"/>
      <c r="Q264" s="283" t="str">
        <f>IFERROR(SUMIF(Ventes!D5:D504,A264,Ventes!K5:K504),"")</f>
        <v>#ERROR!</v>
      </c>
      <c r="R264" s="235" t="str">
        <f>IFERROR(COUNTIF(Ventes!D5:D504,A264),"")</f>
        <v>#ERROR!</v>
      </c>
      <c r="S264" s="283" t="str">
        <f>IFERROR(Q264/R264,"")</f>
        <v>#ERROR!</v>
      </c>
      <c r="T264" s="235"/>
      <c r="U264" s="240"/>
    </row>
    <row r="265">
      <c r="A265" s="265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302"/>
      <c r="M265" s="281"/>
      <c r="N265" s="227"/>
      <c r="O265" s="227"/>
      <c r="P265" s="266"/>
      <c r="Q265" s="281" t="str">
        <f>IFERROR(SUMIF(Ventes!D5:D504,A265,Ventes!K5:K504),"")</f>
        <v>#ERROR!</v>
      </c>
      <c r="R265" s="227" t="str">
        <f>IFERROR(COUNTIF(Ventes!D5:D504,A265),"")</f>
        <v>#ERROR!</v>
      </c>
      <c r="S265" s="281" t="str">
        <f>IFERROR(Q265/R265,"")</f>
        <v>#ERROR!</v>
      </c>
      <c r="T265" s="227"/>
      <c r="U265" s="233"/>
    </row>
    <row r="266">
      <c r="A266" s="269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304"/>
      <c r="M266" s="283"/>
      <c r="N266" s="235"/>
      <c r="O266" s="235"/>
      <c r="P266" s="270"/>
      <c r="Q266" s="283" t="str">
        <f>IFERROR(SUMIF(Ventes!D5:D504,A266,Ventes!K5:K504),"")</f>
        <v>#ERROR!</v>
      </c>
      <c r="R266" s="235" t="str">
        <f>IFERROR(COUNTIF(Ventes!D5:D504,A266),"")</f>
        <v>#ERROR!</v>
      </c>
      <c r="S266" s="283" t="str">
        <f>IFERROR(Q266/R266,"")</f>
        <v>#ERROR!</v>
      </c>
      <c r="T266" s="235"/>
      <c r="U266" s="240"/>
    </row>
    <row r="267">
      <c r="A267" s="265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302"/>
      <c r="M267" s="281"/>
      <c r="N267" s="227"/>
      <c r="O267" s="227"/>
      <c r="P267" s="266"/>
      <c r="Q267" s="281" t="str">
        <f>IFERROR(SUMIF(Ventes!D5:D504,A267,Ventes!K5:K504),"")</f>
        <v>#ERROR!</v>
      </c>
      <c r="R267" s="227" t="str">
        <f>IFERROR(COUNTIF(Ventes!D5:D504,A267),"")</f>
        <v>#ERROR!</v>
      </c>
      <c r="S267" s="281" t="str">
        <f>IFERROR(Q267/R267,"")</f>
        <v>#ERROR!</v>
      </c>
      <c r="T267" s="227"/>
      <c r="U267" s="233"/>
    </row>
    <row r="268">
      <c r="A268" s="269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304"/>
      <c r="M268" s="283"/>
      <c r="N268" s="235"/>
      <c r="O268" s="235"/>
      <c r="P268" s="270"/>
      <c r="Q268" s="283" t="str">
        <f>IFERROR(SUMIF(Ventes!D5:D504,A268,Ventes!K5:K504),"")</f>
        <v>#ERROR!</v>
      </c>
      <c r="R268" s="235" t="str">
        <f>IFERROR(COUNTIF(Ventes!D5:D504,A268),"")</f>
        <v>#ERROR!</v>
      </c>
      <c r="S268" s="283" t="str">
        <f>IFERROR(Q268/R268,"")</f>
        <v>#ERROR!</v>
      </c>
      <c r="T268" s="235"/>
      <c r="U268" s="240"/>
    </row>
    <row r="269">
      <c r="A269" s="265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302"/>
      <c r="M269" s="281"/>
      <c r="N269" s="227"/>
      <c r="O269" s="227"/>
      <c r="P269" s="266"/>
      <c r="Q269" s="281" t="str">
        <f>IFERROR(SUMIF(Ventes!D5:D504,A269,Ventes!K5:K504),"")</f>
        <v>#ERROR!</v>
      </c>
      <c r="R269" s="227" t="str">
        <f>IFERROR(COUNTIF(Ventes!D5:D504,A269),"")</f>
        <v>#ERROR!</v>
      </c>
      <c r="S269" s="281" t="str">
        <f>IFERROR(Q269/R269,"")</f>
        <v>#ERROR!</v>
      </c>
      <c r="T269" s="227"/>
      <c r="U269" s="233"/>
    </row>
    <row r="270">
      <c r="A270" s="269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304"/>
      <c r="M270" s="283"/>
      <c r="N270" s="235"/>
      <c r="O270" s="235"/>
      <c r="P270" s="270"/>
      <c r="Q270" s="283" t="str">
        <f>IFERROR(SUMIF(Ventes!D5:D504,A270,Ventes!K5:K504),"")</f>
        <v>#ERROR!</v>
      </c>
      <c r="R270" s="235" t="str">
        <f>IFERROR(COUNTIF(Ventes!D5:D504,A270),"")</f>
        <v>#ERROR!</v>
      </c>
      <c r="S270" s="283" t="str">
        <f>IFERROR(Q270/R270,"")</f>
        <v>#ERROR!</v>
      </c>
      <c r="T270" s="235"/>
      <c r="U270" s="240"/>
    </row>
    <row r="271">
      <c r="A271" s="265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302"/>
      <c r="M271" s="281"/>
      <c r="N271" s="227"/>
      <c r="O271" s="227"/>
      <c r="P271" s="266"/>
      <c r="Q271" s="281" t="str">
        <f>IFERROR(SUMIF(Ventes!D5:D504,A271,Ventes!K5:K504),"")</f>
        <v>#ERROR!</v>
      </c>
      <c r="R271" s="227" t="str">
        <f>IFERROR(COUNTIF(Ventes!D5:D504,A271),"")</f>
        <v>#ERROR!</v>
      </c>
      <c r="S271" s="281" t="str">
        <f>IFERROR(Q271/R271,"")</f>
        <v>#ERROR!</v>
      </c>
      <c r="T271" s="227"/>
      <c r="U271" s="233"/>
    </row>
    <row r="272">
      <c r="A272" s="269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304"/>
      <c r="M272" s="283"/>
      <c r="N272" s="235"/>
      <c r="O272" s="235"/>
      <c r="P272" s="270"/>
      <c r="Q272" s="283" t="str">
        <f>IFERROR(SUMIF(Ventes!D5:D504,A272,Ventes!K5:K504),"")</f>
        <v>#ERROR!</v>
      </c>
      <c r="R272" s="235" t="str">
        <f>IFERROR(COUNTIF(Ventes!D5:D504,A272),"")</f>
        <v>#ERROR!</v>
      </c>
      <c r="S272" s="283" t="str">
        <f>IFERROR(Q272/R272,"")</f>
        <v>#ERROR!</v>
      </c>
      <c r="T272" s="235"/>
      <c r="U272" s="240"/>
    </row>
    <row r="273">
      <c r="A273" s="265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302"/>
      <c r="M273" s="281"/>
      <c r="N273" s="227"/>
      <c r="O273" s="227"/>
      <c r="P273" s="266"/>
      <c r="Q273" s="281" t="str">
        <f>IFERROR(SUMIF(Ventes!D5:D504,A273,Ventes!K5:K504),"")</f>
        <v>#ERROR!</v>
      </c>
      <c r="R273" s="227" t="str">
        <f>IFERROR(COUNTIF(Ventes!D5:D504,A273),"")</f>
        <v>#ERROR!</v>
      </c>
      <c r="S273" s="281" t="str">
        <f>IFERROR(Q273/R273,"")</f>
        <v>#ERROR!</v>
      </c>
      <c r="T273" s="227"/>
      <c r="U273" s="233"/>
    </row>
    <row r="274">
      <c r="A274" s="269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304"/>
      <c r="M274" s="283"/>
      <c r="N274" s="235"/>
      <c r="O274" s="235"/>
      <c r="P274" s="270"/>
      <c r="Q274" s="283" t="str">
        <f>IFERROR(SUMIF(Ventes!D5:D504,A274,Ventes!K5:K504),"")</f>
        <v>#ERROR!</v>
      </c>
      <c r="R274" s="235" t="str">
        <f>IFERROR(COUNTIF(Ventes!D5:D504,A274),"")</f>
        <v>#ERROR!</v>
      </c>
      <c r="S274" s="283" t="str">
        <f>IFERROR(Q274/R274,"")</f>
        <v>#ERROR!</v>
      </c>
      <c r="T274" s="235"/>
      <c r="U274" s="240"/>
    </row>
    <row r="275">
      <c r="A275" s="265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302"/>
      <c r="M275" s="281"/>
      <c r="N275" s="227"/>
      <c r="O275" s="227"/>
      <c r="P275" s="266"/>
      <c r="Q275" s="281" t="str">
        <f>IFERROR(SUMIF(Ventes!D5:D504,A275,Ventes!K5:K504),"")</f>
        <v>#ERROR!</v>
      </c>
      <c r="R275" s="227" t="str">
        <f>IFERROR(COUNTIF(Ventes!D5:D504,A275),"")</f>
        <v>#ERROR!</v>
      </c>
      <c r="S275" s="281" t="str">
        <f>IFERROR(Q275/R275,"")</f>
        <v>#ERROR!</v>
      </c>
      <c r="T275" s="227"/>
      <c r="U275" s="233"/>
    </row>
    <row r="276">
      <c r="A276" s="269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304"/>
      <c r="M276" s="283"/>
      <c r="N276" s="235"/>
      <c r="O276" s="235"/>
      <c r="P276" s="270"/>
      <c r="Q276" s="283" t="str">
        <f>IFERROR(SUMIF(Ventes!D5:D504,A276,Ventes!K5:K504),"")</f>
        <v>#ERROR!</v>
      </c>
      <c r="R276" s="235" t="str">
        <f>IFERROR(COUNTIF(Ventes!D5:D504,A276),"")</f>
        <v>#ERROR!</v>
      </c>
      <c r="S276" s="283" t="str">
        <f>IFERROR(Q276/R276,"")</f>
        <v>#ERROR!</v>
      </c>
      <c r="T276" s="235"/>
      <c r="U276" s="240"/>
    </row>
    <row r="277">
      <c r="A277" s="265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302"/>
      <c r="M277" s="281"/>
      <c r="N277" s="227"/>
      <c r="O277" s="227"/>
      <c r="P277" s="266"/>
      <c r="Q277" s="281" t="str">
        <f>IFERROR(SUMIF(Ventes!D5:D504,A277,Ventes!K5:K504),"")</f>
        <v>#ERROR!</v>
      </c>
      <c r="R277" s="227" t="str">
        <f>IFERROR(COUNTIF(Ventes!D5:D504,A277),"")</f>
        <v>#ERROR!</v>
      </c>
      <c r="S277" s="281" t="str">
        <f>IFERROR(Q277/R277,"")</f>
        <v>#ERROR!</v>
      </c>
      <c r="T277" s="227"/>
      <c r="U277" s="233"/>
    </row>
    <row r="278">
      <c r="A278" s="269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304"/>
      <c r="M278" s="283"/>
      <c r="N278" s="235"/>
      <c r="O278" s="235"/>
      <c r="P278" s="270"/>
      <c r="Q278" s="283" t="str">
        <f>IFERROR(SUMIF(Ventes!D5:D504,A278,Ventes!K5:K504),"")</f>
        <v>#ERROR!</v>
      </c>
      <c r="R278" s="235" t="str">
        <f>IFERROR(COUNTIF(Ventes!D5:D504,A278),"")</f>
        <v>#ERROR!</v>
      </c>
      <c r="S278" s="283" t="str">
        <f>IFERROR(Q278/R278,"")</f>
        <v>#ERROR!</v>
      </c>
      <c r="T278" s="235"/>
      <c r="U278" s="240"/>
    </row>
    <row r="279">
      <c r="A279" s="265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302"/>
      <c r="M279" s="281"/>
      <c r="N279" s="227"/>
      <c r="O279" s="227"/>
      <c r="P279" s="266"/>
      <c r="Q279" s="281" t="str">
        <f>IFERROR(SUMIF(Ventes!D5:D504,A279,Ventes!K5:K504),"")</f>
        <v>#ERROR!</v>
      </c>
      <c r="R279" s="227" t="str">
        <f>IFERROR(COUNTIF(Ventes!D5:D504,A279),"")</f>
        <v>#ERROR!</v>
      </c>
      <c r="S279" s="281" t="str">
        <f>IFERROR(Q279/R279,"")</f>
        <v>#ERROR!</v>
      </c>
      <c r="T279" s="227"/>
      <c r="U279" s="233"/>
    </row>
    <row r="280">
      <c r="A280" s="269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304"/>
      <c r="M280" s="283"/>
      <c r="N280" s="235"/>
      <c r="O280" s="235"/>
      <c r="P280" s="270"/>
      <c r="Q280" s="283" t="str">
        <f>IFERROR(SUMIF(Ventes!D5:D504,A280,Ventes!K5:K504),"")</f>
        <v>#ERROR!</v>
      </c>
      <c r="R280" s="235" t="str">
        <f>IFERROR(COUNTIF(Ventes!D5:D504,A280),"")</f>
        <v>#ERROR!</v>
      </c>
      <c r="S280" s="283" t="str">
        <f>IFERROR(Q280/R280,"")</f>
        <v>#ERROR!</v>
      </c>
      <c r="T280" s="235"/>
      <c r="U280" s="240"/>
    </row>
    <row r="281">
      <c r="A281" s="265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302"/>
      <c r="M281" s="281"/>
      <c r="N281" s="227"/>
      <c r="O281" s="227"/>
      <c r="P281" s="266"/>
      <c r="Q281" s="281" t="str">
        <f>IFERROR(SUMIF(Ventes!D5:D504,A281,Ventes!K5:K504),"")</f>
        <v>#ERROR!</v>
      </c>
      <c r="R281" s="227" t="str">
        <f>IFERROR(COUNTIF(Ventes!D5:D504,A281),"")</f>
        <v>#ERROR!</v>
      </c>
      <c r="S281" s="281" t="str">
        <f>IFERROR(Q281/R281,"")</f>
        <v>#ERROR!</v>
      </c>
      <c r="T281" s="227"/>
      <c r="U281" s="233"/>
    </row>
    <row r="282">
      <c r="A282" s="269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304"/>
      <c r="M282" s="283"/>
      <c r="N282" s="235"/>
      <c r="O282" s="235"/>
      <c r="P282" s="270"/>
      <c r="Q282" s="283" t="str">
        <f>IFERROR(SUMIF(Ventes!D5:D504,A282,Ventes!K5:K504),"")</f>
        <v>#ERROR!</v>
      </c>
      <c r="R282" s="235" t="str">
        <f>IFERROR(COUNTIF(Ventes!D5:D504,A282),"")</f>
        <v>#ERROR!</v>
      </c>
      <c r="S282" s="283" t="str">
        <f>IFERROR(Q282/R282,"")</f>
        <v>#ERROR!</v>
      </c>
      <c r="T282" s="235"/>
      <c r="U282" s="240"/>
    </row>
    <row r="283">
      <c r="A283" s="265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302"/>
      <c r="M283" s="281"/>
      <c r="N283" s="227"/>
      <c r="O283" s="227"/>
      <c r="P283" s="266"/>
      <c r="Q283" s="281" t="str">
        <f>IFERROR(SUMIF(Ventes!D5:D504,A283,Ventes!K5:K504),"")</f>
        <v>#ERROR!</v>
      </c>
      <c r="R283" s="227" t="str">
        <f>IFERROR(COUNTIF(Ventes!D5:D504,A283),"")</f>
        <v>#ERROR!</v>
      </c>
      <c r="S283" s="281" t="str">
        <f>IFERROR(Q283/R283,"")</f>
        <v>#ERROR!</v>
      </c>
      <c r="T283" s="227"/>
      <c r="U283" s="233"/>
    </row>
    <row r="284">
      <c r="A284" s="269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304"/>
      <c r="M284" s="283"/>
      <c r="N284" s="235"/>
      <c r="O284" s="235"/>
      <c r="P284" s="270"/>
      <c r="Q284" s="283" t="str">
        <f>IFERROR(SUMIF(Ventes!D5:D504,A284,Ventes!K5:K504),"")</f>
        <v>#ERROR!</v>
      </c>
      <c r="R284" s="235" t="str">
        <f>IFERROR(COUNTIF(Ventes!D5:D504,A284),"")</f>
        <v>#ERROR!</v>
      </c>
      <c r="S284" s="283" t="str">
        <f>IFERROR(Q284/R284,"")</f>
        <v>#ERROR!</v>
      </c>
      <c r="T284" s="235"/>
      <c r="U284" s="240"/>
    </row>
    <row r="285">
      <c r="A285" s="265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302"/>
      <c r="M285" s="281"/>
      <c r="N285" s="227"/>
      <c r="O285" s="227"/>
      <c r="P285" s="266"/>
      <c r="Q285" s="281" t="str">
        <f>IFERROR(SUMIF(Ventes!D5:D504,A285,Ventes!K5:K504),"")</f>
        <v>#ERROR!</v>
      </c>
      <c r="R285" s="227" t="str">
        <f>IFERROR(COUNTIF(Ventes!D5:D504,A285),"")</f>
        <v>#ERROR!</v>
      </c>
      <c r="S285" s="281" t="str">
        <f>IFERROR(Q285/R285,"")</f>
        <v>#ERROR!</v>
      </c>
      <c r="T285" s="227"/>
      <c r="U285" s="233"/>
    </row>
    <row r="286">
      <c r="A286" s="269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304"/>
      <c r="M286" s="283"/>
      <c r="N286" s="235"/>
      <c r="O286" s="235"/>
      <c r="P286" s="270"/>
      <c r="Q286" s="283" t="str">
        <f>IFERROR(SUMIF(Ventes!D5:D504,A286,Ventes!K5:K504),"")</f>
        <v>#ERROR!</v>
      </c>
      <c r="R286" s="235" t="str">
        <f>IFERROR(COUNTIF(Ventes!D5:D504,A286),"")</f>
        <v>#ERROR!</v>
      </c>
      <c r="S286" s="283" t="str">
        <f>IFERROR(Q286/R286,"")</f>
        <v>#ERROR!</v>
      </c>
      <c r="T286" s="235"/>
      <c r="U286" s="240"/>
    </row>
    <row r="287">
      <c r="A287" s="265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302"/>
      <c r="M287" s="281"/>
      <c r="N287" s="227"/>
      <c r="O287" s="227"/>
      <c r="P287" s="266"/>
      <c r="Q287" s="281" t="str">
        <f>IFERROR(SUMIF(Ventes!D5:D504,A287,Ventes!K5:K504),"")</f>
        <v>#ERROR!</v>
      </c>
      <c r="R287" s="227" t="str">
        <f>IFERROR(COUNTIF(Ventes!D5:D504,A287),"")</f>
        <v>#ERROR!</v>
      </c>
      <c r="S287" s="281" t="str">
        <f>IFERROR(Q287/R287,"")</f>
        <v>#ERROR!</v>
      </c>
      <c r="T287" s="227"/>
      <c r="U287" s="233"/>
    </row>
    <row r="288">
      <c r="A288" s="269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304"/>
      <c r="M288" s="283"/>
      <c r="N288" s="235"/>
      <c r="O288" s="235"/>
      <c r="P288" s="270"/>
      <c r="Q288" s="283" t="str">
        <f>IFERROR(SUMIF(Ventes!D5:D504,A288,Ventes!K5:K504),"")</f>
        <v>#ERROR!</v>
      </c>
      <c r="R288" s="235" t="str">
        <f>IFERROR(COUNTIF(Ventes!D5:D504,A288),"")</f>
        <v>#ERROR!</v>
      </c>
      <c r="S288" s="283" t="str">
        <f>IFERROR(Q288/R288,"")</f>
        <v>#ERROR!</v>
      </c>
      <c r="T288" s="235"/>
      <c r="U288" s="240"/>
    </row>
    <row r="289">
      <c r="A289" s="265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302"/>
      <c r="M289" s="281"/>
      <c r="N289" s="227"/>
      <c r="O289" s="227"/>
      <c r="P289" s="266"/>
      <c r="Q289" s="281" t="str">
        <f>IFERROR(SUMIF(Ventes!D5:D504,A289,Ventes!K5:K504),"")</f>
        <v>#ERROR!</v>
      </c>
      <c r="R289" s="227" t="str">
        <f>IFERROR(COUNTIF(Ventes!D5:D504,A289),"")</f>
        <v>#ERROR!</v>
      </c>
      <c r="S289" s="281" t="str">
        <f>IFERROR(Q289/R289,"")</f>
        <v>#ERROR!</v>
      </c>
      <c r="T289" s="227"/>
      <c r="U289" s="233"/>
    </row>
    <row r="290">
      <c r="A290" s="269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304"/>
      <c r="M290" s="283"/>
      <c r="N290" s="235"/>
      <c r="O290" s="235"/>
      <c r="P290" s="270"/>
      <c r="Q290" s="283" t="str">
        <f>IFERROR(SUMIF(Ventes!D5:D504,A290,Ventes!K5:K504),"")</f>
        <v>#ERROR!</v>
      </c>
      <c r="R290" s="235" t="str">
        <f>IFERROR(COUNTIF(Ventes!D5:D504,A290),"")</f>
        <v>#ERROR!</v>
      </c>
      <c r="S290" s="283" t="str">
        <f>IFERROR(Q290/R290,"")</f>
        <v>#ERROR!</v>
      </c>
      <c r="T290" s="235"/>
      <c r="U290" s="240"/>
    </row>
    <row r="291">
      <c r="A291" s="265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302"/>
      <c r="M291" s="281"/>
      <c r="N291" s="227"/>
      <c r="O291" s="227"/>
      <c r="P291" s="266"/>
      <c r="Q291" s="281" t="str">
        <f>IFERROR(SUMIF(Ventes!D5:D504,A291,Ventes!K5:K504),"")</f>
        <v>#ERROR!</v>
      </c>
      <c r="R291" s="227" t="str">
        <f>IFERROR(COUNTIF(Ventes!D5:D504,A291),"")</f>
        <v>#ERROR!</v>
      </c>
      <c r="S291" s="281" t="str">
        <f>IFERROR(Q291/R291,"")</f>
        <v>#ERROR!</v>
      </c>
      <c r="T291" s="227"/>
      <c r="U291" s="233"/>
    </row>
    <row r="292">
      <c r="A292" s="269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304"/>
      <c r="M292" s="283"/>
      <c r="N292" s="235"/>
      <c r="O292" s="235"/>
      <c r="P292" s="270"/>
      <c r="Q292" s="283" t="str">
        <f>IFERROR(SUMIF(Ventes!D5:D504,A292,Ventes!K5:K504),"")</f>
        <v>#ERROR!</v>
      </c>
      <c r="R292" s="235" t="str">
        <f>IFERROR(COUNTIF(Ventes!D5:D504,A292),"")</f>
        <v>#ERROR!</v>
      </c>
      <c r="S292" s="283" t="str">
        <f>IFERROR(Q292/R292,"")</f>
        <v>#ERROR!</v>
      </c>
      <c r="T292" s="235"/>
      <c r="U292" s="240"/>
    </row>
    <row r="293">
      <c r="A293" s="265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302"/>
      <c r="M293" s="281"/>
      <c r="N293" s="227"/>
      <c r="O293" s="227"/>
      <c r="P293" s="266"/>
      <c r="Q293" s="281" t="str">
        <f>IFERROR(SUMIF(Ventes!D5:D504,A293,Ventes!K5:K504),"")</f>
        <v>#ERROR!</v>
      </c>
      <c r="R293" s="227" t="str">
        <f>IFERROR(COUNTIF(Ventes!D5:D504,A293),"")</f>
        <v>#ERROR!</v>
      </c>
      <c r="S293" s="281" t="str">
        <f>IFERROR(Q293/R293,"")</f>
        <v>#ERROR!</v>
      </c>
      <c r="T293" s="227"/>
      <c r="U293" s="233"/>
    </row>
    <row r="294">
      <c r="A294" s="269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304"/>
      <c r="M294" s="283"/>
      <c r="N294" s="235"/>
      <c r="O294" s="235"/>
      <c r="P294" s="270"/>
      <c r="Q294" s="283" t="str">
        <f>IFERROR(SUMIF(Ventes!D5:D504,A294,Ventes!K5:K504),"")</f>
        <v>#ERROR!</v>
      </c>
      <c r="R294" s="235" t="str">
        <f>IFERROR(COUNTIF(Ventes!D5:D504,A294),"")</f>
        <v>#ERROR!</v>
      </c>
      <c r="S294" s="283" t="str">
        <f>IFERROR(Q294/R294,"")</f>
        <v>#ERROR!</v>
      </c>
      <c r="T294" s="235"/>
      <c r="U294" s="240"/>
    </row>
    <row r="295">
      <c r="A295" s="265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302"/>
      <c r="M295" s="281"/>
      <c r="N295" s="227"/>
      <c r="O295" s="227"/>
      <c r="P295" s="266"/>
      <c r="Q295" s="281" t="str">
        <f>IFERROR(SUMIF(Ventes!D5:D504,A295,Ventes!K5:K504),"")</f>
        <v>#ERROR!</v>
      </c>
      <c r="R295" s="227" t="str">
        <f>IFERROR(COUNTIF(Ventes!D5:D504,A295),"")</f>
        <v>#ERROR!</v>
      </c>
      <c r="S295" s="281" t="str">
        <f>IFERROR(Q295/R295,"")</f>
        <v>#ERROR!</v>
      </c>
      <c r="T295" s="227"/>
      <c r="U295" s="233"/>
    </row>
    <row r="296">
      <c r="A296" s="269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304"/>
      <c r="M296" s="283"/>
      <c r="N296" s="235"/>
      <c r="O296" s="235"/>
      <c r="P296" s="270"/>
      <c r="Q296" s="283" t="str">
        <f>IFERROR(SUMIF(Ventes!D5:D504,A296,Ventes!K5:K504),"")</f>
        <v>#ERROR!</v>
      </c>
      <c r="R296" s="235" t="str">
        <f>IFERROR(COUNTIF(Ventes!D5:D504,A296),"")</f>
        <v>#ERROR!</v>
      </c>
      <c r="S296" s="283" t="str">
        <f>IFERROR(Q296/R296,"")</f>
        <v>#ERROR!</v>
      </c>
      <c r="T296" s="235"/>
      <c r="U296" s="240"/>
    </row>
    <row r="297">
      <c r="A297" s="265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302"/>
      <c r="M297" s="281"/>
      <c r="N297" s="227"/>
      <c r="O297" s="227"/>
      <c r="P297" s="266"/>
      <c r="Q297" s="281" t="str">
        <f>IFERROR(SUMIF(Ventes!D5:D504,A297,Ventes!K5:K504),"")</f>
        <v>#ERROR!</v>
      </c>
      <c r="R297" s="227" t="str">
        <f>IFERROR(COUNTIF(Ventes!D5:D504,A297),"")</f>
        <v>#ERROR!</v>
      </c>
      <c r="S297" s="281" t="str">
        <f>IFERROR(Q297/R297,"")</f>
        <v>#ERROR!</v>
      </c>
      <c r="T297" s="227"/>
      <c r="U297" s="233"/>
    </row>
    <row r="298">
      <c r="A298" s="269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304"/>
      <c r="M298" s="283"/>
      <c r="N298" s="235"/>
      <c r="O298" s="235"/>
      <c r="P298" s="270"/>
      <c r="Q298" s="283" t="str">
        <f>IFERROR(SUMIF(Ventes!D5:D504,A298,Ventes!K5:K504),"")</f>
        <v>#ERROR!</v>
      </c>
      <c r="R298" s="235" t="str">
        <f>IFERROR(COUNTIF(Ventes!D5:D504,A298),"")</f>
        <v>#ERROR!</v>
      </c>
      <c r="S298" s="283" t="str">
        <f>IFERROR(Q298/R298,"")</f>
        <v>#ERROR!</v>
      </c>
      <c r="T298" s="235"/>
      <c r="U298" s="240"/>
    </row>
    <row r="299">
      <c r="A299" s="265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302"/>
      <c r="M299" s="281"/>
      <c r="N299" s="227"/>
      <c r="O299" s="227"/>
      <c r="P299" s="266"/>
      <c r="Q299" s="281" t="str">
        <f>IFERROR(SUMIF(Ventes!D5:D504,A299,Ventes!K5:K504),"")</f>
        <v>#ERROR!</v>
      </c>
      <c r="R299" s="227" t="str">
        <f>IFERROR(COUNTIF(Ventes!D5:D504,A299),"")</f>
        <v>#ERROR!</v>
      </c>
      <c r="S299" s="281" t="str">
        <f>IFERROR(Q299/R299,"")</f>
        <v>#ERROR!</v>
      </c>
      <c r="T299" s="227"/>
      <c r="U299" s="233"/>
    </row>
    <row r="300">
      <c r="A300" s="269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304"/>
      <c r="M300" s="283"/>
      <c r="N300" s="235"/>
      <c r="O300" s="235"/>
      <c r="P300" s="270"/>
      <c r="Q300" s="283" t="str">
        <f>IFERROR(SUMIF(Ventes!D5:D504,A300,Ventes!K5:K504),"")</f>
        <v>#ERROR!</v>
      </c>
      <c r="R300" s="235" t="str">
        <f>IFERROR(COUNTIF(Ventes!D5:D504,A300),"")</f>
        <v>#ERROR!</v>
      </c>
      <c r="S300" s="283" t="str">
        <f>IFERROR(Q300/R300,"")</f>
        <v>#ERROR!</v>
      </c>
      <c r="T300" s="235"/>
      <c r="U300" s="240"/>
    </row>
    <row r="301">
      <c r="A301" s="265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302"/>
      <c r="M301" s="281"/>
      <c r="N301" s="227"/>
      <c r="O301" s="227"/>
      <c r="P301" s="266"/>
      <c r="Q301" s="281" t="str">
        <f>IFERROR(SUMIF(Ventes!D5:D504,A301,Ventes!K5:K504),"")</f>
        <v>#ERROR!</v>
      </c>
      <c r="R301" s="227" t="str">
        <f>IFERROR(COUNTIF(Ventes!D5:D504,A301),"")</f>
        <v>#ERROR!</v>
      </c>
      <c r="S301" s="281" t="str">
        <f>IFERROR(Q301/R301,"")</f>
        <v>#ERROR!</v>
      </c>
      <c r="T301" s="227"/>
      <c r="U301" s="233"/>
    </row>
    <row r="302">
      <c r="A302" s="269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304"/>
      <c r="M302" s="283"/>
      <c r="N302" s="235"/>
      <c r="O302" s="235"/>
      <c r="P302" s="270"/>
      <c r="Q302" s="283" t="str">
        <f>IFERROR(SUMIF(Ventes!D5:D504,A302,Ventes!K5:K504),"")</f>
        <v>#ERROR!</v>
      </c>
      <c r="R302" s="235" t="str">
        <f>IFERROR(COUNTIF(Ventes!D5:D504,A302),"")</f>
        <v>#ERROR!</v>
      </c>
      <c r="S302" s="283" t="str">
        <f>IFERROR(Q302/R302,"")</f>
        <v>#ERROR!</v>
      </c>
      <c r="T302" s="235"/>
      <c r="U302" s="240"/>
    </row>
    <row r="303">
      <c r="A303" s="265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302"/>
      <c r="M303" s="281"/>
      <c r="N303" s="227"/>
      <c r="O303" s="227"/>
      <c r="P303" s="266"/>
      <c r="Q303" s="281" t="str">
        <f>IFERROR(SUMIF(Ventes!D5:D504,A303,Ventes!K5:K504),"")</f>
        <v>#ERROR!</v>
      </c>
      <c r="R303" s="227" t="str">
        <f>IFERROR(COUNTIF(Ventes!D5:D504,A303),"")</f>
        <v>#ERROR!</v>
      </c>
      <c r="S303" s="281" t="str">
        <f>IFERROR(Q303/R303,"")</f>
        <v>#ERROR!</v>
      </c>
      <c r="T303" s="227"/>
      <c r="U303" s="233"/>
    </row>
    <row r="304">
      <c r="A304" s="269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304"/>
      <c r="M304" s="283"/>
      <c r="N304" s="235"/>
      <c r="O304" s="235"/>
      <c r="P304" s="270"/>
      <c r="Q304" s="283" t="str">
        <f>IFERROR(SUMIF(Ventes!D5:D504,A304,Ventes!K5:K504),"")</f>
        <v>#ERROR!</v>
      </c>
      <c r="R304" s="235" t="str">
        <f>IFERROR(COUNTIF(Ventes!D5:D504,A304),"")</f>
        <v>#ERROR!</v>
      </c>
      <c r="S304" s="283" t="str">
        <f>IFERROR(Q304/R304,"")</f>
        <v>#ERROR!</v>
      </c>
      <c r="T304" s="235"/>
      <c r="U304" s="240"/>
    </row>
    <row r="305">
      <c r="A305" s="265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302"/>
      <c r="M305" s="281"/>
      <c r="N305" s="227"/>
      <c r="O305" s="227"/>
      <c r="P305" s="266"/>
      <c r="Q305" s="281" t="str">
        <f>IFERROR(SUMIF(Ventes!D5:D504,A305,Ventes!K5:K504),"")</f>
        <v>#ERROR!</v>
      </c>
      <c r="R305" s="227" t="str">
        <f>IFERROR(COUNTIF(Ventes!D5:D504,A305),"")</f>
        <v>#ERROR!</v>
      </c>
      <c r="S305" s="281" t="str">
        <f>IFERROR(Q305/R305,"")</f>
        <v>#ERROR!</v>
      </c>
      <c r="T305" s="227"/>
      <c r="U305" s="233"/>
    </row>
    <row r="306">
      <c r="A306" s="269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304"/>
      <c r="M306" s="283"/>
      <c r="N306" s="235"/>
      <c r="O306" s="235"/>
      <c r="P306" s="270"/>
      <c r="Q306" s="283" t="str">
        <f>IFERROR(SUMIF(Ventes!D5:D504,A306,Ventes!K5:K504),"")</f>
        <v>#ERROR!</v>
      </c>
      <c r="R306" s="235" t="str">
        <f>IFERROR(COUNTIF(Ventes!D5:D504,A306),"")</f>
        <v>#ERROR!</v>
      </c>
      <c r="S306" s="283" t="str">
        <f>IFERROR(Q306/R306,"")</f>
        <v>#ERROR!</v>
      </c>
      <c r="T306" s="235"/>
      <c r="U306" s="240"/>
    </row>
    <row r="307">
      <c r="A307" s="265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302"/>
      <c r="M307" s="281"/>
      <c r="N307" s="227"/>
      <c r="O307" s="227"/>
      <c r="P307" s="266"/>
      <c r="Q307" s="281" t="str">
        <f>IFERROR(SUMIF(Ventes!D5:D504,A307,Ventes!K5:K504),"")</f>
        <v>#ERROR!</v>
      </c>
      <c r="R307" s="227" t="str">
        <f>IFERROR(COUNTIF(Ventes!D5:D504,A307),"")</f>
        <v>#ERROR!</v>
      </c>
      <c r="S307" s="281" t="str">
        <f>IFERROR(Q307/R307,"")</f>
        <v>#ERROR!</v>
      </c>
      <c r="T307" s="227"/>
      <c r="U307" s="233"/>
    </row>
    <row r="308">
      <c r="A308" s="269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304"/>
      <c r="M308" s="283"/>
      <c r="N308" s="235"/>
      <c r="O308" s="235"/>
      <c r="P308" s="270"/>
      <c r="Q308" s="283" t="str">
        <f>IFERROR(SUMIF(Ventes!D5:D504,A308,Ventes!K5:K504),"")</f>
        <v>#ERROR!</v>
      </c>
      <c r="R308" s="235" t="str">
        <f>IFERROR(COUNTIF(Ventes!D5:D504,A308),"")</f>
        <v>#ERROR!</v>
      </c>
      <c r="S308" s="283" t="str">
        <f>IFERROR(Q308/R308,"")</f>
        <v>#ERROR!</v>
      </c>
      <c r="T308" s="235"/>
      <c r="U308" s="240"/>
    </row>
    <row r="309">
      <c r="A309" s="271"/>
      <c r="B309" s="246"/>
      <c r="C309" s="246"/>
      <c r="D309" s="246"/>
      <c r="E309" s="246"/>
      <c r="F309" s="246"/>
      <c r="G309" s="246"/>
      <c r="H309" s="246"/>
      <c r="I309" s="246"/>
      <c r="J309" s="246"/>
      <c r="K309" s="246"/>
      <c r="L309" s="306"/>
      <c r="M309" s="285"/>
      <c r="N309" s="246"/>
      <c r="O309" s="246"/>
      <c r="P309" s="272"/>
      <c r="Q309" s="285" t="str">
        <f>IFERROR(SUMIF(Ventes!D5:D504,A309,Ventes!K5:K504),"")</f>
        <v>#ERROR!</v>
      </c>
      <c r="R309" s="246" t="str">
        <f>IFERROR(COUNTIF(Ventes!D5:D504,A309),"")</f>
        <v>#ERROR!</v>
      </c>
      <c r="S309" s="285" t="str">
        <f>IFERROR(Q309/R309,"")</f>
        <v>#ERROR!</v>
      </c>
      <c r="T309" s="246"/>
      <c r="U309" s="251"/>
    </row>
  </sheetData>
  <mergeCells count="4">
    <mergeCell ref="A1:R1"/>
    <mergeCell ref="A2:R2"/>
    <mergeCell ref="A4:R4"/>
    <mergeCell ref="A158:R158"/>
  </mergeCells>
  <conditionalFormatting sqref="N6:N155">
    <cfRule type="cellIs" dxfId="2" priority="1" stopIfTrue="1" operator="equal">
      <formula>"Rupture"</formula>
    </cfRule>
  </conditionalFormatting>
  <conditionalFormatting sqref="N6:N155">
    <cfRule type="cellIs" dxfId="2" priority="2" stopIfTrue="1" operator="equal">
      <formula>"NC"</formula>
    </cfRule>
  </conditionalFormatting>
  <conditionalFormatting sqref="N6:N155">
    <cfRule type="cellIs" dxfId="2" priority="3" stopIfTrue="1" operator="equal">
      <formula>"Expire"</formula>
    </cfRule>
  </conditionalFormatting>
  <conditionalFormatting sqref="N6:N155">
    <cfRule type="cellIs" dxfId="2" priority="4" stopIfTrue="1" operator="equal">
      <formula>"URGENT"</formula>
    </cfRule>
  </conditionalFormatting>
  <conditionalFormatting sqref="N6:N155">
    <cfRule type="cellIs" dxfId="2" priority="5" stopIfTrue="1" operator="equal">
      <formula>"Bloque"</formula>
    </cfRule>
  </conditionalFormatting>
  <conditionalFormatting sqref="N6:N155">
    <cfRule type="cellIs" dxfId="3" priority="6" stopIfTrue="1" operator="equal">
      <formula>"Proche"</formula>
    </cfRule>
  </conditionalFormatting>
  <conditionalFormatting sqref="N6:N155">
    <cfRule type="cellIs" dxfId="3" priority="7" stopIfTrue="1" operator="equal">
      <formula>"A PRODUIRE"</formula>
    </cfRule>
  </conditionalFormatting>
  <conditionalFormatting sqref="N6:N155">
    <cfRule type="cellIs" dxfId="3" priority="8" stopIfTrue="1" operator="equal">
      <formula>"Sous-temperature"</formula>
    </cfRule>
  </conditionalFormatting>
  <conditionalFormatting sqref="N6:N155">
    <cfRule type="cellIs" dxfId="4" priority="9" stopIfTrue="1" operator="equal">
      <formula>"OK"</formula>
    </cfRule>
  </conditionalFormatting>
  <conditionalFormatting sqref="N6:N155">
    <cfRule type="cellIs" dxfId="4" priority="10" stopIfTrue="1" operator="equal">
      <formula>"Valide"</formula>
    </cfRule>
  </conditionalFormatting>
  <conditionalFormatting sqref="N6:N155">
    <cfRule type="cellIs" dxfId="4" priority="11" stopIfTrue="1" operator="equal">
      <formula>"Termine"</formula>
    </cfRule>
  </conditionalFormatting>
  <conditionalFormatting sqref="N6:N155">
    <cfRule type="cellIs" dxfId="4" priority="12" stopIfTrue="1" operator="equal">
      <formula>"Actif"</formula>
    </cfRule>
  </conditionalFormatting>
  <conditionalFormatting sqref="T160:T309">
    <cfRule type="cellIs" dxfId="2" priority="13" stopIfTrue="1" operator="equal">
      <formula>"Rupture"</formula>
    </cfRule>
  </conditionalFormatting>
  <conditionalFormatting sqref="T160:T309">
    <cfRule type="cellIs" dxfId="2" priority="14" stopIfTrue="1" operator="equal">
      <formula>"NC"</formula>
    </cfRule>
  </conditionalFormatting>
  <conditionalFormatting sqref="T160:T309">
    <cfRule type="cellIs" dxfId="2" priority="15" stopIfTrue="1" operator="equal">
      <formula>"Expire"</formula>
    </cfRule>
  </conditionalFormatting>
  <conditionalFormatting sqref="T160:T309">
    <cfRule type="cellIs" dxfId="2" priority="16" stopIfTrue="1" operator="equal">
      <formula>"URGENT"</formula>
    </cfRule>
  </conditionalFormatting>
  <conditionalFormatting sqref="T160:T309">
    <cfRule type="cellIs" dxfId="2" priority="17" stopIfTrue="1" operator="equal">
      <formula>"Bloque"</formula>
    </cfRule>
  </conditionalFormatting>
  <conditionalFormatting sqref="T160:T309">
    <cfRule type="cellIs" dxfId="3" priority="18" stopIfTrue="1" operator="equal">
      <formula>"Proche"</formula>
    </cfRule>
  </conditionalFormatting>
  <conditionalFormatting sqref="T160:T309">
    <cfRule type="cellIs" dxfId="3" priority="19" stopIfTrue="1" operator="equal">
      <formula>"A PRODUIRE"</formula>
    </cfRule>
  </conditionalFormatting>
  <conditionalFormatting sqref="T160:T309">
    <cfRule type="cellIs" dxfId="3" priority="20" stopIfTrue="1" operator="equal">
      <formula>"Sous-temperature"</formula>
    </cfRule>
  </conditionalFormatting>
  <conditionalFormatting sqref="T160:T309">
    <cfRule type="cellIs" dxfId="4" priority="21" stopIfTrue="1" operator="equal">
      <formula>"OK"</formula>
    </cfRule>
  </conditionalFormatting>
  <conditionalFormatting sqref="T160:T309">
    <cfRule type="cellIs" dxfId="4" priority="22" stopIfTrue="1" operator="equal">
      <formula>"Valide"</formula>
    </cfRule>
  </conditionalFormatting>
  <conditionalFormatting sqref="T160:T309">
    <cfRule type="cellIs" dxfId="4" priority="23" stopIfTrue="1" operator="equal">
      <formula>"Termine"</formula>
    </cfRule>
  </conditionalFormatting>
  <conditionalFormatting sqref="T160:T309">
    <cfRule type="cellIs" dxfId="4" priority="24" stopIfTrue="1" operator="equal">
      <formula>"Actif"</formula>
    </cfRule>
  </conditionalFormatting>
  <conditionalFormatting sqref="P160:P309">
    <cfRule type="expression" dxfId="3" priority="25" stopIfTrue="1">
      <formula>"=AND(P160&lt;&gt;"",TODAY()-P160&gt;90)"</formula>
    </cfRule>
  </conditionalFormatting>
  <dataValidations>
    <dataValidation type="list" allowBlank="1" sqref="F6:F155 K160:K309">
      <formula1>"B to C Marches,E-commerce,Restaurants,Epiceries fines,Hotels / Airbnb,GMS"</formula1>
    </dataValidation>
    <dataValidation type="list" allowBlank="1" sqref="N6:N155">
      <formula1>"Actif,Fidele,Occasionnel,Inactif,Prospect"</formula1>
    </dataValidation>
    <dataValidation type="list" allowBlank="1" sqref="J160:J309">
      <formula1>"Restaurant,Epicerie fine,Hotel,Airbnb,GMS,Traiteur,CE / Association,Grossiste,Autre"</formula1>
    </dataValidation>
    <dataValidation type="list" allowBlank="1" sqref="N160:N309">
      <formula1>"Comptant,8 jours,15 jours,30 jours,45 jours,60 jours,Sur devis"</formula1>
    </dataValidation>
    <dataValidation type="list" allowBlank="1" sqref="T160:T309">
      <formula1>"Actif,Prospect chaud,Prospect froid,En negociation,Inactif,Perdu"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min="1" max="1" width="12.63"/>
    <col customWidth="1" min="2" max="2" width="12.0"/>
    <col customWidth="1" min="3" max="3" width="27.63"/>
    <col customWidth="1" min="4" max="4" width="16.38"/>
    <col customWidth="1" min="5" max="5" width="22.63"/>
    <col customWidth="1" min="6" max="6" width="8.25"/>
    <col customWidth="1" min="7" max="7" width="11.38"/>
    <col customWidth="1" min="8" max="8" width="10.13"/>
    <col customWidth="1" min="9" max="10" width="12.63"/>
    <col customWidth="1" min="11" max="12" width="10.13"/>
    <col customWidth="1" min="13" max="13" width="13.88"/>
    <col customWidth="1" min="14" max="14" width="22.63"/>
  </cols>
  <sheetData>
    <row r="1" ht="25.5" customHeight="1">
      <c r="A1" s="140" t="s">
        <v>1116</v>
      </c>
    </row>
    <row r="2" ht="25.5" customHeight="1">
      <c r="A2" s="275" t="s">
        <v>1117</v>
      </c>
    </row>
    <row r="3" ht="16.5" customHeight="1">
      <c r="A3" s="261" t="s">
        <v>1118</v>
      </c>
    </row>
    <row r="4">
      <c r="A4" s="31" t="s">
        <v>551</v>
      </c>
      <c r="B4" s="31" t="s">
        <v>1119</v>
      </c>
      <c r="C4" s="31" t="s">
        <v>1120</v>
      </c>
      <c r="D4" s="31" t="s">
        <v>1121</v>
      </c>
      <c r="E4" s="31" t="s">
        <v>1122</v>
      </c>
      <c r="F4" s="31" t="s">
        <v>1123</v>
      </c>
    </row>
    <row r="5" ht="16.5" customHeight="1">
      <c r="A5" s="397" t="s">
        <v>1124</v>
      </c>
      <c r="B5" s="398">
        <v>-0.05</v>
      </c>
      <c r="C5" s="397" t="s">
        <v>1125</v>
      </c>
      <c r="D5" s="397" t="s">
        <v>1126</v>
      </c>
      <c r="E5" s="397" t="s">
        <v>1127</v>
      </c>
      <c r="F5" s="397" t="s">
        <v>1128</v>
      </c>
    </row>
    <row r="6" ht="16.5" customHeight="1">
      <c r="A6" s="399" t="s">
        <v>1129</v>
      </c>
      <c r="B6" s="398">
        <v>-0.08</v>
      </c>
      <c r="C6" s="399" t="s">
        <v>1130</v>
      </c>
      <c r="D6" s="399" t="s">
        <v>1131</v>
      </c>
      <c r="E6" s="399" t="s">
        <v>1132</v>
      </c>
      <c r="F6" s="399" t="s">
        <v>1133</v>
      </c>
    </row>
    <row r="7" ht="16.5" customHeight="1">
      <c r="A7" s="397" t="s">
        <v>1134</v>
      </c>
      <c r="B7" s="398">
        <v>-0.1</v>
      </c>
      <c r="C7" s="397" t="s">
        <v>1135</v>
      </c>
      <c r="D7" s="397" t="s">
        <v>1136</v>
      </c>
      <c r="E7" s="400" t="s">
        <v>1137</v>
      </c>
      <c r="F7" s="397" t="s">
        <v>1138</v>
      </c>
    </row>
    <row r="8" ht="16.5" customHeight="1">
      <c r="A8" s="399" t="s">
        <v>1139</v>
      </c>
      <c r="B8" s="398">
        <v>-0.12</v>
      </c>
      <c r="C8" s="399" t="s">
        <v>1135</v>
      </c>
      <c r="D8" s="399" t="s">
        <v>1140</v>
      </c>
      <c r="E8" s="401" t="s">
        <v>1141</v>
      </c>
      <c r="F8" s="399" t="s">
        <v>1142</v>
      </c>
    </row>
    <row r="9" ht="16.5" customHeight="1">
      <c r="A9" s="397" t="s">
        <v>1143</v>
      </c>
      <c r="B9" s="398">
        <v>-0.15</v>
      </c>
      <c r="C9" s="397" t="s">
        <v>1135</v>
      </c>
      <c r="D9" s="397" t="s">
        <v>1140</v>
      </c>
      <c r="E9" s="400" t="s">
        <v>1144</v>
      </c>
      <c r="F9" s="397" t="s">
        <v>1145</v>
      </c>
    </row>
    <row r="10">
      <c r="A10" s="27" t="s">
        <v>1146</v>
      </c>
      <c r="B10" s="27" t="s">
        <v>1147</v>
      </c>
      <c r="C10" s="27" t="s">
        <v>1148</v>
      </c>
      <c r="D10" s="27" t="s">
        <v>1149</v>
      </c>
      <c r="E10" s="402">
        <v>46121.08333333333</v>
      </c>
      <c r="F10" s="27" t="s">
        <v>1150</v>
      </c>
      <c r="G10" s="27" t="s">
        <v>1151</v>
      </c>
      <c r="H10" s="55">
        <v>30.0</v>
      </c>
      <c r="I10" s="55">
        <v>192.41706161137444</v>
      </c>
      <c r="J10" s="55">
        <v>10.0</v>
      </c>
      <c r="K10" s="55">
        <v>173.175355450237</v>
      </c>
      <c r="L10" s="27" t="s">
        <v>1152</v>
      </c>
    </row>
    <row r="11">
      <c r="A11" s="27" t="s">
        <v>1153</v>
      </c>
      <c r="B11" s="27" t="s">
        <v>1147</v>
      </c>
      <c r="E11" s="402">
        <v>46116.08333333333</v>
      </c>
      <c r="F11" s="27" t="s">
        <v>1154</v>
      </c>
      <c r="G11" s="27" t="s">
        <v>1155</v>
      </c>
      <c r="H11" s="55">
        <v>15.0</v>
      </c>
      <c r="I11" s="55">
        <v>83.88625592417063</v>
      </c>
      <c r="J11" s="55">
        <v>5.0</v>
      </c>
      <c r="K11" s="55">
        <v>79.69194312796209</v>
      </c>
      <c r="L11" s="27" t="s">
        <v>1152</v>
      </c>
    </row>
    <row r="12" ht="16.5" customHeight="1">
      <c r="A12" s="18" t="s">
        <v>1156</v>
      </c>
    </row>
    <row r="13" ht="19.5" customHeight="1">
      <c r="A13" s="31" t="s">
        <v>1157</v>
      </c>
      <c r="B13" s="31" t="s">
        <v>73</v>
      </c>
      <c r="C13" s="31" t="s">
        <v>1158</v>
      </c>
      <c r="D13" s="31" t="s">
        <v>75</v>
      </c>
      <c r="E13" s="31" t="s">
        <v>1159</v>
      </c>
      <c r="F13" s="31" t="s">
        <v>79</v>
      </c>
      <c r="G13" s="31" t="s">
        <v>723</v>
      </c>
      <c r="H13" s="31" t="s">
        <v>81</v>
      </c>
      <c r="I13" s="31" t="s">
        <v>656</v>
      </c>
      <c r="J13" s="31" t="s">
        <v>84</v>
      </c>
      <c r="K13" s="31" t="s">
        <v>1120</v>
      </c>
      <c r="L13" s="31" t="s">
        <v>1121</v>
      </c>
      <c r="M13" s="31" t="s">
        <v>105</v>
      </c>
      <c r="N13" s="31" t="s">
        <v>61</v>
      </c>
    </row>
    <row r="14">
      <c r="A14" s="403" t="str">
        <f>IF(C14="","","BCE-"&amp;TEXT(YEAR(TODAY()),"0000")&amp;"-"&amp;TEXT(ROW()-13,"000"))</f>
        <v>#ERROR!</v>
      </c>
      <c r="B14" s="278"/>
      <c r="C14" s="217"/>
      <c r="D14" s="217"/>
      <c r="E14" s="217"/>
      <c r="F14" s="217"/>
      <c r="G14" s="217"/>
      <c r="H14" s="404" t="str">
        <f>IFERROR(IF(F14="","",IF(F14&gt;=201,15,IF(F14&gt;=101,12,IF(F14&gt;=51,10,IF(F14&gt;=21,8,5))))),"")</f>
        <v>#ERROR!</v>
      </c>
      <c r="I14" s="405" t="str">
        <f>IFERROR(IF(OR(F14="",G14=""),"",G14*F14*(1-H14/100)),"")</f>
        <v>#ERROR!</v>
      </c>
      <c r="J14" s="406" t="str">
        <f>IFERROR(IF(I14="","",I14*1.055),"")</f>
        <v>#ERROR!</v>
      </c>
      <c r="K14" s="407" t="str">
        <f>IFERROR(IF(F14="","",IF(F14&gt;=30,"Offerts","15 EUR")),"")</f>
        <v>#ERROR!</v>
      </c>
      <c r="L14" s="407" t="str">
        <f>IFERROR(IF(F14="","",IF(F14&gt;=51,"J+7",IF(F14&gt;=21,"J+8","J+10"))),"")</f>
        <v>#ERROR!</v>
      </c>
      <c r="M14" s="217"/>
      <c r="N14" s="223"/>
    </row>
    <row r="15">
      <c r="A15" s="408" t="str">
        <f>IF(C15="","","BCE-"&amp;TEXT(YEAR(TODAY()),"0000")&amp;"-"&amp;TEXT(ROW()-13,"000"))</f>
        <v>#ERROR!</v>
      </c>
      <c r="B15" s="266"/>
      <c r="C15" s="227"/>
      <c r="D15" s="227"/>
      <c r="E15" s="227"/>
      <c r="F15" s="227"/>
      <c r="G15" s="227"/>
      <c r="H15" s="409" t="str">
        <f>IFERROR(IF(F15="","",IF(F15&gt;=201,15,IF(F15&gt;=101,12,IF(F15&gt;=51,10,IF(F15&gt;=21,8,5))))),"")</f>
        <v>#ERROR!</v>
      </c>
      <c r="I15" s="410" t="str">
        <f>IFERROR(IF(OR(F15="",G15=""),"",G15*F15*(1-H15/100)),"")</f>
        <v>#ERROR!</v>
      </c>
      <c r="J15" s="411" t="str">
        <f>IFERROR(IF(I15="","",I15*1.055),"")</f>
        <v>#ERROR!</v>
      </c>
      <c r="K15" s="412" t="str">
        <f>IFERROR(IF(F15="","",IF(F15&gt;=30,"Offerts","15 EUR")),"")</f>
        <v>#ERROR!</v>
      </c>
      <c r="L15" s="412" t="str">
        <f>IFERROR(IF(F15="","",IF(F15&gt;=51,"J+7",IF(F15&gt;=21,"J+8","J+10"))),"")</f>
        <v>#ERROR!</v>
      </c>
      <c r="M15" s="227"/>
      <c r="N15" s="233"/>
    </row>
    <row r="16">
      <c r="A16" s="408" t="str">
        <f>IF(C16="","","BCE-"&amp;TEXT(YEAR(TODAY()),"0000")&amp;"-"&amp;TEXT(ROW()-13,"000"))</f>
        <v>#ERROR!</v>
      </c>
      <c r="B16" s="270"/>
      <c r="C16" s="235"/>
      <c r="D16" s="235"/>
      <c r="E16" s="235"/>
      <c r="F16" s="235"/>
      <c r="G16" s="235"/>
      <c r="H16" s="409" t="str">
        <f>IFERROR(IF(F16="","",IF(F16&gt;=201,15,IF(F16&gt;=101,12,IF(F16&gt;=51,10,IF(F16&gt;=21,8,5))))),"")</f>
        <v>#ERROR!</v>
      </c>
      <c r="I16" s="410" t="str">
        <f>IFERROR(IF(OR(F16="",G16=""),"",G16*F16*(1-H16/100)),"")</f>
        <v>#ERROR!</v>
      </c>
      <c r="J16" s="411" t="str">
        <f>IFERROR(IF(I16="","",I16*1.055),"")</f>
        <v>#ERROR!</v>
      </c>
      <c r="K16" s="413" t="str">
        <f>IFERROR(IF(F16="","",IF(F16&gt;=30,"Offerts","15 EUR")),"")</f>
        <v>#ERROR!</v>
      </c>
      <c r="L16" s="413" t="str">
        <f>IFERROR(IF(F16="","",IF(F16&gt;=51,"J+7",IF(F16&gt;=21,"J+8","J+10"))),"")</f>
        <v>#ERROR!</v>
      </c>
      <c r="M16" s="235"/>
      <c r="N16" s="240"/>
    </row>
    <row r="17">
      <c r="A17" s="408" t="str">
        <f>IF(C17="","","BCE-"&amp;TEXT(YEAR(TODAY()),"0000")&amp;"-"&amp;TEXT(ROW()-13,"000"))</f>
        <v>#ERROR!</v>
      </c>
      <c r="B17" s="266"/>
      <c r="C17" s="227"/>
      <c r="D17" s="227"/>
      <c r="E17" s="227"/>
      <c r="F17" s="227"/>
      <c r="G17" s="227"/>
      <c r="H17" s="409" t="str">
        <f>IFERROR(IF(F17="","",IF(F17&gt;=201,15,IF(F17&gt;=101,12,IF(F17&gt;=51,10,IF(F17&gt;=21,8,5))))),"")</f>
        <v>#ERROR!</v>
      </c>
      <c r="I17" s="410" t="str">
        <f>IFERROR(IF(OR(F17="",G17=""),"",G17*F17*(1-H17/100)),"")</f>
        <v>#ERROR!</v>
      </c>
      <c r="J17" s="411" t="str">
        <f>IFERROR(IF(I17="","",I17*1.055),"")</f>
        <v>#ERROR!</v>
      </c>
      <c r="K17" s="412" t="str">
        <f>IFERROR(IF(F17="","",IF(F17&gt;=30,"Offerts","15 EUR")),"")</f>
        <v>#ERROR!</v>
      </c>
      <c r="L17" s="412" t="str">
        <f>IFERROR(IF(F17="","",IF(F17&gt;=51,"J+7",IF(F17&gt;=21,"J+8","J+10"))),"")</f>
        <v>#ERROR!</v>
      </c>
      <c r="M17" s="227"/>
      <c r="N17" s="233"/>
    </row>
    <row r="18">
      <c r="A18" s="408" t="str">
        <f>IF(C18="","","BCE-"&amp;TEXT(YEAR(TODAY()),"0000")&amp;"-"&amp;TEXT(ROW()-13,"000"))</f>
        <v>#ERROR!</v>
      </c>
      <c r="B18" s="270"/>
      <c r="C18" s="235"/>
      <c r="D18" s="235"/>
      <c r="E18" s="235"/>
      <c r="F18" s="235"/>
      <c r="G18" s="235"/>
      <c r="H18" s="409" t="str">
        <f>IFERROR(IF(F18="","",IF(F18&gt;=201,15,IF(F18&gt;=101,12,IF(F18&gt;=51,10,IF(F18&gt;=21,8,5))))),"")</f>
        <v>#ERROR!</v>
      </c>
      <c r="I18" s="410" t="str">
        <f>IFERROR(IF(OR(F18="",G18=""),"",G18*F18*(1-H18/100)),"")</f>
        <v>#ERROR!</v>
      </c>
      <c r="J18" s="411" t="str">
        <f>IFERROR(IF(I18="","",I18*1.055),"")</f>
        <v>#ERROR!</v>
      </c>
      <c r="K18" s="413" t="str">
        <f>IFERROR(IF(F18="","",IF(F18&gt;=30,"Offerts","15 EUR")),"")</f>
        <v>#ERROR!</v>
      </c>
      <c r="L18" s="413" t="str">
        <f>IFERROR(IF(F18="","",IF(F18&gt;=51,"J+7",IF(F18&gt;=21,"J+8","J+10"))),"")</f>
        <v>#ERROR!</v>
      </c>
      <c r="M18" s="235"/>
      <c r="N18" s="240"/>
    </row>
    <row r="19">
      <c r="A19" s="408" t="str">
        <f>IF(C19="","","BCE-"&amp;TEXT(YEAR(TODAY()),"0000")&amp;"-"&amp;TEXT(ROW()-13,"000"))</f>
        <v>#ERROR!</v>
      </c>
      <c r="B19" s="266"/>
      <c r="C19" s="227"/>
      <c r="D19" s="227"/>
      <c r="E19" s="227"/>
      <c r="F19" s="227"/>
      <c r="G19" s="227"/>
      <c r="H19" s="409" t="str">
        <f>IFERROR(IF(F19="","",IF(F19&gt;=201,15,IF(F19&gt;=101,12,IF(F19&gt;=51,10,IF(F19&gt;=21,8,5))))),"")</f>
        <v>#ERROR!</v>
      </c>
      <c r="I19" s="410" t="str">
        <f>IFERROR(IF(OR(F19="",G19=""),"",G19*F19*(1-H19/100)),"")</f>
        <v>#ERROR!</v>
      </c>
      <c r="J19" s="411" t="str">
        <f>IFERROR(IF(I19="","",I19*1.055),"")</f>
        <v>#ERROR!</v>
      </c>
      <c r="K19" s="412" t="str">
        <f>IFERROR(IF(F19="","",IF(F19&gt;=30,"Offerts","15 EUR")),"")</f>
        <v>#ERROR!</v>
      </c>
      <c r="L19" s="412" t="str">
        <f>IFERROR(IF(F19="","",IF(F19&gt;=51,"J+7",IF(F19&gt;=21,"J+8","J+10"))),"")</f>
        <v>#ERROR!</v>
      </c>
      <c r="M19" s="227"/>
      <c r="N19" s="233"/>
    </row>
    <row r="20">
      <c r="A20" s="408" t="str">
        <f>IF(C20="","","BCE-"&amp;TEXT(YEAR(TODAY()),"0000")&amp;"-"&amp;TEXT(ROW()-13,"000"))</f>
        <v>#ERROR!</v>
      </c>
      <c r="B20" s="270"/>
      <c r="C20" s="235"/>
      <c r="D20" s="235"/>
      <c r="E20" s="235"/>
      <c r="F20" s="235"/>
      <c r="G20" s="235"/>
      <c r="H20" s="409" t="str">
        <f>IFERROR(IF(F20="","",IF(F20&gt;=201,15,IF(F20&gt;=101,12,IF(F20&gt;=51,10,IF(F20&gt;=21,8,5))))),"")</f>
        <v>#ERROR!</v>
      </c>
      <c r="I20" s="410" t="str">
        <f>IFERROR(IF(OR(F20="",G20=""),"",G20*F20*(1-H20/100)),"")</f>
        <v>#ERROR!</v>
      </c>
      <c r="J20" s="411" t="str">
        <f>IFERROR(IF(I20="","",I20*1.055),"")</f>
        <v>#ERROR!</v>
      </c>
      <c r="K20" s="413" t="str">
        <f>IFERROR(IF(F20="","",IF(F20&gt;=30,"Offerts","15 EUR")),"")</f>
        <v>#ERROR!</v>
      </c>
      <c r="L20" s="413" t="str">
        <f>IFERROR(IF(F20="","",IF(F20&gt;=51,"J+7",IF(F20&gt;=21,"J+8","J+10"))),"")</f>
        <v>#ERROR!</v>
      </c>
      <c r="M20" s="235"/>
      <c r="N20" s="240"/>
    </row>
    <row r="21">
      <c r="A21" s="408" t="str">
        <f>IF(C21="","","BCE-"&amp;TEXT(YEAR(TODAY()),"0000")&amp;"-"&amp;TEXT(ROW()-13,"000"))</f>
        <v>#ERROR!</v>
      </c>
      <c r="B21" s="266"/>
      <c r="C21" s="227"/>
      <c r="D21" s="227"/>
      <c r="E21" s="227"/>
      <c r="F21" s="227"/>
      <c r="G21" s="227"/>
      <c r="H21" s="409" t="str">
        <f>IFERROR(IF(F21="","",IF(F21&gt;=201,15,IF(F21&gt;=101,12,IF(F21&gt;=51,10,IF(F21&gt;=21,8,5))))),"")</f>
        <v>#ERROR!</v>
      </c>
      <c r="I21" s="410" t="str">
        <f>IFERROR(IF(OR(F21="",G21=""),"",G21*F21*(1-H21/100)),"")</f>
        <v>#ERROR!</v>
      </c>
      <c r="J21" s="411" t="str">
        <f>IFERROR(IF(I21="","",I21*1.055),"")</f>
        <v>#ERROR!</v>
      </c>
      <c r="K21" s="412" t="str">
        <f>IFERROR(IF(F21="","",IF(F21&gt;=30,"Offerts","15 EUR")),"")</f>
        <v>#ERROR!</v>
      </c>
      <c r="L21" s="412" t="str">
        <f>IFERROR(IF(F21="","",IF(F21&gt;=51,"J+7",IF(F21&gt;=21,"J+8","J+10"))),"")</f>
        <v>#ERROR!</v>
      </c>
      <c r="M21" s="227"/>
      <c r="N21" s="233"/>
    </row>
    <row r="22">
      <c r="A22" s="408" t="str">
        <f>IF(C22="","","BCE-"&amp;TEXT(YEAR(TODAY()),"0000")&amp;"-"&amp;TEXT(ROW()-13,"000"))</f>
        <v>#ERROR!</v>
      </c>
      <c r="B22" s="270"/>
      <c r="C22" s="235"/>
      <c r="D22" s="235"/>
      <c r="E22" s="235"/>
      <c r="F22" s="235"/>
      <c r="G22" s="235"/>
      <c r="H22" s="409" t="str">
        <f>IFERROR(IF(F22="","",IF(F22&gt;=201,15,IF(F22&gt;=101,12,IF(F22&gt;=51,10,IF(F22&gt;=21,8,5))))),"")</f>
        <v>#ERROR!</v>
      </c>
      <c r="I22" s="410" t="str">
        <f>IFERROR(IF(OR(F22="",G22=""),"",G22*F22*(1-H22/100)),"")</f>
        <v>#ERROR!</v>
      </c>
      <c r="J22" s="411" t="str">
        <f>IFERROR(IF(I22="","",I22*1.055),"")</f>
        <v>#ERROR!</v>
      </c>
      <c r="K22" s="413" t="str">
        <f>IFERROR(IF(F22="","",IF(F22&gt;=30,"Offerts","15 EUR")),"")</f>
        <v>#ERROR!</v>
      </c>
      <c r="L22" s="413" t="str">
        <f>IFERROR(IF(F22="","",IF(F22&gt;=51,"J+7",IF(F22&gt;=21,"J+8","J+10"))),"")</f>
        <v>#ERROR!</v>
      </c>
      <c r="M22" s="235"/>
      <c r="N22" s="240"/>
    </row>
    <row r="23">
      <c r="A23" s="408" t="str">
        <f>IF(C23="","","BCE-"&amp;TEXT(YEAR(TODAY()),"0000")&amp;"-"&amp;TEXT(ROW()-13,"000"))</f>
        <v>#ERROR!</v>
      </c>
      <c r="B23" s="266"/>
      <c r="C23" s="227"/>
      <c r="D23" s="227"/>
      <c r="E23" s="227"/>
      <c r="F23" s="227"/>
      <c r="G23" s="227"/>
      <c r="H23" s="409" t="str">
        <f>IFERROR(IF(F23="","",IF(F23&gt;=201,15,IF(F23&gt;=101,12,IF(F23&gt;=51,10,IF(F23&gt;=21,8,5))))),"")</f>
        <v>#ERROR!</v>
      </c>
      <c r="I23" s="410" t="str">
        <f>IFERROR(IF(OR(F23="",G23=""),"",G23*F23*(1-H23/100)),"")</f>
        <v>#ERROR!</v>
      </c>
      <c r="J23" s="411" t="str">
        <f>IFERROR(IF(I23="","",I23*1.055),"")</f>
        <v>#ERROR!</v>
      </c>
      <c r="K23" s="412" t="str">
        <f>IFERROR(IF(F23="","",IF(F23&gt;=30,"Offerts","15 EUR")),"")</f>
        <v>#ERROR!</v>
      </c>
      <c r="L23" s="412" t="str">
        <f>IFERROR(IF(F23="","",IF(F23&gt;=51,"J+7",IF(F23&gt;=21,"J+8","J+10"))),"")</f>
        <v>#ERROR!</v>
      </c>
      <c r="M23" s="227"/>
      <c r="N23" s="233"/>
    </row>
    <row r="24">
      <c r="A24" s="408" t="str">
        <f>IF(C24="","","BCE-"&amp;TEXT(YEAR(TODAY()),"0000")&amp;"-"&amp;TEXT(ROW()-13,"000"))</f>
        <v>#ERROR!</v>
      </c>
      <c r="B24" s="270"/>
      <c r="C24" s="235"/>
      <c r="D24" s="235"/>
      <c r="E24" s="235"/>
      <c r="F24" s="235"/>
      <c r="G24" s="235"/>
      <c r="H24" s="409" t="str">
        <f>IFERROR(IF(F24="","",IF(F24&gt;=201,15,IF(F24&gt;=101,12,IF(F24&gt;=51,10,IF(F24&gt;=21,8,5))))),"")</f>
        <v>#ERROR!</v>
      </c>
      <c r="I24" s="410" t="str">
        <f>IFERROR(IF(OR(F24="",G24=""),"",G24*F24*(1-H24/100)),"")</f>
        <v>#ERROR!</v>
      </c>
      <c r="J24" s="411" t="str">
        <f>IFERROR(IF(I24="","",I24*1.055),"")</f>
        <v>#ERROR!</v>
      </c>
      <c r="K24" s="413" t="str">
        <f>IFERROR(IF(F24="","",IF(F24&gt;=30,"Offerts","15 EUR")),"")</f>
        <v>#ERROR!</v>
      </c>
      <c r="L24" s="413" t="str">
        <f>IFERROR(IF(F24="","",IF(F24&gt;=51,"J+7",IF(F24&gt;=21,"J+8","J+10"))),"")</f>
        <v>#ERROR!</v>
      </c>
      <c r="M24" s="235"/>
      <c r="N24" s="240"/>
    </row>
    <row r="25">
      <c r="A25" s="408" t="str">
        <f>IF(C25="","","BCE-"&amp;TEXT(YEAR(TODAY()),"0000")&amp;"-"&amp;TEXT(ROW()-13,"000"))</f>
        <v>#ERROR!</v>
      </c>
      <c r="B25" s="266"/>
      <c r="C25" s="227"/>
      <c r="D25" s="227"/>
      <c r="E25" s="227"/>
      <c r="F25" s="227"/>
      <c r="G25" s="227"/>
      <c r="H25" s="409" t="str">
        <f>IFERROR(IF(F25="","",IF(F25&gt;=201,15,IF(F25&gt;=101,12,IF(F25&gt;=51,10,IF(F25&gt;=21,8,5))))),"")</f>
        <v>#ERROR!</v>
      </c>
      <c r="I25" s="410" t="str">
        <f>IFERROR(IF(OR(F25="",G25=""),"",G25*F25*(1-H25/100)),"")</f>
        <v>#ERROR!</v>
      </c>
      <c r="J25" s="411" t="str">
        <f>IFERROR(IF(I25="","",I25*1.055),"")</f>
        <v>#ERROR!</v>
      </c>
      <c r="K25" s="412" t="str">
        <f>IFERROR(IF(F25="","",IF(F25&gt;=30,"Offerts","15 EUR")),"")</f>
        <v>#ERROR!</v>
      </c>
      <c r="L25" s="412" t="str">
        <f>IFERROR(IF(F25="","",IF(F25&gt;=51,"J+7",IF(F25&gt;=21,"J+8","J+10"))),"")</f>
        <v>#ERROR!</v>
      </c>
      <c r="M25" s="227"/>
      <c r="N25" s="233"/>
    </row>
    <row r="26">
      <c r="A26" s="408" t="str">
        <f>IF(C26="","","BCE-"&amp;TEXT(YEAR(TODAY()),"0000")&amp;"-"&amp;TEXT(ROW()-13,"000"))</f>
        <v>#ERROR!</v>
      </c>
      <c r="B26" s="270"/>
      <c r="C26" s="235"/>
      <c r="D26" s="235"/>
      <c r="E26" s="235"/>
      <c r="F26" s="235"/>
      <c r="G26" s="235"/>
      <c r="H26" s="409" t="str">
        <f>IFERROR(IF(F26="","",IF(F26&gt;=201,15,IF(F26&gt;=101,12,IF(F26&gt;=51,10,IF(F26&gt;=21,8,5))))),"")</f>
        <v>#ERROR!</v>
      </c>
      <c r="I26" s="410" t="str">
        <f>IFERROR(IF(OR(F26="",G26=""),"",G26*F26*(1-H26/100)),"")</f>
        <v>#ERROR!</v>
      </c>
      <c r="J26" s="411" t="str">
        <f>IFERROR(IF(I26="","",I26*1.055),"")</f>
        <v>#ERROR!</v>
      </c>
      <c r="K26" s="413" t="str">
        <f>IFERROR(IF(F26="","",IF(F26&gt;=30,"Offerts","15 EUR")),"")</f>
        <v>#ERROR!</v>
      </c>
      <c r="L26" s="413" t="str">
        <f>IFERROR(IF(F26="","",IF(F26&gt;=51,"J+7",IF(F26&gt;=21,"J+8","J+10"))),"")</f>
        <v>#ERROR!</v>
      </c>
      <c r="M26" s="235"/>
      <c r="N26" s="240"/>
    </row>
    <row r="27">
      <c r="A27" s="408" t="str">
        <f>IF(C27="","","BCE-"&amp;TEXT(YEAR(TODAY()),"0000")&amp;"-"&amp;TEXT(ROW()-13,"000"))</f>
        <v>#ERROR!</v>
      </c>
      <c r="B27" s="266"/>
      <c r="C27" s="227"/>
      <c r="D27" s="227"/>
      <c r="E27" s="227"/>
      <c r="F27" s="227"/>
      <c r="G27" s="227"/>
      <c r="H27" s="409" t="str">
        <f>IFERROR(IF(F27="","",IF(F27&gt;=201,15,IF(F27&gt;=101,12,IF(F27&gt;=51,10,IF(F27&gt;=21,8,5))))),"")</f>
        <v>#ERROR!</v>
      </c>
      <c r="I27" s="410" t="str">
        <f>IFERROR(IF(OR(F27="",G27=""),"",G27*F27*(1-H27/100)),"")</f>
        <v>#ERROR!</v>
      </c>
      <c r="J27" s="411" t="str">
        <f>IFERROR(IF(I27="","",I27*1.055),"")</f>
        <v>#ERROR!</v>
      </c>
      <c r="K27" s="412" t="str">
        <f>IFERROR(IF(F27="","",IF(F27&gt;=30,"Offerts","15 EUR")),"")</f>
        <v>#ERROR!</v>
      </c>
      <c r="L27" s="412" t="str">
        <f>IFERROR(IF(F27="","",IF(F27&gt;=51,"J+7",IF(F27&gt;=21,"J+8","J+10"))),"")</f>
        <v>#ERROR!</v>
      </c>
      <c r="M27" s="227"/>
      <c r="N27" s="233"/>
    </row>
    <row r="28">
      <c r="A28" s="408" t="str">
        <f>IF(C28="","","BCE-"&amp;TEXT(YEAR(TODAY()),"0000")&amp;"-"&amp;TEXT(ROW()-13,"000"))</f>
        <v>#ERROR!</v>
      </c>
      <c r="B28" s="270"/>
      <c r="C28" s="235"/>
      <c r="D28" s="235"/>
      <c r="E28" s="235"/>
      <c r="F28" s="235"/>
      <c r="G28" s="235"/>
      <c r="H28" s="409" t="str">
        <f>IFERROR(IF(F28="","",IF(F28&gt;=201,15,IF(F28&gt;=101,12,IF(F28&gt;=51,10,IF(F28&gt;=21,8,5))))),"")</f>
        <v>#ERROR!</v>
      </c>
      <c r="I28" s="410" t="str">
        <f>IFERROR(IF(OR(F28="",G28=""),"",G28*F28*(1-H28/100)),"")</f>
        <v>#ERROR!</v>
      </c>
      <c r="J28" s="411" t="str">
        <f>IFERROR(IF(I28="","",I28*1.055),"")</f>
        <v>#ERROR!</v>
      </c>
      <c r="K28" s="413" t="str">
        <f>IFERROR(IF(F28="","",IF(F28&gt;=30,"Offerts","15 EUR")),"")</f>
        <v>#ERROR!</v>
      </c>
      <c r="L28" s="413" t="str">
        <f>IFERROR(IF(F28="","",IF(F28&gt;=51,"J+7",IF(F28&gt;=21,"J+8","J+10"))),"")</f>
        <v>#ERROR!</v>
      </c>
      <c r="M28" s="235"/>
      <c r="N28" s="240"/>
    </row>
    <row r="29">
      <c r="A29" s="408" t="str">
        <f>IF(C29="","","BCE-"&amp;TEXT(YEAR(TODAY()),"0000")&amp;"-"&amp;TEXT(ROW()-13,"000"))</f>
        <v>#ERROR!</v>
      </c>
      <c r="B29" s="266"/>
      <c r="C29" s="227"/>
      <c r="D29" s="227"/>
      <c r="E29" s="227"/>
      <c r="F29" s="227"/>
      <c r="G29" s="227"/>
      <c r="H29" s="409" t="str">
        <f>IFERROR(IF(F29="","",IF(F29&gt;=201,15,IF(F29&gt;=101,12,IF(F29&gt;=51,10,IF(F29&gt;=21,8,5))))),"")</f>
        <v>#ERROR!</v>
      </c>
      <c r="I29" s="410" t="str">
        <f>IFERROR(IF(OR(F29="",G29=""),"",G29*F29*(1-H29/100)),"")</f>
        <v>#ERROR!</v>
      </c>
      <c r="J29" s="411" t="str">
        <f>IFERROR(IF(I29="","",I29*1.055),"")</f>
        <v>#ERROR!</v>
      </c>
      <c r="K29" s="412" t="str">
        <f>IFERROR(IF(F29="","",IF(F29&gt;=30,"Offerts","15 EUR")),"")</f>
        <v>#ERROR!</v>
      </c>
      <c r="L29" s="412" t="str">
        <f>IFERROR(IF(F29="","",IF(F29&gt;=51,"J+7",IF(F29&gt;=21,"J+8","J+10"))),"")</f>
        <v>#ERROR!</v>
      </c>
      <c r="M29" s="227"/>
      <c r="N29" s="233"/>
    </row>
    <row r="30">
      <c r="A30" s="408" t="str">
        <f>IF(C30="","","BCE-"&amp;TEXT(YEAR(TODAY()),"0000")&amp;"-"&amp;TEXT(ROW()-13,"000"))</f>
        <v>#ERROR!</v>
      </c>
      <c r="B30" s="270"/>
      <c r="C30" s="235"/>
      <c r="D30" s="235"/>
      <c r="E30" s="235"/>
      <c r="F30" s="235"/>
      <c r="G30" s="235"/>
      <c r="H30" s="409" t="str">
        <f>IFERROR(IF(F30="","",IF(F30&gt;=201,15,IF(F30&gt;=101,12,IF(F30&gt;=51,10,IF(F30&gt;=21,8,5))))),"")</f>
        <v>#ERROR!</v>
      </c>
      <c r="I30" s="410" t="str">
        <f>IFERROR(IF(OR(F30="",G30=""),"",G30*F30*(1-H30/100)),"")</f>
        <v>#ERROR!</v>
      </c>
      <c r="J30" s="411" t="str">
        <f>IFERROR(IF(I30="","",I30*1.055),"")</f>
        <v>#ERROR!</v>
      </c>
      <c r="K30" s="413" t="str">
        <f>IFERROR(IF(F30="","",IF(F30&gt;=30,"Offerts","15 EUR")),"")</f>
        <v>#ERROR!</v>
      </c>
      <c r="L30" s="413" t="str">
        <f>IFERROR(IF(F30="","",IF(F30&gt;=51,"J+7",IF(F30&gt;=21,"J+8","J+10"))),"")</f>
        <v>#ERROR!</v>
      </c>
      <c r="M30" s="235"/>
      <c r="N30" s="240"/>
    </row>
    <row r="31">
      <c r="A31" s="408" t="str">
        <f>IF(C31="","","BCE-"&amp;TEXT(YEAR(TODAY()),"0000")&amp;"-"&amp;TEXT(ROW()-13,"000"))</f>
        <v>#ERROR!</v>
      </c>
      <c r="B31" s="266"/>
      <c r="C31" s="227"/>
      <c r="D31" s="227"/>
      <c r="E31" s="227"/>
      <c r="F31" s="227"/>
      <c r="G31" s="227"/>
      <c r="H31" s="409" t="str">
        <f>IFERROR(IF(F31="","",IF(F31&gt;=201,15,IF(F31&gt;=101,12,IF(F31&gt;=51,10,IF(F31&gt;=21,8,5))))),"")</f>
        <v>#ERROR!</v>
      </c>
      <c r="I31" s="410" t="str">
        <f>IFERROR(IF(OR(F31="",G31=""),"",G31*F31*(1-H31/100)),"")</f>
        <v>#ERROR!</v>
      </c>
      <c r="J31" s="411" t="str">
        <f>IFERROR(IF(I31="","",I31*1.055),"")</f>
        <v>#ERROR!</v>
      </c>
      <c r="K31" s="412" t="str">
        <f>IFERROR(IF(F31="","",IF(F31&gt;=30,"Offerts","15 EUR")),"")</f>
        <v>#ERROR!</v>
      </c>
      <c r="L31" s="412" t="str">
        <f>IFERROR(IF(F31="","",IF(F31&gt;=51,"J+7",IF(F31&gt;=21,"J+8","J+10"))),"")</f>
        <v>#ERROR!</v>
      </c>
      <c r="M31" s="227"/>
      <c r="N31" s="233"/>
    </row>
    <row r="32">
      <c r="A32" s="408" t="str">
        <f>IF(C32="","","BCE-"&amp;TEXT(YEAR(TODAY()),"0000")&amp;"-"&amp;TEXT(ROW()-13,"000"))</f>
        <v>#ERROR!</v>
      </c>
      <c r="B32" s="270"/>
      <c r="C32" s="235"/>
      <c r="D32" s="235"/>
      <c r="E32" s="235"/>
      <c r="F32" s="235"/>
      <c r="G32" s="235"/>
      <c r="H32" s="409" t="str">
        <f>IFERROR(IF(F32="","",IF(F32&gt;=201,15,IF(F32&gt;=101,12,IF(F32&gt;=51,10,IF(F32&gt;=21,8,5))))),"")</f>
        <v>#ERROR!</v>
      </c>
      <c r="I32" s="410" t="str">
        <f>IFERROR(IF(OR(F32="",G32=""),"",G32*F32*(1-H32/100)),"")</f>
        <v>#ERROR!</v>
      </c>
      <c r="J32" s="411" t="str">
        <f>IFERROR(IF(I32="","",I32*1.055),"")</f>
        <v>#ERROR!</v>
      </c>
      <c r="K32" s="413" t="str">
        <f>IFERROR(IF(F32="","",IF(F32&gt;=30,"Offerts","15 EUR")),"")</f>
        <v>#ERROR!</v>
      </c>
      <c r="L32" s="413" t="str">
        <f>IFERROR(IF(F32="","",IF(F32&gt;=51,"J+7",IF(F32&gt;=21,"J+8","J+10"))),"")</f>
        <v>#ERROR!</v>
      </c>
      <c r="M32" s="235"/>
      <c r="N32" s="240"/>
    </row>
    <row r="33">
      <c r="A33" s="408" t="str">
        <f>IF(C33="","","BCE-"&amp;TEXT(YEAR(TODAY()),"0000")&amp;"-"&amp;TEXT(ROW()-13,"000"))</f>
        <v>#ERROR!</v>
      </c>
      <c r="B33" s="266"/>
      <c r="C33" s="227"/>
      <c r="D33" s="227"/>
      <c r="E33" s="227"/>
      <c r="F33" s="227"/>
      <c r="G33" s="227"/>
      <c r="H33" s="409" t="str">
        <f>IFERROR(IF(F33="","",IF(F33&gt;=201,15,IF(F33&gt;=101,12,IF(F33&gt;=51,10,IF(F33&gt;=21,8,5))))),"")</f>
        <v>#ERROR!</v>
      </c>
      <c r="I33" s="410" t="str">
        <f>IFERROR(IF(OR(F33="",G33=""),"",G33*F33*(1-H33/100)),"")</f>
        <v>#ERROR!</v>
      </c>
      <c r="J33" s="411" t="str">
        <f>IFERROR(IF(I33="","",I33*1.055),"")</f>
        <v>#ERROR!</v>
      </c>
      <c r="K33" s="412" t="str">
        <f>IFERROR(IF(F33="","",IF(F33&gt;=30,"Offerts","15 EUR")),"")</f>
        <v>#ERROR!</v>
      </c>
      <c r="L33" s="412" t="str">
        <f>IFERROR(IF(F33="","",IF(F33&gt;=51,"J+7",IF(F33&gt;=21,"J+8","J+10"))),"")</f>
        <v>#ERROR!</v>
      </c>
      <c r="M33" s="227"/>
      <c r="N33" s="233"/>
    </row>
    <row r="34">
      <c r="A34" s="408" t="str">
        <f>IF(C34="","","BCE-"&amp;TEXT(YEAR(TODAY()),"0000")&amp;"-"&amp;TEXT(ROW()-13,"000"))</f>
        <v>#ERROR!</v>
      </c>
      <c r="B34" s="270"/>
      <c r="C34" s="235"/>
      <c r="D34" s="235"/>
      <c r="E34" s="235"/>
      <c r="F34" s="235"/>
      <c r="G34" s="235"/>
      <c r="H34" s="409" t="str">
        <f>IFERROR(IF(F34="","",IF(F34&gt;=201,15,IF(F34&gt;=101,12,IF(F34&gt;=51,10,IF(F34&gt;=21,8,5))))),"")</f>
        <v>#ERROR!</v>
      </c>
      <c r="I34" s="410" t="str">
        <f>IFERROR(IF(OR(F34="",G34=""),"",G34*F34*(1-H34/100)),"")</f>
        <v>#ERROR!</v>
      </c>
      <c r="J34" s="411" t="str">
        <f>IFERROR(IF(I34="","",I34*1.055),"")</f>
        <v>#ERROR!</v>
      </c>
      <c r="K34" s="413" t="str">
        <f>IFERROR(IF(F34="","",IF(F34&gt;=30,"Offerts","15 EUR")),"")</f>
        <v>#ERROR!</v>
      </c>
      <c r="L34" s="413" t="str">
        <f>IFERROR(IF(F34="","",IF(F34&gt;=51,"J+7",IF(F34&gt;=21,"J+8","J+10"))),"")</f>
        <v>#ERROR!</v>
      </c>
      <c r="M34" s="235"/>
      <c r="N34" s="240"/>
    </row>
    <row r="35">
      <c r="A35" s="408" t="str">
        <f>IF(C35="","","BCE-"&amp;TEXT(YEAR(TODAY()),"0000")&amp;"-"&amp;TEXT(ROW()-13,"000"))</f>
        <v>#ERROR!</v>
      </c>
      <c r="B35" s="266"/>
      <c r="C35" s="227"/>
      <c r="D35" s="227"/>
      <c r="E35" s="227"/>
      <c r="F35" s="227"/>
      <c r="G35" s="227"/>
      <c r="H35" s="409" t="str">
        <f>IFERROR(IF(F35="","",IF(F35&gt;=201,15,IF(F35&gt;=101,12,IF(F35&gt;=51,10,IF(F35&gt;=21,8,5))))),"")</f>
        <v>#ERROR!</v>
      </c>
      <c r="I35" s="410" t="str">
        <f>IFERROR(IF(OR(F35="",G35=""),"",G35*F35*(1-H35/100)),"")</f>
        <v>#ERROR!</v>
      </c>
      <c r="J35" s="411" t="str">
        <f>IFERROR(IF(I35="","",I35*1.055),"")</f>
        <v>#ERROR!</v>
      </c>
      <c r="K35" s="412" t="str">
        <f>IFERROR(IF(F35="","",IF(F35&gt;=30,"Offerts","15 EUR")),"")</f>
        <v>#ERROR!</v>
      </c>
      <c r="L35" s="412" t="str">
        <f>IFERROR(IF(F35="","",IF(F35&gt;=51,"J+7",IF(F35&gt;=21,"J+8","J+10"))),"")</f>
        <v>#ERROR!</v>
      </c>
      <c r="M35" s="227"/>
      <c r="N35" s="233"/>
    </row>
    <row r="36">
      <c r="A36" s="408" t="str">
        <f>IF(C36="","","BCE-"&amp;TEXT(YEAR(TODAY()),"0000")&amp;"-"&amp;TEXT(ROW()-13,"000"))</f>
        <v>#ERROR!</v>
      </c>
      <c r="B36" s="270"/>
      <c r="C36" s="235"/>
      <c r="D36" s="235"/>
      <c r="E36" s="235"/>
      <c r="F36" s="235"/>
      <c r="G36" s="235"/>
      <c r="H36" s="409" t="str">
        <f>IFERROR(IF(F36="","",IF(F36&gt;=201,15,IF(F36&gt;=101,12,IF(F36&gt;=51,10,IF(F36&gt;=21,8,5))))),"")</f>
        <v>#ERROR!</v>
      </c>
      <c r="I36" s="410" t="str">
        <f>IFERROR(IF(OR(F36="",G36=""),"",G36*F36*(1-H36/100)),"")</f>
        <v>#ERROR!</v>
      </c>
      <c r="J36" s="411" t="str">
        <f>IFERROR(IF(I36="","",I36*1.055),"")</f>
        <v>#ERROR!</v>
      </c>
      <c r="K36" s="413" t="str">
        <f>IFERROR(IF(F36="","",IF(F36&gt;=30,"Offerts","15 EUR")),"")</f>
        <v>#ERROR!</v>
      </c>
      <c r="L36" s="413" t="str">
        <f>IFERROR(IF(F36="","",IF(F36&gt;=51,"J+7",IF(F36&gt;=21,"J+8","J+10"))),"")</f>
        <v>#ERROR!</v>
      </c>
      <c r="M36" s="235"/>
      <c r="N36" s="240"/>
    </row>
    <row r="37">
      <c r="A37" s="408" t="str">
        <f>IF(C37="","","BCE-"&amp;TEXT(YEAR(TODAY()),"0000")&amp;"-"&amp;TEXT(ROW()-13,"000"))</f>
        <v>#ERROR!</v>
      </c>
      <c r="B37" s="266"/>
      <c r="C37" s="227"/>
      <c r="D37" s="227"/>
      <c r="E37" s="227"/>
      <c r="F37" s="227"/>
      <c r="G37" s="227"/>
      <c r="H37" s="409" t="str">
        <f>IFERROR(IF(F37="","",IF(F37&gt;=201,15,IF(F37&gt;=101,12,IF(F37&gt;=51,10,IF(F37&gt;=21,8,5))))),"")</f>
        <v>#ERROR!</v>
      </c>
      <c r="I37" s="410" t="str">
        <f>IFERROR(IF(OR(F37="",G37=""),"",G37*F37*(1-H37/100)),"")</f>
        <v>#ERROR!</v>
      </c>
      <c r="J37" s="411" t="str">
        <f>IFERROR(IF(I37="","",I37*1.055),"")</f>
        <v>#ERROR!</v>
      </c>
      <c r="K37" s="412" t="str">
        <f>IFERROR(IF(F37="","",IF(F37&gt;=30,"Offerts","15 EUR")),"")</f>
        <v>#ERROR!</v>
      </c>
      <c r="L37" s="412" t="str">
        <f>IFERROR(IF(F37="","",IF(F37&gt;=51,"J+7",IF(F37&gt;=21,"J+8","J+10"))),"")</f>
        <v>#ERROR!</v>
      </c>
      <c r="M37" s="227"/>
      <c r="N37" s="233"/>
    </row>
    <row r="38">
      <c r="A38" s="408" t="str">
        <f>IF(C38="","","BCE-"&amp;TEXT(YEAR(TODAY()),"0000")&amp;"-"&amp;TEXT(ROW()-13,"000"))</f>
        <v>#ERROR!</v>
      </c>
      <c r="B38" s="270"/>
      <c r="C38" s="235"/>
      <c r="D38" s="235"/>
      <c r="E38" s="235"/>
      <c r="F38" s="235"/>
      <c r="G38" s="235"/>
      <c r="H38" s="409" t="str">
        <f>IFERROR(IF(F38="","",IF(F38&gt;=201,15,IF(F38&gt;=101,12,IF(F38&gt;=51,10,IF(F38&gt;=21,8,5))))),"")</f>
        <v>#ERROR!</v>
      </c>
      <c r="I38" s="410" t="str">
        <f>IFERROR(IF(OR(F38="",G38=""),"",G38*F38*(1-H38/100)),"")</f>
        <v>#ERROR!</v>
      </c>
      <c r="J38" s="411" t="str">
        <f>IFERROR(IF(I38="","",I38*1.055),"")</f>
        <v>#ERROR!</v>
      </c>
      <c r="K38" s="413" t="str">
        <f>IFERROR(IF(F38="","",IF(F38&gt;=30,"Offerts","15 EUR")),"")</f>
        <v>#ERROR!</v>
      </c>
      <c r="L38" s="413" t="str">
        <f>IFERROR(IF(F38="","",IF(F38&gt;=51,"J+7",IF(F38&gt;=21,"J+8","J+10"))),"")</f>
        <v>#ERROR!</v>
      </c>
      <c r="M38" s="235"/>
      <c r="N38" s="240"/>
    </row>
    <row r="39">
      <c r="A39" s="408" t="str">
        <f>IF(C39="","","BCE-"&amp;TEXT(YEAR(TODAY()),"0000")&amp;"-"&amp;TEXT(ROW()-13,"000"))</f>
        <v>#ERROR!</v>
      </c>
      <c r="B39" s="266"/>
      <c r="C39" s="227"/>
      <c r="D39" s="227"/>
      <c r="E39" s="227"/>
      <c r="F39" s="227"/>
      <c r="G39" s="227"/>
      <c r="H39" s="409" t="str">
        <f>IFERROR(IF(F39="","",IF(F39&gt;=201,15,IF(F39&gt;=101,12,IF(F39&gt;=51,10,IF(F39&gt;=21,8,5))))),"")</f>
        <v>#ERROR!</v>
      </c>
      <c r="I39" s="410" t="str">
        <f>IFERROR(IF(OR(F39="",G39=""),"",G39*F39*(1-H39/100)),"")</f>
        <v>#ERROR!</v>
      </c>
      <c r="J39" s="411" t="str">
        <f>IFERROR(IF(I39="","",I39*1.055),"")</f>
        <v>#ERROR!</v>
      </c>
      <c r="K39" s="412" t="str">
        <f>IFERROR(IF(F39="","",IF(F39&gt;=30,"Offerts","15 EUR")),"")</f>
        <v>#ERROR!</v>
      </c>
      <c r="L39" s="412" t="str">
        <f>IFERROR(IF(F39="","",IF(F39&gt;=51,"J+7",IF(F39&gt;=21,"J+8","J+10"))),"")</f>
        <v>#ERROR!</v>
      </c>
      <c r="M39" s="227"/>
      <c r="N39" s="233"/>
    </row>
    <row r="40">
      <c r="A40" s="408" t="str">
        <f>IF(C40="","","BCE-"&amp;TEXT(YEAR(TODAY()),"0000")&amp;"-"&amp;TEXT(ROW()-13,"000"))</f>
        <v>#ERROR!</v>
      </c>
      <c r="B40" s="270"/>
      <c r="C40" s="235"/>
      <c r="D40" s="235"/>
      <c r="E40" s="235"/>
      <c r="F40" s="235"/>
      <c r="G40" s="235"/>
      <c r="H40" s="409" t="str">
        <f>IFERROR(IF(F40="","",IF(F40&gt;=201,15,IF(F40&gt;=101,12,IF(F40&gt;=51,10,IF(F40&gt;=21,8,5))))),"")</f>
        <v>#ERROR!</v>
      </c>
      <c r="I40" s="410" t="str">
        <f>IFERROR(IF(OR(F40="",G40=""),"",G40*F40*(1-H40/100)),"")</f>
        <v>#ERROR!</v>
      </c>
      <c r="J40" s="411" t="str">
        <f>IFERROR(IF(I40="","",I40*1.055),"")</f>
        <v>#ERROR!</v>
      </c>
      <c r="K40" s="413" t="str">
        <f>IFERROR(IF(F40="","",IF(F40&gt;=30,"Offerts","15 EUR")),"")</f>
        <v>#ERROR!</v>
      </c>
      <c r="L40" s="413" t="str">
        <f>IFERROR(IF(F40="","",IF(F40&gt;=51,"J+7",IF(F40&gt;=21,"J+8","J+10"))),"")</f>
        <v>#ERROR!</v>
      </c>
      <c r="M40" s="235"/>
      <c r="N40" s="240"/>
    </row>
    <row r="41">
      <c r="A41" s="408" t="str">
        <f>IF(C41="","","BCE-"&amp;TEXT(YEAR(TODAY()),"0000")&amp;"-"&amp;TEXT(ROW()-13,"000"))</f>
        <v>#ERROR!</v>
      </c>
      <c r="B41" s="266"/>
      <c r="C41" s="227"/>
      <c r="D41" s="227"/>
      <c r="E41" s="227"/>
      <c r="F41" s="227"/>
      <c r="G41" s="227"/>
      <c r="H41" s="409" t="str">
        <f>IFERROR(IF(F41="","",IF(F41&gt;=201,15,IF(F41&gt;=101,12,IF(F41&gt;=51,10,IF(F41&gt;=21,8,5))))),"")</f>
        <v>#ERROR!</v>
      </c>
      <c r="I41" s="410" t="str">
        <f>IFERROR(IF(OR(F41="",G41=""),"",G41*F41*(1-H41/100)),"")</f>
        <v>#ERROR!</v>
      </c>
      <c r="J41" s="411" t="str">
        <f>IFERROR(IF(I41="","",I41*1.055),"")</f>
        <v>#ERROR!</v>
      </c>
      <c r="K41" s="412" t="str">
        <f>IFERROR(IF(F41="","",IF(F41&gt;=30,"Offerts","15 EUR")),"")</f>
        <v>#ERROR!</v>
      </c>
      <c r="L41" s="412" t="str">
        <f>IFERROR(IF(F41="","",IF(F41&gt;=51,"J+7",IF(F41&gt;=21,"J+8","J+10"))),"")</f>
        <v>#ERROR!</v>
      </c>
      <c r="M41" s="227"/>
      <c r="N41" s="233"/>
    </row>
    <row r="42">
      <c r="A42" s="408" t="str">
        <f>IF(C42="","","BCE-"&amp;TEXT(YEAR(TODAY()),"0000")&amp;"-"&amp;TEXT(ROW()-13,"000"))</f>
        <v>#ERROR!</v>
      </c>
      <c r="B42" s="270"/>
      <c r="C42" s="235"/>
      <c r="D42" s="235"/>
      <c r="E42" s="235"/>
      <c r="F42" s="235"/>
      <c r="G42" s="235"/>
      <c r="H42" s="409" t="str">
        <f>IFERROR(IF(F42="","",IF(F42&gt;=201,15,IF(F42&gt;=101,12,IF(F42&gt;=51,10,IF(F42&gt;=21,8,5))))),"")</f>
        <v>#ERROR!</v>
      </c>
      <c r="I42" s="410" t="str">
        <f>IFERROR(IF(OR(F42="",G42=""),"",G42*F42*(1-H42/100)),"")</f>
        <v>#ERROR!</v>
      </c>
      <c r="J42" s="411" t="str">
        <f>IFERROR(IF(I42="","",I42*1.055),"")</f>
        <v>#ERROR!</v>
      </c>
      <c r="K42" s="413" t="str">
        <f>IFERROR(IF(F42="","",IF(F42&gt;=30,"Offerts","15 EUR")),"")</f>
        <v>#ERROR!</v>
      </c>
      <c r="L42" s="413" t="str">
        <f>IFERROR(IF(F42="","",IF(F42&gt;=51,"J+7",IF(F42&gt;=21,"J+8","J+10"))),"")</f>
        <v>#ERROR!</v>
      </c>
      <c r="M42" s="235"/>
      <c r="N42" s="240"/>
    </row>
    <row r="43">
      <c r="A43" s="408" t="str">
        <f>IF(C43="","","BCE-"&amp;TEXT(YEAR(TODAY()),"0000")&amp;"-"&amp;TEXT(ROW()-13,"000"))</f>
        <v>#ERROR!</v>
      </c>
      <c r="B43" s="266"/>
      <c r="C43" s="227"/>
      <c r="D43" s="227"/>
      <c r="E43" s="227"/>
      <c r="F43" s="227"/>
      <c r="G43" s="227"/>
      <c r="H43" s="409" t="str">
        <f>IFERROR(IF(F43="","",IF(F43&gt;=201,15,IF(F43&gt;=101,12,IF(F43&gt;=51,10,IF(F43&gt;=21,8,5))))),"")</f>
        <v>#ERROR!</v>
      </c>
      <c r="I43" s="410" t="str">
        <f>IFERROR(IF(OR(F43="",G43=""),"",G43*F43*(1-H43/100)),"")</f>
        <v>#ERROR!</v>
      </c>
      <c r="J43" s="411" t="str">
        <f>IFERROR(IF(I43="","",I43*1.055),"")</f>
        <v>#ERROR!</v>
      </c>
      <c r="K43" s="412" t="str">
        <f>IFERROR(IF(F43="","",IF(F43&gt;=30,"Offerts","15 EUR")),"")</f>
        <v>#ERROR!</v>
      </c>
      <c r="L43" s="412" t="str">
        <f>IFERROR(IF(F43="","",IF(F43&gt;=51,"J+7",IF(F43&gt;=21,"J+8","J+10"))),"")</f>
        <v>#ERROR!</v>
      </c>
      <c r="M43" s="227"/>
      <c r="N43" s="233"/>
    </row>
    <row r="44">
      <c r="A44" s="408" t="str">
        <f>IF(C44="","","BCE-"&amp;TEXT(YEAR(TODAY()),"0000")&amp;"-"&amp;TEXT(ROW()-13,"000"))</f>
        <v>#ERROR!</v>
      </c>
      <c r="B44" s="270"/>
      <c r="C44" s="235"/>
      <c r="D44" s="235"/>
      <c r="E44" s="235"/>
      <c r="F44" s="235"/>
      <c r="G44" s="235"/>
      <c r="H44" s="409" t="str">
        <f>IFERROR(IF(F44="","",IF(F44&gt;=201,15,IF(F44&gt;=101,12,IF(F44&gt;=51,10,IF(F44&gt;=21,8,5))))),"")</f>
        <v>#ERROR!</v>
      </c>
      <c r="I44" s="410" t="str">
        <f>IFERROR(IF(OR(F44="",G44=""),"",G44*F44*(1-H44/100)),"")</f>
        <v>#ERROR!</v>
      </c>
      <c r="J44" s="411" t="str">
        <f>IFERROR(IF(I44="","",I44*1.055),"")</f>
        <v>#ERROR!</v>
      </c>
      <c r="K44" s="413" t="str">
        <f>IFERROR(IF(F44="","",IF(F44&gt;=30,"Offerts","15 EUR")),"")</f>
        <v>#ERROR!</v>
      </c>
      <c r="L44" s="413" t="str">
        <f>IFERROR(IF(F44="","",IF(F44&gt;=51,"J+7",IF(F44&gt;=21,"J+8","J+10"))),"")</f>
        <v>#ERROR!</v>
      </c>
      <c r="M44" s="235"/>
      <c r="N44" s="240"/>
    </row>
    <row r="45">
      <c r="A45" s="408" t="str">
        <f>IF(C45="","","BCE-"&amp;TEXT(YEAR(TODAY()),"0000")&amp;"-"&amp;TEXT(ROW()-13,"000"))</f>
        <v>#ERROR!</v>
      </c>
      <c r="B45" s="266"/>
      <c r="C45" s="227"/>
      <c r="D45" s="227"/>
      <c r="E45" s="227"/>
      <c r="F45" s="227"/>
      <c r="G45" s="227"/>
      <c r="H45" s="409" t="str">
        <f>IFERROR(IF(F45="","",IF(F45&gt;=201,15,IF(F45&gt;=101,12,IF(F45&gt;=51,10,IF(F45&gt;=21,8,5))))),"")</f>
        <v>#ERROR!</v>
      </c>
      <c r="I45" s="410" t="str">
        <f>IFERROR(IF(OR(F45="",G45=""),"",G45*F45*(1-H45/100)),"")</f>
        <v>#ERROR!</v>
      </c>
      <c r="J45" s="411" t="str">
        <f>IFERROR(IF(I45="","",I45*1.055),"")</f>
        <v>#ERROR!</v>
      </c>
      <c r="K45" s="412" t="str">
        <f>IFERROR(IF(F45="","",IF(F45&gt;=30,"Offerts","15 EUR")),"")</f>
        <v>#ERROR!</v>
      </c>
      <c r="L45" s="412" t="str">
        <f>IFERROR(IF(F45="","",IF(F45&gt;=51,"J+7",IF(F45&gt;=21,"J+8","J+10"))),"")</f>
        <v>#ERROR!</v>
      </c>
      <c r="M45" s="227"/>
      <c r="N45" s="233"/>
    </row>
    <row r="46">
      <c r="A46" s="408" t="str">
        <f>IF(C46="","","BCE-"&amp;TEXT(YEAR(TODAY()),"0000")&amp;"-"&amp;TEXT(ROW()-13,"000"))</f>
        <v>#ERROR!</v>
      </c>
      <c r="B46" s="270"/>
      <c r="C46" s="235"/>
      <c r="D46" s="235"/>
      <c r="E46" s="235"/>
      <c r="F46" s="235"/>
      <c r="G46" s="235"/>
      <c r="H46" s="409" t="str">
        <f>IFERROR(IF(F46="","",IF(F46&gt;=201,15,IF(F46&gt;=101,12,IF(F46&gt;=51,10,IF(F46&gt;=21,8,5))))),"")</f>
        <v>#ERROR!</v>
      </c>
      <c r="I46" s="410" t="str">
        <f>IFERROR(IF(OR(F46="",G46=""),"",G46*F46*(1-H46/100)),"")</f>
        <v>#ERROR!</v>
      </c>
      <c r="J46" s="411" t="str">
        <f>IFERROR(IF(I46="","",I46*1.055),"")</f>
        <v>#ERROR!</v>
      </c>
      <c r="K46" s="413" t="str">
        <f>IFERROR(IF(F46="","",IF(F46&gt;=30,"Offerts","15 EUR")),"")</f>
        <v>#ERROR!</v>
      </c>
      <c r="L46" s="413" t="str">
        <f>IFERROR(IF(F46="","",IF(F46&gt;=51,"J+7",IF(F46&gt;=21,"J+8","J+10"))),"")</f>
        <v>#ERROR!</v>
      </c>
      <c r="M46" s="235"/>
      <c r="N46" s="240"/>
    </row>
    <row r="47">
      <c r="A47" s="408" t="str">
        <f>IF(C47="","","BCE-"&amp;TEXT(YEAR(TODAY()),"0000")&amp;"-"&amp;TEXT(ROW()-13,"000"))</f>
        <v>#ERROR!</v>
      </c>
      <c r="B47" s="266"/>
      <c r="C47" s="227"/>
      <c r="D47" s="227"/>
      <c r="E47" s="227"/>
      <c r="F47" s="227"/>
      <c r="G47" s="227"/>
      <c r="H47" s="409" t="str">
        <f>IFERROR(IF(F47="","",IF(F47&gt;=201,15,IF(F47&gt;=101,12,IF(F47&gt;=51,10,IF(F47&gt;=21,8,5))))),"")</f>
        <v>#ERROR!</v>
      </c>
      <c r="I47" s="410" t="str">
        <f>IFERROR(IF(OR(F47="",G47=""),"",G47*F47*(1-H47/100)),"")</f>
        <v>#ERROR!</v>
      </c>
      <c r="J47" s="411" t="str">
        <f>IFERROR(IF(I47="","",I47*1.055),"")</f>
        <v>#ERROR!</v>
      </c>
      <c r="K47" s="412" t="str">
        <f>IFERROR(IF(F47="","",IF(F47&gt;=30,"Offerts","15 EUR")),"")</f>
        <v>#ERROR!</v>
      </c>
      <c r="L47" s="412" t="str">
        <f>IFERROR(IF(F47="","",IF(F47&gt;=51,"J+7",IF(F47&gt;=21,"J+8","J+10"))),"")</f>
        <v>#ERROR!</v>
      </c>
      <c r="M47" s="227"/>
      <c r="N47" s="233"/>
    </row>
    <row r="48">
      <c r="A48" s="408" t="str">
        <f>IF(C48="","","BCE-"&amp;TEXT(YEAR(TODAY()),"0000")&amp;"-"&amp;TEXT(ROW()-13,"000"))</f>
        <v>#ERROR!</v>
      </c>
      <c r="B48" s="270"/>
      <c r="C48" s="235"/>
      <c r="D48" s="235"/>
      <c r="E48" s="235"/>
      <c r="F48" s="235"/>
      <c r="G48" s="235"/>
      <c r="H48" s="409" t="str">
        <f>IFERROR(IF(F48="","",IF(F48&gt;=201,15,IF(F48&gt;=101,12,IF(F48&gt;=51,10,IF(F48&gt;=21,8,5))))),"")</f>
        <v>#ERROR!</v>
      </c>
      <c r="I48" s="410" t="str">
        <f>IFERROR(IF(OR(F48="",G48=""),"",G48*F48*(1-H48/100)),"")</f>
        <v>#ERROR!</v>
      </c>
      <c r="J48" s="411" t="str">
        <f>IFERROR(IF(I48="","",I48*1.055),"")</f>
        <v>#ERROR!</v>
      </c>
      <c r="K48" s="413" t="str">
        <f>IFERROR(IF(F48="","",IF(F48&gt;=30,"Offerts","15 EUR")),"")</f>
        <v>#ERROR!</v>
      </c>
      <c r="L48" s="413" t="str">
        <f>IFERROR(IF(F48="","",IF(F48&gt;=51,"J+7",IF(F48&gt;=21,"J+8","J+10"))),"")</f>
        <v>#ERROR!</v>
      </c>
      <c r="M48" s="235"/>
      <c r="N48" s="240"/>
    </row>
    <row r="49">
      <c r="A49" s="408" t="str">
        <f>IF(C49="","","BCE-"&amp;TEXT(YEAR(TODAY()),"0000")&amp;"-"&amp;TEXT(ROW()-13,"000"))</f>
        <v>#ERROR!</v>
      </c>
      <c r="B49" s="266"/>
      <c r="C49" s="227"/>
      <c r="D49" s="227"/>
      <c r="E49" s="227"/>
      <c r="F49" s="227"/>
      <c r="G49" s="227"/>
      <c r="H49" s="409" t="str">
        <f>IFERROR(IF(F49="","",IF(F49&gt;=201,15,IF(F49&gt;=101,12,IF(F49&gt;=51,10,IF(F49&gt;=21,8,5))))),"")</f>
        <v>#ERROR!</v>
      </c>
      <c r="I49" s="410" t="str">
        <f>IFERROR(IF(OR(F49="",G49=""),"",G49*F49*(1-H49/100)),"")</f>
        <v>#ERROR!</v>
      </c>
      <c r="J49" s="411" t="str">
        <f>IFERROR(IF(I49="","",I49*1.055),"")</f>
        <v>#ERROR!</v>
      </c>
      <c r="K49" s="412" t="str">
        <f>IFERROR(IF(F49="","",IF(F49&gt;=30,"Offerts","15 EUR")),"")</f>
        <v>#ERROR!</v>
      </c>
      <c r="L49" s="412" t="str">
        <f>IFERROR(IF(F49="","",IF(F49&gt;=51,"J+7",IF(F49&gt;=21,"J+8","J+10"))),"")</f>
        <v>#ERROR!</v>
      </c>
      <c r="M49" s="227"/>
      <c r="N49" s="233"/>
    </row>
    <row r="50">
      <c r="A50" s="408" t="str">
        <f>IF(C50="","","BCE-"&amp;TEXT(YEAR(TODAY()),"0000")&amp;"-"&amp;TEXT(ROW()-13,"000"))</f>
        <v>#ERROR!</v>
      </c>
      <c r="B50" s="270"/>
      <c r="C50" s="235"/>
      <c r="D50" s="235"/>
      <c r="E50" s="235"/>
      <c r="F50" s="235"/>
      <c r="G50" s="235"/>
      <c r="H50" s="409" t="str">
        <f>IFERROR(IF(F50="","",IF(F50&gt;=201,15,IF(F50&gt;=101,12,IF(F50&gt;=51,10,IF(F50&gt;=21,8,5))))),"")</f>
        <v>#ERROR!</v>
      </c>
      <c r="I50" s="410" t="str">
        <f>IFERROR(IF(OR(F50="",G50=""),"",G50*F50*(1-H50/100)),"")</f>
        <v>#ERROR!</v>
      </c>
      <c r="J50" s="411" t="str">
        <f>IFERROR(IF(I50="","",I50*1.055),"")</f>
        <v>#ERROR!</v>
      </c>
      <c r="K50" s="413" t="str">
        <f>IFERROR(IF(F50="","",IF(F50&gt;=30,"Offerts","15 EUR")),"")</f>
        <v>#ERROR!</v>
      </c>
      <c r="L50" s="413" t="str">
        <f>IFERROR(IF(F50="","",IF(F50&gt;=51,"J+7",IF(F50&gt;=21,"J+8","J+10"))),"")</f>
        <v>#ERROR!</v>
      </c>
      <c r="M50" s="235"/>
      <c r="N50" s="240"/>
    </row>
    <row r="51">
      <c r="A51" s="408" t="str">
        <f>IF(C51="","","BCE-"&amp;TEXT(YEAR(TODAY()),"0000")&amp;"-"&amp;TEXT(ROW()-13,"000"))</f>
        <v>#ERROR!</v>
      </c>
      <c r="B51" s="266"/>
      <c r="C51" s="227"/>
      <c r="D51" s="227"/>
      <c r="E51" s="227"/>
      <c r="F51" s="227"/>
      <c r="G51" s="227"/>
      <c r="H51" s="409" t="str">
        <f>IFERROR(IF(F51="","",IF(F51&gt;=201,15,IF(F51&gt;=101,12,IF(F51&gt;=51,10,IF(F51&gt;=21,8,5))))),"")</f>
        <v>#ERROR!</v>
      </c>
      <c r="I51" s="410" t="str">
        <f>IFERROR(IF(OR(F51="",G51=""),"",G51*F51*(1-H51/100)),"")</f>
        <v>#ERROR!</v>
      </c>
      <c r="J51" s="411" t="str">
        <f>IFERROR(IF(I51="","",I51*1.055),"")</f>
        <v>#ERROR!</v>
      </c>
      <c r="K51" s="412" t="str">
        <f>IFERROR(IF(F51="","",IF(F51&gt;=30,"Offerts","15 EUR")),"")</f>
        <v>#ERROR!</v>
      </c>
      <c r="L51" s="412" t="str">
        <f>IFERROR(IF(F51="","",IF(F51&gt;=51,"J+7",IF(F51&gt;=21,"J+8","J+10"))),"")</f>
        <v>#ERROR!</v>
      </c>
      <c r="M51" s="227"/>
      <c r="N51" s="233"/>
    </row>
    <row r="52">
      <c r="A52" s="408" t="str">
        <f>IF(C52="","","BCE-"&amp;TEXT(YEAR(TODAY()),"0000")&amp;"-"&amp;TEXT(ROW()-13,"000"))</f>
        <v>#ERROR!</v>
      </c>
      <c r="B52" s="270"/>
      <c r="C52" s="235"/>
      <c r="D52" s="235"/>
      <c r="E52" s="235"/>
      <c r="F52" s="235"/>
      <c r="G52" s="235"/>
      <c r="H52" s="409" t="str">
        <f>IFERROR(IF(F52="","",IF(F52&gt;=201,15,IF(F52&gt;=101,12,IF(F52&gt;=51,10,IF(F52&gt;=21,8,5))))),"")</f>
        <v>#ERROR!</v>
      </c>
      <c r="I52" s="410" t="str">
        <f>IFERROR(IF(OR(F52="",G52=""),"",G52*F52*(1-H52/100)),"")</f>
        <v>#ERROR!</v>
      </c>
      <c r="J52" s="411" t="str">
        <f>IFERROR(IF(I52="","",I52*1.055),"")</f>
        <v>#ERROR!</v>
      </c>
      <c r="K52" s="413" t="str">
        <f>IFERROR(IF(F52="","",IF(F52&gt;=30,"Offerts","15 EUR")),"")</f>
        <v>#ERROR!</v>
      </c>
      <c r="L52" s="413" t="str">
        <f>IFERROR(IF(F52="","",IF(F52&gt;=51,"J+7",IF(F52&gt;=21,"J+8","J+10"))),"")</f>
        <v>#ERROR!</v>
      </c>
      <c r="M52" s="235"/>
      <c r="N52" s="240"/>
    </row>
    <row r="53">
      <c r="A53" s="408" t="str">
        <f>IF(C53="","","BCE-"&amp;TEXT(YEAR(TODAY()),"0000")&amp;"-"&amp;TEXT(ROW()-13,"000"))</f>
        <v>#ERROR!</v>
      </c>
      <c r="B53" s="266"/>
      <c r="C53" s="227"/>
      <c r="D53" s="227"/>
      <c r="E53" s="227"/>
      <c r="F53" s="227"/>
      <c r="G53" s="227"/>
      <c r="H53" s="409" t="str">
        <f>IFERROR(IF(F53="","",IF(F53&gt;=201,15,IF(F53&gt;=101,12,IF(F53&gt;=51,10,IF(F53&gt;=21,8,5))))),"")</f>
        <v>#ERROR!</v>
      </c>
      <c r="I53" s="410" t="str">
        <f>IFERROR(IF(OR(F53="",G53=""),"",G53*F53*(1-H53/100)),"")</f>
        <v>#ERROR!</v>
      </c>
      <c r="J53" s="411" t="str">
        <f>IFERROR(IF(I53="","",I53*1.055),"")</f>
        <v>#ERROR!</v>
      </c>
      <c r="K53" s="412" t="str">
        <f>IFERROR(IF(F53="","",IF(F53&gt;=30,"Offerts","15 EUR")),"")</f>
        <v>#ERROR!</v>
      </c>
      <c r="L53" s="412" t="str">
        <f>IFERROR(IF(F53="","",IF(F53&gt;=51,"J+7",IF(F53&gt;=21,"J+8","J+10"))),"")</f>
        <v>#ERROR!</v>
      </c>
      <c r="M53" s="227"/>
      <c r="N53" s="233"/>
    </row>
    <row r="54">
      <c r="A54" s="408" t="str">
        <f>IF(C54="","","BCE-"&amp;TEXT(YEAR(TODAY()),"0000")&amp;"-"&amp;TEXT(ROW()-13,"000"))</f>
        <v>#ERROR!</v>
      </c>
      <c r="B54" s="270"/>
      <c r="C54" s="235"/>
      <c r="D54" s="235"/>
      <c r="E54" s="235"/>
      <c r="F54" s="235"/>
      <c r="G54" s="235"/>
      <c r="H54" s="409" t="str">
        <f>IFERROR(IF(F54="","",IF(F54&gt;=201,15,IF(F54&gt;=101,12,IF(F54&gt;=51,10,IF(F54&gt;=21,8,5))))),"")</f>
        <v>#ERROR!</v>
      </c>
      <c r="I54" s="410" t="str">
        <f>IFERROR(IF(OR(F54="",G54=""),"",G54*F54*(1-H54/100)),"")</f>
        <v>#ERROR!</v>
      </c>
      <c r="J54" s="411" t="str">
        <f>IFERROR(IF(I54="","",I54*1.055),"")</f>
        <v>#ERROR!</v>
      </c>
      <c r="K54" s="413" t="str">
        <f>IFERROR(IF(F54="","",IF(F54&gt;=30,"Offerts","15 EUR")),"")</f>
        <v>#ERROR!</v>
      </c>
      <c r="L54" s="413" t="str">
        <f>IFERROR(IF(F54="","",IF(F54&gt;=51,"J+7",IF(F54&gt;=21,"J+8","J+10"))),"")</f>
        <v>#ERROR!</v>
      </c>
      <c r="M54" s="235"/>
      <c r="N54" s="240"/>
    </row>
    <row r="55">
      <c r="A55" s="408" t="str">
        <f>IF(C55="","","BCE-"&amp;TEXT(YEAR(TODAY()),"0000")&amp;"-"&amp;TEXT(ROW()-13,"000"))</f>
        <v>#ERROR!</v>
      </c>
      <c r="B55" s="266"/>
      <c r="C55" s="227"/>
      <c r="D55" s="227"/>
      <c r="E55" s="227"/>
      <c r="F55" s="227"/>
      <c r="G55" s="227"/>
      <c r="H55" s="409" t="str">
        <f>IFERROR(IF(F55="","",IF(F55&gt;=201,15,IF(F55&gt;=101,12,IF(F55&gt;=51,10,IF(F55&gt;=21,8,5))))),"")</f>
        <v>#ERROR!</v>
      </c>
      <c r="I55" s="410" t="str">
        <f>IFERROR(IF(OR(F55="",G55=""),"",G55*F55*(1-H55/100)),"")</f>
        <v>#ERROR!</v>
      </c>
      <c r="J55" s="411" t="str">
        <f>IFERROR(IF(I55="","",I55*1.055),"")</f>
        <v>#ERROR!</v>
      </c>
      <c r="K55" s="412" t="str">
        <f>IFERROR(IF(F55="","",IF(F55&gt;=30,"Offerts","15 EUR")),"")</f>
        <v>#ERROR!</v>
      </c>
      <c r="L55" s="412" t="str">
        <f>IFERROR(IF(F55="","",IF(F55&gt;=51,"J+7",IF(F55&gt;=21,"J+8","J+10"))),"")</f>
        <v>#ERROR!</v>
      </c>
      <c r="M55" s="227"/>
      <c r="N55" s="233"/>
    </row>
    <row r="56">
      <c r="A56" s="408" t="str">
        <f>IF(C56="","","BCE-"&amp;TEXT(YEAR(TODAY()),"0000")&amp;"-"&amp;TEXT(ROW()-13,"000"))</f>
        <v>#ERROR!</v>
      </c>
      <c r="B56" s="270"/>
      <c r="C56" s="235"/>
      <c r="D56" s="235"/>
      <c r="E56" s="235"/>
      <c r="F56" s="235"/>
      <c r="G56" s="235"/>
      <c r="H56" s="409" t="str">
        <f>IFERROR(IF(F56="","",IF(F56&gt;=201,15,IF(F56&gt;=101,12,IF(F56&gt;=51,10,IF(F56&gt;=21,8,5))))),"")</f>
        <v>#ERROR!</v>
      </c>
      <c r="I56" s="410" t="str">
        <f>IFERROR(IF(OR(F56="",G56=""),"",G56*F56*(1-H56/100)),"")</f>
        <v>#ERROR!</v>
      </c>
      <c r="J56" s="411" t="str">
        <f>IFERROR(IF(I56="","",I56*1.055),"")</f>
        <v>#ERROR!</v>
      </c>
      <c r="K56" s="413" t="str">
        <f>IFERROR(IF(F56="","",IF(F56&gt;=30,"Offerts","15 EUR")),"")</f>
        <v>#ERROR!</v>
      </c>
      <c r="L56" s="413" t="str">
        <f>IFERROR(IF(F56="","",IF(F56&gt;=51,"J+7",IF(F56&gt;=21,"J+8","J+10"))),"")</f>
        <v>#ERROR!</v>
      </c>
      <c r="M56" s="235"/>
      <c r="N56" s="240"/>
    </row>
    <row r="57">
      <c r="A57" s="408" t="str">
        <f>IF(C57="","","BCE-"&amp;TEXT(YEAR(TODAY()),"0000")&amp;"-"&amp;TEXT(ROW()-13,"000"))</f>
        <v>#ERROR!</v>
      </c>
      <c r="B57" s="266"/>
      <c r="C57" s="227"/>
      <c r="D57" s="227"/>
      <c r="E57" s="227"/>
      <c r="F57" s="227"/>
      <c r="G57" s="227"/>
      <c r="H57" s="409" t="str">
        <f>IFERROR(IF(F57="","",IF(F57&gt;=201,15,IF(F57&gt;=101,12,IF(F57&gt;=51,10,IF(F57&gt;=21,8,5))))),"")</f>
        <v>#ERROR!</v>
      </c>
      <c r="I57" s="410" t="str">
        <f>IFERROR(IF(OR(F57="",G57=""),"",G57*F57*(1-H57/100)),"")</f>
        <v>#ERROR!</v>
      </c>
      <c r="J57" s="411" t="str">
        <f>IFERROR(IF(I57="","",I57*1.055),"")</f>
        <v>#ERROR!</v>
      </c>
      <c r="K57" s="412" t="str">
        <f>IFERROR(IF(F57="","",IF(F57&gt;=30,"Offerts","15 EUR")),"")</f>
        <v>#ERROR!</v>
      </c>
      <c r="L57" s="412" t="str">
        <f>IFERROR(IF(F57="","",IF(F57&gt;=51,"J+7",IF(F57&gt;=21,"J+8","J+10"))),"")</f>
        <v>#ERROR!</v>
      </c>
      <c r="M57" s="227"/>
      <c r="N57" s="233"/>
    </row>
    <row r="58">
      <c r="A58" s="408" t="str">
        <f>IF(C58="","","BCE-"&amp;TEXT(YEAR(TODAY()),"0000")&amp;"-"&amp;TEXT(ROW()-13,"000"))</f>
        <v>#ERROR!</v>
      </c>
      <c r="B58" s="270"/>
      <c r="C58" s="235"/>
      <c r="D58" s="235"/>
      <c r="E58" s="235"/>
      <c r="F58" s="235"/>
      <c r="G58" s="235"/>
      <c r="H58" s="409" t="str">
        <f>IFERROR(IF(F58="","",IF(F58&gt;=201,15,IF(F58&gt;=101,12,IF(F58&gt;=51,10,IF(F58&gt;=21,8,5))))),"")</f>
        <v>#ERROR!</v>
      </c>
      <c r="I58" s="410" t="str">
        <f>IFERROR(IF(OR(F58="",G58=""),"",G58*F58*(1-H58/100)),"")</f>
        <v>#ERROR!</v>
      </c>
      <c r="J58" s="411" t="str">
        <f>IFERROR(IF(I58="","",I58*1.055),"")</f>
        <v>#ERROR!</v>
      </c>
      <c r="K58" s="413" t="str">
        <f>IFERROR(IF(F58="","",IF(F58&gt;=30,"Offerts","15 EUR")),"")</f>
        <v>#ERROR!</v>
      </c>
      <c r="L58" s="413" t="str">
        <f>IFERROR(IF(F58="","",IF(F58&gt;=51,"J+7",IF(F58&gt;=21,"J+8","J+10"))),"")</f>
        <v>#ERROR!</v>
      </c>
      <c r="M58" s="235"/>
      <c r="N58" s="240"/>
    </row>
    <row r="59">
      <c r="A59" s="408" t="str">
        <f>IF(C59="","","BCE-"&amp;TEXT(YEAR(TODAY()),"0000")&amp;"-"&amp;TEXT(ROW()-13,"000"))</f>
        <v>#ERROR!</v>
      </c>
      <c r="B59" s="266"/>
      <c r="C59" s="227"/>
      <c r="D59" s="227"/>
      <c r="E59" s="227"/>
      <c r="F59" s="227"/>
      <c r="G59" s="227"/>
      <c r="H59" s="409" t="str">
        <f>IFERROR(IF(F59="","",IF(F59&gt;=201,15,IF(F59&gt;=101,12,IF(F59&gt;=51,10,IF(F59&gt;=21,8,5))))),"")</f>
        <v>#ERROR!</v>
      </c>
      <c r="I59" s="410" t="str">
        <f>IFERROR(IF(OR(F59="",G59=""),"",G59*F59*(1-H59/100)),"")</f>
        <v>#ERROR!</v>
      </c>
      <c r="J59" s="411" t="str">
        <f>IFERROR(IF(I59="","",I59*1.055),"")</f>
        <v>#ERROR!</v>
      </c>
      <c r="K59" s="412" t="str">
        <f>IFERROR(IF(F59="","",IF(F59&gt;=30,"Offerts","15 EUR")),"")</f>
        <v>#ERROR!</v>
      </c>
      <c r="L59" s="412" t="str">
        <f>IFERROR(IF(F59="","",IF(F59&gt;=51,"J+7",IF(F59&gt;=21,"J+8","J+10"))),"")</f>
        <v>#ERROR!</v>
      </c>
      <c r="M59" s="227"/>
      <c r="N59" s="233"/>
    </row>
    <row r="60">
      <c r="A60" s="408" t="str">
        <f>IF(C60="","","BCE-"&amp;TEXT(YEAR(TODAY()),"0000")&amp;"-"&amp;TEXT(ROW()-13,"000"))</f>
        <v>#ERROR!</v>
      </c>
      <c r="B60" s="270"/>
      <c r="C60" s="235"/>
      <c r="D60" s="235"/>
      <c r="E60" s="235"/>
      <c r="F60" s="235"/>
      <c r="G60" s="235"/>
      <c r="H60" s="409" t="str">
        <f>IFERROR(IF(F60="","",IF(F60&gt;=201,15,IF(F60&gt;=101,12,IF(F60&gt;=51,10,IF(F60&gt;=21,8,5))))),"")</f>
        <v>#ERROR!</v>
      </c>
      <c r="I60" s="410" t="str">
        <f>IFERROR(IF(OR(F60="",G60=""),"",G60*F60*(1-H60/100)),"")</f>
        <v>#ERROR!</v>
      </c>
      <c r="J60" s="411" t="str">
        <f>IFERROR(IF(I60="","",I60*1.055),"")</f>
        <v>#ERROR!</v>
      </c>
      <c r="K60" s="413" t="str">
        <f>IFERROR(IF(F60="","",IF(F60&gt;=30,"Offerts","15 EUR")),"")</f>
        <v>#ERROR!</v>
      </c>
      <c r="L60" s="413" t="str">
        <f>IFERROR(IF(F60="","",IF(F60&gt;=51,"J+7",IF(F60&gt;=21,"J+8","J+10"))),"")</f>
        <v>#ERROR!</v>
      </c>
      <c r="M60" s="235"/>
      <c r="N60" s="240"/>
    </row>
    <row r="61">
      <c r="A61" s="408" t="str">
        <f>IF(C61="","","BCE-"&amp;TEXT(YEAR(TODAY()),"0000")&amp;"-"&amp;TEXT(ROW()-13,"000"))</f>
        <v>#ERROR!</v>
      </c>
      <c r="B61" s="266"/>
      <c r="C61" s="227"/>
      <c r="D61" s="227"/>
      <c r="E61" s="227"/>
      <c r="F61" s="227"/>
      <c r="G61" s="227"/>
      <c r="H61" s="409" t="str">
        <f>IFERROR(IF(F61="","",IF(F61&gt;=201,15,IF(F61&gt;=101,12,IF(F61&gt;=51,10,IF(F61&gt;=21,8,5))))),"")</f>
        <v>#ERROR!</v>
      </c>
      <c r="I61" s="410" t="str">
        <f>IFERROR(IF(OR(F61="",G61=""),"",G61*F61*(1-H61/100)),"")</f>
        <v>#ERROR!</v>
      </c>
      <c r="J61" s="411" t="str">
        <f>IFERROR(IF(I61="","",I61*1.055),"")</f>
        <v>#ERROR!</v>
      </c>
      <c r="K61" s="412" t="str">
        <f>IFERROR(IF(F61="","",IF(F61&gt;=30,"Offerts","15 EUR")),"")</f>
        <v>#ERROR!</v>
      </c>
      <c r="L61" s="412" t="str">
        <f>IFERROR(IF(F61="","",IF(F61&gt;=51,"J+7",IF(F61&gt;=21,"J+8","J+10"))),"")</f>
        <v>#ERROR!</v>
      </c>
      <c r="M61" s="227"/>
      <c r="N61" s="233"/>
    </row>
    <row r="62">
      <c r="A62" s="408" t="str">
        <f>IF(C62="","","BCE-"&amp;TEXT(YEAR(TODAY()),"0000")&amp;"-"&amp;TEXT(ROW()-13,"000"))</f>
        <v>#ERROR!</v>
      </c>
      <c r="B62" s="270"/>
      <c r="C62" s="235"/>
      <c r="D62" s="235"/>
      <c r="E62" s="235"/>
      <c r="F62" s="235"/>
      <c r="G62" s="235"/>
      <c r="H62" s="409" t="str">
        <f>IFERROR(IF(F62="","",IF(F62&gt;=201,15,IF(F62&gt;=101,12,IF(F62&gt;=51,10,IF(F62&gt;=21,8,5))))),"")</f>
        <v>#ERROR!</v>
      </c>
      <c r="I62" s="410" t="str">
        <f>IFERROR(IF(OR(F62="",G62=""),"",G62*F62*(1-H62/100)),"")</f>
        <v>#ERROR!</v>
      </c>
      <c r="J62" s="411" t="str">
        <f>IFERROR(IF(I62="","",I62*1.055),"")</f>
        <v>#ERROR!</v>
      </c>
      <c r="K62" s="413" t="str">
        <f>IFERROR(IF(F62="","",IF(F62&gt;=30,"Offerts","15 EUR")),"")</f>
        <v>#ERROR!</v>
      </c>
      <c r="L62" s="413" t="str">
        <f>IFERROR(IF(F62="","",IF(F62&gt;=51,"J+7",IF(F62&gt;=21,"J+8","J+10"))),"")</f>
        <v>#ERROR!</v>
      </c>
      <c r="M62" s="235"/>
      <c r="N62" s="240"/>
    </row>
    <row r="63">
      <c r="A63" s="408" t="str">
        <f>IF(C63="","","BCE-"&amp;TEXT(YEAR(TODAY()),"0000")&amp;"-"&amp;TEXT(ROW()-13,"000"))</f>
        <v>#ERROR!</v>
      </c>
      <c r="B63" s="266"/>
      <c r="C63" s="227"/>
      <c r="D63" s="227"/>
      <c r="E63" s="227"/>
      <c r="F63" s="227"/>
      <c r="G63" s="227"/>
      <c r="H63" s="409" t="str">
        <f>IFERROR(IF(F63="","",IF(F63&gt;=201,15,IF(F63&gt;=101,12,IF(F63&gt;=51,10,IF(F63&gt;=21,8,5))))),"")</f>
        <v>#ERROR!</v>
      </c>
      <c r="I63" s="410" t="str">
        <f>IFERROR(IF(OR(F63="",G63=""),"",G63*F63*(1-H63/100)),"")</f>
        <v>#ERROR!</v>
      </c>
      <c r="J63" s="411" t="str">
        <f>IFERROR(IF(I63="","",I63*1.055),"")</f>
        <v>#ERROR!</v>
      </c>
      <c r="K63" s="412" t="str">
        <f>IFERROR(IF(F63="","",IF(F63&gt;=30,"Offerts","15 EUR")),"")</f>
        <v>#ERROR!</v>
      </c>
      <c r="L63" s="412" t="str">
        <f>IFERROR(IF(F63="","",IF(F63&gt;=51,"J+7",IF(F63&gt;=21,"J+8","J+10"))),"")</f>
        <v>#ERROR!</v>
      </c>
      <c r="M63" s="227"/>
      <c r="N63" s="233"/>
    </row>
    <row r="64">
      <c r="A64" s="408" t="str">
        <f>IF(C64="","","BCE-"&amp;TEXT(YEAR(TODAY()),"0000")&amp;"-"&amp;TEXT(ROW()-13,"000"))</f>
        <v>#ERROR!</v>
      </c>
      <c r="B64" s="270"/>
      <c r="C64" s="235"/>
      <c r="D64" s="235"/>
      <c r="E64" s="235"/>
      <c r="F64" s="235"/>
      <c r="G64" s="235"/>
      <c r="H64" s="409" t="str">
        <f>IFERROR(IF(F64="","",IF(F64&gt;=201,15,IF(F64&gt;=101,12,IF(F64&gt;=51,10,IF(F64&gt;=21,8,5))))),"")</f>
        <v>#ERROR!</v>
      </c>
      <c r="I64" s="410" t="str">
        <f>IFERROR(IF(OR(F64="",G64=""),"",G64*F64*(1-H64/100)),"")</f>
        <v>#ERROR!</v>
      </c>
      <c r="J64" s="411" t="str">
        <f>IFERROR(IF(I64="","",I64*1.055),"")</f>
        <v>#ERROR!</v>
      </c>
      <c r="K64" s="413" t="str">
        <f>IFERROR(IF(F64="","",IF(F64&gt;=30,"Offerts","15 EUR")),"")</f>
        <v>#ERROR!</v>
      </c>
      <c r="L64" s="413" t="str">
        <f>IFERROR(IF(F64="","",IF(F64&gt;=51,"J+7",IF(F64&gt;=21,"J+8","J+10"))),"")</f>
        <v>#ERROR!</v>
      </c>
      <c r="M64" s="235"/>
      <c r="N64" s="240"/>
    </row>
    <row r="65">
      <c r="A65" s="408" t="str">
        <f>IF(C65="","","BCE-"&amp;TEXT(YEAR(TODAY()),"0000")&amp;"-"&amp;TEXT(ROW()-13,"000"))</f>
        <v>#ERROR!</v>
      </c>
      <c r="B65" s="266"/>
      <c r="C65" s="227"/>
      <c r="D65" s="227"/>
      <c r="E65" s="227"/>
      <c r="F65" s="227"/>
      <c r="G65" s="227"/>
      <c r="H65" s="409" t="str">
        <f>IFERROR(IF(F65="","",IF(F65&gt;=201,15,IF(F65&gt;=101,12,IF(F65&gt;=51,10,IF(F65&gt;=21,8,5))))),"")</f>
        <v>#ERROR!</v>
      </c>
      <c r="I65" s="410" t="str">
        <f>IFERROR(IF(OR(F65="",G65=""),"",G65*F65*(1-H65/100)),"")</f>
        <v>#ERROR!</v>
      </c>
      <c r="J65" s="411" t="str">
        <f>IFERROR(IF(I65="","",I65*1.055),"")</f>
        <v>#ERROR!</v>
      </c>
      <c r="K65" s="412" t="str">
        <f>IFERROR(IF(F65="","",IF(F65&gt;=30,"Offerts","15 EUR")),"")</f>
        <v>#ERROR!</v>
      </c>
      <c r="L65" s="412" t="str">
        <f>IFERROR(IF(F65="","",IF(F65&gt;=51,"J+7",IF(F65&gt;=21,"J+8","J+10"))),"")</f>
        <v>#ERROR!</v>
      </c>
      <c r="M65" s="227"/>
      <c r="N65" s="233"/>
    </row>
    <row r="66">
      <c r="A66" s="408" t="str">
        <f>IF(C66="","","BCE-"&amp;TEXT(YEAR(TODAY()),"0000")&amp;"-"&amp;TEXT(ROW()-13,"000"))</f>
        <v>#ERROR!</v>
      </c>
      <c r="B66" s="270"/>
      <c r="C66" s="235"/>
      <c r="D66" s="235"/>
      <c r="E66" s="235"/>
      <c r="F66" s="235"/>
      <c r="G66" s="235"/>
      <c r="H66" s="409" t="str">
        <f>IFERROR(IF(F66="","",IF(F66&gt;=201,15,IF(F66&gt;=101,12,IF(F66&gt;=51,10,IF(F66&gt;=21,8,5))))),"")</f>
        <v>#ERROR!</v>
      </c>
      <c r="I66" s="410" t="str">
        <f>IFERROR(IF(OR(F66="",G66=""),"",G66*F66*(1-H66/100)),"")</f>
        <v>#ERROR!</v>
      </c>
      <c r="J66" s="411" t="str">
        <f>IFERROR(IF(I66="","",I66*1.055),"")</f>
        <v>#ERROR!</v>
      </c>
      <c r="K66" s="413" t="str">
        <f>IFERROR(IF(F66="","",IF(F66&gt;=30,"Offerts","15 EUR")),"")</f>
        <v>#ERROR!</v>
      </c>
      <c r="L66" s="413" t="str">
        <f>IFERROR(IF(F66="","",IF(F66&gt;=51,"J+7",IF(F66&gt;=21,"J+8","J+10"))),"")</f>
        <v>#ERROR!</v>
      </c>
      <c r="M66" s="235"/>
      <c r="N66" s="240"/>
    </row>
    <row r="67">
      <c r="A67" s="408" t="str">
        <f>IF(C67="","","BCE-"&amp;TEXT(YEAR(TODAY()),"0000")&amp;"-"&amp;TEXT(ROW()-13,"000"))</f>
        <v>#ERROR!</v>
      </c>
      <c r="B67" s="266"/>
      <c r="C67" s="227"/>
      <c r="D67" s="227"/>
      <c r="E67" s="227"/>
      <c r="F67" s="227"/>
      <c r="G67" s="227"/>
      <c r="H67" s="409" t="str">
        <f>IFERROR(IF(F67="","",IF(F67&gt;=201,15,IF(F67&gt;=101,12,IF(F67&gt;=51,10,IF(F67&gt;=21,8,5))))),"")</f>
        <v>#ERROR!</v>
      </c>
      <c r="I67" s="410" t="str">
        <f>IFERROR(IF(OR(F67="",G67=""),"",G67*F67*(1-H67/100)),"")</f>
        <v>#ERROR!</v>
      </c>
      <c r="J67" s="411" t="str">
        <f>IFERROR(IF(I67="","",I67*1.055),"")</f>
        <v>#ERROR!</v>
      </c>
      <c r="K67" s="412" t="str">
        <f>IFERROR(IF(F67="","",IF(F67&gt;=30,"Offerts","15 EUR")),"")</f>
        <v>#ERROR!</v>
      </c>
      <c r="L67" s="412" t="str">
        <f>IFERROR(IF(F67="","",IF(F67&gt;=51,"J+7",IF(F67&gt;=21,"J+8","J+10"))),"")</f>
        <v>#ERROR!</v>
      </c>
      <c r="M67" s="227"/>
      <c r="N67" s="233"/>
    </row>
    <row r="68">
      <c r="A68" s="408" t="str">
        <f>IF(C68="","","BCE-"&amp;TEXT(YEAR(TODAY()),"0000")&amp;"-"&amp;TEXT(ROW()-13,"000"))</f>
        <v>#ERROR!</v>
      </c>
      <c r="B68" s="270"/>
      <c r="C68" s="235"/>
      <c r="D68" s="235"/>
      <c r="E68" s="235"/>
      <c r="F68" s="235"/>
      <c r="G68" s="235"/>
      <c r="H68" s="409" t="str">
        <f>IFERROR(IF(F68="","",IF(F68&gt;=201,15,IF(F68&gt;=101,12,IF(F68&gt;=51,10,IF(F68&gt;=21,8,5))))),"")</f>
        <v>#ERROR!</v>
      </c>
      <c r="I68" s="410" t="str">
        <f>IFERROR(IF(OR(F68="",G68=""),"",G68*F68*(1-H68/100)),"")</f>
        <v>#ERROR!</v>
      </c>
      <c r="J68" s="411" t="str">
        <f>IFERROR(IF(I68="","",I68*1.055),"")</f>
        <v>#ERROR!</v>
      </c>
      <c r="K68" s="413" t="str">
        <f>IFERROR(IF(F68="","",IF(F68&gt;=30,"Offerts","15 EUR")),"")</f>
        <v>#ERROR!</v>
      </c>
      <c r="L68" s="413" t="str">
        <f>IFERROR(IF(F68="","",IF(F68&gt;=51,"J+7",IF(F68&gt;=21,"J+8","J+10"))),"")</f>
        <v>#ERROR!</v>
      </c>
      <c r="M68" s="235"/>
      <c r="N68" s="240"/>
    </row>
    <row r="69">
      <c r="A69" s="408" t="str">
        <f>IF(C69="","","BCE-"&amp;TEXT(YEAR(TODAY()),"0000")&amp;"-"&amp;TEXT(ROW()-13,"000"))</f>
        <v>#ERROR!</v>
      </c>
      <c r="B69" s="266"/>
      <c r="C69" s="227"/>
      <c r="D69" s="227"/>
      <c r="E69" s="227"/>
      <c r="F69" s="227"/>
      <c r="G69" s="227"/>
      <c r="H69" s="409" t="str">
        <f>IFERROR(IF(F69="","",IF(F69&gt;=201,15,IF(F69&gt;=101,12,IF(F69&gt;=51,10,IF(F69&gt;=21,8,5))))),"")</f>
        <v>#ERROR!</v>
      </c>
      <c r="I69" s="410" t="str">
        <f>IFERROR(IF(OR(F69="",G69=""),"",G69*F69*(1-H69/100)),"")</f>
        <v>#ERROR!</v>
      </c>
      <c r="J69" s="411" t="str">
        <f>IFERROR(IF(I69="","",I69*1.055),"")</f>
        <v>#ERROR!</v>
      </c>
      <c r="K69" s="412" t="str">
        <f>IFERROR(IF(F69="","",IF(F69&gt;=30,"Offerts","15 EUR")),"")</f>
        <v>#ERROR!</v>
      </c>
      <c r="L69" s="412" t="str">
        <f>IFERROR(IF(F69="","",IF(F69&gt;=51,"J+7",IF(F69&gt;=21,"J+8","J+10"))),"")</f>
        <v>#ERROR!</v>
      </c>
      <c r="M69" s="227"/>
      <c r="N69" s="233"/>
    </row>
    <row r="70">
      <c r="A70" s="408" t="str">
        <f>IF(C70="","","BCE-"&amp;TEXT(YEAR(TODAY()),"0000")&amp;"-"&amp;TEXT(ROW()-13,"000"))</f>
        <v>#ERROR!</v>
      </c>
      <c r="B70" s="270"/>
      <c r="C70" s="235"/>
      <c r="D70" s="235"/>
      <c r="E70" s="235"/>
      <c r="F70" s="235"/>
      <c r="G70" s="235"/>
      <c r="H70" s="409" t="str">
        <f>IFERROR(IF(F70="","",IF(F70&gt;=201,15,IF(F70&gt;=101,12,IF(F70&gt;=51,10,IF(F70&gt;=21,8,5))))),"")</f>
        <v>#ERROR!</v>
      </c>
      <c r="I70" s="410" t="str">
        <f>IFERROR(IF(OR(F70="",G70=""),"",G70*F70*(1-H70/100)),"")</f>
        <v>#ERROR!</v>
      </c>
      <c r="J70" s="411" t="str">
        <f>IFERROR(IF(I70="","",I70*1.055),"")</f>
        <v>#ERROR!</v>
      </c>
      <c r="K70" s="413" t="str">
        <f>IFERROR(IF(F70="","",IF(F70&gt;=30,"Offerts","15 EUR")),"")</f>
        <v>#ERROR!</v>
      </c>
      <c r="L70" s="413" t="str">
        <f>IFERROR(IF(F70="","",IF(F70&gt;=51,"J+7",IF(F70&gt;=21,"J+8","J+10"))),"")</f>
        <v>#ERROR!</v>
      </c>
      <c r="M70" s="235"/>
      <c r="N70" s="240"/>
    </row>
    <row r="71">
      <c r="A71" s="408" t="str">
        <f>IF(C71="","","BCE-"&amp;TEXT(YEAR(TODAY()),"0000")&amp;"-"&amp;TEXT(ROW()-13,"000"))</f>
        <v>#ERROR!</v>
      </c>
      <c r="B71" s="266"/>
      <c r="C71" s="227"/>
      <c r="D71" s="227"/>
      <c r="E71" s="227"/>
      <c r="F71" s="227"/>
      <c r="G71" s="227"/>
      <c r="H71" s="409" t="str">
        <f>IFERROR(IF(F71="","",IF(F71&gt;=201,15,IF(F71&gt;=101,12,IF(F71&gt;=51,10,IF(F71&gt;=21,8,5))))),"")</f>
        <v>#ERROR!</v>
      </c>
      <c r="I71" s="410" t="str">
        <f>IFERROR(IF(OR(F71="",G71=""),"",G71*F71*(1-H71/100)),"")</f>
        <v>#ERROR!</v>
      </c>
      <c r="J71" s="411" t="str">
        <f>IFERROR(IF(I71="","",I71*1.055),"")</f>
        <v>#ERROR!</v>
      </c>
      <c r="K71" s="412" t="str">
        <f>IFERROR(IF(F71="","",IF(F71&gt;=30,"Offerts","15 EUR")),"")</f>
        <v>#ERROR!</v>
      </c>
      <c r="L71" s="412" t="str">
        <f>IFERROR(IF(F71="","",IF(F71&gt;=51,"J+7",IF(F71&gt;=21,"J+8","J+10"))),"")</f>
        <v>#ERROR!</v>
      </c>
      <c r="M71" s="227"/>
      <c r="N71" s="233"/>
    </row>
    <row r="72">
      <c r="A72" s="408" t="str">
        <f>IF(C72="","","BCE-"&amp;TEXT(YEAR(TODAY()),"0000")&amp;"-"&amp;TEXT(ROW()-13,"000"))</f>
        <v>#ERROR!</v>
      </c>
      <c r="B72" s="270"/>
      <c r="C72" s="235"/>
      <c r="D72" s="235"/>
      <c r="E72" s="235"/>
      <c r="F72" s="235"/>
      <c r="G72" s="235"/>
      <c r="H72" s="409" t="str">
        <f>IFERROR(IF(F72="","",IF(F72&gt;=201,15,IF(F72&gt;=101,12,IF(F72&gt;=51,10,IF(F72&gt;=21,8,5))))),"")</f>
        <v>#ERROR!</v>
      </c>
      <c r="I72" s="410" t="str">
        <f>IFERROR(IF(OR(F72="",G72=""),"",G72*F72*(1-H72/100)),"")</f>
        <v>#ERROR!</v>
      </c>
      <c r="J72" s="411" t="str">
        <f>IFERROR(IF(I72="","",I72*1.055),"")</f>
        <v>#ERROR!</v>
      </c>
      <c r="K72" s="413" t="str">
        <f>IFERROR(IF(F72="","",IF(F72&gt;=30,"Offerts","15 EUR")),"")</f>
        <v>#ERROR!</v>
      </c>
      <c r="L72" s="413" t="str">
        <f>IFERROR(IF(F72="","",IF(F72&gt;=51,"J+7",IF(F72&gt;=21,"J+8","J+10"))),"")</f>
        <v>#ERROR!</v>
      </c>
      <c r="M72" s="235"/>
      <c r="N72" s="240"/>
    </row>
    <row r="73">
      <c r="A73" s="408" t="str">
        <f>IF(C73="","","BCE-"&amp;TEXT(YEAR(TODAY()),"0000")&amp;"-"&amp;TEXT(ROW()-13,"000"))</f>
        <v>#ERROR!</v>
      </c>
      <c r="B73" s="266"/>
      <c r="C73" s="227"/>
      <c r="D73" s="227"/>
      <c r="E73" s="227"/>
      <c r="F73" s="227"/>
      <c r="G73" s="227"/>
      <c r="H73" s="409" t="str">
        <f>IFERROR(IF(F73="","",IF(F73&gt;=201,15,IF(F73&gt;=101,12,IF(F73&gt;=51,10,IF(F73&gt;=21,8,5))))),"")</f>
        <v>#ERROR!</v>
      </c>
      <c r="I73" s="410" t="str">
        <f>IFERROR(IF(OR(F73="",G73=""),"",G73*F73*(1-H73/100)),"")</f>
        <v>#ERROR!</v>
      </c>
      <c r="J73" s="411" t="str">
        <f>IFERROR(IF(I73="","",I73*1.055),"")</f>
        <v>#ERROR!</v>
      </c>
      <c r="K73" s="412" t="str">
        <f>IFERROR(IF(F73="","",IF(F73&gt;=30,"Offerts","15 EUR")),"")</f>
        <v>#ERROR!</v>
      </c>
      <c r="L73" s="412" t="str">
        <f>IFERROR(IF(F73="","",IF(F73&gt;=51,"J+7",IF(F73&gt;=21,"J+8","J+10"))),"")</f>
        <v>#ERROR!</v>
      </c>
      <c r="M73" s="227"/>
      <c r="N73" s="233"/>
    </row>
    <row r="74">
      <c r="A74" s="408" t="str">
        <f>IF(C74="","","BCE-"&amp;TEXT(YEAR(TODAY()),"0000")&amp;"-"&amp;TEXT(ROW()-13,"000"))</f>
        <v>#ERROR!</v>
      </c>
      <c r="B74" s="270"/>
      <c r="C74" s="235"/>
      <c r="D74" s="235"/>
      <c r="E74" s="235"/>
      <c r="F74" s="235"/>
      <c r="G74" s="235"/>
      <c r="H74" s="409" t="str">
        <f>IFERROR(IF(F74="","",IF(F74&gt;=201,15,IF(F74&gt;=101,12,IF(F74&gt;=51,10,IF(F74&gt;=21,8,5))))),"")</f>
        <v>#ERROR!</v>
      </c>
      <c r="I74" s="410" t="str">
        <f>IFERROR(IF(OR(F74="",G74=""),"",G74*F74*(1-H74/100)),"")</f>
        <v>#ERROR!</v>
      </c>
      <c r="J74" s="411" t="str">
        <f>IFERROR(IF(I74="","",I74*1.055),"")</f>
        <v>#ERROR!</v>
      </c>
      <c r="K74" s="413" t="str">
        <f>IFERROR(IF(F74="","",IF(F74&gt;=30,"Offerts","15 EUR")),"")</f>
        <v>#ERROR!</v>
      </c>
      <c r="L74" s="413" t="str">
        <f>IFERROR(IF(F74="","",IF(F74&gt;=51,"J+7",IF(F74&gt;=21,"J+8","J+10"))),"")</f>
        <v>#ERROR!</v>
      </c>
      <c r="M74" s="235"/>
      <c r="N74" s="240"/>
    </row>
    <row r="75">
      <c r="A75" s="408" t="str">
        <f>IF(C75="","","BCE-"&amp;TEXT(YEAR(TODAY()),"0000")&amp;"-"&amp;TEXT(ROW()-13,"000"))</f>
        <v>#ERROR!</v>
      </c>
      <c r="B75" s="266"/>
      <c r="C75" s="227"/>
      <c r="D75" s="227"/>
      <c r="E75" s="227"/>
      <c r="F75" s="227"/>
      <c r="G75" s="227"/>
      <c r="H75" s="409" t="str">
        <f>IFERROR(IF(F75="","",IF(F75&gt;=201,15,IF(F75&gt;=101,12,IF(F75&gt;=51,10,IF(F75&gt;=21,8,5))))),"")</f>
        <v>#ERROR!</v>
      </c>
      <c r="I75" s="410" t="str">
        <f>IFERROR(IF(OR(F75="",G75=""),"",G75*F75*(1-H75/100)),"")</f>
        <v>#ERROR!</v>
      </c>
      <c r="J75" s="411" t="str">
        <f>IFERROR(IF(I75="","",I75*1.055),"")</f>
        <v>#ERROR!</v>
      </c>
      <c r="K75" s="412" t="str">
        <f>IFERROR(IF(F75="","",IF(F75&gt;=30,"Offerts","15 EUR")),"")</f>
        <v>#ERROR!</v>
      </c>
      <c r="L75" s="412" t="str">
        <f>IFERROR(IF(F75="","",IF(F75&gt;=51,"J+7",IF(F75&gt;=21,"J+8","J+10"))),"")</f>
        <v>#ERROR!</v>
      </c>
      <c r="M75" s="227"/>
      <c r="N75" s="233"/>
    </row>
    <row r="76">
      <c r="A76" s="408" t="str">
        <f>IF(C76="","","BCE-"&amp;TEXT(YEAR(TODAY()),"0000")&amp;"-"&amp;TEXT(ROW()-13,"000"))</f>
        <v>#ERROR!</v>
      </c>
      <c r="B76" s="270"/>
      <c r="C76" s="235"/>
      <c r="D76" s="235"/>
      <c r="E76" s="235"/>
      <c r="F76" s="235"/>
      <c r="G76" s="235"/>
      <c r="H76" s="409" t="str">
        <f>IFERROR(IF(F76="","",IF(F76&gt;=201,15,IF(F76&gt;=101,12,IF(F76&gt;=51,10,IF(F76&gt;=21,8,5))))),"")</f>
        <v>#ERROR!</v>
      </c>
      <c r="I76" s="410" t="str">
        <f>IFERROR(IF(OR(F76="",G76=""),"",G76*F76*(1-H76/100)),"")</f>
        <v>#ERROR!</v>
      </c>
      <c r="J76" s="411" t="str">
        <f>IFERROR(IF(I76="","",I76*1.055),"")</f>
        <v>#ERROR!</v>
      </c>
      <c r="K76" s="413" t="str">
        <f>IFERROR(IF(F76="","",IF(F76&gt;=30,"Offerts","15 EUR")),"")</f>
        <v>#ERROR!</v>
      </c>
      <c r="L76" s="413" t="str">
        <f>IFERROR(IF(F76="","",IF(F76&gt;=51,"J+7",IF(F76&gt;=21,"J+8","J+10"))),"")</f>
        <v>#ERROR!</v>
      </c>
      <c r="M76" s="235"/>
      <c r="N76" s="240"/>
    </row>
    <row r="77">
      <c r="A77" s="408" t="str">
        <f>IF(C77="","","BCE-"&amp;TEXT(YEAR(TODAY()),"0000")&amp;"-"&amp;TEXT(ROW()-13,"000"))</f>
        <v>#ERROR!</v>
      </c>
      <c r="B77" s="266"/>
      <c r="C77" s="227"/>
      <c r="D77" s="227"/>
      <c r="E77" s="227"/>
      <c r="F77" s="227"/>
      <c r="G77" s="227"/>
      <c r="H77" s="409" t="str">
        <f>IFERROR(IF(F77="","",IF(F77&gt;=201,15,IF(F77&gt;=101,12,IF(F77&gt;=51,10,IF(F77&gt;=21,8,5))))),"")</f>
        <v>#ERROR!</v>
      </c>
      <c r="I77" s="410" t="str">
        <f>IFERROR(IF(OR(F77="",G77=""),"",G77*F77*(1-H77/100)),"")</f>
        <v>#ERROR!</v>
      </c>
      <c r="J77" s="411" t="str">
        <f>IFERROR(IF(I77="","",I77*1.055),"")</f>
        <v>#ERROR!</v>
      </c>
      <c r="K77" s="412" t="str">
        <f>IFERROR(IF(F77="","",IF(F77&gt;=30,"Offerts","15 EUR")),"")</f>
        <v>#ERROR!</v>
      </c>
      <c r="L77" s="412" t="str">
        <f>IFERROR(IF(F77="","",IF(F77&gt;=51,"J+7",IF(F77&gt;=21,"J+8","J+10"))),"")</f>
        <v>#ERROR!</v>
      </c>
      <c r="M77" s="227"/>
      <c r="N77" s="233"/>
    </row>
    <row r="78">
      <c r="A78" s="408" t="str">
        <f>IF(C78="","","BCE-"&amp;TEXT(YEAR(TODAY()),"0000")&amp;"-"&amp;TEXT(ROW()-13,"000"))</f>
        <v>#ERROR!</v>
      </c>
      <c r="B78" s="270"/>
      <c r="C78" s="235"/>
      <c r="D78" s="235"/>
      <c r="E78" s="235"/>
      <c r="F78" s="235"/>
      <c r="G78" s="235"/>
      <c r="H78" s="409" t="str">
        <f>IFERROR(IF(F78="","",IF(F78&gt;=201,15,IF(F78&gt;=101,12,IF(F78&gt;=51,10,IF(F78&gt;=21,8,5))))),"")</f>
        <v>#ERROR!</v>
      </c>
      <c r="I78" s="410" t="str">
        <f>IFERROR(IF(OR(F78="",G78=""),"",G78*F78*(1-H78/100)),"")</f>
        <v>#ERROR!</v>
      </c>
      <c r="J78" s="411" t="str">
        <f>IFERROR(IF(I78="","",I78*1.055),"")</f>
        <v>#ERROR!</v>
      </c>
      <c r="K78" s="413" t="str">
        <f>IFERROR(IF(F78="","",IF(F78&gt;=30,"Offerts","15 EUR")),"")</f>
        <v>#ERROR!</v>
      </c>
      <c r="L78" s="413" t="str">
        <f>IFERROR(IF(F78="","",IF(F78&gt;=51,"J+7",IF(F78&gt;=21,"J+8","J+10"))),"")</f>
        <v>#ERROR!</v>
      </c>
      <c r="M78" s="235"/>
      <c r="N78" s="240"/>
    </row>
    <row r="79">
      <c r="A79" s="408" t="str">
        <f>IF(C79="","","BCE-"&amp;TEXT(YEAR(TODAY()),"0000")&amp;"-"&amp;TEXT(ROW()-13,"000"))</f>
        <v>#ERROR!</v>
      </c>
      <c r="B79" s="266"/>
      <c r="C79" s="227"/>
      <c r="D79" s="227"/>
      <c r="E79" s="227"/>
      <c r="F79" s="227"/>
      <c r="G79" s="227"/>
      <c r="H79" s="409" t="str">
        <f>IFERROR(IF(F79="","",IF(F79&gt;=201,15,IF(F79&gt;=101,12,IF(F79&gt;=51,10,IF(F79&gt;=21,8,5))))),"")</f>
        <v>#ERROR!</v>
      </c>
      <c r="I79" s="410" t="str">
        <f>IFERROR(IF(OR(F79="",G79=""),"",G79*F79*(1-H79/100)),"")</f>
        <v>#ERROR!</v>
      </c>
      <c r="J79" s="411" t="str">
        <f>IFERROR(IF(I79="","",I79*1.055),"")</f>
        <v>#ERROR!</v>
      </c>
      <c r="K79" s="412" t="str">
        <f>IFERROR(IF(F79="","",IF(F79&gt;=30,"Offerts","15 EUR")),"")</f>
        <v>#ERROR!</v>
      </c>
      <c r="L79" s="412" t="str">
        <f>IFERROR(IF(F79="","",IF(F79&gt;=51,"J+7",IF(F79&gt;=21,"J+8","J+10"))),"")</f>
        <v>#ERROR!</v>
      </c>
      <c r="M79" s="227"/>
      <c r="N79" s="233"/>
    </row>
    <row r="80">
      <c r="A80" s="408" t="str">
        <f>IF(C80="","","BCE-"&amp;TEXT(YEAR(TODAY()),"0000")&amp;"-"&amp;TEXT(ROW()-13,"000"))</f>
        <v>#ERROR!</v>
      </c>
      <c r="B80" s="270"/>
      <c r="C80" s="235"/>
      <c r="D80" s="235"/>
      <c r="E80" s="235"/>
      <c r="F80" s="235"/>
      <c r="G80" s="235"/>
      <c r="H80" s="409" t="str">
        <f>IFERROR(IF(F80="","",IF(F80&gt;=201,15,IF(F80&gt;=101,12,IF(F80&gt;=51,10,IF(F80&gt;=21,8,5))))),"")</f>
        <v>#ERROR!</v>
      </c>
      <c r="I80" s="410" t="str">
        <f>IFERROR(IF(OR(F80="",G80=""),"",G80*F80*(1-H80/100)),"")</f>
        <v>#ERROR!</v>
      </c>
      <c r="J80" s="411" t="str">
        <f>IFERROR(IF(I80="","",I80*1.055),"")</f>
        <v>#ERROR!</v>
      </c>
      <c r="K80" s="413" t="str">
        <f>IFERROR(IF(F80="","",IF(F80&gt;=30,"Offerts","15 EUR")),"")</f>
        <v>#ERROR!</v>
      </c>
      <c r="L80" s="413" t="str">
        <f>IFERROR(IF(F80="","",IF(F80&gt;=51,"J+7",IF(F80&gt;=21,"J+8","J+10"))),"")</f>
        <v>#ERROR!</v>
      </c>
      <c r="M80" s="235"/>
      <c r="N80" s="240"/>
    </row>
    <row r="81">
      <c r="A81" s="408" t="str">
        <f>IF(C81="","","BCE-"&amp;TEXT(YEAR(TODAY()),"0000")&amp;"-"&amp;TEXT(ROW()-13,"000"))</f>
        <v>#ERROR!</v>
      </c>
      <c r="B81" s="266"/>
      <c r="C81" s="227"/>
      <c r="D81" s="227"/>
      <c r="E81" s="227"/>
      <c r="F81" s="227"/>
      <c r="G81" s="227"/>
      <c r="H81" s="409" t="str">
        <f>IFERROR(IF(F81="","",IF(F81&gt;=201,15,IF(F81&gt;=101,12,IF(F81&gt;=51,10,IF(F81&gt;=21,8,5))))),"")</f>
        <v>#ERROR!</v>
      </c>
      <c r="I81" s="410" t="str">
        <f>IFERROR(IF(OR(F81="",G81=""),"",G81*F81*(1-H81/100)),"")</f>
        <v>#ERROR!</v>
      </c>
      <c r="J81" s="411" t="str">
        <f>IFERROR(IF(I81="","",I81*1.055),"")</f>
        <v>#ERROR!</v>
      </c>
      <c r="K81" s="412" t="str">
        <f>IFERROR(IF(F81="","",IF(F81&gt;=30,"Offerts","15 EUR")),"")</f>
        <v>#ERROR!</v>
      </c>
      <c r="L81" s="412" t="str">
        <f>IFERROR(IF(F81="","",IF(F81&gt;=51,"J+7",IF(F81&gt;=21,"J+8","J+10"))),"")</f>
        <v>#ERROR!</v>
      </c>
      <c r="M81" s="227"/>
      <c r="N81" s="233"/>
    </row>
    <row r="82">
      <c r="A82" s="408" t="str">
        <f>IF(C82="","","BCE-"&amp;TEXT(YEAR(TODAY()),"0000")&amp;"-"&amp;TEXT(ROW()-13,"000"))</f>
        <v>#ERROR!</v>
      </c>
      <c r="B82" s="270"/>
      <c r="C82" s="235"/>
      <c r="D82" s="235"/>
      <c r="E82" s="235"/>
      <c r="F82" s="235"/>
      <c r="G82" s="235"/>
      <c r="H82" s="409" t="str">
        <f>IFERROR(IF(F82="","",IF(F82&gt;=201,15,IF(F82&gt;=101,12,IF(F82&gt;=51,10,IF(F82&gt;=21,8,5))))),"")</f>
        <v>#ERROR!</v>
      </c>
      <c r="I82" s="410" t="str">
        <f>IFERROR(IF(OR(F82="",G82=""),"",G82*F82*(1-H82/100)),"")</f>
        <v>#ERROR!</v>
      </c>
      <c r="J82" s="411" t="str">
        <f>IFERROR(IF(I82="","",I82*1.055),"")</f>
        <v>#ERROR!</v>
      </c>
      <c r="K82" s="413" t="str">
        <f>IFERROR(IF(F82="","",IF(F82&gt;=30,"Offerts","15 EUR")),"")</f>
        <v>#ERROR!</v>
      </c>
      <c r="L82" s="413" t="str">
        <f>IFERROR(IF(F82="","",IF(F82&gt;=51,"J+7",IF(F82&gt;=21,"J+8","J+10"))),"")</f>
        <v>#ERROR!</v>
      </c>
      <c r="M82" s="235"/>
      <c r="N82" s="240"/>
    </row>
    <row r="83">
      <c r="A83" s="408" t="str">
        <f>IF(C83="","","BCE-"&amp;TEXT(YEAR(TODAY()),"0000")&amp;"-"&amp;TEXT(ROW()-13,"000"))</f>
        <v>#ERROR!</v>
      </c>
      <c r="B83" s="266"/>
      <c r="C83" s="227"/>
      <c r="D83" s="227"/>
      <c r="E83" s="227"/>
      <c r="F83" s="227"/>
      <c r="G83" s="227"/>
      <c r="H83" s="409" t="str">
        <f>IFERROR(IF(F83="","",IF(F83&gt;=201,15,IF(F83&gt;=101,12,IF(F83&gt;=51,10,IF(F83&gt;=21,8,5))))),"")</f>
        <v>#ERROR!</v>
      </c>
      <c r="I83" s="410" t="str">
        <f>IFERROR(IF(OR(F83="",G83=""),"",G83*F83*(1-H83/100)),"")</f>
        <v>#ERROR!</v>
      </c>
      <c r="J83" s="411" t="str">
        <f>IFERROR(IF(I83="","",I83*1.055),"")</f>
        <v>#ERROR!</v>
      </c>
      <c r="K83" s="412" t="str">
        <f>IFERROR(IF(F83="","",IF(F83&gt;=30,"Offerts","15 EUR")),"")</f>
        <v>#ERROR!</v>
      </c>
      <c r="L83" s="412" t="str">
        <f>IFERROR(IF(F83="","",IF(F83&gt;=51,"J+7",IF(F83&gt;=21,"J+8","J+10"))),"")</f>
        <v>#ERROR!</v>
      </c>
      <c r="M83" s="227"/>
      <c r="N83" s="233"/>
    </row>
    <row r="84">
      <c r="A84" s="408" t="str">
        <f>IF(C84="","","BCE-"&amp;TEXT(YEAR(TODAY()),"0000")&amp;"-"&amp;TEXT(ROW()-13,"000"))</f>
        <v>#ERROR!</v>
      </c>
      <c r="B84" s="270"/>
      <c r="C84" s="235"/>
      <c r="D84" s="235"/>
      <c r="E84" s="235"/>
      <c r="F84" s="235"/>
      <c r="G84" s="235"/>
      <c r="H84" s="409" t="str">
        <f>IFERROR(IF(F84="","",IF(F84&gt;=201,15,IF(F84&gt;=101,12,IF(F84&gt;=51,10,IF(F84&gt;=21,8,5))))),"")</f>
        <v>#ERROR!</v>
      </c>
      <c r="I84" s="410" t="str">
        <f>IFERROR(IF(OR(F84="",G84=""),"",G84*F84*(1-H84/100)),"")</f>
        <v>#ERROR!</v>
      </c>
      <c r="J84" s="411" t="str">
        <f>IFERROR(IF(I84="","",I84*1.055),"")</f>
        <v>#ERROR!</v>
      </c>
      <c r="K84" s="413" t="str">
        <f>IFERROR(IF(F84="","",IF(F84&gt;=30,"Offerts","15 EUR")),"")</f>
        <v>#ERROR!</v>
      </c>
      <c r="L84" s="413" t="str">
        <f>IFERROR(IF(F84="","",IF(F84&gt;=51,"J+7",IF(F84&gt;=21,"J+8","J+10"))),"")</f>
        <v>#ERROR!</v>
      </c>
      <c r="M84" s="235"/>
      <c r="N84" s="240"/>
    </row>
    <row r="85">
      <c r="A85" s="408" t="str">
        <f>IF(C85="","","BCE-"&amp;TEXT(YEAR(TODAY()),"0000")&amp;"-"&amp;TEXT(ROW()-13,"000"))</f>
        <v>#ERROR!</v>
      </c>
      <c r="B85" s="266"/>
      <c r="C85" s="227"/>
      <c r="D85" s="227"/>
      <c r="E85" s="227"/>
      <c r="F85" s="227"/>
      <c r="G85" s="227"/>
      <c r="H85" s="409" t="str">
        <f>IFERROR(IF(F85="","",IF(F85&gt;=201,15,IF(F85&gt;=101,12,IF(F85&gt;=51,10,IF(F85&gt;=21,8,5))))),"")</f>
        <v>#ERROR!</v>
      </c>
      <c r="I85" s="410" t="str">
        <f>IFERROR(IF(OR(F85="",G85=""),"",G85*F85*(1-H85/100)),"")</f>
        <v>#ERROR!</v>
      </c>
      <c r="J85" s="411" t="str">
        <f>IFERROR(IF(I85="","",I85*1.055),"")</f>
        <v>#ERROR!</v>
      </c>
      <c r="K85" s="412" t="str">
        <f>IFERROR(IF(F85="","",IF(F85&gt;=30,"Offerts","15 EUR")),"")</f>
        <v>#ERROR!</v>
      </c>
      <c r="L85" s="412" t="str">
        <f>IFERROR(IF(F85="","",IF(F85&gt;=51,"J+7",IF(F85&gt;=21,"J+8","J+10"))),"")</f>
        <v>#ERROR!</v>
      </c>
      <c r="M85" s="227"/>
      <c r="N85" s="233"/>
    </row>
    <row r="86">
      <c r="A86" s="408" t="str">
        <f>IF(C86="","","BCE-"&amp;TEXT(YEAR(TODAY()),"0000")&amp;"-"&amp;TEXT(ROW()-13,"000"))</f>
        <v>#ERROR!</v>
      </c>
      <c r="B86" s="270"/>
      <c r="C86" s="235"/>
      <c r="D86" s="235"/>
      <c r="E86" s="235"/>
      <c r="F86" s="235"/>
      <c r="G86" s="235"/>
      <c r="H86" s="409" t="str">
        <f>IFERROR(IF(F86="","",IF(F86&gt;=201,15,IF(F86&gt;=101,12,IF(F86&gt;=51,10,IF(F86&gt;=21,8,5))))),"")</f>
        <v>#ERROR!</v>
      </c>
      <c r="I86" s="410" t="str">
        <f>IFERROR(IF(OR(F86="",G86=""),"",G86*F86*(1-H86/100)),"")</f>
        <v>#ERROR!</v>
      </c>
      <c r="J86" s="411" t="str">
        <f>IFERROR(IF(I86="","",I86*1.055),"")</f>
        <v>#ERROR!</v>
      </c>
      <c r="K86" s="413" t="str">
        <f>IFERROR(IF(F86="","",IF(F86&gt;=30,"Offerts","15 EUR")),"")</f>
        <v>#ERROR!</v>
      </c>
      <c r="L86" s="413" t="str">
        <f>IFERROR(IF(F86="","",IF(F86&gt;=51,"J+7",IF(F86&gt;=21,"J+8","J+10"))),"")</f>
        <v>#ERROR!</v>
      </c>
      <c r="M86" s="235"/>
      <c r="N86" s="240"/>
    </row>
    <row r="87">
      <c r="A87" s="408" t="str">
        <f>IF(C87="","","BCE-"&amp;TEXT(YEAR(TODAY()),"0000")&amp;"-"&amp;TEXT(ROW()-13,"000"))</f>
        <v>#ERROR!</v>
      </c>
      <c r="B87" s="266"/>
      <c r="C87" s="227"/>
      <c r="D87" s="227"/>
      <c r="E87" s="227"/>
      <c r="F87" s="227"/>
      <c r="G87" s="227"/>
      <c r="H87" s="409" t="str">
        <f>IFERROR(IF(F87="","",IF(F87&gt;=201,15,IF(F87&gt;=101,12,IF(F87&gt;=51,10,IF(F87&gt;=21,8,5))))),"")</f>
        <v>#ERROR!</v>
      </c>
      <c r="I87" s="410" t="str">
        <f>IFERROR(IF(OR(F87="",G87=""),"",G87*F87*(1-H87/100)),"")</f>
        <v>#ERROR!</v>
      </c>
      <c r="J87" s="411" t="str">
        <f>IFERROR(IF(I87="","",I87*1.055),"")</f>
        <v>#ERROR!</v>
      </c>
      <c r="K87" s="412" t="str">
        <f>IFERROR(IF(F87="","",IF(F87&gt;=30,"Offerts","15 EUR")),"")</f>
        <v>#ERROR!</v>
      </c>
      <c r="L87" s="412" t="str">
        <f>IFERROR(IF(F87="","",IF(F87&gt;=51,"J+7",IF(F87&gt;=21,"J+8","J+10"))),"")</f>
        <v>#ERROR!</v>
      </c>
      <c r="M87" s="227"/>
      <c r="N87" s="233"/>
    </row>
    <row r="88">
      <c r="A88" s="408" t="str">
        <f>IF(C88="","","BCE-"&amp;TEXT(YEAR(TODAY()),"0000")&amp;"-"&amp;TEXT(ROW()-13,"000"))</f>
        <v>#ERROR!</v>
      </c>
      <c r="B88" s="270"/>
      <c r="C88" s="235"/>
      <c r="D88" s="235"/>
      <c r="E88" s="235"/>
      <c r="F88" s="235"/>
      <c r="G88" s="235"/>
      <c r="H88" s="409" t="str">
        <f>IFERROR(IF(F88="","",IF(F88&gt;=201,15,IF(F88&gt;=101,12,IF(F88&gt;=51,10,IF(F88&gt;=21,8,5))))),"")</f>
        <v>#ERROR!</v>
      </c>
      <c r="I88" s="410" t="str">
        <f>IFERROR(IF(OR(F88="",G88=""),"",G88*F88*(1-H88/100)),"")</f>
        <v>#ERROR!</v>
      </c>
      <c r="J88" s="411" t="str">
        <f>IFERROR(IF(I88="","",I88*1.055),"")</f>
        <v>#ERROR!</v>
      </c>
      <c r="K88" s="413" t="str">
        <f>IFERROR(IF(F88="","",IF(F88&gt;=30,"Offerts","15 EUR")),"")</f>
        <v>#ERROR!</v>
      </c>
      <c r="L88" s="413" t="str">
        <f>IFERROR(IF(F88="","",IF(F88&gt;=51,"J+7",IF(F88&gt;=21,"J+8","J+10"))),"")</f>
        <v>#ERROR!</v>
      </c>
      <c r="M88" s="235"/>
      <c r="N88" s="240"/>
    </row>
    <row r="89">
      <c r="A89" s="408" t="str">
        <f>IF(C89="","","BCE-"&amp;TEXT(YEAR(TODAY()),"0000")&amp;"-"&amp;TEXT(ROW()-13,"000"))</f>
        <v>#ERROR!</v>
      </c>
      <c r="B89" s="266"/>
      <c r="C89" s="227"/>
      <c r="D89" s="227"/>
      <c r="E89" s="227"/>
      <c r="F89" s="227"/>
      <c r="G89" s="227"/>
      <c r="H89" s="409" t="str">
        <f>IFERROR(IF(F89="","",IF(F89&gt;=201,15,IF(F89&gt;=101,12,IF(F89&gt;=51,10,IF(F89&gt;=21,8,5))))),"")</f>
        <v>#ERROR!</v>
      </c>
      <c r="I89" s="410" t="str">
        <f>IFERROR(IF(OR(F89="",G89=""),"",G89*F89*(1-H89/100)),"")</f>
        <v>#ERROR!</v>
      </c>
      <c r="J89" s="411" t="str">
        <f>IFERROR(IF(I89="","",I89*1.055),"")</f>
        <v>#ERROR!</v>
      </c>
      <c r="K89" s="412" t="str">
        <f>IFERROR(IF(F89="","",IF(F89&gt;=30,"Offerts","15 EUR")),"")</f>
        <v>#ERROR!</v>
      </c>
      <c r="L89" s="412" t="str">
        <f>IFERROR(IF(F89="","",IF(F89&gt;=51,"J+7",IF(F89&gt;=21,"J+8","J+10"))),"")</f>
        <v>#ERROR!</v>
      </c>
      <c r="M89" s="227"/>
      <c r="N89" s="233"/>
    </row>
    <row r="90">
      <c r="A90" s="408" t="str">
        <f>IF(C90="","","BCE-"&amp;TEXT(YEAR(TODAY()),"0000")&amp;"-"&amp;TEXT(ROW()-13,"000"))</f>
        <v>#ERROR!</v>
      </c>
      <c r="B90" s="270"/>
      <c r="C90" s="235"/>
      <c r="D90" s="235"/>
      <c r="E90" s="235"/>
      <c r="F90" s="235"/>
      <c r="G90" s="235"/>
      <c r="H90" s="409" t="str">
        <f>IFERROR(IF(F90="","",IF(F90&gt;=201,15,IF(F90&gt;=101,12,IF(F90&gt;=51,10,IF(F90&gt;=21,8,5))))),"")</f>
        <v>#ERROR!</v>
      </c>
      <c r="I90" s="410" t="str">
        <f>IFERROR(IF(OR(F90="",G90=""),"",G90*F90*(1-H90/100)),"")</f>
        <v>#ERROR!</v>
      </c>
      <c r="J90" s="411" t="str">
        <f>IFERROR(IF(I90="","",I90*1.055),"")</f>
        <v>#ERROR!</v>
      </c>
      <c r="K90" s="413" t="str">
        <f>IFERROR(IF(F90="","",IF(F90&gt;=30,"Offerts","15 EUR")),"")</f>
        <v>#ERROR!</v>
      </c>
      <c r="L90" s="413" t="str">
        <f>IFERROR(IF(F90="","",IF(F90&gt;=51,"J+7",IF(F90&gt;=21,"J+8","J+10"))),"")</f>
        <v>#ERROR!</v>
      </c>
      <c r="M90" s="235"/>
      <c r="N90" s="240"/>
    </row>
    <row r="91">
      <c r="A91" s="408" t="str">
        <f>IF(C91="","","BCE-"&amp;TEXT(YEAR(TODAY()),"0000")&amp;"-"&amp;TEXT(ROW()-13,"000"))</f>
        <v>#ERROR!</v>
      </c>
      <c r="B91" s="266"/>
      <c r="C91" s="227"/>
      <c r="D91" s="227"/>
      <c r="E91" s="227"/>
      <c r="F91" s="227"/>
      <c r="G91" s="227"/>
      <c r="H91" s="409" t="str">
        <f>IFERROR(IF(F91="","",IF(F91&gt;=201,15,IF(F91&gt;=101,12,IF(F91&gt;=51,10,IF(F91&gt;=21,8,5))))),"")</f>
        <v>#ERROR!</v>
      </c>
      <c r="I91" s="410" t="str">
        <f>IFERROR(IF(OR(F91="",G91=""),"",G91*F91*(1-H91/100)),"")</f>
        <v>#ERROR!</v>
      </c>
      <c r="J91" s="411" t="str">
        <f>IFERROR(IF(I91="","",I91*1.055),"")</f>
        <v>#ERROR!</v>
      </c>
      <c r="K91" s="412" t="str">
        <f>IFERROR(IF(F91="","",IF(F91&gt;=30,"Offerts","15 EUR")),"")</f>
        <v>#ERROR!</v>
      </c>
      <c r="L91" s="412" t="str">
        <f>IFERROR(IF(F91="","",IF(F91&gt;=51,"J+7",IF(F91&gt;=21,"J+8","J+10"))),"")</f>
        <v>#ERROR!</v>
      </c>
      <c r="M91" s="227"/>
      <c r="N91" s="233"/>
    </row>
    <row r="92">
      <c r="A92" s="408" t="str">
        <f>IF(C92="","","BCE-"&amp;TEXT(YEAR(TODAY()),"0000")&amp;"-"&amp;TEXT(ROW()-13,"000"))</f>
        <v>#ERROR!</v>
      </c>
      <c r="B92" s="270"/>
      <c r="C92" s="235"/>
      <c r="D92" s="235"/>
      <c r="E92" s="235"/>
      <c r="F92" s="235"/>
      <c r="G92" s="235"/>
      <c r="H92" s="409" t="str">
        <f>IFERROR(IF(F92="","",IF(F92&gt;=201,15,IF(F92&gt;=101,12,IF(F92&gt;=51,10,IF(F92&gt;=21,8,5))))),"")</f>
        <v>#ERROR!</v>
      </c>
      <c r="I92" s="410" t="str">
        <f>IFERROR(IF(OR(F92="",G92=""),"",G92*F92*(1-H92/100)),"")</f>
        <v>#ERROR!</v>
      </c>
      <c r="J92" s="411" t="str">
        <f>IFERROR(IF(I92="","",I92*1.055),"")</f>
        <v>#ERROR!</v>
      </c>
      <c r="K92" s="413" t="str">
        <f>IFERROR(IF(F92="","",IF(F92&gt;=30,"Offerts","15 EUR")),"")</f>
        <v>#ERROR!</v>
      </c>
      <c r="L92" s="413" t="str">
        <f>IFERROR(IF(F92="","",IF(F92&gt;=51,"J+7",IF(F92&gt;=21,"J+8","J+10"))),"")</f>
        <v>#ERROR!</v>
      </c>
      <c r="M92" s="235"/>
      <c r="N92" s="240"/>
    </row>
    <row r="93">
      <c r="A93" s="408" t="str">
        <f>IF(C93="","","BCE-"&amp;TEXT(YEAR(TODAY()),"0000")&amp;"-"&amp;TEXT(ROW()-13,"000"))</f>
        <v>#ERROR!</v>
      </c>
      <c r="B93" s="266"/>
      <c r="C93" s="227"/>
      <c r="D93" s="227"/>
      <c r="E93" s="227"/>
      <c r="F93" s="227"/>
      <c r="G93" s="227"/>
      <c r="H93" s="409" t="str">
        <f>IFERROR(IF(F93="","",IF(F93&gt;=201,15,IF(F93&gt;=101,12,IF(F93&gt;=51,10,IF(F93&gt;=21,8,5))))),"")</f>
        <v>#ERROR!</v>
      </c>
      <c r="I93" s="410" t="str">
        <f>IFERROR(IF(OR(F93="",G93=""),"",G93*F93*(1-H93/100)),"")</f>
        <v>#ERROR!</v>
      </c>
      <c r="J93" s="411" t="str">
        <f>IFERROR(IF(I93="","",I93*1.055),"")</f>
        <v>#ERROR!</v>
      </c>
      <c r="K93" s="412" t="str">
        <f>IFERROR(IF(F93="","",IF(F93&gt;=30,"Offerts","15 EUR")),"")</f>
        <v>#ERROR!</v>
      </c>
      <c r="L93" s="412" t="str">
        <f>IFERROR(IF(F93="","",IF(F93&gt;=51,"J+7",IF(F93&gt;=21,"J+8","J+10"))),"")</f>
        <v>#ERROR!</v>
      </c>
      <c r="M93" s="227"/>
      <c r="N93" s="233"/>
    </row>
    <row r="94">
      <c r="A94" s="408" t="str">
        <f>IF(C94="","","BCE-"&amp;TEXT(YEAR(TODAY()),"0000")&amp;"-"&amp;TEXT(ROW()-13,"000"))</f>
        <v>#ERROR!</v>
      </c>
      <c r="B94" s="270"/>
      <c r="C94" s="235"/>
      <c r="D94" s="235"/>
      <c r="E94" s="235"/>
      <c r="F94" s="235"/>
      <c r="G94" s="235"/>
      <c r="H94" s="409" t="str">
        <f>IFERROR(IF(F94="","",IF(F94&gt;=201,15,IF(F94&gt;=101,12,IF(F94&gt;=51,10,IF(F94&gt;=21,8,5))))),"")</f>
        <v>#ERROR!</v>
      </c>
      <c r="I94" s="410" t="str">
        <f>IFERROR(IF(OR(F94="",G94=""),"",G94*F94*(1-H94/100)),"")</f>
        <v>#ERROR!</v>
      </c>
      <c r="J94" s="411" t="str">
        <f>IFERROR(IF(I94="","",I94*1.055),"")</f>
        <v>#ERROR!</v>
      </c>
      <c r="K94" s="413" t="str">
        <f>IFERROR(IF(F94="","",IF(F94&gt;=30,"Offerts","15 EUR")),"")</f>
        <v>#ERROR!</v>
      </c>
      <c r="L94" s="413" t="str">
        <f>IFERROR(IF(F94="","",IF(F94&gt;=51,"J+7",IF(F94&gt;=21,"J+8","J+10"))),"")</f>
        <v>#ERROR!</v>
      </c>
      <c r="M94" s="235"/>
      <c r="N94" s="240"/>
    </row>
    <row r="95">
      <c r="A95" s="408" t="str">
        <f>IF(C95="","","BCE-"&amp;TEXT(YEAR(TODAY()),"0000")&amp;"-"&amp;TEXT(ROW()-13,"000"))</f>
        <v>#ERROR!</v>
      </c>
      <c r="B95" s="266"/>
      <c r="C95" s="227"/>
      <c r="D95" s="227"/>
      <c r="E95" s="227"/>
      <c r="F95" s="227"/>
      <c r="G95" s="227"/>
      <c r="H95" s="409" t="str">
        <f>IFERROR(IF(F95="","",IF(F95&gt;=201,15,IF(F95&gt;=101,12,IF(F95&gt;=51,10,IF(F95&gt;=21,8,5))))),"")</f>
        <v>#ERROR!</v>
      </c>
      <c r="I95" s="410" t="str">
        <f>IFERROR(IF(OR(F95="",G95=""),"",G95*F95*(1-H95/100)),"")</f>
        <v>#ERROR!</v>
      </c>
      <c r="J95" s="411" t="str">
        <f>IFERROR(IF(I95="","",I95*1.055),"")</f>
        <v>#ERROR!</v>
      </c>
      <c r="K95" s="412" t="str">
        <f>IFERROR(IF(F95="","",IF(F95&gt;=30,"Offerts","15 EUR")),"")</f>
        <v>#ERROR!</v>
      </c>
      <c r="L95" s="412" t="str">
        <f>IFERROR(IF(F95="","",IF(F95&gt;=51,"J+7",IF(F95&gt;=21,"J+8","J+10"))),"")</f>
        <v>#ERROR!</v>
      </c>
      <c r="M95" s="227"/>
      <c r="N95" s="233"/>
    </row>
    <row r="96">
      <c r="A96" s="408" t="str">
        <f>IF(C96="","","BCE-"&amp;TEXT(YEAR(TODAY()),"0000")&amp;"-"&amp;TEXT(ROW()-13,"000"))</f>
        <v>#ERROR!</v>
      </c>
      <c r="B96" s="270"/>
      <c r="C96" s="235"/>
      <c r="D96" s="235"/>
      <c r="E96" s="235"/>
      <c r="F96" s="235"/>
      <c r="G96" s="235"/>
      <c r="H96" s="409" t="str">
        <f>IFERROR(IF(F96="","",IF(F96&gt;=201,15,IF(F96&gt;=101,12,IF(F96&gt;=51,10,IF(F96&gt;=21,8,5))))),"")</f>
        <v>#ERROR!</v>
      </c>
      <c r="I96" s="410" t="str">
        <f>IFERROR(IF(OR(F96="",G96=""),"",G96*F96*(1-H96/100)),"")</f>
        <v>#ERROR!</v>
      </c>
      <c r="J96" s="411" t="str">
        <f>IFERROR(IF(I96="","",I96*1.055),"")</f>
        <v>#ERROR!</v>
      </c>
      <c r="K96" s="413" t="str">
        <f>IFERROR(IF(F96="","",IF(F96&gt;=30,"Offerts","15 EUR")),"")</f>
        <v>#ERROR!</v>
      </c>
      <c r="L96" s="413" t="str">
        <f>IFERROR(IF(F96="","",IF(F96&gt;=51,"J+7",IF(F96&gt;=21,"J+8","J+10"))),"")</f>
        <v>#ERROR!</v>
      </c>
      <c r="M96" s="235"/>
      <c r="N96" s="240"/>
    </row>
    <row r="97">
      <c r="A97" s="408" t="str">
        <f>IF(C97="","","BCE-"&amp;TEXT(YEAR(TODAY()),"0000")&amp;"-"&amp;TEXT(ROW()-13,"000"))</f>
        <v>#ERROR!</v>
      </c>
      <c r="B97" s="266"/>
      <c r="C97" s="227"/>
      <c r="D97" s="227"/>
      <c r="E97" s="227"/>
      <c r="F97" s="227"/>
      <c r="G97" s="227"/>
      <c r="H97" s="409" t="str">
        <f>IFERROR(IF(F97="","",IF(F97&gt;=201,15,IF(F97&gt;=101,12,IF(F97&gt;=51,10,IF(F97&gt;=21,8,5))))),"")</f>
        <v>#ERROR!</v>
      </c>
      <c r="I97" s="410" t="str">
        <f>IFERROR(IF(OR(F97="",G97=""),"",G97*F97*(1-H97/100)),"")</f>
        <v>#ERROR!</v>
      </c>
      <c r="J97" s="411" t="str">
        <f>IFERROR(IF(I97="","",I97*1.055),"")</f>
        <v>#ERROR!</v>
      </c>
      <c r="K97" s="412" t="str">
        <f>IFERROR(IF(F97="","",IF(F97&gt;=30,"Offerts","15 EUR")),"")</f>
        <v>#ERROR!</v>
      </c>
      <c r="L97" s="412" t="str">
        <f>IFERROR(IF(F97="","",IF(F97&gt;=51,"J+7",IF(F97&gt;=21,"J+8","J+10"))),"")</f>
        <v>#ERROR!</v>
      </c>
      <c r="M97" s="227"/>
      <c r="N97" s="233"/>
    </row>
    <row r="98">
      <c r="A98" s="408" t="str">
        <f>IF(C98="","","BCE-"&amp;TEXT(YEAR(TODAY()),"0000")&amp;"-"&amp;TEXT(ROW()-13,"000"))</f>
        <v>#ERROR!</v>
      </c>
      <c r="B98" s="270"/>
      <c r="C98" s="235"/>
      <c r="D98" s="235"/>
      <c r="E98" s="235"/>
      <c r="F98" s="235"/>
      <c r="G98" s="235"/>
      <c r="H98" s="409" t="str">
        <f>IFERROR(IF(F98="","",IF(F98&gt;=201,15,IF(F98&gt;=101,12,IF(F98&gt;=51,10,IF(F98&gt;=21,8,5))))),"")</f>
        <v>#ERROR!</v>
      </c>
      <c r="I98" s="410" t="str">
        <f>IFERROR(IF(OR(F98="",G98=""),"",G98*F98*(1-H98/100)),"")</f>
        <v>#ERROR!</v>
      </c>
      <c r="J98" s="411" t="str">
        <f>IFERROR(IF(I98="","",I98*1.055),"")</f>
        <v>#ERROR!</v>
      </c>
      <c r="K98" s="413" t="str">
        <f>IFERROR(IF(F98="","",IF(F98&gt;=30,"Offerts","15 EUR")),"")</f>
        <v>#ERROR!</v>
      </c>
      <c r="L98" s="413" t="str">
        <f>IFERROR(IF(F98="","",IF(F98&gt;=51,"J+7",IF(F98&gt;=21,"J+8","J+10"))),"")</f>
        <v>#ERROR!</v>
      </c>
      <c r="M98" s="235"/>
      <c r="N98" s="240"/>
    </row>
    <row r="99">
      <c r="A99" s="408" t="str">
        <f>IF(C99="","","BCE-"&amp;TEXT(YEAR(TODAY()),"0000")&amp;"-"&amp;TEXT(ROW()-13,"000"))</f>
        <v>#ERROR!</v>
      </c>
      <c r="B99" s="266"/>
      <c r="C99" s="227"/>
      <c r="D99" s="227"/>
      <c r="E99" s="227"/>
      <c r="F99" s="227"/>
      <c r="G99" s="227"/>
      <c r="H99" s="409" t="str">
        <f>IFERROR(IF(F99="","",IF(F99&gt;=201,15,IF(F99&gt;=101,12,IF(F99&gt;=51,10,IF(F99&gt;=21,8,5))))),"")</f>
        <v>#ERROR!</v>
      </c>
      <c r="I99" s="410" t="str">
        <f>IFERROR(IF(OR(F99="",G99=""),"",G99*F99*(1-H99/100)),"")</f>
        <v>#ERROR!</v>
      </c>
      <c r="J99" s="411" t="str">
        <f>IFERROR(IF(I99="","",I99*1.055),"")</f>
        <v>#ERROR!</v>
      </c>
      <c r="K99" s="412" t="str">
        <f>IFERROR(IF(F99="","",IF(F99&gt;=30,"Offerts","15 EUR")),"")</f>
        <v>#ERROR!</v>
      </c>
      <c r="L99" s="412" t="str">
        <f>IFERROR(IF(F99="","",IF(F99&gt;=51,"J+7",IF(F99&gt;=21,"J+8","J+10"))),"")</f>
        <v>#ERROR!</v>
      </c>
      <c r="M99" s="227"/>
      <c r="N99" s="233"/>
    </row>
    <row r="100">
      <c r="A100" s="408" t="str">
        <f>IF(C100="","","BCE-"&amp;TEXT(YEAR(TODAY()),"0000")&amp;"-"&amp;TEXT(ROW()-13,"000"))</f>
        <v>#ERROR!</v>
      </c>
      <c r="B100" s="270"/>
      <c r="C100" s="235"/>
      <c r="D100" s="235"/>
      <c r="E100" s="235"/>
      <c r="F100" s="235"/>
      <c r="G100" s="235"/>
      <c r="H100" s="409" t="str">
        <f>IFERROR(IF(F100="","",IF(F100&gt;=201,15,IF(F100&gt;=101,12,IF(F100&gt;=51,10,IF(F100&gt;=21,8,5))))),"")</f>
        <v>#ERROR!</v>
      </c>
      <c r="I100" s="410" t="str">
        <f>IFERROR(IF(OR(F100="",G100=""),"",G100*F100*(1-H100/100)),"")</f>
        <v>#ERROR!</v>
      </c>
      <c r="J100" s="411" t="str">
        <f>IFERROR(IF(I100="","",I100*1.055),"")</f>
        <v>#ERROR!</v>
      </c>
      <c r="K100" s="413" t="str">
        <f>IFERROR(IF(F100="","",IF(F100&gt;=30,"Offerts","15 EUR")),"")</f>
        <v>#ERROR!</v>
      </c>
      <c r="L100" s="413" t="str">
        <f>IFERROR(IF(F100="","",IF(F100&gt;=51,"J+7",IF(F100&gt;=21,"J+8","J+10"))),"")</f>
        <v>#ERROR!</v>
      </c>
      <c r="M100" s="235"/>
      <c r="N100" s="240"/>
    </row>
    <row r="101">
      <c r="A101" s="408" t="str">
        <f>IF(C101="","","BCE-"&amp;TEXT(YEAR(TODAY()),"0000")&amp;"-"&amp;TEXT(ROW()-13,"000"))</f>
        <v>#ERROR!</v>
      </c>
      <c r="B101" s="266"/>
      <c r="C101" s="227"/>
      <c r="D101" s="227"/>
      <c r="E101" s="227"/>
      <c r="F101" s="227"/>
      <c r="G101" s="227"/>
      <c r="H101" s="409" t="str">
        <f>IFERROR(IF(F101="","",IF(F101&gt;=201,15,IF(F101&gt;=101,12,IF(F101&gt;=51,10,IF(F101&gt;=21,8,5))))),"")</f>
        <v>#ERROR!</v>
      </c>
      <c r="I101" s="410" t="str">
        <f>IFERROR(IF(OR(F101="",G101=""),"",G101*F101*(1-H101/100)),"")</f>
        <v>#ERROR!</v>
      </c>
      <c r="J101" s="411" t="str">
        <f>IFERROR(IF(I101="","",I101*1.055),"")</f>
        <v>#ERROR!</v>
      </c>
      <c r="K101" s="412" t="str">
        <f>IFERROR(IF(F101="","",IF(F101&gt;=30,"Offerts","15 EUR")),"")</f>
        <v>#ERROR!</v>
      </c>
      <c r="L101" s="412" t="str">
        <f>IFERROR(IF(F101="","",IF(F101&gt;=51,"J+7",IF(F101&gt;=21,"J+8","J+10"))),"")</f>
        <v>#ERROR!</v>
      </c>
      <c r="M101" s="227"/>
      <c r="N101" s="233"/>
    </row>
    <row r="102">
      <c r="A102" s="408" t="str">
        <f>IF(C102="","","BCE-"&amp;TEXT(YEAR(TODAY()),"0000")&amp;"-"&amp;TEXT(ROW()-13,"000"))</f>
        <v>#ERROR!</v>
      </c>
      <c r="B102" s="270"/>
      <c r="C102" s="235"/>
      <c r="D102" s="235"/>
      <c r="E102" s="235"/>
      <c r="F102" s="235"/>
      <c r="G102" s="235"/>
      <c r="H102" s="409" t="str">
        <f>IFERROR(IF(F102="","",IF(F102&gt;=201,15,IF(F102&gt;=101,12,IF(F102&gt;=51,10,IF(F102&gt;=21,8,5))))),"")</f>
        <v>#ERROR!</v>
      </c>
      <c r="I102" s="410" t="str">
        <f>IFERROR(IF(OR(F102="",G102=""),"",G102*F102*(1-H102/100)),"")</f>
        <v>#ERROR!</v>
      </c>
      <c r="J102" s="411" t="str">
        <f>IFERROR(IF(I102="","",I102*1.055),"")</f>
        <v>#ERROR!</v>
      </c>
      <c r="K102" s="413" t="str">
        <f>IFERROR(IF(F102="","",IF(F102&gt;=30,"Offerts","15 EUR")),"")</f>
        <v>#ERROR!</v>
      </c>
      <c r="L102" s="413" t="str">
        <f>IFERROR(IF(F102="","",IF(F102&gt;=51,"J+7",IF(F102&gt;=21,"J+8","J+10"))),"")</f>
        <v>#ERROR!</v>
      </c>
      <c r="M102" s="235"/>
      <c r="N102" s="240"/>
    </row>
    <row r="103">
      <c r="A103" s="408" t="str">
        <f>IF(C103="","","BCE-"&amp;TEXT(YEAR(TODAY()),"0000")&amp;"-"&amp;TEXT(ROW()-13,"000"))</f>
        <v>#ERROR!</v>
      </c>
      <c r="B103" s="266"/>
      <c r="C103" s="227"/>
      <c r="D103" s="227"/>
      <c r="E103" s="227"/>
      <c r="F103" s="227"/>
      <c r="G103" s="227"/>
      <c r="H103" s="409" t="str">
        <f>IFERROR(IF(F103="","",IF(F103&gt;=201,15,IF(F103&gt;=101,12,IF(F103&gt;=51,10,IF(F103&gt;=21,8,5))))),"")</f>
        <v>#ERROR!</v>
      </c>
      <c r="I103" s="410" t="str">
        <f>IFERROR(IF(OR(F103="",G103=""),"",G103*F103*(1-H103/100)),"")</f>
        <v>#ERROR!</v>
      </c>
      <c r="J103" s="411" t="str">
        <f>IFERROR(IF(I103="","",I103*1.055),"")</f>
        <v>#ERROR!</v>
      </c>
      <c r="K103" s="412" t="str">
        <f>IFERROR(IF(F103="","",IF(F103&gt;=30,"Offerts","15 EUR")),"")</f>
        <v>#ERROR!</v>
      </c>
      <c r="L103" s="412" t="str">
        <f>IFERROR(IF(F103="","",IF(F103&gt;=51,"J+7",IF(F103&gt;=21,"J+8","J+10"))),"")</f>
        <v>#ERROR!</v>
      </c>
      <c r="M103" s="227"/>
      <c r="N103" s="233"/>
    </row>
    <row r="104">
      <c r="A104" s="408" t="str">
        <f>IF(C104="","","BCE-"&amp;TEXT(YEAR(TODAY()),"0000")&amp;"-"&amp;TEXT(ROW()-13,"000"))</f>
        <v>#ERROR!</v>
      </c>
      <c r="B104" s="270"/>
      <c r="C104" s="235"/>
      <c r="D104" s="235"/>
      <c r="E104" s="235"/>
      <c r="F104" s="235"/>
      <c r="G104" s="235"/>
      <c r="H104" s="409" t="str">
        <f>IFERROR(IF(F104="","",IF(F104&gt;=201,15,IF(F104&gt;=101,12,IF(F104&gt;=51,10,IF(F104&gt;=21,8,5))))),"")</f>
        <v>#ERROR!</v>
      </c>
      <c r="I104" s="410" t="str">
        <f>IFERROR(IF(OR(F104="",G104=""),"",G104*F104*(1-H104/100)),"")</f>
        <v>#ERROR!</v>
      </c>
      <c r="J104" s="411" t="str">
        <f>IFERROR(IF(I104="","",I104*1.055),"")</f>
        <v>#ERROR!</v>
      </c>
      <c r="K104" s="413" t="str">
        <f>IFERROR(IF(F104="","",IF(F104&gt;=30,"Offerts","15 EUR")),"")</f>
        <v>#ERROR!</v>
      </c>
      <c r="L104" s="413" t="str">
        <f>IFERROR(IF(F104="","",IF(F104&gt;=51,"J+7",IF(F104&gt;=21,"J+8","J+10"))),"")</f>
        <v>#ERROR!</v>
      </c>
      <c r="M104" s="235"/>
      <c r="N104" s="240"/>
    </row>
    <row r="105">
      <c r="A105" s="408" t="str">
        <f>IF(C105="","","BCE-"&amp;TEXT(YEAR(TODAY()),"0000")&amp;"-"&amp;TEXT(ROW()-13,"000"))</f>
        <v>#ERROR!</v>
      </c>
      <c r="B105" s="266"/>
      <c r="C105" s="227"/>
      <c r="D105" s="227"/>
      <c r="E105" s="227"/>
      <c r="F105" s="227"/>
      <c r="G105" s="227"/>
      <c r="H105" s="409" t="str">
        <f>IFERROR(IF(F105="","",IF(F105&gt;=201,15,IF(F105&gt;=101,12,IF(F105&gt;=51,10,IF(F105&gt;=21,8,5))))),"")</f>
        <v>#ERROR!</v>
      </c>
      <c r="I105" s="410" t="str">
        <f>IFERROR(IF(OR(F105="",G105=""),"",G105*F105*(1-H105/100)),"")</f>
        <v>#ERROR!</v>
      </c>
      <c r="J105" s="411" t="str">
        <f>IFERROR(IF(I105="","",I105*1.055),"")</f>
        <v>#ERROR!</v>
      </c>
      <c r="K105" s="412" t="str">
        <f>IFERROR(IF(F105="","",IF(F105&gt;=30,"Offerts","15 EUR")),"")</f>
        <v>#ERROR!</v>
      </c>
      <c r="L105" s="412" t="str">
        <f>IFERROR(IF(F105="","",IF(F105&gt;=51,"J+7",IF(F105&gt;=21,"J+8","J+10"))),"")</f>
        <v>#ERROR!</v>
      </c>
      <c r="M105" s="227"/>
      <c r="N105" s="233"/>
    </row>
    <row r="106">
      <c r="A106" s="408" t="str">
        <f>IF(C106="","","BCE-"&amp;TEXT(YEAR(TODAY()),"0000")&amp;"-"&amp;TEXT(ROW()-13,"000"))</f>
        <v>#ERROR!</v>
      </c>
      <c r="B106" s="270"/>
      <c r="C106" s="235"/>
      <c r="D106" s="235"/>
      <c r="E106" s="235"/>
      <c r="F106" s="235"/>
      <c r="G106" s="235"/>
      <c r="H106" s="409" t="str">
        <f>IFERROR(IF(F106="","",IF(F106&gt;=201,15,IF(F106&gt;=101,12,IF(F106&gt;=51,10,IF(F106&gt;=21,8,5))))),"")</f>
        <v>#ERROR!</v>
      </c>
      <c r="I106" s="410" t="str">
        <f>IFERROR(IF(OR(F106="",G106=""),"",G106*F106*(1-H106/100)),"")</f>
        <v>#ERROR!</v>
      </c>
      <c r="J106" s="411" t="str">
        <f>IFERROR(IF(I106="","",I106*1.055),"")</f>
        <v>#ERROR!</v>
      </c>
      <c r="K106" s="413" t="str">
        <f>IFERROR(IF(F106="","",IF(F106&gt;=30,"Offerts","15 EUR")),"")</f>
        <v>#ERROR!</v>
      </c>
      <c r="L106" s="413" t="str">
        <f>IFERROR(IF(F106="","",IF(F106&gt;=51,"J+7",IF(F106&gt;=21,"J+8","J+10"))),"")</f>
        <v>#ERROR!</v>
      </c>
      <c r="M106" s="235"/>
      <c r="N106" s="240"/>
    </row>
    <row r="107">
      <c r="A107" s="408" t="str">
        <f>IF(C107="","","BCE-"&amp;TEXT(YEAR(TODAY()),"0000")&amp;"-"&amp;TEXT(ROW()-13,"000"))</f>
        <v>#ERROR!</v>
      </c>
      <c r="B107" s="266"/>
      <c r="C107" s="227"/>
      <c r="D107" s="227"/>
      <c r="E107" s="227"/>
      <c r="F107" s="227"/>
      <c r="G107" s="227"/>
      <c r="H107" s="409" t="str">
        <f>IFERROR(IF(F107="","",IF(F107&gt;=201,15,IF(F107&gt;=101,12,IF(F107&gt;=51,10,IF(F107&gt;=21,8,5))))),"")</f>
        <v>#ERROR!</v>
      </c>
      <c r="I107" s="410" t="str">
        <f>IFERROR(IF(OR(F107="",G107=""),"",G107*F107*(1-H107/100)),"")</f>
        <v>#ERROR!</v>
      </c>
      <c r="J107" s="411" t="str">
        <f>IFERROR(IF(I107="","",I107*1.055),"")</f>
        <v>#ERROR!</v>
      </c>
      <c r="K107" s="412" t="str">
        <f>IFERROR(IF(F107="","",IF(F107&gt;=30,"Offerts","15 EUR")),"")</f>
        <v>#ERROR!</v>
      </c>
      <c r="L107" s="412" t="str">
        <f>IFERROR(IF(F107="","",IF(F107&gt;=51,"J+7",IF(F107&gt;=21,"J+8","J+10"))),"")</f>
        <v>#ERROR!</v>
      </c>
      <c r="M107" s="227"/>
      <c r="N107" s="233"/>
    </row>
    <row r="108">
      <c r="A108" s="408" t="str">
        <f>IF(C108="","","BCE-"&amp;TEXT(YEAR(TODAY()),"0000")&amp;"-"&amp;TEXT(ROW()-13,"000"))</f>
        <v>#ERROR!</v>
      </c>
      <c r="B108" s="270"/>
      <c r="C108" s="235"/>
      <c r="D108" s="235"/>
      <c r="E108" s="235"/>
      <c r="F108" s="235"/>
      <c r="G108" s="235"/>
      <c r="H108" s="409" t="str">
        <f>IFERROR(IF(F108="","",IF(F108&gt;=201,15,IF(F108&gt;=101,12,IF(F108&gt;=51,10,IF(F108&gt;=21,8,5))))),"")</f>
        <v>#ERROR!</v>
      </c>
      <c r="I108" s="410" t="str">
        <f>IFERROR(IF(OR(F108="",G108=""),"",G108*F108*(1-H108/100)),"")</f>
        <v>#ERROR!</v>
      </c>
      <c r="J108" s="411" t="str">
        <f>IFERROR(IF(I108="","",I108*1.055),"")</f>
        <v>#ERROR!</v>
      </c>
      <c r="K108" s="413" t="str">
        <f>IFERROR(IF(F108="","",IF(F108&gt;=30,"Offerts","15 EUR")),"")</f>
        <v>#ERROR!</v>
      </c>
      <c r="L108" s="413" t="str">
        <f>IFERROR(IF(F108="","",IF(F108&gt;=51,"J+7",IF(F108&gt;=21,"J+8","J+10"))),"")</f>
        <v>#ERROR!</v>
      </c>
      <c r="M108" s="235"/>
      <c r="N108" s="240"/>
    </row>
    <row r="109">
      <c r="A109" s="408" t="str">
        <f>IF(C109="","","BCE-"&amp;TEXT(YEAR(TODAY()),"0000")&amp;"-"&amp;TEXT(ROW()-13,"000"))</f>
        <v>#ERROR!</v>
      </c>
      <c r="B109" s="266"/>
      <c r="C109" s="227"/>
      <c r="D109" s="227"/>
      <c r="E109" s="227"/>
      <c r="F109" s="227"/>
      <c r="G109" s="227"/>
      <c r="H109" s="409" t="str">
        <f>IFERROR(IF(F109="","",IF(F109&gt;=201,15,IF(F109&gt;=101,12,IF(F109&gt;=51,10,IF(F109&gt;=21,8,5))))),"")</f>
        <v>#ERROR!</v>
      </c>
      <c r="I109" s="410" t="str">
        <f>IFERROR(IF(OR(F109="",G109=""),"",G109*F109*(1-H109/100)),"")</f>
        <v>#ERROR!</v>
      </c>
      <c r="J109" s="411" t="str">
        <f>IFERROR(IF(I109="","",I109*1.055),"")</f>
        <v>#ERROR!</v>
      </c>
      <c r="K109" s="412" t="str">
        <f>IFERROR(IF(F109="","",IF(F109&gt;=30,"Offerts","15 EUR")),"")</f>
        <v>#ERROR!</v>
      </c>
      <c r="L109" s="412" t="str">
        <f>IFERROR(IF(F109="","",IF(F109&gt;=51,"J+7",IF(F109&gt;=21,"J+8","J+10"))),"")</f>
        <v>#ERROR!</v>
      </c>
      <c r="M109" s="227"/>
      <c r="N109" s="233"/>
    </row>
    <row r="110">
      <c r="A110" s="408" t="str">
        <f>IF(C110="","","BCE-"&amp;TEXT(YEAR(TODAY()),"0000")&amp;"-"&amp;TEXT(ROW()-13,"000"))</f>
        <v>#ERROR!</v>
      </c>
      <c r="B110" s="270"/>
      <c r="C110" s="235"/>
      <c r="D110" s="235"/>
      <c r="E110" s="235"/>
      <c r="F110" s="235"/>
      <c r="G110" s="235"/>
      <c r="H110" s="409" t="str">
        <f>IFERROR(IF(F110="","",IF(F110&gt;=201,15,IF(F110&gt;=101,12,IF(F110&gt;=51,10,IF(F110&gt;=21,8,5))))),"")</f>
        <v>#ERROR!</v>
      </c>
      <c r="I110" s="410" t="str">
        <f>IFERROR(IF(OR(F110="",G110=""),"",G110*F110*(1-H110/100)),"")</f>
        <v>#ERROR!</v>
      </c>
      <c r="J110" s="411" t="str">
        <f>IFERROR(IF(I110="","",I110*1.055),"")</f>
        <v>#ERROR!</v>
      </c>
      <c r="K110" s="413" t="str">
        <f>IFERROR(IF(F110="","",IF(F110&gt;=30,"Offerts","15 EUR")),"")</f>
        <v>#ERROR!</v>
      </c>
      <c r="L110" s="413" t="str">
        <f>IFERROR(IF(F110="","",IF(F110&gt;=51,"J+7",IF(F110&gt;=21,"J+8","J+10"))),"")</f>
        <v>#ERROR!</v>
      </c>
      <c r="M110" s="235"/>
      <c r="N110" s="240"/>
    </row>
    <row r="111">
      <c r="A111" s="408" t="str">
        <f>IF(C111="","","BCE-"&amp;TEXT(YEAR(TODAY()),"0000")&amp;"-"&amp;TEXT(ROW()-13,"000"))</f>
        <v>#ERROR!</v>
      </c>
      <c r="B111" s="266"/>
      <c r="C111" s="227"/>
      <c r="D111" s="227"/>
      <c r="E111" s="227"/>
      <c r="F111" s="227"/>
      <c r="G111" s="227"/>
      <c r="H111" s="409" t="str">
        <f>IFERROR(IF(F111="","",IF(F111&gt;=201,15,IF(F111&gt;=101,12,IF(F111&gt;=51,10,IF(F111&gt;=21,8,5))))),"")</f>
        <v>#ERROR!</v>
      </c>
      <c r="I111" s="410" t="str">
        <f>IFERROR(IF(OR(F111="",G111=""),"",G111*F111*(1-H111/100)),"")</f>
        <v>#ERROR!</v>
      </c>
      <c r="J111" s="411" t="str">
        <f>IFERROR(IF(I111="","",I111*1.055),"")</f>
        <v>#ERROR!</v>
      </c>
      <c r="K111" s="412" t="str">
        <f>IFERROR(IF(F111="","",IF(F111&gt;=30,"Offerts","15 EUR")),"")</f>
        <v>#ERROR!</v>
      </c>
      <c r="L111" s="412" t="str">
        <f>IFERROR(IF(F111="","",IF(F111&gt;=51,"J+7",IF(F111&gt;=21,"J+8","J+10"))),"")</f>
        <v>#ERROR!</v>
      </c>
      <c r="M111" s="227"/>
      <c r="N111" s="233"/>
    </row>
    <row r="112">
      <c r="A112" s="408" t="str">
        <f>IF(C112="","","BCE-"&amp;TEXT(YEAR(TODAY()),"0000")&amp;"-"&amp;TEXT(ROW()-13,"000"))</f>
        <v>#ERROR!</v>
      </c>
      <c r="B112" s="270"/>
      <c r="C112" s="235"/>
      <c r="D112" s="235"/>
      <c r="E112" s="235"/>
      <c r="F112" s="235"/>
      <c r="G112" s="235"/>
      <c r="H112" s="409" t="str">
        <f>IFERROR(IF(F112="","",IF(F112&gt;=201,15,IF(F112&gt;=101,12,IF(F112&gt;=51,10,IF(F112&gt;=21,8,5))))),"")</f>
        <v>#ERROR!</v>
      </c>
      <c r="I112" s="410" t="str">
        <f>IFERROR(IF(OR(F112="",G112=""),"",G112*F112*(1-H112/100)),"")</f>
        <v>#ERROR!</v>
      </c>
      <c r="J112" s="411" t="str">
        <f>IFERROR(IF(I112="","",I112*1.055),"")</f>
        <v>#ERROR!</v>
      </c>
      <c r="K112" s="413" t="str">
        <f>IFERROR(IF(F112="","",IF(F112&gt;=30,"Offerts","15 EUR")),"")</f>
        <v>#ERROR!</v>
      </c>
      <c r="L112" s="413" t="str">
        <f>IFERROR(IF(F112="","",IF(F112&gt;=51,"J+7",IF(F112&gt;=21,"J+8","J+10"))),"")</f>
        <v>#ERROR!</v>
      </c>
      <c r="M112" s="235"/>
      <c r="N112" s="240"/>
    </row>
    <row r="113">
      <c r="A113" s="408" t="str">
        <f>IF(C113="","","BCE-"&amp;TEXT(YEAR(TODAY()),"0000")&amp;"-"&amp;TEXT(ROW()-13,"000"))</f>
        <v>#ERROR!</v>
      </c>
      <c r="B113" s="266"/>
      <c r="C113" s="227"/>
      <c r="D113" s="227"/>
      <c r="E113" s="227"/>
      <c r="F113" s="227"/>
      <c r="G113" s="227"/>
      <c r="H113" s="409" t="str">
        <f>IFERROR(IF(F113="","",IF(F113&gt;=201,15,IF(F113&gt;=101,12,IF(F113&gt;=51,10,IF(F113&gt;=21,8,5))))),"")</f>
        <v>#ERROR!</v>
      </c>
      <c r="I113" s="410" t="str">
        <f>IFERROR(IF(OR(F113="",G113=""),"",G113*F113*(1-H113/100)),"")</f>
        <v>#ERROR!</v>
      </c>
      <c r="J113" s="411" t="str">
        <f>IFERROR(IF(I113="","",I113*1.055),"")</f>
        <v>#ERROR!</v>
      </c>
      <c r="K113" s="412" t="str">
        <f>IFERROR(IF(F113="","",IF(F113&gt;=30,"Offerts","15 EUR")),"")</f>
        <v>#ERROR!</v>
      </c>
      <c r="L113" s="412" t="str">
        <f>IFERROR(IF(F113="","",IF(F113&gt;=51,"J+7",IF(F113&gt;=21,"J+8","J+10"))),"")</f>
        <v>#ERROR!</v>
      </c>
      <c r="M113" s="227"/>
      <c r="N113" s="233"/>
    </row>
    <row r="114">
      <c r="A114" s="408" t="str">
        <f>IF(C114="","","BCE-"&amp;TEXT(YEAR(TODAY()),"0000")&amp;"-"&amp;TEXT(ROW()-13,"000"))</f>
        <v>#ERROR!</v>
      </c>
      <c r="B114" s="270"/>
      <c r="C114" s="235"/>
      <c r="D114" s="235"/>
      <c r="E114" s="235"/>
      <c r="F114" s="235"/>
      <c r="G114" s="235"/>
      <c r="H114" s="409" t="str">
        <f>IFERROR(IF(F114="","",IF(F114&gt;=201,15,IF(F114&gt;=101,12,IF(F114&gt;=51,10,IF(F114&gt;=21,8,5))))),"")</f>
        <v>#ERROR!</v>
      </c>
      <c r="I114" s="410" t="str">
        <f>IFERROR(IF(OR(F114="",G114=""),"",G114*F114*(1-H114/100)),"")</f>
        <v>#ERROR!</v>
      </c>
      <c r="J114" s="411" t="str">
        <f>IFERROR(IF(I114="","",I114*1.055),"")</f>
        <v>#ERROR!</v>
      </c>
      <c r="K114" s="413" t="str">
        <f>IFERROR(IF(F114="","",IF(F114&gt;=30,"Offerts","15 EUR")),"")</f>
        <v>#ERROR!</v>
      </c>
      <c r="L114" s="413" t="str">
        <f>IFERROR(IF(F114="","",IF(F114&gt;=51,"J+7",IF(F114&gt;=21,"J+8","J+10"))),"")</f>
        <v>#ERROR!</v>
      </c>
      <c r="M114" s="235"/>
      <c r="N114" s="240"/>
    </row>
    <row r="115">
      <c r="A115" s="408" t="str">
        <f>IF(C115="","","BCE-"&amp;TEXT(YEAR(TODAY()),"0000")&amp;"-"&amp;TEXT(ROW()-13,"000"))</f>
        <v>#ERROR!</v>
      </c>
      <c r="B115" s="266"/>
      <c r="C115" s="227"/>
      <c r="D115" s="227"/>
      <c r="E115" s="227"/>
      <c r="F115" s="227"/>
      <c r="G115" s="227"/>
      <c r="H115" s="409" t="str">
        <f>IFERROR(IF(F115="","",IF(F115&gt;=201,15,IF(F115&gt;=101,12,IF(F115&gt;=51,10,IF(F115&gt;=21,8,5))))),"")</f>
        <v>#ERROR!</v>
      </c>
      <c r="I115" s="410" t="str">
        <f>IFERROR(IF(OR(F115="",G115=""),"",G115*F115*(1-H115/100)),"")</f>
        <v>#ERROR!</v>
      </c>
      <c r="J115" s="411" t="str">
        <f>IFERROR(IF(I115="","",I115*1.055),"")</f>
        <v>#ERROR!</v>
      </c>
      <c r="K115" s="412" t="str">
        <f>IFERROR(IF(F115="","",IF(F115&gt;=30,"Offerts","15 EUR")),"")</f>
        <v>#ERROR!</v>
      </c>
      <c r="L115" s="412" t="str">
        <f>IFERROR(IF(F115="","",IF(F115&gt;=51,"J+7",IF(F115&gt;=21,"J+8","J+10"))),"")</f>
        <v>#ERROR!</v>
      </c>
      <c r="M115" s="227"/>
      <c r="N115" s="233"/>
    </row>
    <row r="116">
      <c r="A116" s="408" t="str">
        <f>IF(C116="","","BCE-"&amp;TEXT(YEAR(TODAY()),"0000")&amp;"-"&amp;TEXT(ROW()-13,"000"))</f>
        <v>#ERROR!</v>
      </c>
      <c r="B116" s="270"/>
      <c r="C116" s="235"/>
      <c r="D116" s="235"/>
      <c r="E116" s="235"/>
      <c r="F116" s="235"/>
      <c r="G116" s="235"/>
      <c r="H116" s="409" t="str">
        <f>IFERROR(IF(F116="","",IF(F116&gt;=201,15,IF(F116&gt;=101,12,IF(F116&gt;=51,10,IF(F116&gt;=21,8,5))))),"")</f>
        <v>#ERROR!</v>
      </c>
      <c r="I116" s="410" t="str">
        <f>IFERROR(IF(OR(F116="",G116=""),"",G116*F116*(1-H116/100)),"")</f>
        <v>#ERROR!</v>
      </c>
      <c r="J116" s="411" t="str">
        <f>IFERROR(IF(I116="","",I116*1.055),"")</f>
        <v>#ERROR!</v>
      </c>
      <c r="K116" s="413" t="str">
        <f>IFERROR(IF(F116="","",IF(F116&gt;=30,"Offerts","15 EUR")),"")</f>
        <v>#ERROR!</v>
      </c>
      <c r="L116" s="413" t="str">
        <f>IFERROR(IF(F116="","",IF(F116&gt;=51,"J+7",IF(F116&gt;=21,"J+8","J+10"))),"")</f>
        <v>#ERROR!</v>
      </c>
      <c r="M116" s="235"/>
      <c r="N116" s="240"/>
    </row>
    <row r="117">
      <c r="A117" s="408" t="str">
        <f>IF(C117="","","BCE-"&amp;TEXT(YEAR(TODAY()),"0000")&amp;"-"&amp;TEXT(ROW()-13,"000"))</f>
        <v>#ERROR!</v>
      </c>
      <c r="B117" s="266"/>
      <c r="C117" s="227"/>
      <c r="D117" s="227"/>
      <c r="E117" s="227"/>
      <c r="F117" s="227"/>
      <c r="G117" s="227"/>
      <c r="H117" s="409" t="str">
        <f>IFERROR(IF(F117="","",IF(F117&gt;=201,15,IF(F117&gt;=101,12,IF(F117&gt;=51,10,IF(F117&gt;=21,8,5))))),"")</f>
        <v>#ERROR!</v>
      </c>
      <c r="I117" s="410" t="str">
        <f>IFERROR(IF(OR(F117="",G117=""),"",G117*F117*(1-H117/100)),"")</f>
        <v>#ERROR!</v>
      </c>
      <c r="J117" s="411" t="str">
        <f>IFERROR(IF(I117="","",I117*1.055),"")</f>
        <v>#ERROR!</v>
      </c>
      <c r="K117" s="412" t="str">
        <f>IFERROR(IF(F117="","",IF(F117&gt;=30,"Offerts","15 EUR")),"")</f>
        <v>#ERROR!</v>
      </c>
      <c r="L117" s="412" t="str">
        <f>IFERROR(IF(F117="","",IF(F117&gt;=51,"J+7",IF(F117&gt;=21,"J+8","J+10"))),"")</f>
        <v>#ERROR!</v>
      </c>
      <c r="M117" s="227"/>
      <c r="N117" s="233"/>
    </row>
    <row r="118">
      <c r="A118" s="408" t="str">
        <f>IF(C118="","","BCE-"&amp;TEXT(YEAR(TODAY()),"0000")&amp;"-"&amp;TEXT(ROW()-13,"000"))</f>
        <v>#ERROR!</v>
      </c>
      <c r="B118" s="270"/>
      <c r="C118" s="235"/>
      <c r="D118" s="235"/>
      <c r="E118" s="235"/>
      <c r="F118" s="235"/>
      <c r="G118" s="235"/>
      <c r="H118" s="409" t="str">
        <f>IFERROR(IF(F118="","",IF(F118&gt;=201,15,IF(F118&gt;=101,12,IF(F118&gt;=51,10,IF(F118&gt;=21,8,5))))),"")</f>
        <v>#ERROR!</v>
      </c>
      <c r="I118" s="410" t="str">
        <f>IFERROR(IF(OR(F118="",G118=""),"",G118*F118*(1-H118/100)),"")</f>
        <v>#ERROR!</v>
      </c>
      <c r="J118" s="411" t="str">
        <f>IFERROR(IF(I118="","",I118*1.055),"")</f>
        <v>#ERROR!</v>
      </c>
      <c r="K118" s="413" t="str">
        <f>IFERROR(IF(F118="","",IF(F118&gt;=30,"Offerts","15 EUR")),"")</f>
        <v>#ERROR!</v>
      </c>
      <c r="L118" s="413" t="str">
        <f>IFERROR(IF(F118="","",IF(F118&gt;=51,"J+7",IF(F118&gt;=21,"J+8","J+10"))),"")</f>
        <v>#ERROR!</v>
      </c>
      <c r="M118" s="235"/>
      <c r="N118" s="240"/>
    </row>
    <row r="119">
      <c r="A119" s="408" t="str">
        <f>IF(C119="","","BCE-"&amp;TEXT(YEAR(TODAY()),"0000")&amp;"-"&amp;TEXT(ROW()-13,"000"))</f>
        <v>#ERROR!</v>
      </c>
      <c r="B119" s="266"/>
      <c r="C119" s="227"/>
      <c r="D119" s="227"/>
      <c r="E119" s="227"/>
      <c r="F119" s="227"/>
      <c r="G119" s="227"/>
      <c r="H119" s="409" t="str">
        <f>IFERROR(IF(F119="","",IF(F119&gt;=201,15,IF(F119&gt;=101,12,IF(F119&gt;=51,10,IF(F119&gt;=21,8,5))))),"")</f>
        <v>#ERROR!</v>
      </c>
      <c r="I119" s="410" t="str">
        <f>IFERROR(IF(OR(F119="",G119=""),"",G119*F119*(1-H119/100)),"")</f>
        <v>#ERROR!</v>
      </c>
      <c r="J119" s="411" t="str">
        <f>IFERROR(IF(I119="","",I119*1.055),"")</f>
        <v>#ERROR!</v>
      </c>
      <c r="K119" s="412" t="str">
        <f>IFERROR(IF(F119="","",IF(F119&gt;=30,"Offerts","15 EUR")),"")</f>
        <v>#ERROR!</v>
      </c>
      <c r="L119" s="412" t="str">
        <f>IFERROR(IF(F119="","",IF(F119&gt;=51,"J+7",IF(F119&gt;=21,"J+8","J+10"))),"")</f>
        <v>#ERROR!</v>
      </c>
      <c r="M119" s="227"/>
      <c r="N119" s="233"/>
    </row>
    <row r="120">
      <c r="A120" s="408" t="str">
        <f>IF(C120="","","BCE-"&amp;TEXT(YEAR(TODAY()),"0000")&amp;"-"&amp;TEXT(ROW()-13,"000"))</f>
        <v>#ERROR!</v>
      </c>
      <c r="B120" s="270"/>
      <c r="C120" s="235"/>
      <c r="D120" s="235"/>
      <c r="E120" s="235"/>
      <c r="F120" s="235"/>
      <c r="G120" s="235"/>
      <c r="H120" s="409" t="str">
        <f>IFERROR(IF(F120="","",IF(F120&gt;=201,15,IF(F120&gt;=101,12,IF(F120&gt;=51,10,IF(F120&gt;=21,8,5))))),"")</f>
        <v>#ERROR!</v>
      </c>
      <c r="I120" s="410" t="str">
        <f>IFERROR(IF(OR(F120="",G120=""),"",G120*F120*(1-H120/100)),"")</f>
        <v>#ERROR!</v>
      </c>
      <c r="J120" s="411" t="str">
        <f>IFERROR(IF(I120="","",I120*1.055),"")</f>
        <v>#ERROR!</v>
      </c>
      <c r="K120" s="413" t="str">
        <f>IFERROR(IF(F120="","",IF(F120&gt;=30,"Offerts","15 EUR")),"")</f>
        <v>#ERROR!</v>
      </c>
      <c r="L120" s="413" t="str">
        <f>IFERROR(IF(F120="","",IF(F120&gt;=51,"J+7",IF(F120&gt;=21,"J+8","J+10"))),"")</f>
        <v>#ERROR!</v>
      </c>
      <c r="M120" s="235"/>
      <c r="N120" s="240"/>
    </row>
    <row r="121">
      <c r="A121" s="408" t="str">
        <f>IF(C121="","","BCE-"&amp;TEXT(YEAR(TODAY()),"0000")&amp;"-"&amp;TEXT(ROW()-13,"000"))</f>
        <v>#ERROR!</v>
      </c>
      <c r="B121" s="266"/>
      <c r="C121" s="227"/>
      <c r="D121" s="227"/>
      <c r="E121" s="227"/>
      <c r="F121" s="227"/>
      <c r="G121" s="227"/>
      <c r="H121" s="409" t="str">
        <f>IFERROR(IF(F121="","",IF(F121&gt;=201,15,IF(F121&gt;=101,12,IF(F121&gt;=51,10,IF(F121&gt;=21,8,5))))),"")</f>
        <v>#ERROR!</v>
      </c>
      <c r="I121" s="410" t="str">
        <f>IFERROR(IF(OR(F121="",G121=""),"",G121*F121*(1-H121/100)),"")</f>
        <v>#ERROR!</v>
      </c>
      <c r="J121" s="411" t="str">
        <f>IFERROR(IF(I121="","",I121*1.055),"")</f>
        <v>#ERROR!</v>
      </c>
      <c r="K121" s="412" t="str">
        <f>IFERROR(IF(F121="","",IF(F121&gt;=30,"Offerts","15 EUR")),"")</f>
        <v>#ERROR!</v>
      </c>
      <c r="L121" s="412" t="str">
        <f>IFERROR(IF(F121="","",IF(F121&gt;=51,"J+7",IF(F121&gt;=21,"J+8","J+10"))),"")</f>
        <v>#ERROR!</v>
      </c>
      <c r="M121" s="227"/>
      <c r="N121" s="233"/>
    </row>
    <row r="122">
      <c r="A122" s="408" t="str">
        <f>IF(C122="","","BCE-"&amp;TEXT(YEAR(TODAY()),"0000")&amp;"-"&amp;TEXT(ROW()-13,"000"))</f>
        <v>#ERROR!</v>
      </c>
      <c r="B122" s="270"/>
      <c r="C122" s="235"/>
      <c r="D122" s="235"/>
      <c r="E122" s="235"/>
      <c r="F122" s="235"/>
      <c r="G122" s="235"/>
      <c r="H122" s="409" t="str">
        <f>IFERROR(IF(F122="","",IF(F122&gt;=201,15,IF(F122&gt;=101,12,IF(F122&gt;=51,10,IF(F122&gt;=21,8,5))))),"")</f>
        <v>#ERROR!</v>
      </c>
      <c r="I122" s="410" t="str">
        <f>IFERROR(IF(OR(F122="",G122=""),"",G122*F122*(1-H122/100)),"")</f>
        <v>#ERROR!</v>
      </c>
      <c r="J122" s="411" t="str">
        <f>IFERROR(IF(I122="","",I122*1.055),"")</f>
        <v>#ERROR!</v>
      </c>
      <c r="K122" s="413" t="str">
        <f>IFERROR(IF(F122="","",IF(F122&gt;=30,"Offerts","15 EUR")),"")</f>
        <v>#ERROR!</v>
      </c>
      <c r="L122" s="413" t="str">
        <f>IFERROR(IF(F122="","",IF(F122&gt;=51,"J+7",IF(F122&gt;=21,"J+8","J+10"))),"")</f>
        <v>#ERROR!</v>
      </c>
      <c r="M122" s="235"/>
      <c r="N122" s="240"/>
    </row>
    <row r="123">
      <c r="A123" s="408" t="str">
        <f>IF(C123="","","BCE-"&amp;TEXT(YEAR(TODAY()),"0000")&amp;"-"&amp;TEXT(ROW()-13,"000"))</f>
        <v>#ERROR!</v>
      </c>
      <c r="B123" s="266"/>
      <c r="C123" s="227"/>
      <c r="D123" s="227"/>
      <c r="E123" s="227"/>
      <c r="F123" s="227"/>
      <c r="G123" s="227"/>
      <c r="H123" s="409" t="str">
        <f>IFERROR(IF(F123="","",IF(F123&gt;=201,15,IF(F123&gt;=101,12,IF(F123&gt;=51,10,IF(F123&gt;=21,8,5))))),"")</f>
        <v>#ERROR!</v>
      </c>
      <c r="I123" s="410" t="str">
        <f>IFERROR(IF(OR(F123="",G123=""),"",G123*F123*(1-H123/100)),"")</f>
        <v>#ERROR!</v>
      </c>
      <c r="J123" s="411" t="str">
        <f>IFERROR(IF(I123="","",I123*1.055),"")</f>
        <v>#ERROR!</v>
      </c>
      <c r="K123" s="412" t="str">
        <f>IFERROR(IF(F123="","",IF(F123&gt;=30,"Offerts","15 EUR")),"")</f>
        <v>#ERROR!</v>
      </c>
      <c r="L123" s="412" t="str">
        <f>IFERROR(IF(F123="","",IF(F123&gt;=51,"J+7",IF(F123&gt;=21,"J+8","J+10"))),"")</f>
        <v>#ERROR!</v>
      </c>
      <c r="M123" s="227"/>
      <c r="N123" s="233"/>
    </row>
    <row r="124">
      <c r="A124" s="408" t="str">
        <f>IF(C124="","","BCE-"&amp;TEXT(YEAR(TODAY()),"0000")&amp;"-"&amp;TEXT(ROW()-13,"000"))</f>
        <v>#ERROR!</v>
      </c>
      <c r="B124" s="270"/>
      <c r="C124" s="235"/>
      <c r="D124" s="235"/>
      <c r="E124" s="235"/>
      <c r="F124" s="235"/>
      <c r="G124" s="235"/>
      <c r="H124" s="409" t="str">
        <f>IFERROR(IF(F124="","",IF(F124&gt;=201,15,IF(F124&gt;=101,12,IF(F124&gt;=51,10,IF(F124&gt;=21,8,5))))),"")</f>
        <v>#ERROR!</v>
      </c>
      <c r="I124" s="410" t="str">
        <f>IFERROR(IF(OR(F124="",G124=""),"",G124*F124*(1-H124/100)),"")</f>
        <v>#ERROR!</v>
      </c>
      <c r="J124" s="411" t="str">
        <f>IFERROR(IF(I124="","",I124*1.055),"")</f>
        <v>#ERROR!</v>
      </c>
      <c r="K124" s="413" t="str">
        <f>IFERROR(IF(F124="","",IF(F124&gt;=30,"Offerts","15 EUR")),"")</f>
        <v>#ERROR!</v>
      </c>
      <c r="L124" s="413" t="str">
        <f>IFERROR(IF(F124="","",IF(F124&gt;=51,"J+7",IF(F124&gt;=21,"J+8","J+10"))),"")</f>
        <v>#ERROR!</v>
      </c>
      <c r="M124" s="235"/>
      <c r="N124" s="240"/>
    </row>
    <row r="125">
      <c r="A125" s="408" t="str">
        <f>IF(C125="","","BCE-"&amp;TEXT(YEAR(TODAY()),"0000")&amp;"-"&amp;TEXT(ROW()-13,"000"))</f>
        <v>#ERROR!</v>
      </c>
      <c r="B125" s="266"/>
      <c r="C125" s="227"/>
      <c r="D125" s="227"/>
      <c r="E125" s="227"/>
      <c r="F125" s="227"/>
      <c r="G125" s="227"/>
      <c r="H125" s="409" t="str">
        <f>IFERROR(IF(F125="","",IF(F125&gt;=201,15,IF(F125&gt;=101,12,IF(F125&gt;=51,10,IF(F125&gt;=21,8,5))))),"")</f>
        <v>#ERROR!</v>
      </c>
      <c r="I125" s="410" t="str">
        <f>IFERROR(IF(OR(F125="",G125=""),"",G125*F125*(1-H125/100)),"")</f>
        <v>#ERROR!</v>
      </c>
      <c r="J125" s="411" t="str">
        <f>IFERROR(IF(I125="","",I125*1.055),"")</f>
        <v>#ERROR!</v>
      </c>
      <c r="K125" s="412" t="str">
        <f>IFERROR(IF(F125="","",IF(F125&gt;=30,"Offerts","15 EUR")),"")</f>
        <v>#ERROR!</v>
      </c>
      <c r="L125" s="412" t="str">
        <f>IFERROR(IF(F125="","",IF(F125&gt;=51,"J+7",IF(F125&gt;=21,"J+8","J+10"))),"")</f>
        <v>#ERROR!</v>
      </c>
      <c r="M125" s="227"/>
      <c r="N125" s="233"/>
    </row>
    <row r="126">
      <c r="A126" s="408" t="str">
        <f>IF(C126="","","BCE-"&amp;TEXT(YEAR(TODAY()),"0000")&amp;"-"&amp;TEXT(ROW()-13,"000"))</f>
        <v>#ERROR!</v>
      </c>
      <c r="B126" s="270"/>
      <c r="C126" s="235"/>
      <c r="D126" s="235"/>
      <c r="E126" s="235"/>
      <c r="F126" s="235"/>
      <c r="G126" s="235"/>
      <c r="H126" s="409" t="str">
        <f>IFERROR(IF(F126="","",IF(F126&gt;=201,15,IF(F126&gt;=101,12,IF(F126&gt;=51,10,IF(F126&gt;=21,8,5))))),"")</f>
        <v>#ERROR!</v>
      </c>
      <c r="I126" s="410" t="str">
        <f>IFERROR(IF(OR(F126="",G126=""),"",G126*F126*(1-H126/100)),"")</f>
        <v>#ERROR!</v>
      </c>
      <c r="J126" s="411" t="str">
        <f>IFERROR(IF(I126="","",I126*1.055),"")</f>
        <v>#ERROR!</v>
      </c>
      <c r="K126" s="413" t="str">
        <f>IFERROR(IF(F126="","",IF(F126&gt;=30,"Offerts","15 EUR")),"")</f>
        <v>#ERROR!</v>
      </c>
      <c r="L126" s="413" t="str">
        <f>IFERROR(IF(F126="","",IF(F126&gt;=51,"J+7",IF(F126&gt;=21,"J+8","J+10"))),"")</f>
        <v>#ERROR!</v>
      </c>
      <c r="M126" s="235"/>
      <c r="N126" s="240"/>
    </row>
    <row r="127">
      <c r="A127" s="408" t="str">
        <f>IF(C127="","","BCE-"&amp;TEXT(YEAR(TODAY()),"0000")&amp;"-"&amp;TEXT(ROW()-13,"000"))</f>
        <v>#ERROR!</v>
      </c>
      <c r="B127" s="266"/>
      <c r="C127" s="227"/>
      <c r="D127" s="227"/>
      <c r="E127" s="227"/>
      <c r="F127" s="227"/>
      <c r="G127" s="227"/>
      <c r="H127" s="409" t="str">
        <f>IFERROR(IF(F127="","",IF(F127&gt;=201,15,IF(F127&gt;=101,12,IF(F127&gt;=51,10,IF(F127&gt;=21,8,5))))),"")</f>
        <v>#ERROR!</v>
      </c>
      <c r="I127" s="410" t="str">
        <f>IFERROR(IF(OR(F127="",G127=""),"",G127*F127*(1-H127/100)),"")</f>
        <v>#ERROR!</v>
      </c>
      <c r="J127" s="411" t="str">
        <f>IFERROR(IF(I127="","",I127*1.055),"")</f>
        <v>#ERROR!</v>
      </c>
      <c r="K127" s="412" t="str">
        <f>IFERROR(IF(F127="","",IF(F127&gt;=30,"Offerts","15 EUR")),"")</f>
        <v>#ERROR!</v>
      </c>
      <c r="L127" s="412" t="str">
        <f>IFERROR(IF(F127="","",IF(F127&gt;=51,"J+7",IF(F127&gt;=21,"J+8","J+10"))),"")</f>
        <v>#ERROR!</v>
      </c>
      <c r="M127" s="227"/>
      <c r="N127" s="233"/>
    </row>
    <row r="128">
      <c r="A128" s="408" t="str">
        <f>IF(C128="","","BCE-"&amp;TEXT(YEAR(TODAY()),"0000")&amp;"-"&amp;TEXT(ROW()-13,"000"))</f>
        <v>#ERROR!</v>
      </c>
      <c r="B128" s="270"/>
      <c r="C128" s="235"/>
      <c r="D128" s="235"/>
      <c r="E128" s="235"/>
      <c r="F128" s="235"/>
      <c r="G128" s="235"/>
      <c r="H128" s="409" t="str">
        <f>IFERROR(IF(F128="","",IF(F128&gt;=201,15,IF(F128&gt;=101,12,IF(F128&gt;=51,10,IF(F128&gt;=21,8,5))))),"")</f>
        <v>#ERROR!</v>
      </c>
      <c r="I128" s="410" t="str">
        <f>IFERROR(IF(OR(F128="",G128=""),"",G128*F128*(1-H128/100)),"")</f>
        <v>#ERROR!</v>
      </c>
      <c r="J128" s="411" t="str">
        <f>IFERROR(IF(I128="","",I128*1.055),"")</f>
        <v>#ERROR!</v>
      </c>
      <c r="K128" s="413" t="str">
        <f>IFERROR(IF(F128="","",IF(F128&gt;=30,"Offerts","15 EUR")),"")</f>
        <v>#ERROR!</v>
      </c>
      <c r="L128" s="413" t="str">
        <f>IFERROR(IF(F128="","",IF(F128&gt;=51,"J+7",IF(F128&gt;=21,"J+8","J+10"))),"")</f>
        <v>#ERROR!</v>
      </c>
      <c r="M128" s="235"/>
      <c r="N128" s="240"/>
    </row>
    <row r="129">
      <c r="A129" s="408" t="str">
        <f>IF(C129="","","BCE-"&amp;TEXT(YEAR(TODAY()),"0000")&amp;"-"&amp;TEXT(ROW()-13,"000"))</f>
        <v>#ERROR!</v>
      </c>
      <c r="B129" s="266"/>
      <c r="C129" s="227"/>
      <c r="D129" s="227"/>
      <c r="E129" s="227"/>
      <c r="F129" s="227"/>
      <c r="G129" s="227"/>
      <c r="H129" s="409" t="str">
        <f>IFERROR(IF(F129="","",IF(F129&gt;=201,15,IF(F129&gt;=101,12,IF(F129&gt;=51,10,IF(F129&gt;=21,8,5))))),"")</f>
        <v>#ERROR!</v>
      </c>
      <c r="I129" s="410" t="str">
        <f>IFERROR(IF(OR(F129="",G129=""),"",G129*F129*(1-H129/100)),"")</f>
        <v>#ERROR!</v>
      </c>
      <c r="J129" s="411" t="str">
        <f>IFERROR(IF(I129="","",I129*1.055),"")</f>
        <v>#ERROR!</v>
      </c>
      <c r="K129" s="412" t="str">
        <f>IFERROR(IF(F129="","",IF(F129&gt;=30,"Offerts","15 EUR")),"")</f>
        <v>#ERROR!</v>
      </c>
      <c r="L129" s="412" t="str">
        <f>IFERROR(IF(F129="","",IF(F129&gt;=51,"J+7",IF(F129&gt;=21,"J+8","J+10"))),"")</f>
        <v>#ERROR!</v>
      </c>
      <c r="M129" s="227"/>
      <c r="N129" s="233"/>
    </row>
    <row r="130">
      <c r="A130" s="408" t="str">
        <f>IF(C130="","","BCE-"&amp;TEXT(YEAR(TODAY()),"0000")&amp;"-"&amp;TEXT(ROW()-13,"000"))</f>
        <v>#ERROR!</v>
      </c>
      <c r="B130" s="270"/>
      <c r="C130" s="235"/>
      <c r="D130" s="235"/>
      <c r="E130" s="235"/>
      <c r="F130" s="235"/>
      <c r="G130" s="235"/>
      <c r="H130" s="409" t="str">
        <f>IFERROR(IF(F130="","",IF(F130&gt;=201,15,IF(F130&gt;=101,12,IF(F130&gt;=51,10,IF(F130&gt;=21,8,5))))),"")</f>
        <v>#ERROR!</v>
      </c>
      <c r="I130" s="410" t="str">
        <f>IFERROR(IF(OR(F130="",G130=""),"",G130*F130*(1-H130/100)),"")</f>
        <v>#ERROR!</v>
      </c>
      <c r="J130" s="411" t="str">
        <f>IFERROR(IF(I130="","",I130*1.055),"")</f>
        <v>#ERROR!</v>
      </c>
      <c r="K130" s="413" t="str">
        <f>IFERROR(IF(F130="","",IF(F130&gt;=30,"Offerts","15 EUR")),"")</f>
        <v>#ERROR!</v>
      </c>
      <c r="L130" s="413" t="str">
        <f>IFERROR(IF(F130="","",IF(F130&gt;=51,"J+7",IF(F130&gt;=21,"J+8","J+10"))),"")</f>
        <v>#ERROR!</v>
      </c>
      <c r="M130" s="235"/>
      <c r="N130" s="240"/>
    </row>
    <row r="131">
      <c r="A131" s="408" t="str">
        <f>IF(C131="","","BCE-"&amp;TEXT(YEAR(TODAY()),"0000")&amp;"-"&amp;TEXT(ROW()-13,"000"))</f>
        <v>#ERROR!</v>
      </c>
      <c r="B131" s="266"/>
      <c r="C131" s="227"/>
      <c r="D131" s="227"/>
      <c r="E131" s="227"/>
      <c r="F131" s="227"/>
      <c r="G131" s="227"/>
      <c r="H131" s="409" t="str">
        <f>IFERROR(IF(F131="","",IF(F131&gt;=201,15,IF(F131&gt;=101,12,IF(F131&gt;=51,10,IF(F131&gt;=21,8,5))))),"")</f>
        <v>#ERROR!</v>
      </c>
      <c r="I131" s="410" t="str">
        <f>IFERROR(IF(OR(F131="",G131=""),"",G131*F131*(1-H131/100)),"")</f>
        <v>#ERROR!</v>
      </c>
      <c r="J131" s="411" t="str">
        <f>IFERROR(IF(I131="","",I131*1.055),"")</f>
        <v>#ERROR!</v>
      </c>
      <c r="K131" s="412" t="str">
        <f>IFERROR(IF(F131="","",IF(F131&gt;=30,"Offerts","15 EUR")),"")</f>
        <v>#ERROR!</v>
      </c>
      <c r="L131" s="412" t="str">
        <f>IFERROR(IF(F131="","",IF(F131&gt;=51,"J+7",IF(F131&gt;=21,"J+8","J+10"))),"")</f>
        <v>#ERROR!</v>
      </c>
      <c r="M131" s="227"/>
      <c r="N131" s="233"/>
    </row>
    <row r="132">
      <c r="A132" s="408" t="str">
        <f>IF(C132="","","BCE-"&amp;TEXT(YEAR(TODAY()),"0000")&amp;"-"&amp;TEXT(ROW()-13,"000"))</f>
        <v>#ERROR!</v>
      </c>
      <c r="B132" s="270"/>
      <c r="C132" s="235"/>
      <c r="D132" s="235"/>
      <c r="E132" s="235"/>
      <c r="F132" s="235"/>
      <c r="G132" s="235"/>
      <c r="H132" s="409" t="str">
        <f>IFERROR(IF(F132="","",IF(F132&gt;=201,15,IF(F132&gt;=101,12,IF(F132&gt;=51,10,IF(F132&gt;=21,8,5))))),"")</f>
        <v>#ERROR!</v>
      </c>
      <c r="I132" s="410" t="str">
        <f>IFERROR(IF(OR(F132="",G132=""),"",G132*F132*(1-H132/100)),"")</f>
        <v>#ERROR!</v>
      </c>
      <c r="J132" s="411" t="str">
        <f>IFERROR(IF(I132="","",I132*1.055),"")</f>
        <v>#ERROR!</v>
      </c>
      <c r="K132" s="413" t="str">
        <f>IFERROR(IF(F132="","",IF(F132&gt;=30,"Offerts","15 EUR")),"")</f>
        <v>#ERROR!</v>
      </c>
      <c r="L132" s="413" t="str">
        <f>IFERROR(IF(F132="","",IF(F132&gt;=51,"J+7",IF(F132&gt;=21,"J+8","J+10"))),"")</f>
        <v>#ERROR!</v>
      </c>
      <c r="M132" s="235"/>
      <c r="N132" s="240"/>
    </row>
    <row r="133">
      <c r="A133" s="408" t="str">
        <f>IF(C133="","","BCE-"&amp;TEXT(YEAR(TODAY()),"0000")&amp;"-"&amp;TEXT(ROW()-13,"000"))</f>
        <v>#ERROR!</v>
      </c>
      <c r="B133" s="266"/>
      <c r="C133" s="227"/>
      <c r="D133" s="227"/>
      <c r="E133" s="227"/>
      <c r="F133" s="227"/>
      <c r="G133" s="227"/>
      <c r="H133" s="409" t="str">
        <f>IFERROR(IF(F133="","",IF(F133&gt;=201,15,IF(F133&gt;=101,12,IF(F133&gt;=51,10,IF(F133&gt;=21,8,5))))),"")</f>
        <v>#ERROR!</v>
      </c>
      <c r="I133" s="410" t="str">
        <f>IFERROR(IF(OR(F133="",G133=""),"",G133*F133*(1-H133/100)),"")</f>
        <v>#ERROR!</v>
      </c>
      <c r="J133" s="411" t="str">
        <f>IFERROR(IF(I133="","",I133*1.055),"")</f>
        <v>#ERROR!</v>
      </c>
      <c r="K133" s="412" t="str">
        <f>IFERROR(IF(F133="","",IF(F133&gt;=30,"Offerts","15 EUR")),"")</f>
        <v>#ERROR!</v>
      </c>
      <c r="L133" s="412" t="str">
        <f>IFERROR(IF(F133="","",IF(F133&gt;=51,"J+7",IF(F133&gt;=21,"J+8","J+10"))),"")</f>
        <v>#ERROR!</v>
      </c>
      <c r="M133" s="227"/>
      <c r="N133" s="233"/>
    </row>
    <row r="134">
      <c r="A134" s="408" t="str">
        <f>IF(C134="","","BCE-"&amp;TEXT(YEAR(TODAY()),"0000")&amp;"-"&amp;TEXT(ROW()-13,"000"))</f>
        <v>#ERROR!</v>
      </c>
      <c r="B134" s="270"/>
      <c r="C134" s="235"/>
      <c r="D134" s="235"/>
      <c r="E134" s="235"/>
      <c r="F134" s="235"/>
      <c r="G134" s="235"/>
      <c r="H134" s="409" t="str">
        <f>IFERROR(IF(F134="","",IF(F134&gt;=201,15,IF(F134&gt;=101,12,IF(F134&gt;=51,10,IF(F134&gt;=21,8,5))))),"")</f>
        <v>#ERROR!</v>
      </c>
      <c r="I134" s="410" t="str">
        <f>IFERROR(IF(OR(F134="",G134=""),"",G134*F134*(1-H134/100)),"")</f>
        <v>#ERROR!</v>
      </c>
      <c r="J134" s="411" t="str">
        <f>IFERROR(IF(I134="","",I134*1.055),"")</f>
        <v>#ERROR!</v>
      </c>
      <c r="K134" s="413" t="str">
        <f>IFERROR(IF(F134="","",IF(F134&gt;=30,"Offerts","15 EUR")),"")</f>
        <v>#ERROR!</v>
      </c>
      <c r="L134" s="413" t="str">
        <f>IFERROR(IF(F134="","",IF(F134&gt;=51,"J+7",IF(F134&gt;=21,"J+8","J+10"))),"")</f>
        <v>#ERROR!</v>
      </c>
      <c r="M134" s="235"/>
      <c r="N134" s="240"/>
    </row>
    <row r="135">
      <c r="A135" s="408" t="str">
        <f>IF(C135="","","BCE-"&amp;TEXT(YEAR(TODAY()),"0000")&amp;"-"&amp;TEXT(ROW()-13,"000"))</f>
        <v>#ERROR!</v>
      </c>
      <c r="B135" s="266"/>
      <c r="C135" s="227"/>
      <c r="D135" s="227"/>
      <c r="E135" s="227"/>
      <c r="F135" s="227"/>
      <c r="G135" s="227"/>
      <c r="H135" s="409" t="str">
        <f>IFERROR(IF(F135="","",IF(F135&gt;=201,15,IF(F135&gt;=101,12,IF(F135&gt;=51,10,IF(F135&gt;=21,8,5))))),"")</f>
        <v>#ERROR!</v>
      </c>
      <c r="I135" s="410" t="str">
        <f>IFERROR(IF(OR(F135="",G135=""),"",G135*F135*(1-H135/100)),"")</f>
        <v>#ERROR!</v>
      </c>
      <c r="J135" s="411" t="str">
        <f>IFERROR(IF(I135="","",I135*1.055),"")</f>
        <v>#ERROR!</v>
      </c>
      <c r="K135" s="412" t="str">
        <f>IFERROR(IF(F135="","",IF(F135&gt;=30,"Offerts","15 EUR")),"")</f>
        <v>#ERROR!</v>
      </c>
      <c r="L135" s="412" t="str">
        <f>IFERROR(IF(F135="","",IF(F135&gt;=51,"J+7",IF(F135&gt;=21,"J+8","J+10"))),"")</f>
        <v>#ERROR!</v>
      </c>
      <c r="M135" s="227"/>
      <c r="N135" s="233"/>
    </row>
    <row r="136">
      <c r="A136" s="408" t="str">
        <f>IF(C136="","","BCE-"&amp;TEXT(YEAR(TODAY()),"0000")&amp;"-"&amp;TEXT(ROW()-13,"000"))</f>
        <v>#ERROR!</v>
      </c>
      <c r="B136" s="270"/>
      <c r="C136" s="235"/>
      <c r="D136" s="235"/>
      <c r="E136" s="235"/>
      <c r="F136" s="235"/>
      <c r="G136" s="235"/>
      <c r="H136" s="409" t="str">
        <f>IFERROR(IF(F136="","",IF(F136&gt;=201,15,IF(F136&gt;=101,12,IF(F136&gt;=51,10,IF(F136&gt;=21,8,5))))),"")</f>
        <v>#ERROR!</v>
      </c>
      <c r="I136" s="410" t="str">
        <f>IFERROR(IF(OR(F136="",G136=""),"",G136*F136*(1-H136/100)),"")</f>
        <v>#ERROR!</v>
      </c>
      <c r="J136" s="411" t="str">
        <f>IFERROR(IF(I136="","",I136*1.055),"")</f>
        <v>#ERROR!</v>
      </c>
      <c r="K136" s="413" t="str">
        <f>IFERROR(IF(F136="","",IF(F136&gt;=30,"Offerts","15 EUR")),"")</f>
        <v>#ERROR!</v>
      </c>
      <c r="L136" s="413" t="str">
        <f>IFERROR(IF(F136="","",IF(F136&gt;=51,"J+7",IF(F136&gt;=21,"J+8","J+10"))),"")</f>
        <v>#ERROR!</v>
      </c>
      <c r="M136" s="235"/>
      <c r="N136" s="240"/>
    </row>
    <row r="137">
      <c r="A137" s="408" t="str">
        <f>IF(C137="","","BCE-"&amp;TEXT(YEAR(TODAY()),"0000")&amp;"-"&amp;TEXT(ROW()-13,"000"))</f>
        <v>#ERROR!</v>
      </c>
      <c r="B137" s="266"/>
      <c r="C137" s="227"/>
      <c r="D137" s="227"/>
      <c r="E137" s="227"/>
      <c r="F137" s="227"/>
      <c r="G137" s="227"/>
      <c r="H137" s="409" t="str">
        <f>IFERROR(IF(F137="","",IF(F137&gt;=201,15,IF(F137&gt;=101,12,IF(F137&gt;=51,10,IF(F137&gt;=21,8,5))))),"")</f>
        <v>#ERROR!</v>
      </c>
      <c r="I137" s="410" t="str">
        <f>IFERROR(IF(OR(F137="",G137=""),"",G137*F137*(1-H137/100)),"")</f>
        <v>#ERROR!</v>
      </c>
      <c r="J137" s="411" t="str">
        <f>IFERROR(IF(I137="","",I137*1.055),"")</f>
        <v>#ERROR!</v>
      </c>
      <c r="K137" s="412" t="str">
        <f>IFERROR(IF(F137="","",IF(F137&gt;=30,"Offerts","15 EUR")),"")</f>
        <v>#ERROR!</v>
      </c>
      <c r="L137" s="412" t="str">
        <f>IFERROR(IF(F137="","",IF(F137&gt;=51,"J+7",IF(F137&gt;=21,"J+8","J+10"))),"")</f>
        <v>#ERROR!</v>
      </c>
      <c r="M137" s="227"/>
      <c r="N137" s="233"/>
    </row>
    <row r="138">
      <c r="A138" s="408" t="str">
        <f>IF(C138="","","BCE-"&amp;TEXT(YEAR(TODAY()),"0000")&amp;"-"&amp;TEXT(ROW()-13,"000"))</f>
        <v>#ERROR!</v>
      </c>
      <c r="B138" s="270"/>
      <c r="C138" s="235"/>
      <c r="D138" s="235"/>
      <c r="E138" s="235"/>
      <c r="F138" s="235"/>
      <c r="G138" s="235"/>
      <c r="H138" s="409" t="str">
        <f>IFERROR(IF(F138="","",IF(F138&gt;=201,15,IF(F138&gt;=101,12,IF(F138&gt;=51,10,IF(F138&gt;=21,8,5))))),"")</f>
        <v>#ERROR!</v>
      </c>
      <c r="I138" s="410" t="str">
        <f>IFERROR(IF(OR(F138="",G138=""),"",G138*F138*(1-H138/100)),"")</f>
        <v>#ERROR!</v>
      </c>
      <c r="J138" s="411" t="str">
        <f>IFERROR(IF(I138="","",I138*1.055),"")</f>
        <v>#ERROR!</v>
      </c>
      <c r="K138" s="413" t="str">
        <f>IFERROR(IF(F138="","",IF(F138&gt;=30,"Offerts","15 EUR")),"")</f>
        <v>#ERROR!</v>
      </c>
      <c r="L138" s="413" t="str">
        <f>IFERROR(IF(F138="","",IF(F138&gt;=51,"J+7",IF(F138&gt;=21,"J+8","J+10"))),"")</f>
        <v>#ERROR!</v>
      </c>
      <c r="M138" s="235"/>
      <c r="N138" s="240"/>
    </row>
    <row r="139">
      <c r="A139" s="408" t="str">
        <f>IF(C139="","","BCE-"&amp;TEXT(YEAR(TODAY()),"0000")&amp;"-"&amp;TEXT(ROW()-13,"000"))</f>
        <v>#ERROR!</v>
      </c>
      <c r="B139" s="266"/>
      <c r="C139" s="227"/>
      <c r="D139" s="227"/>
      <c r="E139" s="227"/>
      <c r="F139" s="227"/>
      <c r="G139" s="227"/>
      <c r="H139" s="409" t="str">
        <f>IFERROR(IF(F139="","",IF(F139&gt;=201,15,IF(F139&gt;=101,12,IF(F139&gt;=51,10,IF(F139&gt;=21,8,5))))),"")</f>
        <v>#ERROR!</v>
      </c>
      <c r="I139" s="410" t="str">
        <f>IFERROR(IF(OR(F139="",G139=""),"",G139*F139*(1-H139/100)),"")</f>
        <v>#ERROR!</v>
      </c>
      <c r="J139" s="411" t="str">
        <f>IFERROR(IF(I139="","",I139*1.055),"")</f>
        <v>#ERROR!</v>
      </c>
      <c r="K139" s="412" t="str">
        <f>IFERROR(IF(F139="","",IF(F139&gt;=30,"Offerts","15 EUR")),"")</f>
        <v>#ERROR!</v>
      </c>
      <c r="L139" s="412" t="str">
        <f>IFERROR(IF(F139="","",IF(F139&gt;=51,"J+7",IF(F139&gt;=21,"J+8","J+10"))),"")</f>
        <v>#ERROR!</v>
      </c>
      <c r="M139" s="227"/>
      <c r="N139" s="233"/>
    </row>
    <row r="140">
      <c r="A140" s="408" t="str">
        <f>IF(C140="","","BCE-"&amp;TEXT(YEAR(TODAY()),"0000")&amp;"-"&amp;TEXT(ROW()-13,"000"))</f>
        <v>#ERROR!</v>
      </c>
      <c r="B140" s="270"/>
      <c r="C140" s="235"/>
      <c r="D140" s="235"/>
      <c r="E140" s="235"/>
      <c r="F140" s="235"/>
      <c r="G140" s="235"/>
      <c r="H140" s="409" t="str">
        <f>IFERROR(IF(F140="","",IF(F140&gt;=201,15,IF(F140&gt;=101,12,IF(F140&gt;=51,10,IF(F140&gt;=21,8,5))))),"")</f>
        <v>#ERROR!</v>
      </c>
      <c r="I140" s="410" t="str">
        <f>IFERROR(IF(OR(F140="",G140=""),"",G140*F140*(1-H140/100)),"")</f>
        <v>#ERROR!</v>
      </c>
      <c r="J140" s="411" t="str">
        <f>IFERROR(IF(I140="","",I140*1.055),"")</f>
        <v>#ERROR!</v>
      </c>
      <c r="K140" s="413" t="str">
        <f>IFERROR(IF(F140="","",IF(F140&gt;=30,"Offerts","15 EUR")),"")</f>
        <v>#ERROR!</v>
      </c>
      <c r="L140" s="413" t="str">
        <f>IFERROR(IF(F140="","",IF(F140&gt;=51,"J+7",IF(F140&gt;=21,"J+8","J+10"))),"")</f>
        <v>#ERROR!</v>
      </c>
      <c r="M140" s="235"/>
      <c r="N140" s="240"/>
    </row>
    <row r="141">
      <c r="A141" s="408" t="str">
        <f>IF(C141="","","BCE-"&amp;TEXT(YEAR(TODAY()),"0000")&amp;"-"&amp;TEXT(ROW()-13,"000"))</f>
        <v>#ERROR!</v>
      </c>
      <c r="B141" s="266"/>
      <c r="C141" s="227"/>
      <c r="D141" s="227"/>
      <c r="E141" s="227"/>
      <c r="F141" s="227"/>
      <c r="G141" s="227"/>
      <c r="H141" s="409" t="str">
        <f>IFERROR(IF(F141="","",IF(F141&gt;=201,15,IF(F141&gt;=101,12,IF(F141&gt;=51,10,IF(F141&gt;=21,8,5))))),"")</f>
        <v>#ERROR!</v>
      </c>
      <c r="I141" s="410" t="str">
        <f>IFERROR(IF(OR(F141="",G141=""),"",G141*F141*(1-H141/100)),"")</f>
        <v>#ERROR!</v>
      </c>
      <c r="J141" s="411" t="str">
        <f>IFERROR(IF(I141="","",I141*1.055),"")</f>
        <v>#ERROR!</v>
      </c>
      <c r="K141" s="412" t="str">
        <f>IFERROR(IF(F141="","",IF(F141&gt;=30,"Offerts","15 EUR")),"")</f>
        <v>#ERROR!</v>
      </c>
      <c r="L141" s="412" t="str">
        <f>IFERROR(IF(F141="","",IF(F141&gt;=51,"J+7",IF(F141&gt;=21,"J+8","J+10"))),"")</f>
        <v>#ERROR!</v>
      </c>
      <c r="M141" s="227"/>
      <c r="N141" s="233"/>
    </row>
    <row r="142">
      <c r="A142" s="408" t="str">
        <f>IF(C142="","","BCE-"&amp;TEXT(YEAR(TODAY()),"0000")&amp;"-"&amp;TEXT(ROW()-13,"000"))</f>
        <v>#ERROR!</v>
      </c>
      <c r="B142" s="270"/>
      <c r="C142" s="235"/>
      <c r="D142" s="235"/>
      <c r="E142" s="235"/>
      <c r="F142" s="235"/>
      <c r="G142" s="235"/>
      <c r="H142" s="409" t="str">
        <f>IFERROR(IF(F142="","",IF(F142&gt;=201,15,IF(F142&gt;=101,12,IF(F142&gt;=51,10,IF(F142&gt;=21,8,5))))),"")</f>
        <v>#ERROR!</v>
      </c>
      <c r="I142" s="410" t="str">
        <f>IFERROR(IF(OR(F142="",G142=""),"",G142*F142*(1-H142/100)),"")</f>
        <v>#ERROR!</v>
      </c>
      <c r="J142" s="411" t="str">
        <f>IFERROR(IF(I142="","",I142*1.055),"")</f>
        <v>#ERROR!</v>
      </c>
      <c r="K142" s="413" t="str">
        <f>IFERROR(IF(F142="","",IF(F142&gt;=30,"Offerts","15 EUR")),"")</f>
        <v>#ERROR!</v>
      </c>
      <c r="L142" s="413" t="str">
        <f>IFERROR(IF(F142="","",IF(F142&gt;=51,"J+7",IF(F142&gt;=21,"J+8","J+10"))),"")</f>
        <v>#ERROR!</v>
      </c>
      <c r="M142" s="235"/>
      <c r="N142" s="240"/>
    </row>
    <row r="143">
      <c r="A143" s="408" t="str">
        <f>IF(C143="","","BCE-"&amp;TEXT(YEAR(TODAY()),"0000")&amp;"-"&amp;TEXT(ROW()-13,"000"))</f>
        <v>#ERROR!</v>
      </c>
      <c r="B143" s="266"/>
      <c r="C143" s="227"/>
      <c r="D143" s="227"/>
      <c r="E143" s="227"/>
      <c r="F143" s="227"/>
      <c r="G143" s="227"/>
      <c r="H143" s="409" t="str">
        <f>IFERROR(IF(F143="","",IF(F143&gt;=201,15,IF(F143&gt;=101,12,IF(F143&gt;=51,10,IF(F143&gt;=21,8,5))))),"")</f>
        <v>#ERROR!</v>
      </c>
      <c r="I143" s="410" t="str">
        <f>IFERROR(IF(OR(F143="",G143=""),"",G143*F143*(1-H143/100)),"")</f>
        <v>#ERROR!</v>
      </c>
      <c r="J143" s="411" t="str">
        <f>IFERROR(IF(I143="","",I143*1.055),"")</f>
        <v>#ERROR!</v>
      </c>
      <c r="K143" s="412" t="str">
        <f>IFERROR(IF(F143="","",IF(F143&gt;=30,"Offerts","15 EUR")),"")</f>
        <v>#ERROR!</v>
      </c>
      <c r="L143" s="412" t="str">
        <f>IFERROR(IF(F143="","",IF(F143&gt;=51,"J+7",IF(F143&gt;=21,"J+8","J+10"))),"")</f>
        <v>#ERROR!</v>
      </c>
      <c r="M143" s="227"/>
      <c r="N143" s="233"/>
    </row>
    <row r="144">
      <c r="A144" s="408" t="str">
        <f>IF(C144="","","BCE-"&amp;TEXT(YEAR(TODAY()),"0000")&amp;"-"&amp;TEXT(ROW()-13,"000"))</f>
        <v>#ERROR!</v>
      </c>
      <c r="B144" s="270"/>
      <c r="C144" s="235"/>
      <c r="D144" s="235"/>
      <c r="E144" s="235"/>
      <c r="F144" s="235"/>
      <c r="G144" s="235"/>
      <c r="H144" s="409" t="str">
        <f>IFERROR(IF(F144="","",IF(F144&gt;=201,15,IF(F144&gt;=101,12,IF(F144&gt;=51,10,IF(F144&gt;=21,8,5))))),"")</f>
        <v>#ERROR!</v>
      </c>
      <c r="I144" s="410" t="str">
        <f>IFERROR(IF(OR(F144="",G144=""),"",G144*F144*(1-H144/100)),"")</f>
        <v>#ERROR!</v>
      </c>
      <c r="J144" s="411" t="str">
        <f>IFERROR(IF(I144="","",I144*1.055),"")</f>
        <v>#ERROR!</v>
      </c>
      <c r="K144" s="413" t="str">
        <f>IFERROR(IF(F144="","",IF(F144&gt;=30,"Offerts","15 EUR")),"")</f>
        <v>#ERROR!</v>
      </c>
      <c r="L144" s="413" t="str">
        <f>IFERROR(IF(F144="","",IF(F144&gt;=51,"J+7",IF(F144&gt;=21,"J+8","J+10"))),"")</f>
        <v>#ERROR!</v>
      </c>
      <c r="M144" s="235"/>
      <c r="N144" s="240"/>
    </row>
    <row r="145">
      <c r="A145" s="408" t="str">
        <f>IF(C145="","","BCE-"&amp;TEXT(YEAR(TODAY()),"0000")&amp;"-"&amp;TEXT(ROW()-13,"000"))</f>
        <v>#ERROR!</v>
      </c>
      <c r="B145" s="266"/>
      <c r="C145" s="227"/>
      <c r="D145" s="227"/>
      <c r="E145" s="227"/>
      <c r="F145" s="227"/>
      <c r="G145" s="227"/>
      <c r="H145" s="409" t="str">
        <f>IFERROR(IF(F145="","",IF(F145&gt;=201,15,IF(F145&gt;=101,12,IF(F145&gt;=51,10,IF(F145&gt;=21,8,5))))),"")</f>
        <v>#ERROR!</v>
      </c>
      <c r="I145" s="410" t="str">
        <f>IFERROR(IF(OR(F145="",G145=""),"",G145*F145*(1-H145/100)),"")</f>
        <v>#ERROR!</v>
      </c>
      <c r="J145" s="411" t="str">
        <f>IFERROR(IF(I145="","",I145*1.055),"")</f>
        <v>#ERROR!</v>
      </c>
      <c r="K145" s="412" t="str">
        <f>IFERROR(IF(F145="","",IF(F145&gt;=30,"Offerts","15 EUR")),"")</f>
        <v>#ERROR!</v>
      </c>
      <c r="L145" s="412" t="str">
        <f>IFERROR(IF(F145="","",IF(F145&gt;=51,"J+7",IF(F145&gt;=21,"J+8","J+10"))),"")</f>
        <v>#ERROR!</v>
      </c>
      <c r="M145" s="227"/>
      <c r="N145" s="233"/>
    </row>
    <row r="146">
      <c r="A146" s="408" t="str">
        <f>IF(C146="","","BCE-"&amp;TEXT(YEAR(TODAY()),"0000")&amp;"-"&amp;TEXT(ROW()-13,"000"))</f>
        <v>#ERROR!</v>
      </c>
      <c r="B146" s="270"/>
      <c r="C146" s="235"/>
      <c r="D146" s="235"/>
      <c r="E146" s="235"/>
      <c r="F146" s="235"/>
      <c r="G146" s="235"/>
      <c r="H146" s="409" t="str">
        <f>IFERROR(IF(F146="","",IF(F146&gt;=201,15,IF(F146&gt;=101,12,IF(F146&gt;=51,10,IF(F146&gt;=21,8,5))))),"")</f>
        <v>#ERROR!</v>
      </c>
      <c r="I146" s="410" t="str">
        <f>IFERROR(IF(OR(F146="",G146=""),"",G146*F146*(1-H146/100)),"")</f>
        <v>#ERROR!</v>
      </c>
      <c r="J146" s="411" t="str">
        <f>IFERROR(IF(I146="","",I146*1.055),"")</f>
        <v>#ERROR!</v>
      </c>
      <c r="K146" s="413" t="str">
        <f>IFERROR(IF(F146="","",IF(F146&gt;=30,"Offerts","15 EUR")),"")</f>
        <v>#ERROR!</v>
      </c>
      <c r="L146" s="413" t="str">
        <f>IFERROR(IF(F146="","",IF(F146&gt;=51,"J+7",IF(F146&gt;=21,"J+8","J+10"))),"")</f>
        <v>#ERROR!</v>
      </c>
      <c r="M146" s="235"/>
      <c r="N146" s="240"/>
    </row>
    <row r="147">
      <c r="A147" s="408" t="str">
        <f>IF(C147="","","BCE-"&amp;TEXT(YEAR(TODAY()),"0000")&amp;"-"&amp;TEXT(ROW()-13,"000"))</f>
        <v>#ERROR!</v>
      </c>
      <c r="B147" s="266"/>
      <c r="C147" s="227"/>
      <c r="D147" s="227"/>
      <c r="E147" s="227"/>
      <c r="F147" s="227"/>
      <c r="G147" s="227"/>
      <c r="H147" s="409" t="str">
        <f>IFERROR(IF(F147="","",IF(F147&gt;=201,15,IF(F147&gt;=101,12,IF(F147&gt;=51,10,IF(F147&gt;=21,8,5))))),"")</f>
        <v>#ERROR!</v>
      </c>
      <c r="I147" s="410" t="str">
        <f>IFERROR(IF(OR(F147="",G147=""),"",G147*F147*(1-H147/100)),"")</f>
        <v>#ERROR!</v>
      </c>
      <c r="J147" s="411" t="str">
        <f>IFERROR(IF(I147="","",I147*1.055),"")</f>
        <v>#ERROR!</v>
      </c>
      <c r="K147" s="412" t="str">
        <f>IFERROR(IF(F147="","",IF(F147&gt;=30,"Offerts","15 EUR")),"")</f>
        <v>#ERROR!</v>
      </c>
      <c r="L147" s="412" t="str">
        <f>IFERROR(IF(F147="","",IF(F147&gt;=51,"J+7",IF(F147&gt;=21,"J+8","J+10"))),"")</f>
        <v>#ERROR!</v>
      </c>
      <c r="M147" s="227"/>
      <c r="N147" s="233"/>
    </row>
    <row r="148">
      <c r="A148" s="408" t="str">
        <f>IF(C148="","","BCE-"&amp;TEXT(YEAR(TODAY()),"0000")&amp;"-"&amp;TEXT(ROW()-13,"000"))</f>
        <v>#ERROR!</v>
      </c>
      <c r="B148" s="270"/>
      <c r="C148" s="235"/>
      <c r="D148" s="235"/>
      <c r="E148" s="235"/>
      <c r="F148" s="235"/>
      <c r="G148" s="235"/>
      <c r="H148" s="409" t="str">
        <f>IFERROR(IF(F148="","",IF(F148&gt;=201,15,IF(F148&gt;=101,12,IF(F148&gt;=51,10,IF(F148&gt;=21,8,5))))),"")</f>
        <v>#ERROR!</v>
      </c>
      <c r="I148" s="410" t="str">
        <f>IFERROR(IF(OR(F148="",G148=""),"",G148*F148*(1-H148/100)),"")</f>
        <v>#ERROR!</v>
      </c>
      <c r="J148" s="411" t="str">
        <f>IFERROR(IF(I148="","",I148*1.055),"")</f>
        <v>#ERROR!</v>
      </c>
      <c r="K148" s="413" t="str">
        <f>IFERROR(IF(F148="","",IF(F148&gt;=30,"Offerts","15 EUR")),"")</f>
        <v>#ERROR!</v>
      </c>
      <c r="L148" s="413" t="str">
        <f>IFERROR(IF(F148="","",IF(F148&gt;=51,"J+7",IF(F148&gt;=21,"J+8","J+10"))),"")</f>
        <v>#ERROR!</v>
      </c>
      <c r="M148" s="235"/>
      <c r="N148" s="240"/>
    </row>
    <row r="149">
      <c r="A149" s="408" t="str">
        <f>IF(C149="","","BCE-"&amp;TEXT(YEAR(TODAY()),"0000")&amp;"-"&amp;TEXT(ROW()-13,"000"))</f>
        <v>#ERROR!</v>
      </c>
      <c r="B149" s="266"/>
      <c r="C149" s="227"/>
      <c r="D149" s="227"/>
      <c r="E149" s="227"/>
      <c r="F149" s="227"/>
      <c r="G149" s="227"/>
      <c r="H149" s="409" t="str">
        <f>IFERROR(IF(F149="","",IF(F149&gt;=201,15,IF(F149&gt;=101,12,IF(F149&gt;=51,10,IF(F149&gt;=21,8,5))))),"")</f>
        <v>#ERROR!</v>
      </c>
      <c r="I149" s="410" t="str">
        <f>IFERROR(IF(OR(F149="",G149=""),"",G149*F149*(1-H149/100)),"")</f>
        <v>#ERROR!</v>
      </c>
      <c r="J149" s="411" t="str">
        <f>IFERROR(IF(I149="","",I149*1.055),"")</f>
        <v>#ERROR!</v>
      </c>
      <c r="K149" s="412" t="str">
        <f>IFERROR(IF(F149="","",IF(F149&gt;=30,"Offerts","15 EUR")),"")</f>
        <v>#ERROR!</v>
      </c>
      <c r="L149" s="412" t="str">
        <f>IFERROR(IF(F149="","",IF(F149&gt;=51,"J+7",IF(F149&gt;=21,"J+8","J+10"))),"")</f>
        <v>#ERROR!</v>
      </c>
      <c r="M149" s="227"/>
      <c r="N149" s="233"/>
    </row>
    <row r="150">
      <c r="A150" s="408" t="str">
        <f>IF(C150="","","BCE-"&amp;TEXT(YEAR(TODAY()),"0000")&amp;"-"&amp;TEXT(ROW()-13,"000"))</f>
        <v>#ERROR!</v>
      </c>
      <c r="B150" s="270"/>
      <c r="C150" s="235"/>
      <c r="D150" s="235"/>
      <c r="E150" s="235"/>
      <c r="F150" s="235"/>
      <c r="G150" s="235"/>
      <c r="H150" s="409" t="str">
        <f>IFERROR(IF(F150="","",IF(F150&gt;=201,15,IF(F150&gt;=101,12,IF(F150&gt;=51,10,IF(F150&gt;=21,8,5))))),"")</f>
        <v>#ERROR!</v>
      </c>
      <c r="I150" s="410" t="str">
        <f>IFERROR(IF(OR(F150="",G150=""),"",G150*F150*(1-H150/100)),"")</f>
        <v>#ERROR!</v>
      </c>
      <c r="J150" s="411" t="str">
        <f>IFERROR(IF(I150="","",I150*1.055),"")</f>
        <v>#ERROR!</v>
      </c>
      <c r="K150" s="413" t="str">
        <f>IFERROR(IF(F150="","",IF(F150&gt;=30,"Offerts","15 EUR")),"")</f>
        <v>#ERROR!</v>
      </c>
      <c r="L150" s="413" t="str">
        <f>IFERROR(IF(F150="","",IF(F150&gt;=51,"J+7",IF(F150&gt;=21,"J+8","J+10"))),"")</f>
        <v>#ERROR!</v>
      </c>
      <c r="M150" s="235"/>
      <c r="N150" s="240"/>
    </row>
    <row r="151">
      <c r="A151" s="408" t="str">
        <f>IF(C151="","","BCE-"&amp;TEXT(YEAR(TODAY()),"0000")&amp;"-"&amp;TEXT(ROW()-13,"000"))</f>
        <v>#ERROR!</v>
      </c>
      <c r="B151" s="266"/>
      <c r="C151" s="227"/>
      <c r="D151" s="227"/>
      <c r="E151" s="227"/>
      <c r="F151" s="227"/>
      <c r="G151" s="227"/>
      <c r="H151" s="409" t="str">
        <f>IFERROR(IF(F151="","",IF(F151&gt;=201,15,IF(F151&gt;=101,12,IF(F151&gt;=51,10,IF(F151&gt;=21,8,5))))),"")</f>
        <v>#ERROR!</v>
      </c>
      <c r="I151" s="410" t="str">
        <f>IFERROR(IF(OR(F151="",G151=""),"",G151*F151*(1-H151/100)),"")</f>
        <v>#ERROR!</v>
      </c>
      <c r="J151" s="411" t="str">
        <f>IFERROR(IF(I151="","",I151*1.055),"")</f>
        <v>#ERROR!</v>
      </c>
      <c r="K151" s="412" t="str">
        <f>IFERROR(IF(F151="","",IF(F151&gt;=30,"Offerts","15 EUR")),"")</f>
        <v>#ERROR!</v>
      </c>
      <c r="L151" s="412" t="str">
        <f>IFERROR(IF(F151="","",IF(F151&gt;=51,"J+7",IF(F151&gt;=21,"J+8","J+10"))),"")</f>
        <v>#ERROR!</v>
      </c>
      <c r="M151" s="227"/>
      <c r="N151" s="233"/>
    </row>
    <row r="152">
      <c r="A152" s="408" t="str">
        <f>IF(C152="","","BCE-"&amp;TEXT(YEAR(TODAY()),"0000")&amp;"-"&amp;TEXT(ROW()-13,"000"))</f>
        <v>#ERROR!</v>
      </c>
      <c r="B152" s="270"/>
      <c r="C152" s="235"/>
      <c r="D152" s="235"/>
      <c r="E152" s="235"/>
      <c r="F152" s="235"/>
      <c r="G152" s="235"/>
      <c r="H152" s="409" t="str">
        <f>IFERROR(IF(F152="","",IF(F152&gt;=201,15,IF(F152&gt;=101,12,IF(F152&gt;=51,10,IF(F152&gt;=21,8,5))))),"")</f>
        <v>#ERROR!</v>
      </c>
      <c r="I152" s="410" t="str">
        <f>IFERROR(IF(OR(F152="",G152=""),"",G152*F152*(1-H152/100)),"")</f>
        <v>#ERROR!</v>
      </c>
      <c r="J152" s="411" t="str">
        <f>IFERROR(IF(I152="","",I152*1.055),"")</f>
        <v>#ERROR!</v>
      </c>
      <c r="K152" s="413" t="str">
        <f>IFERROR(IF(F152="","",IF(F152&gt;=30,"Offerts","15 EUR")),"")</f>
        <v>#ERROR!</v>
      </c>
      <c r="L152" s="413" t="str">
        <f>IFERROR(IF(F152="","",IF(F152&gt;=51,"J+7",IF(F152&gt;=21,"J+8","J+10"))),"")</f>
        <v>#ERROR!</v>
      </c>
      <c r="M152" s="235"/>
      <c r="N152" s="240"/>
    </row>
    <row r="153">
      <c r="A153" s="408" t="str">
        <f>IF(C153="","","BCE-"&amp;TEXT(YEAR(TODAY()),"0000")&amp;"-"&amp;TEXT(ROW()-13,"000"))</f>
        <v>#ERROR!</v>
      </c>
      <c r="B153" s="266"/>
      <c r="C153" s="227"/>
      <c r="D153" s="227"/>
      <c r="E153" s="227"/>
      <c r="F153" s="227"/>
      <c r="G153" s="227"/>
      <c r="H153" s="409" t="str">
        <f>IFERROR(IF(F153="","",IF(F153&gt;=201,15,IF(F153&gt;=101,12,IF(F153&gt;=51,10,IF(F153&gt;=21,8,5))))),"")</f>
        <v>#ERROR!</v>
      </c>
      <c r="I153" s="410" t="str">
        <f>IFERROR(IF(OR(F153="",G153=""),"",G153*F153*(1-H153/100)),"")</f>
        <v>#ERROR!</v>
      </c>
      <c r="J153" s="411" t="str">
        <f>IFERROR(IF(I153="","",I153*1.055),"")</f>
        <v>#ERROR!</v>
      </c>
      <c r="K153" s="412" t="str">
        <f>IFERROR(IF(F153="","",IF(F153&gt;=30,"Offerts","15 EUR")),"")</f>
        <v>#ERROR!</v>
      </c>
      <c r="L153" s="412" t="str">
        <f>IFERROR(IF(F153="","",IF(F153&gt;=51,"J+7",IF(F153&gt;=21,"J+8","J+10"))),"")</f>
        <v>#ERROR!</v>
      </c>
      <c r="M153" s="227"/>
      <c r="N153" s="233"/>
    </row>
    <row r="154">
      <c r="A154" s="408" t="str">
        <f>IF(C154="","","BCE-"&amp;TEXT(YEAR(TODAY()),"0000")&amp;"-"&amp;TEXT(ROW()-13,"000"))</f>
        <v>#ERROR!</v>
      </c>
      <c r="B154" s="270"/>
      <c r="C154" s="235"/>
      <c r="D154" s="235"/>
      <c r="E154" s="235"/>
      <c r="F154" s="235"/>
      <c r="G154" s="235"/>
      <c r="H154" s="409" t="str">
        <f>IFERROR(IF(F154="","",IF(F154&gt;=201,15,IF(F154&gt;=101,12,IF(F154&gt;=51,10,IF(F154&gt;=21,8,5))))),"")</f>
        <v>#ERROR!</v>
      </c>
      <c r="I154" s="410" t="str">
        <f>IFERROR(IF(OR(F154="",G154=""),"",G154*F154*(1-H154/100)),"")</f>
        <v>#ERROR!</v>
      </c>
      <c r="J154" s="411" t="str">
        <f>IFERROR(IF(I154="","",I154*1.055),"")</f>
        <v>#ERROR!</v>
      </c>
      <c r="K154" s="413" t="str">
        <f>IFERROR(IF(F154="","",IF(F154&gt;=30,"Offerts","15 EUR")),"")</f>
        <v>#ERROR!</v>
      </c>
      <c r="L154" s="413" t="str">
        <f>IFERROR(IF(F154="","",IF(F154&gt;=51,"J+7",IF(F154&gt;=21,"J+8","J+10"))),"")</f>
        <v>#ERROR!</v>
      </c>
      <c r="M154" s="235"/>
      <c r="N154" s="240"/>
    </row>
    <row r="155">
      <c r="A155" s="408" t="str">
        <f>IF(C155="","","BCE-"&amp;TEXT(YEAR(TODAY()),"0000")&amp;"-"&amp;TEXT(ROW()-13,"000"))</f>
        <v>#ERROR!</v>
      </c>
      <c r="B155" s="266"/>
      <c r="C155" s="227"/>
      <c r="D155" s="227"/>
      <c r="E155" s="227"/>
      <c r="F155" s="227"/>
      <c r="G155" s="227"/>
      <c r="H155" s="409" t="str">
        <f>IFERROR(IF(F155="","",IF(F155&gt;=201,15,IF(F155&gt;=101,12,IF(F155&gt;=51,10,IF(F155&gt;=21,8,5))))),"")</f>
        <v>#ERROR!</v>
      </c>
      <c r="I155" s="410" t="str">
        <f>IFERROR(IF(OR(F155="",G155=""),"",G155*F155*(1-H155/100)),"")</f>
        <v>#ERROR!</v>
      </c>
      <c r="J155" s="411" t="str">
        <f>IFERROR(IF(I155="","",I155*1.055),"")</f>
        <v>#ERROR!</v>
      </c>
      <c r="K155" s="412" t="str">
        <f>IFERROR(IF(F155="","",IF(F155&gt;=30,"Offerts","15 EUR")),"")</f>
        <v>#ERROR!</v>
      </c>
      <c r="L155" s="412" t="str">
        <f>IFERROR(IF(F155="","",IF(F155&gt;=51,"J+7",IF(F155&gt;=21,"J+8","J+10"))),"")</f>
        <v>#ERROR!</v>
      </c>
      <c r="M155" s="227"/>
      <c r="N155" s="233"/>
    </row>
    <row r="156">
      <c r="A156" s="408" t="str">
        <f>IF(C156="","","BCE-"&amp;TEXT(YEAR(TODAY()),"0000")&amp;"-"&amp;TEXT(ROW()-13,"000"))</f>
        <v>#ERROR!</v>
      </c>
      <c r="B156" s="270"/>
      <c r="C156" s="235"/>
      <c r="D156" s="235"/>
      <c r="E156" s="235"/>
      <c r="F156" s="235"/>
      <c r="G156" s="235"/>
      <c r="H156" s="409" t="str">
        <f>IFERROR(IF(F156="","",IF(F156&gt;=201,15,IF(F156&gt;=101,12,IF(F156&gt;=51,10,IF(F156&gt;=21,8,5))))),"")</f>
        <v>#ERROR!</v>
      </c>
      <c r="I156" s="410" t="str">
        <f>IFERROR(IF(OR(F156="",G156=""),"",G156*F156*(1-H156/100)),"")</f>
        <v>#ERROR!</v>
      </c>
      <c r="J156" s="411" t="str">
        <f>IFERROR(IF(I156="","",I156*1.055),"")</f>
        <v>#ERROR!</v>
      </c>
      <c r="K156" s="413" t="str">
        <f>IFERROR(IF(F156="","",IF(F156&gt;=30,"Offerts","15 EUR")),"")</f>
        <v>#ERROR!</v>
      </c>
      <c r="L156" s="413" t="str">
        <f>IFERROR(IF(F156="","",IF(F156&gt;=51,"J+7",IF(F156&gt;=21,"J+8","J+10"))),"")</f>
        <v>#ERROR!</v>
      </c>
      <c r="M156" s="235"/>
      <c r="N156" s="240"/>
    </row>
    <row r="157">
      <c r="A157" s="408" t="str">
        <f>IF(C157="","","BCE-"&amp;TEXT(YEAR(TODAY()),"0000")&amp;"-"&amp;TEXT(ROW()-13,"000"))</f>
        <v>#ERROR!</v>
      </c>
      <c r="B157" s="266"/>
      <c r="C157" s="227"/>
      <c r="D157" s="227"/>
      <c r="E157" s="227"/>
      <c r="F157" s="227"/>
      <c r="G157" s="227"/>
      <c r="H157" s="409" t="str">
        <f>IFERROR(IF(F157="","",IF(F157&gt;=201,15,IF(F157&gt;=101,12,IF(F157&gt;=51,10,IF(F157&gt;=21,8,5))))),"")</f>
        <v>#ERROR!</v>
      </c>
      <c r="I157" s="410" t="str">
        <f>IFERROR(IF(OR(F157="",G157=""),"",G157*F157*(1-H157/100)),"")</f>
        <v>#ERROR!</v>
      </c>
      <c r="J157" s="411" t="str">
        <f>IFERROR(IF(I157="","",I157*1.055),"")</f>
        <v>#ERROR!</v>
      </c>
      <c r="K157" s="412" t="str">
        <f>IFERROR(IF(F157="","",IF(F157&gt;=30,"Offerts","15 EUR")),"")</f>
        <v>#ERROR!</v>
      </c>
      <c r="L157" s="412" t="str">
        <f>IFERROR(IF(F157="","",IF(F157&gt;=51,"J+7",IF(F157&gt;=21,"J+8","J+10"))),"")</f>
        <v>#ERROR!</v>
      </c>
      <c r="M157" s="227"/>
      <c r="N157" s="233"/>
    </row>
    <row r="158">
      <c r="A158" s="408" t="str">
        <f>IF(C158="","","BCE-"&amp;TEXT(YEAR(TODAY()),"0000")&amp;"-"&amp;TEXT(ROW()-13,"000"))</f>
        <v>#ERROR!</v>
      </c>
      <c r="B158" s="270"/>
      <c r="C158" s="235"/>
      <c r="D158" s="235"/>
      <c r="E158" s="235"/>
      <c r="F158" s="235"/>
      <c r="G158" s="235"/>
      <c r="H158" s="409" t="str">
        <f>IFERROR(IF(F158="","",IF(F158&gt;=201,15,IF(F158&gt;=101,12,IF(F158&gt;=51,10,IF(F158&gt;=21,8,5))))),"")</f>
        <v>#ERROR!</v>
      </c>
      <c r="I158" s="410" t="str">
        <f>IFERROR(IF(OR(F158="",G158=""),"",G158*F158*(1-H158/100)),"")</f>
        <v>#ERROR!</v>
      </c>
      <c r="J158" s="411" t="str">
        <f>IFERROR(IF(I158="","",I158*1.055),"")</f>
        <v>#ERROR!</v>
      </c>
      <c r="K158" s="413" t="str">
        <f>IFERROR(IF(F158="","",IF(F158&gt;=30,"Offerts","15 EUR")),"")</f>
        <v>#ERROR!</v>
      </c>
      <c r="L158" s="413" t="str">
        <f>IFERROR(IF(F158="","",IF(F158&gt;=51,"J+7",IF(F158&gt;=21,"J+8","J+10"))),"")</f>
        <v>#ERROR!</v>
      </c>
      <c r="M158" s="235"/>
      <c r="N158" s="240"/>
    </row>
    <row r="159">
      <c r="A159" s="408" t="str">
        <f>IF(C159="","","BCE-"&amp;TEXT(YEAR(TODAY()),"0000")&amp;"-"&amp;TEXT(ROW()-13,"000"))</f>
        <v>#ERROR!</v>
      </c>
      <c r="B159" s="266"/>
      <c r="C159" s="227"/>
      <c r="D159" s="227"/>
      <c r="E159" s="227"/>
      <c r="F159" s="227"/>
      <c r="G159" s="227"/>
      <c r="H159" s="409" t="str">
        <f>IFERROR(IF(F159="","",IF(F159&gt;=201,15,IF(F159&gt;=101,12,IF(F159&gt;=51,10,IF(F159&gt;=21,8,5))))),"")</f>
        <v>#ERROR!</v>
      </c>
      <c r="I159" s="410" t="str">
        <f>IFERROR(IF(OR(F159="",G159=""),"",G159*F159*(1-H159/100)),"")</f>
        <v>#ERROR!</v>
      </c>
      <c r="J159" s="411" t="str">
        <f>IFERROR(IF(I159="","",I159*1.055),"")</f>
        <v>#ERROR!</v>
      </c>
      <c r="K159" s="412" t="str">
        <f>IFERROR(IF(F159="","",IF(F159&gt;=30,"Offerts","15 EUR")),"")</f>
        <v>#ERROR!</v>
      </c>
      <c r="L159" s="412" t="str">
        <f>IFERROR(IF(F159="","",IF(F159&gt;=51,"J+7",IF(F159&gt;=21,"J+8","J+10"))),"")</f>
        <v>#ERROR!</v>
      </c>
      <c r="M159" s="227"/>
      <c r="N159" s="233"/>
    </row>
    <row r="160">
      <c r="A160" s="408" t="str">
        <f>IF(C160="","","BCE-"&amp;TEXT(YEAR(TODAY()),"0000")&amp;"-"&amp;TEXT(ROW()-13,"000"))</f>
        <v>#ERROR!</v>
      </c>
      <c r="B160" s="270"/>
      <c r="C160" s="235"/>
      <c r="D160" s="235"/>
      <c r="E160" s="235"/>
      <c r="F160" s="235"/>
      <c r="G160" s="235"/>
      <c r="H160" s="409" t="str">
        <f>IFERROR(IF(F160="","",IF(F160&gt;=201,15,IF(F160&gt;=101,12,IF(F160&gt;=51,10,IF(F160&gt;=21,8,5))))),"")</f>
        <v>#ERROR!</v>
      </c>
      <c r="I160" s="410" t="str">
        <f>IFERROR(IF(OR(F160="",G160=""),"",G160*F160*(1-H160/100)),"")</f>
        <v>#ERROR!</v>
      </c>
      <c r="J160" s="411" t="str">
        <f>IFERROR(IF(I160="","",I160*1.055),"")</f>
        <v>#ERROR!</v>
      </c>
      <c r="K160" s="413" t="str">
        <f>IFERROR(IF(F160="","",IF(F160&gt;=30,"Offerts","15 EUR")),"")</f>
        <v>#ERROR!</v>
      </c>
      <c r="L160" s="413" t="str">
        <f>IFERROR(IF(F160="","",IF(F160&gt;=51,"J+7",IF(F160&gt;=21,"J+8","J+10"))),"")</f>
        <v>#ERROR!</v>
      </c>
      <c r="M160" s="235"/>
      <c r="N160" s="240"/>
    </row>
    <row r="161">
      <c r="A161" s="408" t="str">
        <f>IF(C161="","","BCE-"&amp;TEXT(YEAR(TODAY()),"0000")&amp;"-"&amp;TEXT(ROW()-13,"000"))</f>
        <v>#ERROR!</v>
      </c>
      <c r="B161" s="266"/>
      <c r="C161" s="227"/>
      <c r="D161" s="227"/>
      <c r="E161" s="227"/>
      <c r="F161" s="227"/>
      <c r="G161" s="227"/>
      <c r="H161" s="409" t="str">
        <f>IFERROR(IF(F161="","",IF(F161&gt;=201,15,IF(F161&gt;=101,12,IF(F161&gt;=51,10,IF(F161&gt;=21,8,5))))),"")</f>
        <v>#ERROR!</v>
      </c>
      <c r="I161" s="410" t="str">
        <f>IFERROR(IF(OR(F161="",G161=""),"",G161*F161*(1-H161/100)),"")</f>
        <v>#ERROR!</v>
      </c>
      <c r="J161" s="411" t="str">
        <f>IFERROR(IF(I161="","",I161*1.055),"")</f>
        <v>#ERROR!</v>
      </c>
      <c r="K161" s="412" t="str">
        <f>IFERROR(IF(F161="","",IF(F161&gt;=30,"Offerts","15 EUR")),"")</f>
        <v>#ERROR!</v>
      </c>
      <c r="L161" s="412" t="str">
        <f>IFERROR(IF(F161="","",IF(F161&gt;=51,"J+7",IF(F161&gt;=21,"J+8","J+10"))),"")</f>
        <v>#ERROR!</v>
      </c>
      <c r="M161" s="227"/>
      <c r="N161" s="233"/>
    </row>
    <row r="162">
      <c r="A162" s="408" t="str">
        <f>IF(C162="","","BCE-"&amp;TEXT(YEAR(TODAY()),"0000")&amp;"-"&amp;TEXT(ROW()-13,"000"))</f>
        <v>#ERROR!</v>
      </c>
      <c r="B162" s="270"/>
      <c r="C162" s="235"/>
      <c r="D162" s="235"/>
      <c r="E162" s="235"/>
      <c r="F162" s="235"/>
      <c r="G162" s="235"/>
      <c r="H162" s="409" t="str">
        <f>IFERROR(IF(F162="","",IF(F162&gt;=201,15,IF(F162&gt;=101,12,IF(F162&gt;=51,10,IF(F162&gt;=21,8,5))))),"")</f>
        <v>#ERROR!</v>
      </c>
      <c r="I162" s="410" t="str">
        <f>IFERROR(IF(OR(F162="",G162=""),"",G162*F162*(1-H162/100)),"")</f>
        <v>#ERROR!</v>
      </c>
      <c r="J162" s="411" t="str">
        <f>IFERROR(IF(I162="","",I162*1.055),"")</f>
        <v>#ERROR!</v>
      </c>
      <c r="K162" s="413" t="str">
        <f>IFERROR(IF(F162="","",IF(F162&gt;=30,"Offerts","15 EUR")),"")</f>
        <v>#ERROR!</v>
      </c>
      <c r="L162" s="413" t="str">
        <f>IFERROR(IF(F162="","",IF(F162&gt;=51,"J+7",IF(F162&gt;=21,"J+8","J+10"))),"")</f>
        <v>#ERROR!</v>
      </c>
      <c r="M162" s="235"/>
      <c r="N162" s="240"/>
    </row>
    <row r="163">
      <c r="A163" s="414" t="str">
        <f>IF(C163="","","BCE-"&amp;TEXT(YEAR(TODAY()),"0000")&amp;"-"&amp;TEXT(ROW()-13,"000"))</f>
        <v>#ERROR!</v>
      </c>
      <c r="B163" s="272"/>
      <c r="C163" s="246"/>
      <c r="D163" s="246"/>
      <c r="E163" s="246"/>
      <c r="F163" s="246"/>
      <c r="G163" s="246"/>
      <c r="H163" s="415" t="str">
        <f>IFERROR(IF(F163="","",IF(F163&gt;=201,15,IF(F163&gt;=101,12,IF(F163&gt;=51,10,IF(F163&gt;=21,8,5))))),"")</f>
        <v>#ERROR!</v>
      </c>
      <c r="I163" s="416" t="str">
        <f>IFERROR(IF(OR(F163="",G163=""),"",G163*F163*(1-H163/100)),"")</f>
        <v>#ERROR!</v>
      </c>
      <c r="J163" s="417" t="str">
        <f>IFERROR(IF(I163="","",I163*1.055),"")</f>
        <v>#ERROR!</v>
      </c>
      <c r="K163" s="418" t="str">
        <f>IFERROR(IF(F163="","",IF(F163&gt;=30,"Offerts","15 EUR")),"")</f>
        <v>#ERROR!</v>
      </c>
      <c r="L163" s="418" t="str">
        <f>IFERROR(IF(F163="","",IF(F163&gt;=51,"J+7",IF(F163&gt;=21,"J+8","J+10"))),"")</f>
        <v>#ERROR!</v>
      </c>
      <c r="M163" s="246"/>
      <c r="N163" s="251"/>
    </row>
  </sheetData>
  <mergeCells count="4">
    <mergeCell ref="A1:L1"/>
    <mergeCell ref="A2:L2"/>
    <mergeCell ref="A3:J3"/>
    <mergeCell ref="A12:J12"/>
  </mergeCells>
  <conditionalFormatting sqref="M14:M163">
    <cfRule type="cellIs" dxfId="2" priority="1" stopIfTrue="1" operator="equal">
      <formula>"Rupture"</formula>
    </cfRule>
  </conditionalFormatting>
  <conditionalFormatting sqref="M14:M163">
    <cfRule type="cellIs" dxfId="2" priority="2" stopIfTrue="1" operator="equal">
      <formula>"NC"</formula>
    </cfRule>
  </conditionalFormatting>
  <conditionalFormatting sqref="M14:M163">
    <cfRule type="cellIs" dxfId="2" priority="3" stopIfTrue="1" operator="equal">
      <formula>"Expire"</formula>
    </cfRule>
  </conditionalFormatting>
  <conditionalFormatting sqref="M14:M163">
    <cfRule type="cellIs" dxfId="2" priority="4" stopIfTrue="1" operator="equal">
      <formula>"URGENT"</formula>
    </cfRule>
  </conditionalFormatting>
  <conditionalFormatting sqref="M14:M163">
    <cfRule type="cellIs" dxfId="2" priority="5" stopIfTrue="1" operator="equal">
      <formula>"Bloque"</formula>
    </cfRule>
  </conditionalFormatting>
  <conditionalFormatting sqref="M14:M163">
    <cfRule type="cellIs" dxfId="3" priority="6" stopIfTrue="1" operator="equal">
      <formula>"Proche"</formula>
    </cfRule>
  </conditionalFormatting>
  <conditionalFormatting sqref="M14:M163">
    <cfRule type="cellIs" dxfId="3" priority="7" stopIfTrue="1" operator="equal">
      <formula>"A PRODUIRE"</formula>
    </cfRule>
  </conditionalFormatting>
  <conditionalFormatting sqref="M14:M163">
    <cfRule type="cellIs" dxfId="3" priority="8" stopIfTrue="1" operator="equal">
      <formula>"Sous-temperature"</formula>
    </cfRule>
  </conditionalFormatting>
  <conditionalFormatting sqref="M14:M163">
    <cfRule type="cellIs" dxfId="4" priority="9" stopIfTrue="1" operator="equal">
      <formula>"OK"</formula>
    </cfRule>
  </conditionalFormatting>
  <conditionalFormatting sqref="M14:M163">
    <cfRule type="cellIs" dxfId="4" priority="10" stopIfTrue="1" operator="equal">
      <formula>"Valide"</formula>
    </cfRule>
  </conditionalFormatting>
  <conditionalFormatting sqref="M14:M163">
    <cfRule type="cellIs" dxfId="4" priority="11" stopIfTrue="1" operator="equal">
      <formula>"Termine"</formula>
    </cfRule>
  </conditionalFormatting>
  <conditionalFormatting sqref="M14:M163">
    <cfRule type="cellIs" dxfId="4" priority="12" stopIfTrue="1" operator="equal">
      <formula>"Actif"</formula>
    </cfRule>
  </conditionalFormatting>
  <dataValidations>
    <dataValidation type="list" allowBlank="1" sqref="M14:M163">
      <formula1>"Devis,Confirme,En preparation,Livre,Facture,Annule"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392B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12.63"/>
    <col customWidth="1" min="3" max="3" width="22.63"/>
    <col customWidth="1" min="4" max="4" width="18.88"/>
    <col customWidth="1" min="5" max="5" width="15.13"/>
    <col customWidth="1" min="6" max="7" width="22.63"/>
    <col customWidth="1" min="8" max="8" width="10.13"/>
    <col customWidth="1" min="9" max="10" width="31.38"/>
    <col customWidth="1" min="11" max="12" width="13.88"/>
    <col customWidth="1" min="13" max="13" width="12.63"/>
    <col customWidth="1" min="14" max="14" width="10.13"/>
  </cols>
  <sheetData>
    <row r="1" ht="25.5" customHeight="1">
      <c r="A1" s="419" t="s">
        <v>1160</v>
      </c>
    </row>
    <row r="2" ht="25.5" customHeight="1">
      <c r="A2" s="40" t="s">
        <v>1161</v>
      </c>
    </row>
    <row r="3" ht="22.5" customHeight="1">
      <c r="A3" s="153" t="s">
        <v>1162</v>
      </c>
      <c r="B3" s="153" t="s">
        <v>1163</v>
      </c>
      <c r="C3" s="153" t="s">
        <v>76</v>
      </c>
      <c r="D3" s="153" t="s">
        <v>1107</v>
      </c>
      <c r="E3" s="153" t="s">
        <v>62</v>
      </c>
      <c r="F3" s="153" t="s">
        <v>64</v>
      </c>
      <c r="G3" s="153" t="s">
        <v>1164</v>
      </c>
      <c r="H3" s="153" t="s">
        <v>1165</v>
      </c>
      <c r="I3" s="153" t="s">
        <v>559</v>
      </c>
      <c r="J3" s="153" t="s">
        <v>999</v>
      </c>
      <c r="K3" s="153" t="s">
        <v>1166</v>
      </c>
      <c r="L3" s="153" t="s">
        <v>1167</v>
      </c>
      <c r="M3" s="153" t="s">
        <v>105</v>
      </c>
      <c r="N3" s="153" t="s">
        <v>1168</v>
      </c>
    </row>
    <row r="4">
      <c r="A4" s="420" t="str">
        <f>IF(C4="","","REC-"&amp;TEXT(YEAR(B4),"0000")&amp;"-"&amp;TEXT(ROW()-3,"000"))</f>
        <v>#ERROR!</v>
      </c>
      <c r="B4" s="421"/>
      <c r="C4" s="422"/>
      <c r="D4" s="422"/>
      <c r="E4" s="422"/>
      <c r="F4" s="422"/>
      <c r="G4" s="422"/>
      <c r="H4" s="422"/>
      <c r="I4" s="422"/>
      <c r="J4" s="422"/>
      <c r="K4" s="421" t="str">
        <f>IFERROR(IF(B4="","",IF(H4="Critique (danger sante)",B4+1,B4+5)),"")</f>
        <v>#ERROR!</v>
      </c>
      <c r="L4" s="421"/>
      <c r="M4" s="422"/>
      <c r="N4" s="423"/>
    </row>
    <row r="5">
      <c r="A5" s="424" t="str">
        <f>IF(C5="","","REC-"&amp;TEXT(YEAR(B5),"0000")&amp;"-"&amp;TEXT(ROW()-3,"000"))</f>
        <v>#ERROR!</v>
      </c>
      <c r="B5" s="266"/>
      <c r="C5" s="227"/>
      <c r="D5" s="227"/>
      <c r="E5" s="227"/>
      <c r="F5" s="227"/>
      <c r="G5" s="227"/>
      <c r="H5" s="227"/>
      <c r="I5" s="227"/>
      <c r="J5" s="227"/>
      <c r="K5" s="266" t="str">
        <f>IFERROR(IF(B5="","",IF(H5="Critique (danger sante)",B5+1,B5+5)),"")</f>
        <v>#ERROR!</v>
      </c>
      <c r="L5" s="266"/>
      <c r="M5" s="227"/>
      <c r="N5" s="233"/>
    </row>
    <row r="6">
      <c r="A6" s="424" t="str">
        <f>IF(C6="","","REC-"&amp;TEXT(YEAR(B6),"0000")&amp;"-"&amp;TEXT(ROW()-3,"000"))</f>
        <v>#ERROR!</v>
      </c>
      <c r="B6" s="425"/>
      <c r="C6" s="426"/>
      <c r="D6" s="426"/>
      <c r="E6" s="426"/>
      <c r="F6" s="426"/>
      <c r="G6" s="426"/>
      <c r="H6" s="426"/>
      <c r="I6" s="426"/>
      <c r="J6" s="426"/>
      <c r="K6" s="425" t="str">
        <f>IFERROR(IF(B6="","",IF(H6="Critique (danger sante)",B6+1,B6+5)),"")</f>
        <v>#ERROR!</v>
      </c>
      <c r="L6" s="425"/>
      <c r="M6" s="426"/>
      <c r="N6" s="427"/>
    </row>
    <row r="7">
      <c r="A7" s="424" t="str">
        <f>IF(C7="","","REC-"&amp;TEXT(YEAR(B7),"0000")&amp;"-"&amp;TEXT(ROW()-3,"000"))</f>
        <v>#ERROR!</v>
      </c>
      <c r="B7" s="266"/>
      <c r="C7" s="227"/>
      <c r="D7" s="227"/>
      <c r="E7" s="227"/>
      <c r="F7" s="227"/>
      <c r="G7" s="227"/>
      <c r="H7" s="227"/>
      <c r="I7" s="227"/>
      <c r="J7" s="227"/>
      <c r="K7" s="266" t="str">
        <f>IFERROR(IF(B7="","",IF(H7="Critique (danger sante)",B7+1,B7+5)),"")</f>
        <v>#ERROR!</v>
      </c>
      <c r="L7" s="266"/>
      <c r="M7" s="227"/>
      <c r="N7" s="233"/>
    </row>
    <row r="8">
      <c r="A8" s="424" t="str">
        <f>IF(C8="","","REC-"&amp;TEXT(YEAR(B8),"0000")&amp;"-"&amp;TEXT(ROW()-3,"000"))</f>
        <v>#ERROR!</v>
      </c>
      <c r="B8" s="425"/>
      <c r="C8" s="426"/>
      <c r="D8" s="426"/>
      <c r="E8" s="426"/>
      <c r="F8" s="426"/>
      <c r="G8" s="426"/>
      <c r="H8" s="426"/>
      <c r="I8" s="426"/>
      <c r="J8" s="426"/>
      <c r="K8" s="425" t="str">
        <f>IFERROR(IF(B8="","",IF(H8="Critique (danger sante)",B8+1,B8+5)),"")</f>
        <v>#ERROR!</v>
      </c>
      <c r="L8" s="425"/>
      <c r="M8" s="426"/>
      <c r="N8" s="427"/>
    </row>
    <row r="9">
      <c r="A9" s="424" t="str">
        <f>IF(C9="","","REC-"&amp;TEXT(YEAR(B9),"0000")&amp;"-"&amp;TEXT(ROW()-3,"000"))</f>
        <v>#ERROR!</v>
      </c>
      <c r="B9" s="266"/>
      <c r="C9" s="227"/>
      <c r="D9" s="227"/>
      <c r="E9" s="227"/>
      <c r="F9" s="227"/>
      <c r="G9" s="227"/>
      <c r="H9" s="227"/>
      <c r="I9" s="227"/>
      <c r="J9" s="227"/>
      <c r="K9" s="266" t="str">
        <f>IFERROR(IF(B9="","",IF(H9="Critique (danger sante)",B9+1,B9+5)),"")</f>
        <v>#ERROR!</v>
      </c>
      <c r="L9" s="266"/>
      <c r="M9" s="227"/>
      <c r="N9" s="233"/>
    </row>
    <row r="10">
      <c r="A10" s="424" t="str">
        <f>IF(C10="","","REC-"&amp;TEXT(YEAR(B10),"0000")&amp;"-"&amp;TEXT(ROW()-3,"000"))</f>
        <v>#ERROR!</v>
      </c>
      <c r="B10" s="425"/>
      <c r="C10" s="426"/>
      <c r="D10" s="426"/>
      <c r="E10" s="426"/>
      <c r="F10" s="426"/>
      <c r="G10" s="426"/>
      <c r="H10" s="426"/>
      <c r="I10" s="426"/>
      <c r="J10" s="426"/>
      <c r="K10" s="425" t="str">
        <f>IFERROR(IF(B10="","",IF(H10="Critique (danger sante)",B10+1,B10+5)),"")</f>
        <v>#ERROR!</v>
      </c>
      <c r="L10" s="425"/>
      <c r="M10" s="426"/>
      <c r="N10" s="427"/>
    </row>
    <row r="11">
      <c r="A11" s="424" t="str">
        <f>IF(C11="","","REC-"&amp;TEXT(YEAR(B11),"0000")&amp;"-"&amp;TEXT(ROW()-3,"000"))</f>
        <v>#ERROR!</v>
      </c>
      <c r="B11" s="266"/>
      <c r="C11" s="227"/>
      <c r="D11" s="227"/>
      <c r="E11" s="227"/>
      <c r="F11" s="227"/>
      <c r="G11" s="227"/>
      <c r="H11" s="227"/>
      <c r="I11" s="227"/>
      <c r="J11" s="227"/>
      <c r="K11" s="266" t="str">
        <f>IFERROR(IF(B11="","",IF(H11="Critique (danger sante)",B11+1,B11+5)),"")</f>
        <v>#ERROR!</v>
      </c>
      <c r="L11" s="266"/>
      <c r="M11" s="227"/>
      <c r="N11" s="233"/>
    </row>
    <row r="12">
      <c r="A12" s="424" t="str">
        <f>IF(C12="","","REC-"&amp;TEXT(YEAR(B12),"0000")&amp;"-"&amp;TEXT(ROW()-3,"000"))</f>
        <v>#ERROR!</v>
      </c>
      <c r="B12" s="425"/>
      <c r="C12" s="426"/>
      <c r="D12" s="426"/>
      <c r="E12" s="426"/>
      <c r="F12" s="426"/>
      <c r="G12" s="426"/>
      <c r="H12" s="426"/>
      <c r="I12" s="426"/>
      <c r="J12" s="426"/>
      <c r="K12" s="425" t="str">
        <f>IFERROR(IF(B12="","",IF(H12="Critique (danger sante)",B12+1,B12+5)),"")</f>
        <v>#ERROR!</v>
      </c>
      <c r="L12" s="425"/>
      <c r="M12" s="426"/>
      <c r="N12" s="427"/>
    </row>
    <row r="13">
      <c r="A13" s="424" t="str">
        <f>IF(C13="","","REC-"&amp;TEXT(YEAR(B13),"0000")&amp;"-"&amp;TEXT(ROW()-3,"000"))</f>
        <v>#ERROR!</v>
      </c>
      <c r="B13" s="266"/>
      <c r="C13" s="227"/>
      <c r="D13" s="227"/>
      <c r="E13" s="227"/>
      <c r="F13" s="227"/>
      <c r="G13" s="227"/>
      <c r="H13" s="227"/>
      <c r="I13" s="227"/>
      <c r="J13" s="227"/>
      <c r="K13" s="266" t="str">
        <f>IFERROR(IF(B13="","",IF(H13="Critique (danger sante)",B13+1,B13+5)),"")</f>
        <v>#ERROR!</v>
      </c>
      <c r="L13" s="266"/>
      <c r="M13" s="227"/>
      <c r="N13" s="233"/>
    </row>
    <row r="14">
      <c r="A14" s="424" t="str">
        <f>IF(C14="","","REC-"&amp;TEXT(YEAR(B14),"0000")&amp;"-"&amp;TEXT(ROW()-3,"000"))</f>
        <v>#ERROR!</v>
      </c>
      <c r="B14" s="425"/>
      <c r="C14" s="426"/>
      <c r="D14" s="426"/>
      <c r="E14" s="426"/>
      <c r="F14" s="426"/>
      <c r="G14" s="426"/>
      <c r="H14" s="426"/>
      <c r="I14" s="426"/>
      <c r="J14" s="426"/>
      <c r="K14" s="425" t="str">
        <f>IFERROR(IF(B14="","",IF(H14="Critique (danger sante)",B14+1,B14+5)),"")</f>
        <v>#ERROR!</v>
      </c>
      <c r="L14" s="425"/>
      <c r="M14" s="426"/>
      <c r="N14" s="427"/>
    </row>
    <row r="15">
      <c r="A15" s="424" t="str">
        <f>IF(C15="","","REC-"&amp;TEXT(YEAR(B15),"0000")&amp;"-"&amp;TEXT(ROW()-3,"000"))</f>
        <v>#ERROR!</v>
      </c>
      <c r="B15" s="266"/>
      <c r="C15" s="227"/>
      <c r="D15" s="227"/>
      <c r="E15" s="227"/>
      <c r="F15" s="227"/>
      <c r="G15" s="227"/>
      <c r="H15" s="227"/>
      <c r="I15" s="227"/>
      <c r="J15" s="227"/>
      <c r="K15" s="266" t="str">
        <f>IFERROR(IF(B15="","",IF(H15="Critique (danger sante)",B15+1,B15+5)),"")</f>
        <v>#ERROR!</v>
      </c>
      <c r="L15" s="266"/>
      <c r="M15" s="227"/>
      <c r="N15" s="233"/>
    </row>
    <row r="16">
      <c r="A16" s="424" t="str">
        <f>IF(C16="","","REC-"&amp;TEXT(YEAR(B16),"0000")&amp;"-"&amp;TEXT(ROW()-3,"000"))</f>
        <v>#ERROR!</v>
      </c>
      <c r="B16" s="425"/>
      <c r="C16" s="426"/>
      <c r="D16" s="426"/>
      <c r="E16" s="426"/>
      <c r="F16" s="426"/>
      <c r="G16" s="426"/>
      <c r="H16" s="426"/>
      <c r="I16" s="426"/>
      <c r="J16" s="426"/>
      <c r="K16" s="425" t="str">
        <f>IFERROR(IF(B16="","",IF(H16="Critique (danger sante)",B16+1,B16+5)),"")</f>
        <v>#ERROR!</v>
      </c>
      <c r="L16" s="425"/>
      <c r="M16" s="426"/>
      <c r="N16" s="427"/>
    </row>
    <row r="17">
      <c r="A17" s="424" t="str">
        <f>IF(C17="","","REC-"&amp;TEXT(YEAR(B17),"0000")&amp;"-"&amp;TEXT(ROW()-3,"000"))</f>
        <v>#ERROR!</v>
      </c>
      <c r="B17" s="266"/>
      <c r="C17" s="227"/>
      <c r="D17" s="227"/>
      <c r="E17" s="227"/>
      <c r="F17" s="227"/>
      <c r="G17" s="227"/>
      <c r="H17" s="227"/>
      <c r="I17" s="227"/>
      <c r="J17" s="227"/>
      <c r="K17" s="266" t="str">
        <f>IFERROR(IF(B17="","",IF(H17="Critique (danger sante)",B17+1,B17+5)),"")</f>
        <v>#ERROR!</v>
      </c>
      <c r="L17" s="266"/>
      <c r="M17" s="227"/>
      <c r="N17" s="233"/>
    </row>
    <row r="18">
      <c r="A18" s="424" t="str">
        <f>IF(C18="","","REC-"&amp;TEXT(YEAR(B18),"0000")&amp;"-"&amp;TEXT(ROW()-3,"000"))</f>
        <v>#ERROR!</v>
      </c>
      <c r="B18" s="425"/>
      <c r="C18" s="426"/>
      <c r="D18" s="426"/>
      <c r="E18" s="426"/>
      <c r="F18" s="426"/>
      <c r="G18" s="426"/>
      <c r="H18" s="426"/>
      <c r="I18" s="426"/>
      <c r="J18" s="426"/>
      <c r="K18" s="425" t="str">
        <f>IFERROR(IF(B18="","",IF(H18="Critique (danger sante)",B18+1,B18+5)),"")</f>
        <v>#ERROR!</v>
      </c>
      <c r="L18" s="425"/>
      <c r="M18" s="426"/>
      <c r="N18" s="427"/>
    </row>
    <row r="19">
      <c r="A19" s="424" t="str">
        <f>IF(C19="","","REC-"&amp;TEXT(YEAR(B19),"0000")&amp;"-"&amp;TEXT(ROW()-3,"000"))</f>
        <v>#ERROR!</v>
      </c>
      <c r="B19" s="266"/>
      <c r="C19" s="227"/>
      <c r="D19" s="227"/>
      <c r="E19" s="227"/>
      <c r="F19" s="227"/>
      <c r="G19" s="227"/>
      <c r="H19" s="227"/>
      <c r="I19" s="227"/>
      <c r="J19" s="227"/>
      <c r="K19" s="266" t="str">
        <f>IFERROR(IF(B19="","",IF(H19="Critique (danger sante)",B19+1,B19+5)),"")</f>
        <v>#ERROR!</v>
      </c>
      <c r="L19" s="266"/>
      <c r="M19" s="227"/>
      <c r="N19" s="233"/>
    </row>
    <row r="20">
      <c r="A20" s="424" t="str">
        <f>IF(C20="","","REC-"&amp;TEXT(YEAR(B20),"0000")&amp;"-"&amp;TEXT(ROW()-3,"000"))</f>
        <v>#ERROR!</v>
      </c>
      <c r="B20" s="425"/>
      <c r="C20" s="426"/>
      <c r="D20" s="426"/>
      <c r="E20" s="426"/>
      <c r="F20" s="426"/>
      <c r="G20" s="426"/>
      <c r="H20" s="426"/>
      <c r="I20" s="426"/>
      <c r="J20" s="426"/>
      <c r="K20" s="425" t="str">
        <f>IFERROR(IF(B20="","",IF(H20="Critique (danger sante)",B20+1,B20+5)),"")</f>
        <v>#ERROR!</v>
      </c>
      <c r="L20" s="425"/>
      <c r="M20" s="426"/>
      <c r="N20" s="427"/>
    </row>
    <row r="21">
      <c r="A21" s="424" t="str">
        <f>IF(C21="","","REC-"&amp;TEXT(YEAR(B21),"0000")&amp;"-"&amp;TEXT(ROW()-3,"000"))</f>
        <v>#ERROR!</v>
      </c>
      <c r="B21" s="266"/>
      <c r="C21" s="227"/>
      <c r="D21" s="227"/>
      <c r="E21" s="227"/>
      <c r="F21" s="227"/>
      <c r="G21" s="227"/>
      <c r="H21" s="227"/>
      <c r="I21" s="227"/>
      <c r="J21" s="227"/>
      <c r="K21" s="266" t="str">
        <f>IFERROR(IF(B21="","",IF(H21="Critique (danger sante)",B21+1,B21+5)),"")</f>
        <v>#ERROR!</v>
      </c>
      <c r="L21" s="266"/>
      <c r="M21" s="227"/>
      <c r="N21" s="233"/>
    </row>
    <row r="22">
      <c r="A22" s="424" t="str">
        <f>IF(C22="","","REC-"&amp;TEXT(YEAR(B22),"0000")&amp;"-"&amp;TEXT(ROW()-3,"000"))</f>
        <v>#ERROR!</v>
      </c>
      <c r="B22" s="425"/>
      <c r="C22" s="426"/>
      <c r="D22" s="426"/>
      <c r="E22" s="426"/>
      <c r="F22" s="426"/>
      <c r="G22" s="426"/>
      <c r="H22" s="426"/>
      <c r="I22" s="426"/>
      <c r="J22" s="426"/>
      <c r="K22" s="425" t="str">
        <f>IFERROR(IF(B22="","",IF(H22="Critique (danger sante)",B22+1,B22+5)),"")</f>
        <v>#ERROR!</v>
      </c>
      <c r="L22" s="425"/>
      <c r="M22" s="426"/>
      <c r="N22" s="427"/>
    </row>
    <row r="23">
      <c r="A23" s="424" t="str">
        <f>IF(C23="","","REC-"&amp;TEXT(YEAR(B23),"0000")&amp;"-"&amp;TEXT(ROW()-3,"000"))</f>
        <v>#ERROR!</v>
      </c>
      <c r="B23" s="266"/>
      <c r="C23" s="227"/>
      <c r="D23" s="227"/>
      <c r="E23" s="227"/>
      <c r="F23" s="227"/>
      <c r="G23" s="227"/>
      <c r="H23" s="227"/>
      <c r="I23" s="227"/>
      <c r="J23" s="227"/>
      <c r="K23" s="266" t="str">
        <f>IFERROR(IF(B23="","",IF(H23="Critique (danger sante)",B23+1,B23+5)),"")</f>
        <v>#ERROR!</v>
      </c>
      <c r="L23" s="266"/>
      <c r="M23" s="227"/>
      <c r="N23" s="233"/>
    </row>
    <row r="24">
      <c r="A24" s="424" t="str">
        <f>IF(C24="","","REC-"&amp;TEXT(YEAR(B24),"0000")&amp;"-"&amp;TEXT(ROW()-3,"000"))</f>
        <v>#ERROR!</v>
      </c>
      <c r="B24" s="425"/>
      <c r="C24" s="426"/>
      <c r="D24" s="426"/>
      <c r="E24" s="426"/>
      <c r="F24" s="426"/>
      <c r="G24" s="426"/>
      <c r="H24" s="426"/>
      <c r="I24" s="426"/>
      <c r="J24" s="426"/>
      <c r="K24" s="425" t="str">
        <f>IFERROR(IF(B24="","",IF(H24="Critique (danger sante)",B24+1,B24+5)),"")</f>
        <v>#ERROR!</v>
      </c>
      <c r="L24" s="425"/>
      <c r="M24" s="426"/>
      <c r="N24" s="427"/>
    </row>
    <row r="25">
      <c r="A25" s="424" t="str">
        <f>IF(C25="","","REC-"&amp;TEXT(YEAR(B25),"0000")&amp;"-"&amp;TEXT(ROW()-3,"000"))</f>
        <v>#ERROR!</v>
      </c>
      <c r="B25" s="266"/>
      <c r="C25" s="227"/>
      <c r="D25" s="227"/>
      <c r="E25" s="227"/>
      <c r="F25" s="227"/>
      <c r="G25" s="227"/>
      <c r="H25" s="227"/>
      <c r="I25" s="227"/>
      <c r="J25" s="227"/>
      <c r="K25" s="266" t="str">
        <f>IFERROR(IF(B25="","",IF(H25="Critique (danger sante)",B25+1,B25+5)),"")</f>
        <v>#ERROR!</v>
      </c>
      <c r="L25" s="266"/>
      <c r="M25" s="227"/>
      <c r="N25" s="233"/>
    </row>
    <row r="26">
      <c r="A26" s="424" t="str">
        <f>IF(C26="","","REC-"&amp;TEXT(YEAR(B26),"0000")&amp;"-"&amp;TEXT(ROW()-3,"000"))</f>
        <v>#ERROR!</v>
      </c>
      <c r="B26" s="425"/>
      <c r="C26" s="426"/>
      <c r="D26" s="426"/>
      <c r="E26" s="426"/>
      <c r="F26" s="426"/>
      <c r="G26" s="426"/>
      <c r="H26" s="426"/>
      <c r="I26" s="426"/>
      <c r="J26" s="426"/>
      <c r="K26" s="425" t="str">
        <f>IFERROR(IF(B26="","",IF(H26="Critique (danger sante)",B26+1,B26+5)),"")</f>
        <v>#ERROR!</v>
      </c>
      <c r="L26" s="425"/>
      <c r="M26" s="426"/>
      <c r="N26" s="427"/>
    </row>
    <row r="27">
      <c r="A27" s="424" t="str">
        <f>IF(C27="","","REC-"&amp;TEXT(YEAR(B27),"0000")&amp;"-"&amp;TEXT(ROW()-3,"000"))</f>
        <v>#ERROR!</v>
      </c>
      <c r="B27" s="266"/>
      <c r="C27" s="227"/>
      <c r="D27" s="227"/>
      <c r="E27" s="227"/>
      <c r="F27" s="227"/>
      <c r="G27" s="227"/>
      <c r="H27" s="227"/>
      <c r="I27" s="227"/>
      <c r="J27" s="227"/>
      <c r="K27" s="266" t="str">
        <f>IFERROR(IF(B27="","",IF(H27="Critique (danger sante)",B27+1,B27+5)),"")</f>
        <v>#ERROR!</v>
      </c>
      <c r="L27" s="266"/>
      <c r="M27" s="227"/>
      <c r="N27" s="233"/>
    </row>
    <row r="28">
      <c r="A28" s="424" t="str">
        <f>IF(C28="","","REC-"&amp;TEXT(YEAR(B28),"0000")&amp;"-"&amp;TEXT(ROW()-3,"000"))</f>
        <v>#ERROR!</v>
      </c>
      <c r="B28" s="425"/>
      <c r="C28" s="426"/>
      <c r="D28" s="426"/>
      <c r="E28" s="426"/>
      <c r="F28" s="426"/>
      <c r="G28" s="426"/>
      <c r="H28" s="426"/>
      <c r="I28" s="426"/>
      <c r="J28" s="426"/>
      <c r="K28" s="425" t="str">
        <f>IFERROR(IF(B28="","",IF(H28="Critique (danger sante)",B28+1,B28+5)),"")</f>
        <v>#ERROR!</v>
      </c>
      <c r="L28" s="425"/>
      <c r="M28" s="426"/>
      <c r="N28" s="427"/>
    </row>
    <row r="29">
      <c r="A29" s="424" t="str">
        <f>IF(C29="","","REC-"&amp;TEXT(YEAR(B29),"0000")&amp;"-"&amp;TEXT(ROW()-3,"000"))</f>
        <v>#ERROR!</v>
      </c>
      <c r="B29" s="266"/>
      <c r="C29" s="227"/>
      <c r="D29" s="227"/>
      <c r="E29" s="227"/>
      <c r="F29" s="227"/>
      <c r="G29" s="227"/>
      <c r="H29" s="227"/>
      <c r="I29" s="227"/>
      <c r="J29" s="227"/>
      <c r="K29" s="266" t="str">
        <f>IFERROR(IF(B29="","",IF(H29="Critique (danger sante)",B29+1,B29+5)),"")</f>
        <v>#ERROR!</v>
      </c>
      <c r="L29" s="266"/>
      <c r="M29" s="227"/>
      <c r="N29" s="233"/>
    </row>
    <row r="30">
      <c r="A30" s="424" t="str">
        <f>IF(C30="","","REC-"&amp;TEXT(YEAR(B30),"0000")&amp;"-"&amp;TEXT(ROW()-3,"000"))</f>
        <v>#ERROR!</v>
      </c>
      <c r="B30" s="425"/>
      <c r="C30" s="426"/>
      <c r="D30" s="426"/>
      <c r="E30" s="426"/>
      <c r="F30" s="426"/>
      <c r="G30" s="426"/>
      <c r="H30" s="426"/>
      <c r="I30" s="426"/>
      <c r="J30" s="426"/>
      <c r="K30" s="425" t="str">
        <f>IFERROR(IF(B30="","",IF(H30="Critique (danger sante)",B30+1,B30+5)),"")</f>
        <v>#ERROR!</v>
      </c>
      <c r="L30" s="425"/>
      <c r="M30" s="426"/>
      <c r="N30" s="427"/>
    </row>
    <row r="31">
      <c r="A31" s="424" t="str">
        <f>IF(C31="","","REC-"&amp;TEXT(YEAR(B31),"0000")&amp;"-"&amp;TEXT(ROW()-3,"000"))</f>
        <v>#ERROR!</v>
      </c>
      <c r="B31" s="266"/>
      <c r="C31" s="227"/>
      <c r="D31" s="227"/>
      <c r="E31" s="227"/>
      <c r="F31" s="227"/>
      <c r="G31" s="227"/>
      <c r="H31" s="227"/>
      <c r="I31" s="227"/>
      <c r="J31" s="227"/>
      <c r="K31" s="266" t="str">
        <f>IFERROR(IF(B31="","",IF(H31="Critique (danger sante)",B31+1,B31+5)),"")</f>
        <v>#ERROR!</v>
      </c>
      <c r="L31" s="266"/>
      <c r="M31" s="227"/>
      <c r="N31" s="233"/>
    </row>
    <row r="32">
      <c r="A32" s="424" t="str">
        <f>IF(C32="","","REC-"&amp;TEXT(YEAR(B32),"0000")&amp;"-"&amp;TEXT(ROW()-3,"000"))</f>
        <v>#ERROR!</v>
      </c>
      <c r="B32" s="425"/>
      <c r="C32" s="426"/>
      <c r="D32" s="426"/>
      <c r="E32" s="426"/>
      <c r="F32" s="426"/>
      <c r="G32" s="426"/>
      <c r="H32" s="426"/>
      <c r="I32" s="426"/>
      <c r="J32" s="426"/>
      <c r="K32" s="425" t="str">
        <f>IFERROR(IF(B32="","",IF(H32="Critique (danger sante)",B32+1,B32+5)),"")</f>
        <v>#ERROR!</v>
      </c>
      <c r="L32" s="425"/>
      <c r="M32" s="426"/>
      <c r="N32" s="427"/>
    </row>
    <row r="33">
      <c r="A33" s="424" t="str">
        <f>IF(C33="","","REC-"&amp;TEXT(YEAR(B33),"0000")&amp;"-"&amp;TEXT(ROW()-3,"000"))</f>
        <v>#ERROR!</v>
      </c>
      <c r="B33" s="266"/>
      <c r="C33" s="227"/>
      <c r="D33" s="227"/>
      <c r="E33" s="227"/>
      <c r="F33" s="227"/>
      <c r="G33" s="227"/>
      <c r="H33" s="227"/>
      <c r="I33" s="227"/>
      <c r="J33" s="227"/>
      <c r="K33" s="266" t="str">
        <f>IFERROR(IF(B33="","",IF(H33="Critique (danger sante)",B33+1,B33+5)),"")</f>
        <v>#ERROR!</v>
      </c>
      <c r="L33" s="266"/>
      <c r="M33" s="227"/>
      <c r="N33" s="233"/>
    </row>
    <row r="34">
      <c r="A34" s="424" t="str">
        <f>IF(C34="","","REC-"&amp;TEXT(YEAR(B34),"0000")&amp;"-"&amp;TEXT(ROW()-3,"000"))</f>
        <v>#ERROR!</v>
      </c>
      <c r="B34" s="425"/>
      <c r="C34" s="426"/>
      <c r="D34" s="426"/>
      <c r="E34" s="426"/>
      <c r="F34" s="426"/>
      <c r="G34" s="426"/>
      <c r="H34" s="426"/>
      <c r="I34" s="426"/>
      <c r="J34" s="426"/>
      <c r="K34" s="425" t="str">
        <f>IFERROR(IF(B34="","",IF(H34="Critique (danger sante)",B34+1,B34+5)),"")</f>
        <v>#ERROR!</v>
      </c>
      <c r="L34" s="425"/>
      <c r="M34" s="426"/>
      <c r="N34" s="427"/>
    </row>
    <row r="35">
      <c r="A35" s="424" t="str">
        <f>IF(C35="","","REC-"&amp;TEXT(YEAR(B35),"0000")&amp;"-"&amp;TEXT(ROW()-3,"000"))</f>
        <v>#ERROR!</v>
      </c>
      <c r="B35" s="266"/>
      <c r="C35" s="227"/>
      <c r="D35" s="227"/>
      <c r="E35" s="227"/>
      <c r="F35" s="227"/>
      <c r="G35" s="227"/>
      <c r="H35" s="227"/>
      <c r="I35" s="227"/>
      <c r="J35" s="227"/>
      <c r="K35" s="266" t="str">
        <f>IFERROR(IF(B35="","",IF(H35="Critique (danger sante)",B35+1,B35+5)),"")</f>
        <v>#ERROR!</v>
      </c>
      <c r="L35" s="266"/>
      <c r="M35" s="227"/>
      <c r="N35" s="233"/>
    </row>
    <row r="36">
      <c r="A36" s="424" t="str">
        <f>IF(C36="","","REC-"&amp;TEXT(YEAR(B36),"0000")&amp;"-"&amp;TEXT(ROW()-3,"000"))</f>
        <v>#ERROR!</v>
      </c>
      <c r="B36" s="425"/>
      <c r="C36" s="426"/>
      <c r="D36" s="426"/>
      <c r="E36" s="426"/>
      <c r="F36" s="426"/>
      <c r="G36" s="426"/>
      <c r="H36" s="426"/>
      <c r="I36" s="426"/>
      <c r="J36" s="426"/>
      <c r="K36" s="425" t="str">
        <f>IFERROR(IF(B36="","",IF(H36="Critique (danger sante)",B36+1,B36+5)),"")</f>
        <v>#ERROR!</v>
      </c>
      <c r="L36" s="425"/>
      <c r="M36" s="426"/>
      <c r="N36" s="427"/>
    </row>
    <row r="37">
      <c r="A37" s="424" t="str">
        <f>IF(C37="","","REC-"&amp;TEXT(YEAR(B37),"0000")&amp;"-"&amp;TEXT(ROW()-3,"000"))</f>
        <v>#ERROR!</v>
      </c>
      <c r="B37" s="266"/>
      <c r="C37" s="227"/>
      <c r="D37" s="227"/>
      <c r="E37" s="227"/>
      <c r="F37" s="227"/>
      <c r="G37" s="227"/>
      <c r="H37" s="227"/>
      <c r="I37" s="227"/>
      <c r="J37" s="227"/>
      <c r="K37" s="266" t="str">
        <f>IFERROR(IF(B37="","",IF(H37="Critique (danger sante)",B37+1,B37+5)),"")</f>
        <v>#ERROR!</v>
      </c>
      <c r="L37" s="266"/>
      <c r="M37" s="227"/>
      <c r="N37" s="233"/>
    </row>
    <row r="38">
      <c r="A38" s="424" t="str">
        <f>IF(C38="","","REC-"&amp;TEXT(YEAR(B38),"0000")&amp;"-"&amp;TEXT(ROW()-3,"000"))</f>
        <v>#ERROR!</v>
      </c>
      <c r="B38" s="425"/>
      <c r="C38" s="426"/>
      <c r="D38" s="426"/>
      <c r="E38" s="426"/>
      <c r="F38" s="426"/>
      <c r="G38" s="426"/>
      <c r="H38" s="426"/>
      <c r="I38" s="426"/>
      <c r="J38" s="426"/>
      <c r="K38" s="425" t="str">
        <f>IFERROR(IF(B38="","",IF(H38="Critique (danger sante)",B38+1,B38+5)),"")</f>
        <v>#ERROR!</v>
      </c>
      <c r="L38" s="425"/>
      <c r="M38" s="426"/>
      <c r="N38" s="427"/>
    </row>
    <row r="39">
      <c r="A39" s="424" t="str">
        <f>IF(C39="","","REC-"&amp;TEXT(YEAR(B39),"0000")&amp;"-"&amp;TEXT(ROW()-3,"000"))</f>
        <v>#ERROR!</v>
      </c>
      <c r="B39" s="266"/>
      <c r="C39" s="227"/>
      <c r="D39" s="227"/>
      <c r="E39" s="227"/>
      <c r="F39" s="227"/>
      <c r="G39" s="227"/>
      <c r="H39" s="227"/>
      <c r="I39" s="227"/>
      <c r="J39" s="227"/>
      <c r="K39" s="266" t="str">
        <f>IFERROR(IF(B39="","",IF(H39="Critique (danger sante)",B39+1,B39+5)),"")</f>
        <v>#ERROR!</v>
      </c>
      <c r="L39" s="266"/>
      <c r="M39" s="227"/>
      <c r="N39" s="233"/>
    </row>
    <row r="40">
      <c r="A40" s="424" t="str">
        <f>IF(C40="","","REC-"&amp;TEXT(YEAR(B40),"0000")&amp;"-"&amp;TEXT(ROW()-3,"000"))</f>
        <v>#ERROR!</v>
      </c>
      <c r="B40" s="425"/>
      <c r="C40" s="426"/>
      <c r="D40" s="426"/>
      <c r="E40" s="426"/>
      <c r="F40" s="426"/>
      <c r="G40" s="426"/>
      <c r="H40" s="426"/>
      <c r="I40" s="426"/>
      <c r="J40" s="426"/>
      <c r="K40" s="425" t="str">
        <f>IFERROR(IF(B40="","",IF(H40="Critique (danger sante)",B40+1,B40+5)),"")</f>
        <v>#ERROR!</v>
      </c>
      <c r="L40" s="425"/>
      <c r="M40" s="426"/>
      <c r="N40" s="427"/>
    </row>
    <row r="41">
      <c r="A41" s="424" t="str">
        <f>IF(C41="","","REC-"&amp;TEXT(YEAR(B41),"0000")&amp;"-"&amp;TEXT(ROW()-3,"000"))</f>
        <v>#ERROR!</v>
      </c>
      <c r="B41" s="266"/>
      <c r="C41" s="227"/>
      <c r="D41" s="227"/>
      <c r="E41" s="227"/>
      <c r="F41" s="227"/>
      <c r="G41" s="227"/>
      <c r="H41" s="227"/>
      <c r="I41" s="227"/>
      <c r="J41" s="227"/>
      <c r="K41" s="266" t="str">
        <f>IFERROR(IF(B41="","",IF(H41="Critique (danger sante)",B41+1,B41+5)),"")</f>
        <v>#ERROR!</v>
      </c>
      <c r="L41" s="266"/>
      <c r="M41" s="227"/>
      <c r="N41" s="233"/>
    </row>
    <row r="42">
      <c r="A42" s="424" t="str">
        <f>IF(C42="","","REC-"&amp;TEXT(YEAR(B42),"0000")&amp;"-"&amp;TEXT(ROW()-3,"000"))</f>
        <v>#ERROR!</v>
      </c>
      <c r="B42" s="425"/>
      <c r="C42" s="426"/>
      <c r="D42" s="426"/>
      <c r="E42" s="426"/>
      <c r="F42" s="426"/>
      <c r="G42" s="426"/>
      <c r="H42" s="426"/>
      <c r="I42" s="426"/>
      <c r="J42" s="426"/>
      <c r="K42" s="425" t="str">
        <f>IFERROR(IF(B42="","",IF(H42="Critique (danger sante)",B42+1,B42+5)),"")</f>
        <v>#ERROR!</v>
      </c>
      <c r="L42" s="425"/>
      <c r="M42" s="426"/>
      <c r="N42" s="427"/>
    </row>
    <row r="43">
      <c r="A43" s="424" t="str">
        <f>IF(C43="","","REC-"&amp;TEXT(YEAR(B43),"0000")&amp;"-"&amp;TEXT(ROW()-3,"000"))</f>
        <v>#ERROR!</v>
      </c>
      <c r="B43" s="266"/>
      <c r="C43" s="227"/>
      <c r="D43" s="227"/>
      <c r="E43" s="227"/>
      <c r="F43" s="227"/>
      <c r="G43" s="227"/>
      <c r="H43" s="227"/>
      <c r="I43" s="227"/>
      <c r="J43" s="227"/>
      <c r="K43" s="266" t="str">
        <f>IFERROR(IF(B43="","",IF(H43="Critique (danger sante)",B43+1,B43+5)),"")</f>
        <v>#ERROR!</v>
      </c>
      <c r="L43" s="266"/>
      <c r="M43" s="227"/>
      <c r="N43" s="233"/>
    </row>
    <row r="44">
      <c r="A44" s="424" t="str">
        <f>IF(C44="","","REC-"&amp;TEXT(YEAR(B44),"0000")&amp;"-"&amp;TEXT(ROW()-3,"000"))</f>
        <v>#ERROR!</v>
      </c>
      <c r="B44" s="425"/>
      <c r="C44" s="426"/>
      <c r="D44" s="426"/>
      <c r="E44" s="426"/>
      <c r="F44" s="426"/>
      <c r="G44" s="426"/>
      <c r="H44" s="426"/>
      <c r="I44" s="426"/>
      <c r="J44" s="426"/>
      <c r="K44" s="425" t="str">
        <f>IFERROR(IF(B44="","",IF(H44="Critique (danger sante)",B44+1,B44+5)),"")</f>
        <v>#ERROR!</v>
      </c>
      <c r="L44" s="425"/>
      <c r="M44" s="426"/>
      <c r="N44" s="427"/>
    </row>
    <row r="45">
      <c r="A45" s="424" t="str">
        <f>IF(C45="","","REC-"&amp;TEXT(YEAR(B45),"0000")&amp;"-"&amp;TEXT(ROW()-3,"000"))</f>
        <v>#ERROR!</v>
      </c>
      <c r="B45" s="266"/>
      <c r="C45" s="227"/>
      <c r="D45" s="227"/>
      <c r="E45" s="227"/>
      <c r="F45" s="227"/>
      <c r="G45" s="227"/>
      <c r="H45" s="227"/>
      <c r="I45" s="227"/>
      <c r="J45" s="227"/>
      <c r="K45" s="266" t="str">
        <f>IFERROR(IF(B45="","",IF(H45="Critique (danger sante)",B45+1,B45+5)),"")</f>
        <v>#ERROR!</v>
      </c>
      <c r="L45" s="266"/>
      <c r="M45" s="227"/>
      <c r="N45" s="233"/>
    </row>
    <row r="46">
      <c r="A46" s="424" t="str">
        <f>IF(C46="","","REC-"&amp;TEXT(YEAR(B46),"0000")&amp;"-"&amp;TEXT(ROW()-3,"000"))</f>
        <v>#ERROR!</v>
      </c>
      <c r="B46" s="425"/>
      <c r="C46" s="426"/>
      <c r="D46" s="426"/>
      <c r="E46" s="426"/>
      <c r="F46" s="426"/>
      <c r="G46" s="426"/>
      <c r="H46" s="426"/>
      <c r="I46" s="426"/>
      <c r="J46" s="426"/>
      <c r="K46" s="425" t="str">
        <f>IFERROR(IF(B46="","",IF(H46="Critique (danger sante)",B46+1,B46+5)),"")</f>
        <v>#ERROR!</v>
      </c>
      <c r="L46" s="425"/>
      <c r="M46" s="426"/>
      <c r="N46" s="427"/>
    </row>
    <row r="47">
      <c r="A47" s="424" t="str">
        <f>IF(C47="","","REC-"&amp;TEXT(YEAR(B47),"0000")&amp;"-"&amp;TEXT(ROW()-3,"000"))</f>
        <v>#ERROR!</v>
      </c>
      <c r="B47" s="266"/>
      <c r="C47" s="227"/>
      <c r="D47" s="227"/>
      <c r="E47" s="227"/>
      <c r="F47" s="227"/>
      <c r="G47" s="227"/>
      <c r="H47" s="227"/>
      <c r="I47" s="227"/>
      <c r="J47" s="227"/>
      <c r="K47" s="266" t="str">
        <f>IFERROR(IF(B47="","",IF(H47="Critique (danger sante)",B47+1,B47+5)),"")</f>
        <v>#ERROR!</v>
      </c>
      <c r="L47" s="266"/>
      <c r="M47" s="227"/>
      <c r="N47" s="233"/>
    </row>
    <row r="48">
      <c r="A48" s="424" t="str">
        <f>IF(C48="","","REC-"&amp;TEXT(YEAR(B48),"0000")&amp;"-"&amp;TEXT(ROW()-3,"000"))</f>
        <v>#ERROR!</v>
      </c>
      <c r="B48" s="425"/>
      <c r="C48" s="426"/>
      <c r="D48" s="426"/>
      <c r="E48" s="426"/>
      <c r="F48" s="426"/>
      <c r="G48" s="426"/>
      <c r="H48" s="426"/>
      <c r="I48" s="426"/>
      <c r="J48" s="426"/>
      <c r="K48" s="425" t="str">
        <f>IFERROR(IF(B48="","",IF(H48="Critique (danger sante)",B48+1,B48+5)),"")</f>
        <v>#ERROR!</v>
      </c>
      <c r="L48" s="425"/>
      <c r="M48" s="426"/>
      <c r="N48" s="427"/>
    </row>
    <row r="49">
      <c r="A49" s="424" t="str">
        <f>IF(C49="","","REC-"&amp;TEXT(YEAR(B49),"0000")&amp;"-"&amp;TEXT(ROW()-3,"000"))</f>
        <v>#ERROR!</v>
      </c>
      <c r="B49" s="266"/>
      <c r="C49" s="227"/>
      <c r="D49" s="227"/>
      <c r="E49" s="227"/>
      <c r="F49" s="227"/>
      <c r="G49" s="227"/>
      <c r="H49" s="227"/>
      <c r="I49" s="227"/>
      <c r="J49" s="227"/>
      <c r="K49" s="266" t="str">
        <f>IFERROR(IF(B49="","",IF(H49="Critique (danger sante)",B49+1,B49+5)),"")</f>
        <v>#ERROR!</v>
      </c>
      <c r="L49" s="266"/>
      <c r="M49" s="227"/>
      <c r="N49" s="233"/>
    </row>
    <row r="50">
      <c r="A50" s="424" t="str">
        <f>IF(C50="","","REC-"&amp;TEXT(YEAR(B50),"0000")&amp;"-"&amp;TEXT(ROW()-3,"000"))</f>
        <v>#ERROR!</v>
      </c>
      <c r="B50" s="425"/>
      <c r="C50" s="426"/>
      <c r="D50" s="426"/>
      <c r="E50" s="426"/>
      <c r="F50" s="426"/>
      <c r="G50" s="426"/>
      <c r="H50" s="426"/>
      <c r="I50" s="426"/>
      <c r="J50" s="426"/>
      <c r="K50" s="425" t="str">
        <f>IFERROR(IF(B50="","",IF(H50="Critique (danger sante)",B50+1,B50+5)),"")</f>
        <v>#ERROR!</v>
      </c>
      <c r="L50" s="425"/>
      <c r="M50" s="426"/>
      <c r="N50" s="427"/>
    </row>
    <row r="51">
      <c r="A51" s="424" t="str">
        <f>IF(C51="","","REC-"&amp;TEXT(YEAR(B51),"0000")&amp;"-"&amp;TEXT(ROW()-3,"000"))</f>
        <v>#ERROR!</v>
      </c>
      <c r="B51" s="266"/>
      <c r="C51" s="227"/>
      <c r="D51" s="227"/>
      <c r="E51" s="227"/>
      <c r="F51" s="227"/>
      <c r="G51" s="227"/>
      <c r="H51" s="227"/>
      <c r="I51" s="227"/>
      <c r="J51" s="227"/>
      <c r="K51" s="266" t="str">
        <f>IFERROR(IF(B51="","",IF(H51="Critique (danger sante)",B51+1,B51+5)),"")</f>
        <v>#ERROR!</v>
      </c>
      <c r="L51" s="266"/>
      <c r="M51" s="227"/>
      <c r="N51" s="233"/>
    </row>
    <row r="52">
      <c r="A52" s="424" t="str">
        <f>IF(C52="","","REC-"&amp;TEXT(YEAR(B52),"0000")&amp;"-"&amp;TEXT(ROW()-3,"000"))</f>
        <v>#ERROR!</v>
      </c>
      <c r="B52" s="425"/>
      <c r="C52" s="426"/>
      <c r="D52" s="426"/>
      <c r="E52" s="426"/>
      <c r="F52" s="426"/>
      <c r="G52" s="426"/>
      <c r="H52" s="426"/>
      <c r="I52" s="426"/>
      <c r="J52" s="426"/>
      <c r="K52" s="425" t="str">
        <f>IFERROR(IF(B52="","",IF(H52="Critique (danger sante)",B52+1,B52+5)),"")</f>
        <v>#ERROR!</v>
      </c>
      <c r="L52" s="425"/>
      <c r="M52" s="426"/>
      <c r="N52" s="427"/>
    </row>
    <row r="53">
      <c r="A53" s="424" t="str">
        <f>IF(C53="","","REC-"&amp;TEXT(YEAR(B53),"0000")&amp;"-"&amp;TEXT(ROW()-3,"000"))</f>
        <v>#ERROR!</v>
      </c>
      <c r="B53" s="266"/>
      <c r="C53" s="227"/>
      <c r="D53" s="227"/>
      <c r="E53" s="227"/>
      <c r="F53" s="227"/>
      <c r="G53" s="227"/>
      <c r="H53" s="227"/>
      <c r="I53" s="227"/>
      <c r="J53" s="227"/>
      <c r="K53" s="266" t="str">
        <f>IFERROR(IF(B53="","",IF(H53="Critique (danger sante)",B53+1,B53+5)),"")</f>
        <v>#ERROR!</v>
      </c>
      <c r="L53" s="266"/>
      <c r="M53" s="227"/>
      <c r="N53" s="233"/>
    </row>
    <row r="54">
      <c r="A54" s="424" t="str">
        <f>IF(C54="","","REC-"&amp;TEXT(YEAR(B54),"0000")&amp;"-"&amp;TEXT(ROW()-3,"000"))</f>
        <v>#ERROR!</v>
      </c>
      <c r="B54" s="425"/>
      <c r="C54" s="426"/>
      <c r="D54" s="426"/>
      <c r="E54" s="426"/>
      <c r="F54" s="426"/>
      <c r="G54" s="426"/>
      <c r="H54" s="426"/>
      <c r="I54" s="426"/>
      <c r="J54" s="426"/>
      <c r="K54" s="425" t="str">
        <f>IFERROR(IF(B54="","",IF(H54="Critique (danger sante)",B54+1,B54+5)),"")</f>
        <v>#ERROR!</v>
      </c>
      <c r="L54" s="425"/>
      <c r="M54" s="426"/>
      <c r="N54" s="427"/>
    </row>
    <row r="55">
      <c r="A55" s="424" t="str">
        <f>IF(C55="","","REC-"&amp;TEXT(YEAR(B55),"0000")&amp;"-"&amp;TEXT(ROW()-3,"000"))</f>
        <v>#ERROR!</v>
      </c>
      <c r="B55" s="266"/>
      <c r="C55" s="227"/>
      <c r="D55" s="227"/>
      <c r="E55" s="227"/>
      <c r="F55" s="227"/>
      <c r="G55" s="227"/>
      <c r="H55" s="227"/>
      <c r="I55" s="227"/>
      <c r="J55" s="227"/>
      <c r="K55" s="266" t="str">
        <f>IFERROR(IF(B55="","",IF(H55="Critique (danger sante)",B55+1,B55+5)),"")</f>
        <v>#ERROR!</v>
      </c>
      <c r="L55" s="266"/>
      <c r="M55" s="227"/>
      <c r="N55" s="233"/>
    </row>
    <row r="56">
      <c r="A56" s="424" t="str">
        <f>IF(C56="","","REC-"&amp;TEXT(YEAR(B56),"0000")&amp;"-"&amp;TEXT(ROW()-3,"000"))</f>
        <v>#ERROR!</v>
      </c>
      <c r="B56" s="425"/>
      <c r="C56" s="426"/>
      <c r="D56" s="426"/>
      <c r="E56" s="426"/>
      <c r="F56" s="426"/>
      <c r="G56" s="426"/>
      <c r="H56" s="426"/>
      <c r="I56" s="426"/>
      <c r="J56" s="426"/>
      <c r="K56" s="425" t="str">
        <f>IFERROR(IF(B56="","",IF(H56="Critique (danger sante)",B56+1,B56+5)),"")</f>
        <v>#ERROR!</v>
      </c>
      <c r="L56" s="425"/>
      <c r="M56" s="426"/>
      <c r="N56" s="427"/>
    </row>
    <row r="57">
      <c r="A57" s="424" t="str">
        <f>IF(C57="","","REC-"&amp;TEXT(YEAR(B57),"0000")&amp;"-"&amp;TEXT(ROW()-3,"000"))</f>
        <v>#ERROR!</v>
      </c>
      <c r="B57" s="266"/>
      <c r="C57" s="227"/>
      <c r="D57" s="227"/>
      <c r="E57" s="227"/>
      <c r="F57" s="227"/>
      <c r="G57" s="227"/>
      <c r="H57" s="227"/>
      <c r="I57" s="227"/>
      <c r="J57" s="227"/>
      <c r="K57" s="266" t="str">
        <f>IFERROR(IF(B57="","",IF(H57="Critique (danger sante)",B57+1,B57+5)),"")</f>
        <v>#ERROR!</v>
      </c>
      <c r="L57" s="266"/>
      <c r="M57" s="227"/>
      <c r="N57" s="233"/>
    </row>
    <row r="58">
      <c r="A58" s="424" t="str">
        <f>IF(C58="","","REC-"&amp;TEXT(YEAR(B58),"0000")&amp;"-"&amp;TEXT(ROW()-3,"000"))</f>
        <v>#ERROR!</v>
      </c>
      <c r="B58" s="425"/>
      <c r="C58" s="426"/>
      <c r="D58" s="426"/>
      <c r="E58" s="426"/>
      <c r="F58" s="426"/>
      <c r="G58" s="426"/>
      <c r="H58" s="426"/>
      <c r="I58" s="426"/>
      <c r="J58" s="426"/>
      <c r="K58" s="425" t="str">
        <f>IFERROR(IF(B58="","",IF(H58="Critique (danger sante)",B58+1,B58+5)),"")</f>
        <v>#ERROR!</v>
      </c>
      <c r="L58" s="425"/>
      <c r="M58" s="426"/>
      <c r="N58" s="427"/>
    </row>
    <row r="59">
      <c r="A59" s="424" t="str">
        <f>IF(C59="","","REC-"&amp;TEXT(YEAR(B59),"0000")&amp;"-"&amp;TEXT(ROW()-3,"000"))</f>
        <v>#ERROR!</v>
      </c>
      <c r="B59" s="266"/>
      <c r="C59" s="227"/>
      <c r="D59" s="227"/>
      <c r="E59" s="227"/>
      <c r="F59" s="227"/>
      <c r="G59" s="227"/>
      <c r="H59" s="227"/>
      <c r="I59" s="227"/>
      <c r="J59" s="227"/>
      <c r="K59" s="266" t="str">
        <f>IFERROR(IF(B59="","",IF(H59="Critique (danger sante)",B59+1,B59+5)),"")</f>
        <v>#ERROR!</v>
      </c>
      <c r="L59" s="266"/>
      <c r="M59" s="227"/>
      <c r="N59" s="233"/>
    </row>
    <row r="60">
      <c r="A60" s="424" t="str">
        <f>IF(C60="","","REC-"&amp;TEXT(YEAR(B60),"0000")&amp;"-"&amp;TEXT(ROW()-3,"000"))</f>
        <v>#ERROR!</v>
      </c>
      <c r="B60" s="425"/>
      <c r="C60" s="426"/>
      <c r="D60" s="426"/>
      <c r="E60" s="426"/>
      <c r="F60" s="426"/>
      <c r="G60" s="426"/>
      <c r="H60" s="426"/>
      <c r="I60" s="426"/>
      <c r="J60" s="426"/>
      <c r="K60" s="425" t="str">
        <f>IFERROR(IF(B60="","",IF(H60="Critique (danger sante)",B60+1,B60+5)),"")</f>
        <v>#ERROR!</v>
      </c>
      <c r="L60" s="425"/>
      <c r="M60" s="426"/>
      <c r="N60" s="427"/>
    </row>
    <row r="61">
      <c r="A61" s="424" t="str">
        <f>IF(C61="","","REC-"&amp;TEXT(YEAR(B61),"0000")&amp;"-"&amp;TEXT(ROW()-3,"000"))</f>
        <v>#ERROR!</v>
      </c>
      <c r="B61" s="266"/>
      <c r="C61" s="227"/>
      <c r="D61" s="227"/>
      <c r="E61" s="227"/>
      <c r="F61" s="227"/>
      <c r="G61" s="227"/>
      <c r="H61" s="227"/>
      <c r="I61" s="227"/>
      <c r="J61" s="227"/>
      <c r="K61" s="266" t="str">
        <f>IFERROR(IF(B61="","",IF(H61="Critique (danger sante)",B61+1,B61+5)),"")</f>
        <v>#ERROR!</v>
      </c>
      <c r="L61" s="266"/>
      <c r="M61" s="227"/>
      <c r="N61" s="233"/>
    </row>
    <row r="62">
      <c r="A62" s="424" t="str">
        <f>IF(C62="","","REC-"&amp;TEXT(YEAR(B62),"0000")&amp;"-"&amp;TEXT(ROW()-3,"000"))</f>
        <v>#ERROR!</v>
      </c>
      <c r="B62" s="425"/>
      <c r="C62" s="426"/>
      <c r="D62" s="426"/>
      <c r="E62" s="426"/>
      <c r="F62" s="426"/>
      <c r="G62" s="426"/>
      <c r="H62" s="426"/>
      <c r="I62" s="426"/>
      <c r="J62" s="426"/>
      <c r="K62" s="425" t="str">
        <f>IFERROR(IF(B62="","",IF(H62="Critique (danger sante)",B62+1,B62+5)),"")</f>
        <v>#ERROR!</v>
      </c>
      <c r="L62" s="425"/>
      <c r="M62" s="426"/>
      <c r="N62" s="427"/>
    </row>
    <row r="63">
      <c r="A63" s="424" t="str">
        <f>IF(C63="","","REC-"&amp;TEXT(YEAR(B63),"0000")&amp;"-"&amp;TEXT(ROW()-3,"000"))</f>
        <v>#ERROR!</v>
      </c>
      <c r="B63" s="266"/>
      <c r="C63" s="227"/>
      <c r="D63" s="227"/>
      <c r="E63" s="227"/>
      <c r="F63" s="227"/>
      <c r="G63" s="227"/>
      <c r="H63" s="227"/>
      <c r="I63" s="227"/>
      <c r="J63" s="227"/>
      <c r="K63" s="266" t="str">
        <f>IFERROR(IF(B63="","",IF(H63="Critique (danger sante)",B63+1,B63+5)),"")</f>
        <v>#ERROR!</v>
      </c>
      <c r="L63" s="266"/>
      <c r="M63" s="227"/>
      <c r="N63" s="233"/>
    </row>
    <row r="64">
      <c r="A64" s="424" t="str">
        <f>IF(C64="","","REC-"&amp;TEXT(YEAR(B64),"0000")&amp;"-"&amp;TEXT(ROW()-3,"000"))</f>
        <v>#ERROR!</v>
      </c>
      <c r="B64" s="425"/>
      <c r="C64" s="426"/>
      <c r="D64" s="426"/>
      <c r="E64" s="426"/>
      <c r="F64" s="426"/>
      <c r="G64" s="426"/>
      <c r="H64" s="426"/>
      <c r="I64" s="426"/>
      <c r="J64" s="426"/>
      <c r="K64" s="425" t="str">
        <f>IFERROR(IF(B64="","",IF(H64="Critique (danger sante)",B64+1,B64+5)),"")</f>
        <v>#ERROR!</v>
      </c>
      <c r="L64" s="425"/>
      <c r="M64" s="426"/>
      <c r="N64" s="427"/>
    </row>
    <row r="65">
      <c r="A65" s="424" t="str">
        <f>IF(C65="","","REC-"&amp;TEXT(YEAR(B65),"0000")&amp;"-"&amp;TEXT(ROW()-3,"000"))</f>
        <v>#ERROR!</v>
      </c>
      <c r="B65" s="266"/>
      <c r="C65" s="227"/>
      <c r="D65" s="227"/>
      <c r="E65" s="227"/>
      <c r="F65" s="227"/>
      <c r="G65" s="227"/>
      <c r="H65" s="227"/>
      <c r="I65" s="227"/>
      <c r="J65" s="227"/>
      <c r="K65" s="266" t="str">
        <f>IFERROR(IF(B65="","",IF(H65="Critique (danger sante)",B65+1,B65+5)),"")</f>
        <v>#ERROR!</v>
      </c>
      <c r="L65" s="266"/>
      <c r="M65" s="227"/>
      <c r="N65" s="233"/>
    </row>
    <row r="66">
      <c r="A66" s="424" t="str">
        <f>IF(C66="","","REC-"&amp;TEXT(YEAR(B66),"0000")&amp;"-"&amp;TEXT(ROW()-3,"000"))</f>
        <v>#ERROR!</v>
      </c>
      <c r="B66" s="425"/>
      <c r="C66" s="426"/>
      <c r="D66" s="426"/>
      <c r="E66" s="426"/>
      <c r="F66" s="426"/>
      <c r="G66" s="426"/>
      <c r="H66" s="426"/>
      <c r="I66" s="426"/>
      <c r="J66" s="426"/>
      <c r="K66" s="425" t="str">
        <f>IFERROR(IF(B66="","",IF(H66="Critique (danger sante)",B66+1,B66+5)),"")</f>
        <v>#ERROR!</v>
      </c>
      <c r="L66" s="425"/>
      <c r="M66" s="426"/>
      <c r="N66" s="427"/>
    </row>
    <row r="67">
      <c r="A67" s="424" t="str">
        <f>IF(C67="","","REC-"&amp;TEXT(YEAR(B67),"0000")&amp;"-"&amp;TEXT(ROW()-3,"000"))</f>
        <v>#ERROR!</v>
      </c>
      <c r="B67" s="266"/>
      <c r="C67" s="227"/>
      <c r="D67" s="227"/>
      <c r="E67" s="227"/>
      <c r="F67" s="227"/>
      <c r="G67" s="227"/>
      <c r="H67" s="227"/>
      <c r="I67" s="227"/>
      <c r="J67" s="227"/>
      <c r="K67" s="266" t="str">
        <f>IFERROR(IF(B67="","",IF(H67="Critique (danger sante)",B67+1,B67+5)),"")</f>
        <v>#ERROR!</v>
      </c>
      <c r="L67" s="266"/>
      <c r="M67" s="227"/>
      <c r="N67" s="233"/>
    </row>
    <row r="68">
      <c r="A68" s="424" t="str">
        <f>IF(C68="","","REC-"&amp;TEXT(YEAR(B68),"0000")&amp;"-"&amp;TEXT(ROW()-3,"000"))</f>
        <v>#ERROR!</v>
      </c>
      <c r="B68" s="425"/>
      <c r="C68" s="426"/>
      <c r="D68" s="426"/>
      <c r="E68" s="426"/>
      <c r="F68" s="426"/>
      <c r="G68" s="426"/>
      <c r="H68" s="426"/>
      <c r="I68" s="426"/>
      <c r="J68" s="426"/>
      <c r="K68" s="425" t="str">
        <f>IFERROR(IF(B68="","",IF(H68="Critique (danger sante)",B68+1,B68+5)),"")</f>
        <v>#ERROR!</v>
      </c>
      <c r="L68" s="425"/>
      <c r="M68" s="426"/>
      <c r="N68" s="427"/>
    </row>
    <row r="69">
      <c r="A69" s="424" t="str">
        <f>IF(C69="","","REC-"&amp;TEXT(YEAR(B69),"0000")&amp;"-"&amp;TEXT(ROW()-3,"000"))</f>
        <v>#ERROR!</v>
      </c>
      <c r="B69" s="266"/>
      <c r="C69" s="227"/>
      <c r="D69" s="227"/>
      <c r="E69" s="227"/>
      <c r="F69" s="227"/>
      <c r="G69" s="227"/>
      <c r="H69" s="227"/>
      <c r="I69" s="227"/>
      <c r="J69" s="227"/>
      <c r="K69" s="266" t="str">
        <f>IFERROR(IF(B69="","",IF(H69="Critique (danger sante)",B69+1,B69+5)),"")</f>
        <v>#ERROR!</v>
      </c>
      <c r="L69" s="266"/>
      <c r="M69" s="227"/>
      <c r="N69" s="233"/>
    </row>
    <row r="70">
      <c r="A70" s="424" t="str">
        <f>IF(C70="","","REC-"&amp;TEXT(YEAR(B70),"0000")&amp;"-"&amp;TEXT(ROW()-3,"000"))</f>
        <v>#ERROR!</v>
      </c>
      <c r="B70" s="425"/>
      <c r="C70" s="426"/>
      <c r="D70" s="426"/>
      <c r="E70" s="426"/>
      <c r="F70" s="426"/>
      <c r="G70" s="426"/>
      <c r="H70" s="426"/>
      <c r="I70" s="426"/>
      <c r="J70" s="426"/>
      <c r="K70" s="425" t="str">
        <f>IFERROR(IF(B70="","",IF(H70="Critique (danger sante)",B70+1,B70+5)),"")</f>
        <v>#ERROR!</v>
      </c>
      <c r="L70" s="425"/>
      <c r="M70" s="426"/>
      <c r="N70" s="427"/>
    </row>
    <row r="71">
      <c r="A71" s="424" t="str">
        <f>IF(C71="","","REC-"&amp;TEXT(YEAR(B71),"0000")&amp;"-"&amp;TEXT(ROW()-3,"000"))</f>
        <v>#ERROR!</v>
      </c>
      <c r="B71" s="266"/>
      <c r="C71" s="227"/>
      <c r="D71" s="227"/>
      <c r="E71" s="227"/>
      <c r="F71" s="227"/>
      <c r="G71" s="227"/>
      <c r="H71" s="227"/>
      <c r="I71" s="227"/>
      <c r="J71" s="227"/>
      <c r="K71" s="266" t="str">
        <f>IFERROR(IF(B71="","",IF(H71="Critique (danger sante)",B71+1,B71+5)),"")</f>
        <v>#ERROR!</v>
      </c>
      <c r="L71" s="266"/>
      <c r="M71" s="227"/>
      <c r="N71" s="233"/>
    </row>
    <row r="72">
      <c r="A72" s="424" t="str">
        <f>IF(C72="","","REC-"&amp;TEXT(YEAR(B72),"0000")&amp;"-"&amp;TEXT(ROW()-3,"000"))</f>
        <v>#ERROR!</v>
      </c>
      <c r="B72" s="425"/>
      <c r="C72" s="426"/>
      <c r="D72" s="426"/>
      <c r="E72" s="426"/>
      <c r="F72" s="426"/>
      <c r="G72" s="426"/>
      <c r="H72" s="426"/>
      <c r="I72" s="426"/>
      <c r="J72" s="426"/>
      <c r="K72" s="425" t="str">
        <f>IFERROR(IF(B72="","",IF(H72="Critique (danger sante)",B72+1,B72+5)),"")</f>
        <v>#ERROR!</v>
      </c>
      <c r="L72" s="425"/>
      <c r="M72" s="426"/>
      <c r="N72" s="427"/>
    </row>
    <row r="73">
      <c r="A73" s="424" t="str">
        <f>IF(C73="","","REC-"&amp;TEXT(YEAR(B73),"0000")&amp;"-"&amp;TEXT(ROW()-3,"000"))</f>
        <v>#ERROR!</v>
      </c>
      <c r="B73" s="266"/>
      <c r="C73" s="227"/>
      <c r="D73" s="227"/>
      <c r="E73" s="227"/>
      <c r="F73" s="227"/>
      <c r="G73" s="227"/>
      <c r="H73" s="227"/>
      <c r="I73" s="227"/>
      <c r="J73" s="227"/>
      <c r="K73" s="266" t="str">
        <f>IFERROR(IF(B73="","",IF(H73="Critique (danger sante)",B73+1,B73+5)),"")</f>
        <v>#ERROR!</v>
      </c>
      <c r="L73" s="266"/>
      <c r="M73" s="227"/>
      <c r="N73" s="233"/>
    </row>
    <row r="74">
      <c r="A74" s="424" t="str">
        <f>IF(C74="","","REC-"&amp;TEXT(YEAR(B74),"0000")&amp;"-"&amp;TEXT(ROW()-3,"000"))</f>
        <v>#ERROR!</v>
      </c>
      <c r="B74" s="425"/>
      <c r="C74" s="426"/>
      <c r="D74" s="426"/>
      <c r="E74" s="426"/>
      <c r="F74" s="426"/>
      <c r="G74" s="426"/>
      <c r="H74" s="426"/>
      <c r="I74" s="426"/>
      <c r="J74" s="426"/>
      <c r="K74" s="425" t="str">
        <f>IFERROR(IF(B74="","",IF(H74="Critique (danger sante)",B74+1,B74+5)),"")</f>
        <v>#ERROR!</v>
      </c>
      <c r="L74" s="425"/>
      <c r="M74" s="426"/>
      <c r="N74" s="427"/>
    </row>
    <row r="75">
      <c r="A75" s="424" t="str">
        <f>IF(C75="","","REC-"&amp;TEXT(YEAR(B75),"0000")&amp;"-"&amp;TEXT(ROW()-3,"000"))</f>
        <v>#ERROR!</v>
      </c>
      <c r="B75" s="266"/>
      <c r="C75" s="227"/>
      <c r="D75" s="227"/>
      <c r="E75" s="227"/>
      <c r="F75" s="227"/>
      <c r="G75" s="227"/>
      <c r="H75" s="227"/>
      <c r="I75" s="227"/>
      <c r="J75" s="227"/>
      <c r="K75" s="266" t="str">
        <f>IFERROR(IF(B75="","",IF(H75="Critique (danger sante)",B75+1,B75+5)),"")</f>
        <v>#ERROR!</v>
      </c>
      <c r="L75" s="266"/>
      <c r="M75" s="227"/>
      <c r="N75" s="233"/>
    </row>
    <row r="76">
      <c r="A76" s="424" t="str">
        <f>IF(C76="","","REC-"&amp;TEXT(YEAR(B76),"0000")&amp;"-"&amp;TEXT(ROW()-3,"000"))</f>
        <v>#ERROR!</v>
      </c>
      <c r="B76" s="425"/>
      <c r="C76" s="426"/>
      <c r="D76" s="426"/>
      <c r="E76" s="426"/>
      <c r="F76" s="426"/>
      <c r="G76" s="426"/>
      <c r="H76" s="426"/>
      <c r="I76" s="426"/>
      <c r="J76" s="426"/>
      <c r="K76" s="425" t="str">
        <f>IFERROR(IF(B76="","",IF(H76="Critique (danger sante)",B76+1,B76+5)),"")</f>
        <v>#ERROR!</v>
      </c>
      <c r="L76" s="425"/>
      <c r="M76" s="426"/>
      <c r="N76" s="427"/>
    </row>
    <row r="77">
      <c r="A77" s="424" t="str">
        <f>IF(C77="","","REC-"&amp;TEXT(YEAR(B77),"0000")&amp;"-"&amp;TEXT(ROW()-3,"000"))</f>
        <v>#ERROR!</v>
      </c>
      <c r="B77" s="266"/>
      <c r="C77" s="227"/>
      <c r="D77" s="227"/>
      <c r="E77" s="227"/>
      <c r="F77" s="227"/>
      <c r="G77" s="227"/>
      <c r="H77" s="227"/>
      <c r="I77" s="227"/>
      <c r="J77" s="227"/>
      <c r="K77" s="266" t="str">
        <f>IFERROR(IF(B77="","",IF(H77="Critique (danger sante)",B77+1,B77+5)),"")</f>
        <v>#ERROR!</v>
      </c>
      <c r="L77" s="266"/>
      <c r="M77" s="227"/>
      <c r="N77" s="233"/>
    </row>
    <row r="78">
      <c r="A78" s="424" t="str">
        <f>IF(C78="","","REC-"&amp;TEXT(YEAR(B78),"0000")&amp;"-"&amp;TEXT(ROW()-3,"000"))</f>
        <v>#ERROR!</v>
      </c>
      <c r="B78" s="425"/>
      <c r="C78" s="426"/>
      <c r="D78" s="426"/>
      <c r="E78" s="426"/>
      <c r="F78" s="426"/>
      <c r="G78" s="426"/>
      <c r="H78" s="426"/>
      <c r="I78" s="426"/>
      <c r="J78" s="426"/>
      <c r="K78" s="425" t="str">
        <f>IFERROR(IF(B78="","",IF(H78="Critique (danger sante)",B78+1,B78+5)),"")</f>
        <v>#ERROR!</v>
      </c>
      <c r="L78" s="425"/>
      <c r="M78" s="426"/>
      <c r="N78" s="427"/>
    </row>
    <row r="79">
      <c r="A79" s="424" t="str">
        <f>IF(C79="","","REC-"&amp;TEXT(YEAR(B79),"0000")&amp;"-"&amp;TEXT(ROW()-3,"000"))</f>
        <v>#ERROR!</v>
      </c>
      <c r="B79" s="266"/>
      <c r="C79" s="227"/>
      <c r="D79" s="227"/>
      <c r="E79" s="227"/>
      <c r="F79" s="227"/>
      <c r="G79" s="227"/>
      <c r="H79" s="227"/>
      <c r="I79" s="227"/>
      <c r="J79" s="227"/>
      <c r="K79" s="266" t="str">
        <f>IFERROR(IF(B79="","",IF(H79="Critique (danger sante)",B79+1,B79+5)),"")</f>
        <v>#ERROR!</v>
      </c>
      <c r="L79" s="266"/>
      <c r="M79" s="227"/>
      <c r="N79" s="233"/>
    </row>
    <row r="80">
      <c r="A80" s="424" t="str">
        <f>IF(C80="","","REC-"&amp;TEXT(YEAR(B80),"0000")&amp;"-"&amp;TEXT(ROW()-3,"000"))</f>
        <v>#ERROR!</v>
      </c>
      <c r="B80" s="425"/>
      <c r="C80" s="426"/>
      <c r="D80" s="426"/>
      <c r="E80" s="426"/>
      <c r="F80" s="426"/>
      <c r="G80" s="426"/>
      <c r="H80" s="426"/>
      <c r="I80" s="426"/>
      <c r="J80" s="426"/>
      <c r="K80" s="425" t="str">
        <f>IFERROR(IF(B80="","",IF(H80="Critique (danger sante)",B80+1,B80+5)),"")</f>
        <v>#ERROR!</v>
      </c>
      <c r="L80" s="425"/>
      <c r="M80" s="426"/>
      <c r="N80" s="427"/>
    </row>
    <row r="81">
      <c r="A81" s="424" t="str">
        <f>IF(C81="","","REC-"&amp;TEXT(YEAR(B81),"0000")&amp;"-"&amp;TEXT(ROW()-3,"000"))</f>
        <v>#ERROR!</v>
      </c>
      <c r="B81" s="266"/>
      <c r="C81" s="227"/>
      <c r="D81" s="227"/>
      <c r="E81" s="227"/>
      <c r="F81" s="227"/>
      <c r="G81" s="227"/>
      <c r="H81" s="227"/>
      <c r="I81" s="227"/>
      <c r="J81" s="227"/>
      <c r="K81" s="266" t="str">
        <f>IFERROR(IF(B81="","",IF(H81="Critique (danger sante)",B81+1,B81+5)),"")</f>
        <v>#ERROR!</v>
      </c>
      <c r="L81" s="266"/>
      <c r="M81" s="227"/>
      <c r="N81" s="233"/>
    </row>
    <row r="82">
      <c r="A82" s="424" t="str">
        <f>IF(C82="","","REC-"&amp;TEXT(YEAR(B82),"0000")&amp;"-"&amp;TEXT(ROW()-3,"000"))</f>
        <v>#ERROR!</v>
      </c>
      <c r="B82" s="425"/>
      <c r="C82" s="426"/>
      <c r="D82" s="426"/>
      <c r="E82" s="426"/>
      <c r="F82" s="426"/>
      <c r="G82" s="426"/>
      <c r="H82" s="426"/>
      <c r="I82" s="426"/>
      <c r="J82" s="426"/>
      <c r="K82" s="425" t="str">
        <f>IFERROR(IF(B82="","",IF(H82="Critique (danger sante)",B82+1,B82+5)),"")</f>
        <v>#ERROR!</v>
      </c>
      <c r="L82" s="425"/>
      <c r="M82" s="426"/>
      <c r="N82" s="427"/>
    </row>
    <row r="83">
      <c r="A83" s="424" t="str">
        <f>IF(C83="","","REC-"&amp;TEXT(YEAR(B83),"0000")&amp;"-"&amp;TEXT(ROW()-3,"000"))</f>
        <v>#ERROR!</v>
      </c>
      <c r="B83" s="266"/>
      <c r="C83" s="227"/>
      <c r="D83" s="227"/>
      <c r="E83" s="227"/>
      <c r="F83" s="227"/>
      <c r="G83" s="227"/>
      <c r="H83" s="227"/>
      <c r="I83" s="227"/>
      <c r="J83" s="227"/>
      <c r="K83" s="266" t="str">
        <f>IFERROR(IF(B83="","",IF(H83="Critique (danger sante)",B83+1,B83+5)),"")</f>
        <v>#ERROR!</v>
      </c>
      <c r="L83" s="266"/>
      <c r="M83" s="227"/>
      <c r="N83" s="233"/>
    </row>
    <row r="84">
      <c r="A84" s="424" t="str">
        <f>IF(C84="","","REC-"&amp;TEXT(YEAR(B84),"0000")&amp;"-"&amp;TEXT(ROW()-3,"000"))</f>
        <v>#ERROR!</v>
      </c>
      <c r="B84" s="425"/>
      <c r="C84" s="426"/>
      <c r="D84" s="426"/>
      <c r="E84" s="426"/>
      <c r="F84" s="426"/>
      <c r="G84" s="426"/>
      <c r="H84" s="426"/>
      <c r="I84" s="426"/>
      <c r="J84" s="426"/>
      <c r="K84" s="425" t="str">
        <f>IFERROR(IF(B84="","",IF(H84="Critique (danger sante)",B84+1,B84+5)),"")</f>
        <v>#ERROR!</v>
      </c>
      <c r="L84" s="425"/>
      <c r="M84" s="426"/>
      <c r="N84" s="427"/>
    </row>
    <row r="85">
      <c r="A85" s="424" t="str">
        <f>IF(C85="","","REC-"&amp;TEXT(YEAR(B85),"0000")&amp;"-"&amp;TEXT(ROW()-3,"000"))</f>
        <v>#ERROR!</v>
      </c>
      <c r="B85" s="266"/>
      <c r="C85" s="227"/>
      <c r="D85" s="227"/>
      <c r="E85" s="227"/>
      <c r="F85" s="227"/>
      <c r="G85" s="227"/>
      <c r="H85" s="227"/>
      <c r="I85" s="227"/>
      <c r="J85" s="227"/>
      <c r="K85" s="266" t="str">
        <f>IFERROR(IF(B85="","",IF(H85="Critique (danger sante)",B85+1,B85+5)),"")</f>
        <v>#ERROR!</v>
      </c>
      <c r="L85" s="266"/>
      <c r="M85" s="227"/>
      <c r="N85" s="233"/>
    </row>
    <row r="86">
      <c r="A86" s="424" t="str">
        <f>IF(C86="","","REC-"&amp;TEXT(YEAR(B86),"0000")&amp;"-"&amp;TEXT(ROW()-3,"000"))</f>
        <v>#ERROR!</v>
      </c>
      <c r="B86" s="425"/>
      <c r="C86" s="426"/>
      <c r="D86" s="426"/>
      <c r="E86" s="426"/>
      <c r="F86" s="426"/>
      <c r="G86" s="426"/>
      <c r="H86" s="426"/>
      <c r="I86" s="426"/>
      <c r="J86" s="426"/>
      <c r="K86" s="425" t="str">
        <f>IFERROR(IF(B86="","",IF(H86="Critique (danger sante)",B86+1,B86+5)),"")</f>
        <v>#ERROR!</v>
      </c>
      <c r="L86" s="425"/>
      <c r="M86" s="426"/>
      <c r="N86" s="427"/>
    </row>
    <row r="87">
      <c r="A87" s="424" t="str">
        <f>IF(C87="","","REC-"&amp;TEXT(YEAR(B87),"0000")&amp;"-"&amp;TEXT(ROW()-3,"000"))</f>
        <v>#ERROR!</v>
      </c>
      <c r="B87" s="266"/>
      <c r="C87" s="227"/>
      <c r="D87" s="227"/>
      <c r="E87" s="227"/>
      <c r="F87" s="227"/>
      <c r="G87" s="227"/>
      <c r="H87" s="227"/>
      <c r="I87" s="227"/>
      <c r="J87" s="227"/>
      <c r="K87" s="266" t="str">
        <f>IFERROR(IF(B87="","",IF(H87="Critique (danger sante)",B87+1,B87+5)),"")</f>
        <v>#ERROR!</v>
      </c>
      <c r="L87" s="266"/>
      <c r="M87" s="227"/>
      <c r="N87" s="233"/>
    </row>
    <row r="88">
      <c r="A88" s="424" t="str">
        <f>IF(C88="","","REC-"&amp;TEXT(YEAR(B88),"0000")&amp;"-"&amp;TEXT(ROW()-3,"000"))</f>
        <v>#ERROR!</v>
      </c>
      <c r="B88" s="425"/>
      <c r="C88" s="426"/>
      <c r="D88" s="426"/>
      <c r="E88" s="426"/>
      <c r="F88" s="426"/>
      <c r="G88" s="426"/>
      <c r="H88" s="426"/>
      <c r="I88" s="426"/>
      <c r="J88" s="426"/>
      <c r="K88" s="425" t="str">
        <f>IFERROR(IF(B88="","",IF(H88="Critique (danger sante)",B88+1,B88+5)),"")</f>
        <v>#ERROR!</v>
      </c>
      <c r="L88" s="425"/>
      <c r="M88" s="426"/>
      <c r="N88" s="427"/>
    </row>
    <row r="89">
      <c r="A89" s="424" t="str">
        <f>IF(C89="","","REC-"&amp;TEXT(YEAR(B89),"0000")&amp;"-"&amp;TEXT(ROW()-3,"000"))</f>
        <v>#ERROR!</v>
      </c>
      <c r="B89" s="266"/>
      <c r="C89" s="227"/>
      <c r="D89" s="227"/>
      <c r="E89" s="227"/>
      <c r="F89" s="227"/>
      <c r="G89" s="227"/>
      <c r="H89" s="227"/>
      <c r="I89" s="227"/>
      <c r="J89" s="227"/>
      <c r="K89" s="266" t="str">
        <f>IFERROR(IF(B89="","",IF(H89="Critique (danger sante)",B89+1,B89+5)),"")</f>
        <v>#ERROR!</v>
      </c>
      <c r="L89" s="266"/>
      <c r="M89" s="227"/>
      <c r="N89" s="233"/>
    </row>
    <row r="90">
      <c r="A90" s="424" t="str">
        <f>IF(C90="","","REC-"&amp;TEXT(YEAR(B90),"0000")&amp;"-"&amp;TEXT(ROW()-3,"000"))</f>
        <v>#ERROR!</v>
      </c>
      <c r="B90" s="425"/>
      <c r="C90" s="426"/>
      <c r="D90" s="426"/>
      <c r="E90" s="426"/>
      <c r="F90" s="426"/>
      <c r="G90" s="426"/>
      <c r="H90" s="426"/>
      <c r="I90" s="426"/>
      <c r="J90" s="426"/>
      <c r="K90" s="425" t="str">
        <f>IFERROR(IF(B90="","",IF(H90="Critique (danger sante)",B90+1,B90+5)),"")</f>
        <v>#ERROR!</v>
      </c>
      <c r="L90" s="425"/>
      <c r="M90" s="426"/>
      <c r="N90" s="427"/>
    </row>
    <row r="91">
      <c r="A91" s="424" t="str">
        <f>IF(C91="","","REC-"&amp;TEXT(YEAR(B91),"0000")&amp;"-"&amp;TEXT(ROW()-3,"000"))</f>
        <v>#ERROR!</v>
      </c>
      <c r="B91" s="266"/>
      <c r="C91" s="227"/>
      <c r="D91" s="227"/>
      <c r="E91" s="227"/>
      <c r="F91" s="227"/>
      <c r="G91" s="227"/>
      <c r="H91" s="227"/>
      <c r="I91" s="227"/>
      <c r="J91" s="227"/>
      <c r="K91" s="266" t="str">
        <f>IFERROR(IF(B91="","",IF(H91="Critique (danger sante)",B91+1,B91+5)),"")</f>
        <v>#ERROR!</v>
      </c>
      <c r="L91" s="266"/>
      <c r="M91" s="227"/>
      <c r="N91" s="233"/>
    </row>
    <row r="92">
      <c r="A92" s="424" t="str">
        <f>IF(C92="","","REC-"&amp;TEXT(YEAR(B92),"0000")&amp;"-"&amp;TEXT(ROW()-3,"000"))</f>
        <v>#ERROR!</v>
      </c>
      <c r="B92" s="425"/>
      <c r="C92" s="426"/>
      <c r="D92" s="426"/>
      <c r="E92" s="426"/>
      <c r="F92" s="426"/>
      <c r="G92" s="426"/>
      <c r="H92" s="426"/>
      <c r="I92" s="426"/>
      <c r="J92" s="426"/>
      <c r="K92" s="425" t="str">
        <f>IFERROR(IF(B92="","",IF(H92="Critique (danger sante)",B92+1,B92+5)),"")</f>
        <v>#ERROR!</v>
      </c>
      <c r="L92" s="425"/>
      <c r="M92" s="426"/>
      <c r="N92" s="427"/>
    </row>
    <row r="93">
      <c r="A93" s="424" t="str">
        <f>IF(C93="","","REC-"&amp;TEXT(YEAR(B93),"0000")&amp;"-"&amp;TEXT(ROW()-3,"000"))</f>
        <v>#ERROR!</v>
      </c>
      <c r="B93" s="266"/>
      <c r="C93" s="227"/>
      <c r="D93" s="227"/>
      <c r="E93" s="227"/>
      <c r="F93" s="227"/>
      <c r="G93" s="227"/>
      <c r="H93" s="227"/>
      <c r="I93" s="227"/>
      <c r="J93" s="227"/>
      <c r="K93" s="266" t="str">
        <f>IFERROR(IF(B93="","",IF(H93="Critique (danger sante)",B93+1,B93+5)),"")</f>
        <v>#ERROR!</v>
      </c>
      <c r="L93" s="266"/>
      <c r="M93" s="227"/>
      <c r="N93" s="233"/>
    </row>
    <row r="94">
      <c r="A94" s="424" t="str">
        <f>IF(C94="","","REC-"&amp;TEXT(YEAR(B94),"0000")&amp;"-"&amp;TEXT(ROW()-3,"000"))</f>
        <v>#ERROR!</v>
      </c>
      <c r="B94" s="425"/>
      <c r="C94" s="426"/>
      <c r="D94" s="426"/>
      <c r="E94" s="426"/>
      <c r="F94" s="426"/>
      <c r="G94" s="426"/>
      <c r="H94" s="426"/>
      <c r="I94" s="426"/>
      <c r="J94" s="426"/>
      <c r="K94" s="425" t="str">
        <f>IFERROR(IF(B94="","",IF(H94="Critique (danger sante)",B94+1,B94+5)),"")</f>
        <v>#ERROR!</v>
      </c>
      <c r="L94" s="425"/>
      <c r="M94" s="426"/>
      <c r="N94" s="427"/>
    </row>
    <row r="95">
      <c r="A95" s="424" t="str">
        <f>IF(C95="","","REC-"&amp;TEXT(YEAR(B95),"0000")&amp;"-"&amp;TEXT(ROW()-3,"000"))</f>
        <v>#ERROR!</v>
      </c>
      <c r="B95" s="266"/>
      <c r="C95" s="227"/>
      <c r="D95" s="227"/>
      <c r="E95" s="227"/>
      <c r="F95" s="227"/>
      <c r="G95" s="227"/>
      <c r="H95" s="227"/>
      <c r="I95" s="227"/>
      <c r="J95" s="227"/>
      <c r="K95" s="266" t="str">
        <f>IFERROR(IF(B95="","",IF(H95="Critique (danger sante)",B95+1,B95+5)),"")</f>
        <v>#ERROR!</v>
      </c>
      <c r="L95" s="266"/>
      <c r="M95" s="227"/>
      <c r="N95" s="233"/>
    </row>
    <row r="96">
      <c r="A96" s="424" t="str">
        <f>IF(C96="","","REC-"&amp;TEXT(YEAR(B96),"0000")&amp;"-"&amp;TEXT(ROW()-3,"000"))</f>
        <v>#ERROR!</v>
      </c>
      <c r="B96" s="425"/>
      <c r="C96" s="426"/>
      <c r="D96" s="426"/>
      <c r="E96" s="426"/>
      <c r="F96" s="426"/>
      <c r="G96" s="426"/>
      <c r="H96" s="426"/>
      <c r="I96" s="426"/>
      <c r="J96" s="426"/>
      <c r="K96" s="425" t="str">
        <f>IFERROR(IF(B96="","",IF(H96="Critique (danger sante)",B96+1,B96+5)),"")</f>
        <v>#ERROR!</v>
      </c>
      <c r="L96" s="425"/>
      <c r="M96" s="426"/>
      <c r="N96" s="427"/>
    </row>
    <row r="97">
      <c r="A97" s="424" t="str">
        <f>IF(C97="","","REC-"&amp;TEXT(YEAR(B97),"0000")&amp;"-"&amp;TEXT(ROW()-3,"000"))</f>
        <v>#ERROR!</v>
      </c>
      <c r="B97" s="266"/>
      <c r="C97" s="227"/>
      <c r="D97" s="227"/>
      <c r="E97" s="227"/>
      <c r="F97" s="227"/>
      <c r="G97" s="227"/>
      <c r="H97" s="227"/>
      <c r="I97" s="227"/>
      <c r="J97" s="227"/>
      <c r="K97" s="266" t="str">
        <f>IFERROR(IF(B97="","",IF(H97="Critique (danger sante)",B97+1,B97+5)),"")</f>
        <v>#ERROR!</v>
      </c>
      <c r="L97" s="266"/>
      <c r="M97" s="227"/>
      <c r="N97" s="233"/>
    </row>
    <row r="98">
      <c r="A98" s="424" t="str">
        <f>IF(C98="","","REC-"&amp;TEXT(YEAR(B98),"0000")&amp;"-"&amp;TEXT(ROW()-3,"000"))</f>
        <v>#ERROR!</v>
      </c>
      <c r="B98" s="425"/>
      <c r="C98" s="426"/>
      <c r="D98" s="426"/>
      <c r="E98" s="426"/>
      <c r="F98" s="426"/>
      <c r="G98" s="426"/>
      <c r="H98" s="426"/>
      <c r="I98" s="426"/>
      <c r="J98" s="426"/>
      <c r="K98" s="425" t="str">
        <f>IFERROR(IF(B98="","",IF(H98="Critique (danger sante)",B98+1,B98+5)),"")</f>
        <v>#ERROR!</v>
      </c>
      <c r="L98" s="425"/>
      <c r="M98" s="426"/>
      <c r="N98" s="427"/>
    </row>
    <row r="99">
      <c r="A99" s="424" t="str">
        <f>IF(C99="","","REC-"&amp;TEXT(YEAR(B99),"0000")&amp;"-"&amp;TEXT(ROW()-3,"000"))</f>
        <v>#ERROR!</v>
      </c>
      <c r="B99" s="266"/>
      <c r="C99" s="227"/>
      <c r="D99" s="227"/>
      <c r="E99" s="227"/>
      <c r="F99" s="227"/>
      <c r="G99" s="227"/>
      <c r="H99" s="227"/>
      <c r="I99" s="227"/>
      <c r="J99" s="227"/>
      <c r="K99" s="266" t="str">
        <f>IFERROR(IF(B99="","",IF(H99="Critique (danger sante)",B99+1,B99+5)),"")</f>
        <v>#ERROR!</v>
      </c>
      <c r="L99" s="266"/>
      <c r="M99" s="227"/>
      <c r="N99" s="233"/>
    </row>
    <row r="100">
      <c r="A100" s="424" t="str">
        <f>IF(C100="","","REC-"&amp;TEXT(YEAR(B100),"0000")&amp;"-"&amp;TEXT(ROW()-3,"000"))</f>
        <v>#ERROR!</v>
      </c>
      <c r="B100" s="425"/>
      <c r="C100" s="426"/>
      <c r="D100" s="426"/>
      <c r="E100" s="426"/>
      <c r="F100" s="426"/>
      <c r="G100" s="426"/>
      <c r="H100" s="426"/>
      <c r="I100" s="426"/>
      <c r="J100" s="426"/>
      <c r="K100" s="425" t="str">
        <f>IFERROR(IF(B100="","",IF(H100="Critique (danger sante)",B100+1,B100+5)),"")</f>
        <v>#ERROR!</v>
      </c>
      <c r="L100" s="425"/>
      <c r="M100" s="426"/>
      <c r="N100" s="427"/>
    </row>
    <row r="101">
      <c r="A101" s="424" t="str">
        <f>IF(C101="","","REC-"&amp;TEXT(YEAR(B101),"0000")&amp;"-"&amp;TEXT(ROW()-3,"000"))</f>
        <v>#ERROR!</v>
      </c>
      <c r="B101" s="266"/>
      <c r="C101" s="227"/>
      <c r="D101" s="227"/>
      <c r="E101" s="227"/>
      <c r="F101" s="227"/>
      <c r="G101" s="227"/>
      <c r="H101" s="227"/>
      <c r="I101" s="227"/>
      <c r="J101" s="227"/>
      <c r="K101" s="266" t="str">
        <f>IFERROR(IF(B101="","",IF(H101="Critique (danger sante)",B101+1,B101+5)),"")</f>
        <v>#ERROR!</v>
      </c>
      <c r="L101" s="266"/>
      <c r="M101" s="227"/>
      <c r="N101" s="233"/>
    </row>
    <row r="102">
      <c r="A102" s="424" t="str">
        <f>IF(C102="","","REC-"&amp;TEXT(YEAR(B102),"0000")&amp;"-"&amp;TEXT(ROW()-3,"000"))</f>
        <v>#ERROR!</v>
      </c>
      <c r="B102" s="425"/>
      <c r="C102" s="426"/>
      <c r="D102" s="426"/>
      <c r="E102" s="426"/>
      <c r="F102" s="426"/>
      <c r="G102" s="426"/>
      <c r="H102" s="426"/>
      <c r="I102" s="426"/>
      <c r="J102" s="426"/>
      <c r="K102" s="425" t="str">
        <f>IFERROR(IF(B102="","",IF(H102="Critique (danger sante)",B102+1,B102+5)),"")</f>
        <v>#ERROR!</v>
      </c>
      <c r="L102" s="425"/>
      <c r="M102" s="426"/>
      <c r="N102" s="427"/>
    </row>
    <row r="103">
      <c r="A103" s="424" t="str">
        <f>IF(C103="","","REC-"&amp;TEXT(YEAR(B103),"0000")&amp;"-"&amp;TEXT(ROW()-3,"000"))</f>
        <v>#ERROR!</v>
      </c>
      <c r="B103" s="266"/>
      <c r="C103" s="227"/>
      <c r="D103" s="227"/>
      <c r="E103" s="227"/>
      <c r="F103" s="227"/>
      <c r="G103" s="227"/>
      <c r="H103" s="227"/>
      <c r="I103" s="227"/>
      <c r="J103" s="227"/>
      <c r="K103" s="266" t="str">
        <f>IFERROR(IF(B103="","",IF(H103="Critique (danger sante)",B103+1,B103+5)),"")</f>
        <v>#ERROR!</v>
      </c>
      <c r="L103" s="266"/>
      <c r="M103" s="227"/>
      <c r="N103" s="233"/>
    </row>
    <row r="104">
      <c r="A104" s="424" t="str">
        <f>IF(C104="","","REC-"&amp;TEXT(YEAR(B104),"0000")&amp;"-"&amp;TEXT(ROW()-3,"000"))</f>
        <v>#ERROR!</v>
      </c>
      <c r="B104" s="425"/>
      <c r="C104" s="426"/>
      <c r="D104" s="426"/>
      <c r="E104" s="426"/>
      <c r="F104" s="426"/>
      <c r="G104" s="426"/>
      <c r="H104" s="426"/>
      <c r="I104" s="426"/>
      <c r="J104" s="426"/>
      <c r="K104" s="425" t="str">
        <f>IFERROR(IF(B104="","",IF(H104="Critique (danger sante)",B104+1,B104+5)),"")</f>
        <v>#ERROR!</v>
      </c>
      <c r="L104" s="425"/>
      <c r="M104" s="426"/>
      <c r="N104" s="427"/>
    </row>
    <row r="105">
      <c r="A105" s="424" t="str">
        <f>IF(C105="","","REC-"&amp;TEXT(YEAR(B105),"0000")&amp;"-"&amp;TEXT(ROW()-3,"000"))</f>
        <v>#ERROR!</v>
      </c>
      <c r="B105" s="266"/>
      <c r="C105" s="227"/>
      <c r="D105" s="227"/>
      <c r="E105" s="227"/>
      <c r="F105" s="227"/>
      <c r="G105" s="227"/>
      <c r="H105" s="227"/>
      <c r="I105" s="227"/>
      <c r="J105" s="227"/>
      <c r="K105" s="266" t="str">
        <f>IFERROR(IF(B105="","",IF(H105="Critique (danger sante)",B105+1,B105+5)),"")</f>
        <v>#ERROR!</v>
      </c>
      <c r="L105" s="266"/>
      <c r="M105" s="227"/>
      <c r="N105" s="233"/>
    </row>
    <row r="106">
      <c r="A106" s="424" t="str">
        <f>IF(C106="","","REC-"&amp;TEXT(YEAR(B106),"0000")&amp;"-"&amp;TEXT(ROW()-3,"000"))</f>
        <v>#ERROR!</v>
      </c>
      <c r="B106" s="425"/>
      <c r="C106" s="426"/>
      <c r="D106" s="426"/>
      <c r="E106" s="426"/>
      <c r="F106" s="426"/>
      <c r="G106" s="426"/>
      <c r="H106" s="426"/>
      <c r="I106" s="426"/>
      <c r="J106" s="426"/>
      <c r="K106" s="425" t="str">
        <f>IFERROR(IF(B106="","",IF(H106="Critique (danger sante)",B106+1,B106+5)),"")</f>
        <v>#ERROR!</v>
      </c>
      <c r="L106" s="425"/>
      <c r="M106" s="426"/>
      <c r="N106" s="427"/>
    </row>
    <row r="107">
      <c r="A107" s="424" t="str">
        <f>IF(C107="","","REC-"&amp;TEXT(YEAR(B107),"0000")&amp;"-"&amp;TEXT(ROW()-3,"000"))</f>
        <v>#ERROR!</v>
      </c>
      <c r="B107" s="266"/>
      <c r="C107" s="227"/>
      <c r="D107" s="227"/>
      <c r="E107" s="227"/>
      <c r="F107" s="227"/>
      <c r="G107" s="227"/>
      <c r="H107" s="227"/>
      <c r="I107" s="227"/>
      <c r="J107" s="227"/>
      <c r="K107" s="266" t="str">
        <f>IFERROR(IF(B107="","",IF(H107="Critique (danger sante)",B107+1,B107+5)),"")</f>
        <v>#ERROR!</v>
      </c>
      <c r="L107" s="266"/>
      <c r="M107" s="227"/>
      <c r="N107" s="233"/>
    </row>
    <row r="108">
      <c r="A108" s="424" t="str">
        <f>IF(C108="","","REC-"&amp;TEXT(YEAR(B108),"0000")&amp;"-"&amp;TEXT(ROW()-3,"000"))</f>
        <v>#ERROR!</v>
      </c>
      <c r="B108" s="425"/>
      <c r="C108" s="426"/>
      <c r="D108" s="426"/>
      <c r="E108" s="426"/>
      <c r="F108" s="426"/>
      <c r="G108" s="426"/>
      <c r="H108" s="426"/>
      <c r="I108" s="426"/>
      <c r="J108" s="426"/>
      <c r="K108" s="425" t="str">
        <f>IFERROR(IF(B108="","",IF(H108="Critique (danger sante)",B108+1,B108+5)),"")</f>
        <v>#ERROR!</v>
      </c>
      <c r="L108" s="425"/>
      <c r="M108" s="426"/>
      <c r="N108" s="427"/>
    </row>
    <row r="109">
      <c r="A109" s="424" t="str">
        <f>IF(C109="","","REC-"&amp;TEXT(YEAR(B109),"0000")&amp;"-"&amp;TEXT(ROW()-3,"000"))</f>
        <v>#ERROR!</v>
      </c>
      <c r="B109" s="266"/>
      <c r="C109" s="227"/>
      <c r="D109" s="227"/>
      <c r="E109" s="227"/>
      <c r="F109" s="227"/>
      <c r="G109" s="227"/>
      <c r="H109" s="227"/>
      <c r="I109" s="227"/>
      <c r="J109" s="227"/>
      <c r="K109" s="266" t="str">
        <f>IFERROR(IF(B109="","",IF(H109="Critique (danger sante)",B109+1,B109+5)),"")</f>
        <v>#ERROR!</v>
      </c>
      <c r="L109" s="266"/>
      <c r="M109" s="227"/>
      <c r="N109" s="233"/>
    </row>
    <row r="110">
      <c r="A110" s="424" t="str">
        <f>IF(C110="","","REC-"&amp;TEXT(YEAR(B110),"0000")&amp;"-"&amp;TEXT(ROW()-3,"000"))</f>
        <v>#ERROR!</v>
      </c>
      <c r="B110" s="425"/>
      <c r="C110" s="426"/>
      <c r="D110" s="426"/>
      <c r="E110" s="426"/>
      <c r="F110" s="426"/>
      <c r="G110" s="426"/>
      <c r="H110" s="426"/>
      <c r="I110" s="426"/>
      <c r="J110" s="426"/>
      <c r="K110" s="425" t="str">
        <f>IFERROR(IF(B110="","",IF(H110="Critique (danger sante)",B110+1,B110+5)),"")</f>
        <v>#ERROR!</v>
      </c>
      <c r="L110" s="425"/>
      <c r="M110" s="426"/>
      <c r="N110" s="427"/>
    </row>
    <row r="111">
      <c r="A111" s="424" t="str">
        <f>IF(C111="","","REC-"&amp;TEXT(YEAR(B111),"0000")&amp;"-"&amp;TEXT(ROW()-3,"000"))</f>
        <v>#ERROR!</v>
      </c>
      <c r="B111" s="266"/>
      <c r="C111" s="227"/>
      <c r="D111" s="227"/>
      <c r="E111" s="227"/>
      <c r="F111" s="227"/>
      <c r="G111" s="227"/>
      <c r="H111" s="227"/>
      <c r="I111" s="227"/>
      <c r="J111" s="227"/>
      <c r="K111" s="266" t="str">
        <f>IFERROR(IF(B111="","",IF(H111="Critique (danger sante)",B111+1,B111+5)),"")</f>
        <v>#ERROR!</v>
      </c>
      <c r="L111" s="266"/>
      <c r="M111" s="227"/>
      <c r="N111" s="233"/>
    </row>
    <row r="112">
      <c r="A112" s="424" t="str">
        <f>IF(C112="","","REC-"&amp;TEXT(YEAR(B112),"0000")&amp;"-"&amp;TEXT(ROW()-3,"000"))</f>
        <v>#ERROR!</v>
      </c>
      <c r="B112" s="425"/>
      <c r="C112" s="426"/>
      <c r="D112" s="426"/>
      <c r="E112" s="426"/>
      <c r="F112" s="426"/>
      <c r="G112" s="426"/>
      <c r="H112" s="426"/>
      <c r="I112" s="426"/>
      <c r="J112" s="426"/>
      <c r="K112" s="425" t="str">
        <f>IFERROR(IF(B112="","",IF(H112="Critique (danger sante)",B112+1,B112+5)),"")</f>
        <v>#ERROR!</v>
      </c>
      <c r="L112" s="425"/>
      <c r="M112" s="426"/>
      <c r="N112" s="427"/>
    </row>
    <row r="113">
      <c r="A113" s="424" t="str">
        <f>IF(C113="","","REC-"&amp;TEXT(YEAR(B113),"0000")&amp;"-"&amp;TEXT(ROW()-3,"000"))</f>
        <v>#ERROR!</v>
      </c>
      <c r="B113" s="266"/>
      <c r="C113" s="227"/>
      <c r="D113" s="227"/>
      <c r="E113" s="227"/>
      <c r="F113" s="227"/>
      <c r="G113" s="227"/>
      <c r="H113" s="227"/>
      <c r="I113" s="227"/>
      <c r="J113" s="227"/>
      <c r="K113" s="266" t="str">
        <f>IFERROR(IF(B113="","",IF(H113="Critique (danger sante)",B113+1,B113+5)),"")</f>
        <v>#ERROR!</v>
      </c>
      <c r="L113" s="266"/>
      <c r="M113" s="227"/>
      <c r="N113" s="233"/>
    </row>
    <row r="114">
      <c r="A114" s="424" t="str">
        <f>IF(C114="","","REC-"&amp;TEXT(YEAR(B114),"0000")&amp;"-"&amp;TEXT(ROW()-3,"000"))</f>
        <v>#ERROR!</v>
      </c>
      <c r="B114" s="425"/>
      <c r="C114" s="426"/>
      <c r="D114" s="426"/>
      <c r="E114" s="426"/>
      <c r="F114" s="426"/>
      <c r="G114" s="426"/>
      <c r="H114" s="426"/>
      <c r="I114" s="426"/>
      <c r="J114" s="426"/>
      <c r="K114" s="425" t="str">
        <f>IFERROR(IF(B114="","",IF(H114="Critique (danger sante)",B114+1,B114+5)),"")</f>
        <v>#ERROR!</v>
      </c>
      <c r="L114" s="425"/>
      <c r="M114" s="426"/>
      <c r="N114" s="427"/>
    </row>
    <row r="115">
      <c r="A115" s="424" t="str">
        <f>IF(C115="","","REC-"&amp;TEXT(YEAR(B115),"0000")&amp;"-"&amp;TEXT(ROW()-3,"000"))</f>
        <v>#ERROR!</v>
      </c>
      <c r="B115" s="266"/>
      <c r="C115" s="227"/>
      <c r="D115" s="227"/>
      <c r="E115" s="227"/>
      <c r="F115" s="227"/>
      <c r="G115" s="227"/>
      <c r="H115" s="227"/>
      <c r="I115" s="227"/>
      <c r="J115" s="227"/>
      <c r="K115" s="266" t="str">
        <f>IFERROR(IF(B115="","",IF(H115="Critique (danger sante)",B115+1,B115+5)),"")</f>
        <v>#ERROR!</v>
      </c>
      <c r="L115" s="266"/>
      <c r="M115" s="227"/>
      <c r="N115" s="233"/>
    </row>
    <row r="116">
      <c r="A116" s="424" t="str">
        <f>IF(C116="","","REC-"&amp;TEXT(YEAR(B116),"0000")&amp;"-"&amp;TEXT(ROW()-3,"000"))</f>
        <v>#ERROR!</v>
      </c>
      <c r="B116" s="425"/>
      <c r="C116" s="426"/>
      <c r="D116" s="426"/>
      <c r="E116" s="426"/>
      <c r="F116" s="426"/>
      <c r="G116" s="426"/>
      <c r="H116" s="426"/>
      <c r="I116" s="426"/>
      <c r="J116" s="426"/>
      <c r="K116" s="425" t="str">
        <f>IFERROR(IF(B116="","",IF(H116="Critique (danger sante)",B116+1,B116+5)),"")</f>
        <v>#ERROR!</v>
      </c>
      <c r="L116" s="425"/>
      <c r="M116" s="426"/>
      <c r="N116" s="427"/>
    </row>
    <row r="117">
      <c r="A117" s="424" t="str">
        <f>IF(C117="","","REC-"&amp;TEXT(YEAR(B117),"0000")&amp;"-"&amp;TEXT(ROW()-3,"000"))</f>
        <v>#ERROR!</v>
      </c>
      <c r="B117" s="266"/>
      <c r="C117" s="227"/>
      <c r="D117" s="227"/>
      <c r="E117" s="227"/>
      <c r="F117" s="227"/>
      <c r="G117" s="227"/>
      <c r="H117" s="227"/>
      <c r="I117" s="227"/>
      <c r="J117" s="227"/>
      <c r="K117" s="266" t="str">
        <f>IFERROR(IF(B117="","",IF(H117="Critique (danger sante)",B117+1,B117+5)),"")</f>
        <v>#ERROR!</v>
      </c>
      <c r="L117" s="266"/>
      <c r="M117" s="227"/>
      <c r="N117" s="233"/>
    </row>
    <row r="118">
      <c r="A118" s="424" t="str">
        <f>IF(C118="","","REC-"&amp;TEXT(YEAR(B118),"0000")&amp;"-"&amp;TEXT(ROW()-3,"000"))</f>
        <v>#ERROR!</v>
      </c>
      <c r="B118" s="425"/>
      <c r="C118" s="426"/>
      <c r="D118" s="426"/>
      <c r="E118" s="426"/>
      <c r="F118" s="426"/>
      <c r="G118" s="426"/>
      <c r="H118" s="426"/>
      <c r="I118" s="426"/>
      <c r="J118" s="426"/>
      <c r="K118" s="425" t="str">
        <f>IFERROR(IF(B118="","",IF(H118="Critique (danger sante)",B118+1,B118+5)),"")</f>
        <v>#ERROR!</v>
      </c>
      <c r="L118" s="425"/>
      <c r="M118" s="426"/>
      <c r="N118" s="427"/>
    </row>
    <row r="119">
      <c r="A119" s="424" t="str">
        <f>IF(C119="","","REC-"&amp;TEXT(YEAR(B119),"0000")&amp;"-"&amp;TEXT(ROW()-3,"000"))</f>
        <v>#ERROR!</v>
      </c>
      <c r="B119" s="266"/>
      <c r="C119" s="227"/>
      <c r="D119" s="227"/>
      <c r="E119" s="227"/>
      <c r="F119" s="227"/>
      <c r="G119" s="227"/>
      <c r="H119" s="227"/>
      <c r="I119" s="227"/>
      <c r="J119" s="227"/>
      <c r="K119" s="266" t="str">
        <f>IFERROR(IF(B119="","",IF(H119="Critique (danger sante)",B119+1,B119+5)),"")</f>
        <v>#ERROR!</v>
      </c>
      <c r="L119" s="266"/>
      <c r="M119" s="227"/>
      <c r="N119" s="233"/>
    </row>
    <row r="120">
      <c r="A120" s="424" t="str">
        <f>IF(C120="","","REC-"&amp;TEXT(YEAR(B120),"0000")&amp;"-"&amp;TEXT(ROW()-3,"000"))</f>
        <v>#ERROR!</v>
      </c>
      <c r="B120" s="425"/>
      <c r="C120" s="426"/>
      <c r="D120" s="426"/>
      <c r="E120" s="426"/>
      <c r="F120" s="426"/>
      <c r="G120" s="426"/>
      <c r="H120" s="426"/>
      <c r="I120" s="426"/>
      <c r="J120" s="426"/>
      <c r="K120" s="425" t="str">
        <f>IFERROR(IF(B120="","",IF(H120="Critique (danger sante)",B120+1,B120+5)),"")</f>
        <v>#ERROR!</v>
      </c>
      <c r="L120" s="425"/>
      <c r="M120" s="426"/>
      <c r="N120" s="427"/>
    </row>
    <row r="121">
      <c r="A121" s="424" t="str">
        <f>IF(C121="","","REC-"&amp;TEXT(YEAR(B121),"0000")&amp;"-"&amp;TEXT(ROW()-3,"000"))</f>
        <v>#ERROR!</v>
      </c>
      <c r="B121" s="266"/>
      <c r="C121" s="227"/>
      <c r="D121" s="227"/>
      <c r="E121" s="227"/>
      <c r="F121" s="227"/>
      <c r="G121" s="227"/>
      <c r="H121" s="227"/>
      <c r="I121" s="227"/>
      <c r="J121" s="227"/>
      <c r="K121" s="266" t="str">
        <f>IFERROR(IF(B121="","",IF(H121="Critique (danger sante)",B121+1,B121+5)),"")</f>
        <v>#ERROR!</v>
      </c>
      <c r="L121" s="266"/>
      <c r="M121" s="227"/>
      <c r="N121" s="233"/>
    </row>
    <row r="122">
      <c r="A122" s="424" t="str">
        <f>IF(C122="","","REC-"&amp;TEXT(YEAR(B122),"0000")&amp;"-"&amp;TEXT(ROW()-3,"000"))</f>
        <v>#ERROR!</v>
      </c>
      <c r="B122" s="425"/>
      <c r="C122" s="426"/>
      <c r="D122" s="426"/>
      <c r="E122" s="426"/>
      <c r="F122" s="426"/>
      <c r="G122" s="426"/>
      <c r="H122" s="426"/>
      <c r="I122" s="426"/>
      <c r="J122" s="426"/>
      <c r="K122" s="425" t="str">
        <f>IFERROR(IF(B122="","",IF(H122="Critique (danger sante)",B122+1,B122+5)),"")</f>
        <v>#ERROR!</v>
      </c>
      <c r="L122" s="425"/>
      <c r="M122" s="426"/>
      <c r="N122" s="427"/>
    </row>
    <row r="123">
      <c r="A123" s="424" t="str">
        <f>IF(C123="","","REC-"&amp;TEXT(YEAR(B123),"0000")&amp;"-"&amp;TEXT(ROW()-3,"000"))</f>
        <v>#ERROR!</v>
      </c>
      <c r="B123" s="266"/>
      <c r="C123" s="227"/>
      <c r="D123" s="227"/>
      <c r="E123" s="227"/>
      <c r="F123" s="227"/>
      <c r="G123" s="227"/>
      <c r="H123" s="227"/>
      <c r="I123" s="227"/>
      <c r="J123" s="227"/>
      <c r="K123" s="266" t="str">
        <f>IFERROR(IF(B123="","",IF(H123="Critique (danger sante)",B123+1,B123+5)),"")</f>
        <v>#ERROR!</v>
      </c>
      <c r="L123" s="266"/>
      <c r="M123" s="227"/>
      <c r="N123" s="233"/>
    </row>
    <row r="124">
      <c r="A124" s="424" t="str">
        <f>IF(C124="","","REC-"&amp;TEXT(YEAR(B124),"0000")&amp;"-"&amp;TEXT(ROW()-3,"000"))</f>
        <v>#ERROR!</v>
      </c>
      <c r="B124" s="425"/>
      <c r="C124" s="426"/>
      <c r="D124" s="426"/>
      <c r="E124" s="426"/>
      <c r="F124" s="426"/>
      <c r="G124" s="426"/>
      <c r="H124" s="426"/>
      <c r="I124" s="426"/>
      <c r="J124" s="426"/>
      <c r="K124" s="425" t="str">
        <f>IFERROR(IF(B124="","",IF(H124="Critique (danger sante)",B124+1,B124+5)),"")</f>
        <v>#ERROR!</v>
      </c>
      <c r="L124" s="425"/>
      <c r="M124" s="426"/>
      <c r="N124" s="427"/>
    </row>
    <row r="125">
      <c r="A125" s="424" t="str">
        <f>IF(C125="","","REC-"&amp;TEXT(YEAR(B125),"0000")&amp;"-"&amp;TEXT(ROW()-3,"000"))</f>
        <v>#ERROR!</v>
      </c>
      <c r="B125" s="266"/>
      <c r="C125" s="227"/>
      <c r="D125" s="227"/>
      <c r="E125" s="227"/>
      <c r="F125" s="227"/>
      <c r="G125" s="227"/>
      <c r="H125" s="227"/>
      <c r="I125" s="227"/>
      <c r="J125" s="227"/>
      <c r="K125" s="266" t="str">
        <f>IFERROR(IF(B125="","",IF(H125="Critique (danger sante)",B125+1,B125+5)),"")</f>
        <v>#ERROR!</v>
      </c>
      <c r="L125" s="266"/>
      <c r="M125" s="227"/>
      <c r="N125" s="233"/>
    </row>
    <row r="126">
      <c r="A126" s="424" t="str">
        <f>IF(C126="","","REC-"&amp;TEXT(YEAR(B126),"0000")&amp;"-"&amp;TEXT(ROW()-3,"000"))</f>
        <v>#ERROR!</v>
      </c>
      <c r="B126" s="425"/>
      <c r="C126" s="426"/>
      <c r="D126" s="426"/>
      <c r="E126" s="426"/>
      <c r="F126" s="426"/>
      <c r="G126" s="426"/>
      <c r="H126" s="426"/>
      <c r="I126" s="426"/>
      <c r="J126" s="426"/>
      <c r="K126" s="425" t="str">
        <f>IFERROR(IF(B126="","",IF(H126="Critique (danger sante)",B126+1,B126+5)),"")</f>
        <v>#ERROR!</v>
      </c>
      <c r="L126" s="425"/>
      <c r="M126" s="426"/>
      <c r="N126" s="427"/>
    </row>
    <row r="127">
      <c r="A127" s="424" t="str">
        <f>IF(C127="","","REC-"&amp;TEXT(YEAR(B127),"0000")&amp;"-"&amp;TEXT(ROW()-3,"000"))</f>
        <v>#ERROR!</v>
      </c>
      <c r="B127" s="266"/>
      <c r="C127" s="227"/>
      <c r="D127" s="227"/>
      <c r="E127" s="227"/>
      <c r="F127" s="227"/>
      <c r="G127" s="227"/>
      <c r="H127" s="227"/>
      <c r="I127" s="227"/>
      <c r="J127" s="227"/>
      <c r="K127" s="266" t="str">
        <f>IFERROR(IF(B127="","",IF(H127="Critique (danger sante)",B127+1,B127+5)),"")</f>
        <v>#ERROR!</v>
      </c>
      <c r="L127" s="266"/>
      <c r="M127" s="227"/>
      <c r="N127" s="233"/>
    </row>
    <row r="128">
      <c r="A128" s="424" t="str">
        <f>IF(C128="","","REC-"&amp;TEXT(YEAR(B128),"0000")&amp;"-"&amp;TEXT(ROW()-3,"000"))</f>
        <v>#ERROR!</v>
      </c>
      <c r="B128" s="425"/>
      <c r="C128" s="426"/>
      <c r="D128" s="426"/>
      <c r="E128" s="426"/>
      <c r="F128" s="426"/>
      <c r="G128" s="426"/>
      <c r="H128" s="426"/>
      <c r="I128" s="426"/>
      <c r="J128" s="426"/>
      <c r="K128" s="425" t="str">
        <f>IFERROR(IF(B128="","",IF(H128="Critique (danger sante)",B128+1,B128+5)),"")</f>
        <v>#ERROR!</v>
      </c>
      <c r="L128" s="425"/>
      <c r="M128" s="426"/>
      <c r="N128" s="427"/>
    </row>
    <row r="129">
      <c r="A129" s="424" t="str">
        <f>IF(C129="","","REC-"&amp;TEXT(YEAR(B129),"0000")&amp;"-"&amp;TEXT(ROW()-3,"000"))</f>
        <v>#ERROR!</v>
      </c>
      <c r="B129" s="266"/>
      <c r="C129" s="227"/>
      <c r="D129" s="227"/>
      <c r="E129" s="227"/>
      <c r="F129" s="227"/>
      <c r="G129" s="227"/>
      <c r="H129" s="227"/>
      <c r="I129" s="227"/>
      <c r="J129" s="227"/>
      <c r="K129" s="266" t="str">
        <f>IFERROR(IF(B129="","",IF(H129="Critique (danger sante)",B129+1,B129+5)),"")</f>
        <v>#ERROR!</v>
      </c>
      <c r="L129" s="266"/>
      <c r="M129" s="227"/>
      <c r="N129" s="233"/>
    </row>
    <row r="130">
      <c r="A130" s="424" t="str">
        <f>IF(C130="","","REC-"&amp;TEXT(YEAR(B130),"0000")&amp;"-"&amp;TEXT(ROW()-3,"000"))</f>
        <v>#ERROR!</v>
      </c>
      <c r="B130" s="425"/>
      <c r="C130" s="426"/>
      <c r="D130" s="426"/>
      <c r="E130" s="426"/>
      <c r="F130" s="426"/>
      <c r="G130" s="426"/>
      <c r="H130" s="426"/>
      <c r="I130" s="426"/>
      <c r="J130" s="426"/>
      <c r="K130" s="425" t="str">
        <f>IFERROR(IF(B130="","",IF(H130="Critique (danger sante)",B130+1,B130+5)),"")</f>
        <v>#ERROR!</v>
      </c>
      <c r="L130" s="425"/>
      <c r="M130" s="426"/>
      <c r="N130" s="427"/>
    </row>
    <row r="131">
      <c r="A131" s="424" t="str">
        <f>IF(C131="","","REC-"&amp;TEXT(YEAR(B131),"0000")&amp;"-"&amp;TEXT(ROW()-3,"000"))</f>
        <v>#ERROR!</v>
      </c>
      <c r="B131" s="266"/>
      <c r="C131" s="227"/>
      <c r="D131" s="227"/>
      <c r="E131" s="227"/>
      <c r="F131" s="227"/>
      <c r="G131" s="227"/>
      <c r="H131" s="227"/>
      <c r="I131" s="227"/>
      <c r="J131" s="227"/>
      <c r="K131" s="266" t="str">
        <f>IFERROR(IF(B131="","",IF(H131="Critique (danger sante)",B131+1,B131+5)),"")</f>
        <v>#ERROR!</v>
      </c>
      <c r="L131" s="266"/>
      <c r="M131" s="227"/>
      <c r="N131" s="233"/>
    </row>
    <row r="132">
      <c r="A132" s="424" t="str">
        <f>IF(C132="","","REC-"&amp;TEXT(YEAR(B132),"0000")&amp;"-"&amp;TEXT(ROW()-3,"000"))</f>
        <v>#ERROR!</v>
      </c>
      <c r="B132" s="425"/>
      <c r="C132" s="426"/>
      <c r="D132" s="426"/>
      <c r="E132" s="426"/>
      <c r="F132" s="426"/>
      <c r="G132" s="426"/>
      <c r="H132" s="426"/>
      <c r="I132" s="426"/>
      <c r="J132" s="426"/>
      <c r="K132" s="425" t="str">
        <f>IFERROR(IF(B132="","",IF(H132="Critique (danger sante)",B132+1,B132+5)),"")</f>
        <v>#ERROR!</v>
      </c>
      <c r="L132" s="425"/>
      <c r="M132" s="426"/>
      <c r="N132" s="427"/>
    </row>
    <row r="133">
      <c r="A133" s="424" t="str">
        <f>IF(C133="","","REC-"&amp;TEXT(YEAR(B133),"0000")&amp;"-"&amp;TEXT(ROW()-3,"000"))</f>
        <v>#ERROR!</v>
      </c>
      <c r="B133" s="266"/>
      <c r="C133" s="227"/>
      <c r="D133" s="227"/>
      <c r="E133" s="227"/>
      <c r="F133" s="227"/>
      <c r="G133" s="227"/>
      <c r="H133" s="227"/>
      <c r="I133" s="227"/>
      <c r="J133" s="227"/>
      <c r="K133" s="266" t="str">
        <f>IFERROR(IF(B133="","",IF(H133="Critique (danger sante)",B133+1,B133+5)),"")</f>
        <v>#ERROR!</v>
      </c>
      <c r="L133" s="266"/>
      <c r="M133" s="227"/>
      <c r="N133" s="233"/>
    </row>
    <row r="134">
      <c r="A134" s="424" t="str">
        <f>IF(C134="","","REC-"&amp;TEXT(YEAR(B134),"0000")&amp;"-"&amp;TEXT(ROW()-3,"000"))</f>
        <v>#ERROR!</v>
      </c>
      <c r="B134" s="425"/>
      <c r="C134" s="426"/>
      <c r="D134" s="426"/>
      <c r="E134" s="426"/>
      <c r="F134" s="426"/>
      <c r="G134" s="426"/>
      <c r="H134" s="426"/>
      <c r="I134" s="426"/>
      <c r="J134" s="426"/>
      <c r="K134" s="425" t="str">
        <f>IFERROR(IF(B134="","",IF(H134="Critique (danger sante)",B134+1,B134+5)),"")</f>
        <v>#ERROR!</v>
      </c>
      <c r="L134" s="425"/>
      <c r="M134" s="426"/>
      <c r="N134" s="427"/>
    </row>
    <row r="135">
      <c r="A135" s="424" t="str">
        <f>IF(C135="","","REC-"&amp;TEXT(YEAR(B135),"0000")&amp;"-"&amp;TEXT(ROW()-3,"000"))</f>
        <v>#ERROR!</v>
      </c>
      <c r="B135" s="266"/>
      <c r="C135" s="227"/>
      <c r="D135" s="227"/>
      <c r="E135" s="227"/>
      <c r="F135" s="227"/>
      <c r="G135" s="227"/>
      <c r="H135" s="227"/>
      <c r="I135" s="227"/>
      <c r="J135" s="227"/>
      <c r="K135" s="266" t="str">
        <f>IFERROR(IF(B135="","",IF(H135="Critique (danger sante)",B135+1,B135+5)),"")</f>
        <v>#ERROR!</v>
      </c>
      <c r="L135" s="266"/>
      <c r="M135" s="227"/>
      <c r="N135" s="233"/>
    </row>
    <row r="136">
      <c r="A136" s="424" t="str">
        <f>IF(C136="","","REC-"&amp;TEXT(YEAR(B136),"0000")&amp;"-"&amp;TEXT(ROW()-3,"000"))</f>
        <v>#ERROR!</v>
      </c>
      <c r="B136" s="425"/>
      <c r="C136" s="426"/>
      <c r="D136" s="426"/>
      <c r="E136" s="426"/>
      <c r="F136" s="426"/>
      <c r="G136" s="426"/>
      <c r="H136" s="426"/>
      <c r="I136" s="426"/>
      <c r="J136" s="426"/>
      <c r="K136" s="425" t="str">
        <f>IFERROR(IF(B136="","",IF(H136="Critique (danger sante)",B136+1,B136+5)),"")</f>
        <v>#ERROR!</v>
      </c>
      <c r="L136" s="425"/>
      <c r="M136" s="426"/>
      <c r="N136" s="427"/>
    </row>
    <row r="137">
      <c r="A137" s="424" t="str">
        <f>IF(C137="","","REC-"&amp;TEXT(YEAR(B137),"0000")&amp;"-"&amp;TEXT(ROW()-3,"000"))</f>
        <v>#ERROR!</v>
      </c>
      <c r="B137" s="266"/>
      <c r="C137" s="227"/>
      <c r="D137" s="227"/>
      <c r="E137" s="227"/>
      <c r="F137" s="227"/>
      <c r="G137" s="227"/>
      <c r="H137" s="227"/>
      <c r="I137" s="227"/>
      <c r="J137" s="227"/>
      <c r="K137" s="266" t="str">
        <f>IFERROR(IF(B137="","",IF(H137="Critique (danger sante)",B137+1,B137+5)),"")</f>
        <v>#ERROR!</v>
      </c>
      <c r="L137" s="266"/>
      <c r="M137" s="227"/>
      <c r="N137" s="233"/>
    </row>
    <row r="138">
      <c r="A138" s="424" t="str">
        <f>IF(C138="","","REC-"&amp;TEXT(YEAR(B138),"0000")&amp;"-"&amp;TEXT(ROW()-3,"000"))</f>
        <v>#ERROR!</v>
      </c>
      <c r="B138" s="425"/>
      <c r="C138" s="426"/>
      <c r="D138" s="426"/>
      <c r="E138" s="426"/>
      <c r="F138" s="426"/>
      <c r="G138" s="426"/>
      <c r="H138" s="426"/>
      <c r="I138" s="426"/>
      <c r="J138" s="426"/>
      <c r="K138" s="425" t="str">
        <f>IFERROR(IF(B138="","",IF(H138="Critique (danger sante)",B138+1,B138+5)),"")</f>
        <v>#ERROR!</v>
      </c>
      <c r="L138" s="425"/>
      <c r="M138" s="426"/>
      <c r="N138" s="427"/>
    </row>
    <row r="139">
      <c r="A139" s="424" t="str">
        <f>IF(C139="","","REC-"&amp;TEXT(YEAR(B139),"0000")&amp;"-"&amp;TEXT(ROW()-3,"000"))</f>
        <v>#ERROR!</v>
      </c>
      <c r="B139" s="266"/>
      <c r="C139" s="227"/>
      <c r="D139" s="227"/>
      <c r="E139" s="227"/>
      <c r="F139" s="227"/>
      <c r="G139" s="227"/>
      <c r="H139" s="227"/>
      <c r="I139" s="227"/>
      <c r="J139" s="227"/>
      <c r="K139" s="266" t="str">
        <f>IFERROR(IF(B139="","",IF(H139="Critique (danger sante)",B139+1,B139+5)),"")</f>
        <v>#ERROR!</v>
      </c>
      <c r="L139" s="266"/>
      <c r="M139" s="227"/>
      <c r="N139" s="233"/>
    </row>
    <row r="140">
      <c r="A140" s="424" t="str">
        <f>IF(C140="","","REC-"&amp;TEXT(YEAR(B140),"0000")&amp;"-"&amp;TEXT(ROW()-3,"000"))</f>
        <v>#ERROR!</v>
      </c>
      <c r="B140" s="425"/>
      <c r="C140" s="426"/>
      <c r="D140" s="426"/>
      <c r="E140" s="426"/>
      <c r="F140" s="426"/>
      <c r="G140" s="426"/>
      <c r="H140" s="426"/>
      <c r="I140" s="426"/>
      <c r="J140" s="426"/>
      <c r="K140" s="425" t="str">
        <f>IFERROR(IF(B140="","",IF(H140="Critique (danger sante)",B140+1,B140+5)),"")</f>
        <v>#ERROR!</v>
      </c>
      <c r="L140" s="425"/>
      <c r="M140" s="426"/>
      <c r="N140" s="427"/>
    </row>
    <row r="141">
      <c r="A141" s="424" t="str">
        <f>IF(C141="","","REC-"&amp;TEXT(YEAR(B141),"0000")&amp;"-"&amp;TEXT(ROW()-3,"000"))</f>
        <v>#ERROR!</v>
      </c>
      <c r="B141" s="266"/>
      <c r="C141" s="227"/>
      <c r="D141" s="227"/>
      <c r="E141" s="227"/>
      <c r="F141" s="227"/>
      <c r="G141" s="227"/>
      <c r="H141" s="227"/>
      <c r="I141" s="227"/>
      <c r="J141" s="227"/>
      <c r="K141" s="266" t="str">
        <f>IFERROR(IF(B141="","",IF(H141="Critique (danger sante)",B141+1,B141+5)),"")</f>
        <v>#ERROR!</v>
      </c>
      <c r="L141" s="266"/>
      <c r="M141" s="227"/>
      <c r="N141" s="233"/>
    </row>
    <row r="142">
      <c r="A142" s="424" t="str">
        <f>IF(C142="","","REC-"&amp;TEXT(YEAR(B142),"0000")&amp;"-"&amp;TEXT(ROW()-3,"000"))</f>
        <v>#ERROR!</v>
      </c>
      <c r="B142" s="425"/>
      <c r="C142" s="426"/>
      <c r="D142" s="426"/>
      <c r="E142" s="426"/>
      <c r="F142" s="426"/>
      <c r="G142" s="426"/>
      <c r="H142" s="426"/>
      <c r="I142" s="426"/>
      <c r="J142" s="426"/>
      <c r="K142" s="425" t="str">
        <f>IFERROR(IF(B142="","",IF(H142="Critique (danger sante)",B142+1,B142+5)),"")</f>
        <v>#ERROR!</v>
      </c>
      <c r="L142" s="425"/>
      <c r="M142" s="426"/>
      <c r="N142" s="427"/>
    </row>
    <row r="143">
      <c r="A143" s="424" t="str">
        <f>IF(C143="","","REC-"&amp;TEXT(YEAR(B143),"0000")&amp;"-"&amp;TEXT(ROW()-3,"000"))</f>
        <v>#ERROR!</v>
      </c>
      <c r="B143" s="266"/>
      <c r="C143" s="227"/>
      <c r="D143" s="227"/>
      <c r="E143" s="227"/>
      <c r="F143" s="227"/>
      <c r="G143" s="227"/>
      <c r="H143" s="227"/>
      <c r="I143" s="227"/>
      <c r="J143" s="227"/>
      <c r="K143" s="266" t="str">
        <f>IFERROR(IF(B143="","",IF(H143="Critique (danger sante)",B143+1,B143+5)),"")</f>
        <v>#ERROR!</v>
      </c>
      <c r="L143" s="266"/>
      <c r="M143" s="227"/>
      <c r="N143" s="233"/>
    </row>
    <row r="144">
      <c r="A144" s="424" t="str">
        <f>IF(C144="","","REC-"&amp;TEXT(YEAR(B144),"0000")&amp;"-"&amp;TEXT(ROW()-3,"000"))</f>
        <v>#ERROR!</v>
      </c>
      <c r="B144" s="425"/>
      <c r="C144" s="426"/>
      <c r="D144" s="426"/>
      <c r="E144" s="426"/>
      <c r="F144" s="426"/>
      <c r="G144" s="426"/>
      <c r="H144" s="426"/>
      <c r="I144" s="426"/>
      <c r="J144" s="426"/>
      <c r="K144" s="425" t="str">
        <f>IFERROR(IF(B144="","",IF(H144="Critique (danger sante)",B144+1,B144+5)),"")</f>
        <v>#ERROR!</v>
      </c>
      <c r="L144" s="425"/>
      <c r="M144" s="426"/>
      <c r="N144" s="427"/>
    </row>
    <row r="145">
      <c r="A145" s="424" t="str">
        <f>IF(C145="","","REC-"&amp;TEXT(YEAR(B145),"0000")&amp;"-"&amp;TEXT(ROW()-3,"000"))</f>
        <v>#ERROR!</v>
      </c>
      <c r="B145" s="266"/>
      <c r="C145" s="227"/>
      <c r="D145" s="227"/>
      <c r="E145" s="227"/>
      <c r="F145" s="227"/>
      <c r="G145" s="227"/>
      <c r="H145" s="227"/>
      <c r="I145" s="227"/>
      <c r="J145" s="227"/>
      <c r="K145" s="266" t="str">
        <f>IFERROR(IF(B145="","",IF(H145="Critique (danger sante)",B145+1,B145+5)),"")</f>
        <v>#ERROR!</v>
      </c>
      <c r="L145" s="266"/>
      <c r="M145" s="227"/>
      <c r="N145" s="233"/>
    </row>
    <row r="146">
      <c r="A146" s="424" t="str">
        <f>IF(C146="","","REC-"&amp;TEXT(YEAR(B146),"0000")&amp;"-"&amp;TEXT(ROW()-3,"000"))</f>
        <v>#ERROR!</v>
      </c>
      <c r="B146" s="425"/>
      <c r="C146" s="426"/>
      <c r="D146" s="426"/>
      <c r="E146" s="426"/>
      <c r="F146" s="426"/>
      <c r="G146" s="426"/>
      <c r="H146" s="426"/>
      <c r="I146" s="426"/>
      <c r="J146" s="426"/>
      <c r="K146" s="425" t="str">
        <f>IFERROR(IF(B146="","",IF(H146="Critique (danger sante)",B146+1,B146+5)),"")</f>
        <v>#ERROR!</v>
      </c>
      <c r="L146" s="425"/>
      <c r="M146" s="426"/>
      <c r="N146" s="427"/>
    </row>
    <row r="147">
      <c r="A147" s="424" t="str">
        <f>IF(C147="","","REC-"&amp;TEXT(YEAR(B147),"0000")&amp;"-"&amp;TEXT(ROW()-3,"000"))</f>
        <v>#ERROR!</v>
      </c>
      <c r="B147" s="266"/>
      <c r="C147" s="227"/>
      <c r="D147" s="227"/>
      <c r="E147" s="227"/>
      <c r="F147" s="227"/>
      <c r="G147" s="227"/>
      <c r="H147" s="227"/>
      <c r="I147" s="227"/>
      <c r="J147" s="227"/>
      <c r="K147" s="266" t="str">
        <f>IFERROR(IF(B147="","",IF(H147="Critique (danger sante)",B147+1,B147+5)),"")</f>
        <v>#ERROR!</v>
      </c>
      <c r="L147" s="266"/>
      <c r="M147" s="227"/>
      <c r="N147" s="233"/>
    </row>
    <row r="148">
      <c r="A148" s="424" t="str">
        <f>IF(C148="","","REC-"&amp;TEXT(YEAR(B148),"0000")&amp;"-"&amp;TEXT(ROW()-3,"000"))</f>
        <v>#ERROR!</v>
      </c>
      <c r="B148" s="425"/>
      <c r="C148" s="426"/>
      <c r="D148" s="426"/>
      <c r="E148" s="426"/>
      <c r="F148" s="426"/>
      <c r="G148" s="426"/>
      <c r="H148" s="426"/>
      <c r="I148" s="426"/>
      <c r="J148" s="426"/>
      <c r="K148" s="425" t="str">
        <f>IFERROR(IF(B148="","",IF(H148="Critique (danger sante)",B148+1,B148+5)),"")</f>
        <v>#ERROR!</v>
      </c>
      <c r="L148" s="425"/>
      <c r="M148" s="426"/>
      <c r="N148" s="427"/>
    </row>
    <row r="149">
      <c r="A149" s="424" t="str">
        <f>IF(C149="","","REC-"&amp;TEXT(YEAR(B149),"0000")&amp;"-"&amp;TEXT(ROW()-3,"000"))</f>
        <v>#ERROR!</v>
      </c>
      <c r="B149" s="266"/>
      <c r="C149" s="227"/>
      <c r="D149" s="227"/>
      <c r="E149" s="227"/>
      <c r="F149" s="227"/>
      <c r="G149" s="227"/>
      <c r="H149" s="227"/>
      <c r="I149" s="227"/>
      <c r="J149" s="227"/>
      <c r="K149" s="266" t="str">
        <f>IFERROR(IF(B149="","",IF(H149="Critique (danger sante)",B149+1,B149+5)),"")</f>
        <v>#ERROR!</v>
      </c>
      <c r="L149" s="266"/>
      <c r="M149" s="227"/>
      <c r="N149" s="233"/>
    </row>
    <row r="150">
      <c r="A150" s="424" t="str">
        <f>IF(C150="","","REC-"&amp;TEXT(YEAR(B150),"0000")&amp;"-"&amp;TEXT(ROW()-3,"000"))</f>
        <v>#ERROR!</v>
      </c>
      <c r="B150" s="425"/>
      <c r="C150" s="426"/>
      <c r="D150" s="426"/>
      <c r="E150" s="426"/>
      <c r="F150" s="426"/>
      <c r="G150" s="426"/>
      <c r="H150" s="426"/>
      <c r="I150" s="426"/>
      <c r="J150" s="426"/>
      <c r="K150" s="425" t="str">
        <f>IFERROR(IF(B150="","",IF(H150="Critique (danger sante)",B150+1,B150+5)),"")</f>
        <v>#ERROR!</v>
      </c>
      <c r="L150" s="425"/>
      <c r="M150" s="426"/>
      <c r="N150" s="427"/>
    </row>
    <row r="151">
      <c r="A151" s="424" t="str">
        <f>IF(C151="","","REC-"&amp;TEXT(YEAR(B151),"0000")&amp;"-"&amp;TEXT(ROW()-3,"000"))</f>
        <v>#ERROR!</v>
      </c>
      <c r="B151" s="266"/>
      <c r="C151" s="227"/>
      <c r="D151" s="227"/>
      <c r="E151" s="227"/>
      <c r="F151" s="227"/>
      <c r="G151" s="227"/>
      <c r="H151" s="227"/>
      <c r="I151" s="227"/>
      <c r="J151" s="227"/>
      <c r="K151" s="266" t="str">
        <f>IFERROR(IF(B151="","",IF(H151="Critique (danger sante)",B151+1,B151+5)),"")</f>
        <v>#ERROR!</v>
      </c>
      <c r="L151" s="266"/>
      <c r="M151" s="227"/>
      <c r="N151" s="233"/>
    </row>
    <row r="152">
      <c r="A152" s="424" t="str">
        <f>IF(C152="","","REC-"&amp;TEXT(YEAR(B152),"0000")&amp;"-"&amp;TEXT(ROW()-3,"000"))</f>
        <v>#ERROR!</v>
      </c>
      <c r="B152" s="425"/>
      <c r="C152" s="426"/>
      <c r="D152" s="426"/>
      <c r="E152" s="426"/>
      <c r="F152" s="426"/>
      <c r="G152" s="426"/>
      <c r="H152" s="426"/>
      <c r="I152" s="426"/>
      <c r="J152" s="426"/>
      <c r="K152" s="425" t="str">
        <f>IFERROR(IF(B152="","",IF(H152="Critique (danger sante)",B152+1,B152+5)),"")</f>
        <v>#ERROR!</v>
      </c>
      <c r="L152" s="425"/>
      <c r="M152" s="426"/>
      <c r="N152" s="427"/>
    </row>
    <row r="153">
      <c r="A153" s="424" t="str">
        <f>IF(C153="","","REC-"&amp;TEXT(YEAR(B153),"0000")&amp;"-"&amp;TEXT(ROW()-3,"000"))</f>
        <v>#ERROR!</v>
      </c>
      <c r="B153" s="266"/>
      <c r="C153" s="227"/>
      <c r="D153" s="227"/>
      <c r="E153" s="227"/>
      <c r="F153" s="227"/>
      <c r="G153" s="227"/>
      <c r="H153" s="227"/>
      <c r="I153" s="227"/>
      <c r="J153" s="227"/>
      <c r="K153" s="266" t="str">
        <f>IFERROR(IF(B153="","",IF(H153="Critique (danger sante)",B153+1,B153+5)),"")</f>
        <v>#ERROR!</v>
      </c>
      <c r="L153" s="266"/>
      <c r="M153" s="227"/>
      <c r="N153" s="233"/>
    </row>
    <row r="154">
      <c r="A154" s="424" t="str">
        <f>IF(C154="","","REC-"&amp;TEXT(YEAR(B154),"0000")&amp;"-"&amp;TEXT(ROW()-3,"000"))</f>
        <v>#ERROR!</v>
      </c>
      <c r="B154" s="425"/>
      <c r="C154" s="426"/>
      <c r="D154" s="426"/>
      <c r="E154" s="426"/>
      <c r="F154" s="426"/>
      <c r="G154" s="426"/>
      <c r="H154" s="426"/>
      <c r="I154" s="426"/>
      <c r="J154" s="426"/>
      <c r="K154" s="425" t="str">
        <f>IFERROR(IF(B154="","",IF(H154="Critique (danger sante)",B154+1,B154+5)),"")</f>
        <v>#ERROR!</v>
      </c>
      <c r="L154" s="425"/>
      <c r="M154" s="426"/>
      <c r="N154" s="427"/>
    </row>
    <row r="155">
      <c r="A155" s="424" t="str">
        <f>IF(C155="","","REC-"&amp;TEXT(YEAR(B155),"0000")&amp;"-"&amp;TEXT(ROW()-3,"000"))</f>
        <v>#ERROR!</v>
      </c>
      <c r="B155" s="266"/>
      <c r="C155" s="227"/>
      <c r="D155" s="227"/>
      <c r="E155" s="227"/>
      <c r="F155" s="227"/>
      <c r="G155" s="227"/>
      <c r="H155" s="227"/>
      <c r="I155" s="227"/>
      <c r="J155" s="227"/>
      <c r="K155" s="266" t="str">
        <f>IFERROR(IF(B155="","",IF(H155="Critique (danger sante)",B155+1,B155+5)),"")</f>
        <v>#ERROR!</v>
      </c>
      <c r="L155" s="266"/>
      <c r="M155" s="227"/>
      <c r="N155" s="233"/>
    </row>
    <row r="156">
      <c r="A156" s="424" t="str">
        <f>IF(C156="","","REC-"&amp;TEXT(YEAR(B156),"0000")&amp;"-"&amp;TEXT(ROW()-3,"000"))</f>
        <v>#ERROR!</v>
      </c>
      <c r="B156" s="425"/>
      <c r="C156" s="426"/>
      <c r="D156" s="426"/>
      <c r="E156" s="426"/>
      <c r="F156" s="426"/>
      <c r="G156" s="426"/>
      <c r="H156" s="426"/>
      <c r="I156" s="426"/>
      <c r="J156" s="426"/>
      <c r="K156" s="425" t="str">
        <f>IFERROR(IF(B156="","",IF(H156="Critique (danger sante)",B156+1,B156+5)),"")</f>
        <v>#ERROR!</v>
      </c>
      <c r="L156" s="425"/>
      <c r="M156" s="426"/>
      <c r="N156" s="427"/>
    </row>
    <row r="157">
      <c r="A157" s="424" t="str">
        <f>IF(C157="","","REC-"&amp;TEXT(YEAR(B157),"0000")&amp;"-"&amp;TEXT(ROW()-3,"000"))</f>
        <v>#ERROR!</v>
      </c>
      <c r="B157" s="266"/>
      <c r="C157" s="227"/>
      <c r="D157" s="227"/>
      <c r="E157" s="227"/>
      <c r="F157" s="227"/>
      <c r="G157" s="227"/>
      <c r="H157" s="227"/>
      <c r="I157" s="227"/>
      <c r="J157" s="227"/>
      <c r="K157" s="266" t="str">
        <f>IFERROR(IF(B157="","",IF(H157="Critique (danger sante)",B157+1,B157+5)),"")</f>
        <v>#ERROR!</v>
      </c>
      <c r="L157" s="266"/>
      <c r="M157" s="227"/>
      <c r="N157" s="233"/>
    </row>
    <row r="158">
      <c r="A158" s="424" t="str">
        <f>IF(C158="","","REC-"&amp;TEXT(YEAR(B158),"0000")&amp;"-"&amp;TEXT(ROW()-3,"000"))</f>
        <v>#ERROR!</v>
      </c>
      <c r="B158" s="425"/>
      <c r="C158" s="426"/>
      <c r="D158" s="426"/>
      <c r="E158" s="426"/>
      <c r="F158" s="426"/>
      <c r="G158" s="426"/>
      <c r="H158" s="426"/>
      <c r="I158" s="426"/>
      <c r="J158" s="426"/>
      <c r="K158" s="425" t="str">
        <f>IFERROR(IF(B158="","",IF(H158="Critique (danger sante)",B158+1,B158+5)),"")</f>
        <v>#ERROR!</v>
      </c>
      <c r="L158" s="425"/>
      <c r="M158" s="426"/>
      <c r="N158" s="427"/>
    </row>
    <row r="159">
      <c r="A159" s="424" t="str">
        <f>IF(C159="","","REC-"&amp;TEXT(YEAR(B159),"0000")&amp;"-"&amp;TEXT(ROW()-3,"000"))</f>
        <v>#ERROR!</v>
      </c>
      <c r="B159" s="266"/>
      <c r="C159" s="227"/>
      <c r="D159" s="227"/>
      <c r="E159" s="227"/>
      <c r="F159" s="227"/>
      <c r="G159" s="227"/>
      <c r="H159" s="227"/>
      <c r="I159" s="227"/>
      <c r="J159" s="227"/>
      <c r="K159" s="266" t="str">
        <f>IFERROR(IF(B159="","",IF(H159="Critique (danger sante)",B159+1,B159+5)),"")</f>
        <v>#ERROR!</v>
      </c>
      <c r="L159" s="266"/>
      <c r="M159" s="227"/>
      <c r="N159" s="233"/>
    </row>
    <row r="160">
      <c r="A160" s="424" t="str">
        <f>IF(C160="","","REC-"&amp;TEXT(YEAR(B160),"0000")&amp;"-"&amp;TEXT(ROW()-3,"000"))</f>
        <v>#ERROR!</v>
      </c>
      <c r="B160" s="425"/>
      <c r="C160" s="426"/>
      <c r="D160" s="426"/>
      <c r="E160" s="426"/>
      <c r="F160" s="426"/>
      <c r="G160" s="426"/>
      <c r="H160" s="426"/>
      <c r="I160" s="426"/>
      <c r="J160" s="426"/>
      <c r="K160" s="425" t="str">
        <f>IFERROR(IF(B160="","",IF(H160="Critique (danger sante)",B160+1,B160+5)),"")</f>
        <v>#ERROR!</v>
      </c>
      <c r="L160" s="425"/>
      <c r="M160" s="426"/>
      <c r="N160" s="427"/>
    </row>
    <row r="161">
      <c r="A161" s="424" t="str">
        <f>IF(C161="","","REC-"&amp;TEXT(YEAR(B161),"0000")&amp;"-"&amp;TEXT(ROW()-3,"000"))</f>
        <v>#ERROR!</v>
      </c>
      <c r="B161" s="266"/>
      <c r="C161" s="227"/>
      <c r="D161" s="227"/>
      <c r="E161" s="227"/>
      <c r="F161" s="227"/>
      <c r="G161" s="227"/>
      <c r="H161" s="227"/>
      <c r="I161" s="227"/>
      <c r="J161" s="227"/>
      <c r="K161" s="266" t="str">
        <f>IFERROR(IF(B161="","",IF(H161="Critique (danger sante)",B161+1,B161+5)),"")</f>
        <v>#ERROR!</v>
      </c>
      <c r="L161" s="266"/>
      <c r="M161" s="227"/>
      <c r="N161" s="233"/>
    </row>
    <row r="162">
      <c r="A162" s="424" t="str">
        <f>IF(C162="","","REC-"&amp;TEXT(YEAR(B162),"0000")&amp;"-"&amp;TEXT(ROW()-3,"000"))</f>
        <v>#ERROR!</v>
      </c>
      <c r="B162" s="425"/>
      <c r="C162" s="426"/>
      <c r="D162" s="426"/>
      <c r="E162" s="426"/>
      <c r="F162" s="426"/>
      <c r="G162" s="426"/>
      <c r="H162" s="426"/>
      <c r="I162" s="426"/>
      <c r="J162" s="426"/>
      <c r="K162" s="425" t="str">
        <f>IFERROR(IF(B162="","",IF(H162="Critique (danger sante)",B162+1,B162+5)),"")</f>
        <v>#ERROR!</v>
      </c>
      <c r="L162" s="425"/>
      <c r="M162" s="426"/>
      <c r="N162" s="427"/>
    </row>
    <row r="163">
      <c r="A163" s="424" t="str">
        <f>IF(C163="","","REC-"&amp;TEXT(YEAR(B163),"0000")&amp;"-"&amp;TEXT(ROW()-3,"000"))</f>
        <v>#ERROR!</v>
      </c>
      <c r="B163" s="266"/>
      <c r="C163" s="227"/>
      <c r="D163" s="227"/>
      <c r="E163" s="227"/>
      <c r="F163" s="227"/>
      <c r="G163" s="227"/>
      <c r="H163" s="227"/>
      <c r="I163" s="227"/>
      <c r="J163" s="227"/>
      <c r="K163" s="266" t="str">
        <f>IFERROR(IF(B163="","",IF(H163="Critique (danger sante)",B163+1,B163+5)),"")</f>
        <v>#ERROR!</v>
      </c>
      <c r="L163" s="266"/>
      <c r="M163" s="227"/>
      <c r="N163" s="233"/>
    </row>
    <row r="164">
      <c r="A164" s="424" t="str">
        <f>IF(C164="","","REC-"&amp;TEXT(YEAR(B164),"0000")&amp;"-"&amp;TEXT(ROW()-3,"000"))</f>
        <v>#ERROR!</v>
      </c>
      <c r="B164" s="425"/>
      <c r="C164" s="426"/>
      <c r="D164" s="426"/>
      <c r="E164" s="426"/>
      <c r="F164" s="426"/>
      <c r="G164" s="426"/>
      <c r="H164" s="426"/>
      <c r="I164" s="426"/>
      <c r="J164" s="426"/>
      <c r="K164" s="425" t="str">
        <f>IFERROR(IF(B164="","",IF(H164="Critique (danger sante)",B164+1,B164+5)),"")</f>
        <v>#ERROR!</v>
      </c>
      <c r="L164" s="425"/>
      <c r="M164" s="426"/>
      <c r="N164" s="427"/>
    </row>
    <row r="165">
      <c r="A165" s="424" t="str">
        <f>IF(C165="","","REC-"&amp;TEXT(YEAR(B165),"0000")&amp;"-"&amp;TEXT(ROW()-3,"000"))</f>
        <v>#ERROR!</v>
      </c>
      <c r="B165" s="266"/>
      <c r="C165" s="227"/>
      <c r="D165" s="227"/>
      <c r="E165" s="227"/>
      <c r="F165" s="227"/>
      <c r="G165" s="227"/>
      <c r="H165" s="227"/>
      <c r="I165" s="227"/>
      <c r="J165" s="227"/>
      <c r="K165" s="266" t="str">
        <f>IFERROR(IF(B165="","",IF(H165="Critique (danger sante)",B165+1,B165+5)),"")</f>
        <v>#ERROR!</v>
      </c>
      <c r="L165" s="266"/>
      <c r="M165" s="227"/>
      <c r="N165" s="233"/>
    </row>
    <row r="166">
      <c r="A166" s="424" t="str">
        <f>IF(C166="","","REC-"&amp;TEXT(YEAR(B166),"0000")&amp;"-"&amp;TEXT(ROW()-3,"000"))</f>
        <v>#ERROR!</v>
      </c>
      <c r="B166" s="425"/>
      <c r="C166" s="426"/>
      <c r="D166" s="426"/>
      <c r="E166" s="426"/>
      <c r="F166" s="426"/>
      <c r="G166" s="426"/>
      <c r="H166" s="426"/>
      <c r="I166" s="426"/>
      <c r="J166" s="426"/>
      <c r="K166" s="425" t="str">
        <f>IFERROR(IF(B166="","",IF(H166="Critique (danger sante)",B166+1,B166+5)),"")</f>
        <v>#ERROR!</v>
      </c>
      <c r="L166" s="425"/>
      <c r="M166" s="426"/>
      <c r="N166" s="427"/>
    </row>
    <row r="167">
      <c r="A167" s="424" t="str">
        <f>IF(C167="","","REC-"&amp;TEXT(YEAR(B167),"0000")&amp;"-"&amp;TEXT(ROW()-3,"000"))</f>
        <v>#ERROR!</v>
      </c>
      <c r="B167" s="266"/>
      <c r="C167" s="227"/>
      <c r="D167" s="227"/>
      <c r="E167" s="227"/>
      <c r="F167" s="227"/>
      <c r="G167" s="227"/>
      <c r="H167" s="227"/>
      <c r="I167" s="227"/>
      <c r="J167" s="227"/>
      <c r="K167" s="266" t="str">
        <f>IFERROR(IF(B167="","",IF(H167="Critique (danger sante)",B167+1,B167+5)),"")</f>
        <v>#ERROR!</v>
      </c>
      <c r="L167" s="266"/>
      <c r="M167" s="227"/>
      <c r="N167" s="233"/>
    </row>
    <row r="168">
      <c r="A168" s="424" t="str">
        <f>IF(C168="","","REC-"&amp;TEXT(YEAR(B168),"0000")&amp;"-"&amp;TEXT(ROW()-3,"000"))</f>
        <v>#ERROR!</v>
      </c>
      <c r="B168" s="425"/>
      <c r="C168" s="426"/>
      <c r="D168" s="426"/>
      <c r="E168" s="426"/>
      <c r="F168" s="426"/>
      <c r="G168" s="426"/>
      <c r="H168" s="426"/>
      <c r="I168" s="426"/>
      <c r="J168" s="426"/>
      <c r="K168" s="425" t="str">
        <f>IFERROR(IF(B168="","",IF(H168="Critique (danger sante)",B168+1,B168+5)),"")</f>
        <v>#ERROR!</v>
      </c>
      <c r="L168" s="425"/>
      <c r="M168" s="426"/>
      <c r="N168" s="427"/>
    </row>
    <row r="169">
      <c r="A169" s="424" t="str">
        <f>IF(C169="","","REC-"&amp;TEXT(YEAR(B169),"0000")&amp;"-"&amp;TEXT(ROW()-3,"000"))</f>
        <v>#ERROR!</v>
      </c>
      <c r="B169" s="266"/>
      <c r="C169" s="227"/>
      <c r="D169" s="227"/>
      <c r="E169" s="227"/>
      <c r="F169" s="227"/>
      <c r="G169" s="227"/>
      <c r="H169" s="227"/>
      <c r="I169" s="227"/>
      <c r="J169" s="227"/>
      <c r="K169" s="266" t="str">
        <f>IFERROR(IF(B169="","",IF(H169="Critique (danger sante)",B169+1,B169+5)),"")</f>
        <v>#ERROR!</v>
      </c>
      <c r="L169" s="266"/>
      <c r="M169" s="227"/>
      <c r="N169" s="233"/>
    </row>
    <row r="170">
      <c r="A170" s="424" t="str">
        <f>IF(C170="","","REC-"&amp;TEXT(YEAR(B170),"0000")&amp;"-"&amp;TEXT(ROW()-3,"000"))</f>
        <v>#ERROR!</v>
      </c>
      <c r="B170" s="425"/>
      <c r="C170" s="426"/>
      <c r="D170" s="426"/>
      <c r="E170" s="426"/>
      <c r="F170" s="426"/>
      <c r="G170" s="426"/>
      <c r="H170" s="426"/>
      <c r="I170" s="426"/>
      <c r="J170" s="426"/>
      <c r="K170" s="425" t="str">
        <f>IFERROR(IF(B170="","",IF(H170="Critique (danger sante)",B170+1,B170+5)),"")</f>
        <v>#ERROR!</v>
      </c>
      <c r="L170" s="425"/>
      <c r="M170" s="426"/>
      <c r="N170" s="427"/>
    </row>
    <row r="171">
      <c r="A171" s="424" t="str">
        <f>IF(C171="","","REC-"&amp;TEXT(YEAR(B171),"0000")&amp;"-"&amp;TEXT(ROW()-3,"000"))</f>
        <v>#ERROR!</v>
      </c>
      <c r="B171" s="266"/>
      <c r="C171" s="227"/>
      <c r="D171" s="227"/>
      <c r="E171" s="227"/>
      <c r="F171" s="227"/>
      <c r="G171" s="227"/>
      <c r="H171" s="227"/>
      <c r="I171" s="227"/>
      <c r="J171" s="227"/>
      <c r="K171" s="266" t="str">
        <f>IFERROR(IF(B171="","",IF(H171="Critique (danger sante)",B171+1,B171+5)),"")</f>
        <v>#ERROR!</v>
      </c>
      <c r="L171" s="266"/>
      <c r="M171" s="227"/>
      <c r="N171" s="233"/>
    </row>
    <row r="172">
      <c r="A172" s="424" t="str">
        <f>IF(C172="","","REC-"&amp;TEXT(YEAR(B172),"0000")&amp;"-"&amp;TEXT(ROW()-3,"000"))</f>
        <v>#ERROR!</v>
      </c>
      <c r="B172" s="425"/>
      <c r="C172" s="426"/>
      <c r="D172" s="426"/>
      <c r="E172" s="426"/>
      <c r="F172" s="426"/>
      <c r="G172" s="426"/>
      <c r="H172" s="426"/>
      <c r="I172" s="426"/>
      <c r="J172" s="426"/>
      <c r="K172" s="425" t="str">
        <f>IFERROR(IF(B172="","",IF(H172="Critique (danger sante)",B172+1,B172+5)),"")</f>
        <v>#ERROR!</v>
      </c>
      <c r="L172" s="425"/>
      <c r="M172" s="426"/>
      <c r="N172" s="427"/>
    </row>
    <row r="173">
      <c r="A173" s="424" t="str">
        <f>IF(C173="","","REC-"&amp;TEXT(YEAR(B173),"0000")&amp;"-"&amp;TEXT(ROW()-3,"000"))</f>
        <v>#ERROR!</v>
      </c>
      <c r="B173" s="266"/>
      <c r="C173" s="227"/>
      <c r="D173" s="227"/>
      <c r="E173" s="227"/>
      <c r="F173" s="227"/>
      <c r="G173" s="227"/>
      <c r="H173" s="227"/>
      <c r="I173" s="227"/>
      <c r="J173" s="227"/>
      <c r="K173" s="266" t="str">
        <f>IFERROR(IF(B173="","",IF(H173="Critique (danger sante)",B173+1,B173+5)),"")</f>
        <v>#ERROR!</v>
      </c>
      <c r="L173" s="266"/>
      <c r="M173" s="227"/>
      <c r="N173" s="233"/>
    </row>
    <row r="174">
      <c r="A174" s="424" t="str">
        <f>IF(C174="","","REC-"&amp;TEXT(YEAR(B174),"0000")&amp;"-"&amp;TEXT(ROW()-3,"000"))</f>
        <v>#ERROR!</v>
      </c>
      <c r="B174" s="425"/>
      <c r="C174" s="426"/>
      <c r="D174" s="426"/>
      <c r="E174" s="426"/>
      <c r="F174" s="426"/>
      <c r="G174" s="426"/>
      <c r="H174" s="426"/>
      <c r="I174" s="426"/>
      <c r="J174" s="426"/>
      <c r="K174" s="425" t="str">
        <f>IFERROR(IF(B174="","",IF(H174="Critique (danger sante)",B174+1,B174+5)),"")</f>
        <v>#ERROR!</v>
      </c>
      <c r="L174" s="425"/>
      <c r="M174" s="426"/>
      <c r="N174" s="427"/>
    </row>
    <row r="175">
      <c r="A175" s="424" t="str">
        <f>IF(C175="","","REC-"&amp;TEXT(YEAR(B175),"0000")&amp;"-"&amp;TEXT(ROW()-3,"000"))</f>
        <v>#ERROR!</v>
      </c>
      <c r="B175" s="266"/>
      <c r="C175" s="227"/>
      <c r="D175" s="227"/>
      <c r="E175" s="227"/>
      <c r="F175" s="227"/>
      <c r="G175" s="227"/>
      <c r="H175" s="227"/>
      <c r="I175" s="227"/>
      <c r="J175" s="227"/>
      <c r="K175" s="266" t="str">
        <f>IFERROR(IF(B175="","",IF(H175="Critique (danger sante)",B175+1,B175+5)),"")</f>
        <v>#ERROR!</v>
      </c>
      <c r="L175" s="266"/>
      <c r="M175" s="227"/>
      <c r="N175" s="233"/>
    </row>
    <row r="176">
      <c r="A176" s="424" t="str">
        <f>IF(C176="","","REC-"&amp;TEXT(YEAR(B176),"0000")&amp;"-"&amp;TEXT(ROW()-3,"000"))</f>
        <v>#ERROR!</v>
      </c>
      <c r="B176" s="425"/>
      <c r="C176" s="426"/>
      <c r="D176" s="426"/>
      <c r="E176" s="426"/>
      <c r="F176" s="426"/>
      <c r="G176" s="426"/>
      <c r="H176" s="426"/>
      <c r="I176" s="426"/>
      <c r="J176" s="426"/>
      <c r="K176" s="425" t="str">
        <f>IFERROR(IF(B176="","",IF(H176="Critique (danger sante)",B176+1,B176+5)),"")</f>
        <v>#ERROR!</v>
      </c>
      <c r="L176" s="425"/>
      <c r="M176" s="426"/>
      <c r="N176" s="427"/>
    </row>
    <row r="177">
      <c r="A177" s="424" t="str">
        <f>IF(C177="","","REC-"&amp;TEXT(YEAR(B177),"0000")&amp;"-"&amp;TEXT(ROW()-3,"000"))</f>
        <v>#ERROR!</v>
      </c>
      <c r="B177" s="266"/>
      <c r="C177" s="227"/>
      <c r="D177" s="227"/>
      <c r="E177" s="227"/>
      <c r="F177" s="227"/>
      <c r="G177" s="227"/>
      <c r="H177" s="227"/>
      <c r="I177" s="227"/>
      <c r="J177" s="227"/>
      <c r="K177" s="266" t="str">
        <f>IFERROR(IF(B177="","",IF(H177="Critique (danger sante)",B177+1,B177+5)),"")</f>
        <v>#ERROR!</v>
      </c>
      <c r="L177" s="266"/>
      <c r="M177" s="227"/>
      <c r="N177" s="233"/>
    </row>
    <row r="178">
      <c r="A178" s="424" t="str">
        <f>IF(C178="","","REC-"&amp;TEXT(YEAR(B178),"0000")&amp;"-"&amp;TEXT(ROW()-3,"000"))</f>
        <v>#ERROR!</v>
      </c>
      <c r="B178" s="425"/>
      <c r="C178" s="426"/>
      <c r="D178" s="426"/>
      <c r="E178" s="426"/>
      <c r="F178" s="426"/>
      <c r="G178" s="426"/>
      <c r="H178" s="426"/>
      <c r="I178" s="426"/>
      <c r="J178" s="426"/>
      <c r="K178" s="425" t="str">
        <f>IFERROR(IF(B178="","",IF(H178="Critique (danger sante)",B178+1,B178+5)),"")</f>
        <v>#ERROR!</v>
      </c>
      <c r="L178" s="425"/>
      <c r="M178" s="426"/>
      <c r="N178" s="427"/>
    </row>
    <row r="179">
      <c r="A179" s="424" t="str">
        <f>IF(C179="","","REC-"&amp;TEXT(YEAR(B179),"0000")&amp;"-"&amp;TEXT(ROW()-3,"000"))</f>
        <v>#ERROR!</v>
      </c>
      <c r="B179" s="266"/>
      <c r="C179" s="227"/>
      <c r="D179" s="227"/>
      <c r="E179" s="227"/>
      <c r="F179" s="227"/>
      <c r="G179" s="227"/>
      <c r="H179" s="227"/>
      <c r="I179" s="227"/>
      <c r="J179" s="227"/>
      <c r="K179" s="266" t="str">
        <f>IFERROR(IF(B179="","",IF(H179="Critique (danger sante)",B179+1,B179+5)),"")</f>
        <v>#ERROR!</v>
      </c>
      <c r="L179" s="266"/>
      <c r="M179" s="227"/>
      <c r="N179" s="233"/>
    </row>
    <row r="180">
      <c r="A180" s="424" t="str">
        <f>IF(C180="","","REC-"&amp;TEXT(YEAR(B180),"0000")&amp;"-"&amp;TEXT(ROW()-3,"000"))</f>
        <v>#ERROR!</v>
      </c>
      <c r="B180" s="425"/>
      <c r="C180" s="426"/>
      <c r="D180" s="426"/>
      <c r="E180" s="426"/>
      <c r="F180" s="426"/>
      <c r="G180" s="426"/>
      <c r="H180" s="426"/>
      <c r="I180" s="426"/>
      <c r="J180" s="426"/>
      <c r="K180" s="425" t="str">
        <f>IFERROR(IF(B180="","",IF(H180="Critique (danger sante)",B180+1,B180+5)),"")</f>
        <v>#ERROR!</v>
      </c>
      <c r="L180" s="425"/>
      <c r="M180" s="426"/>
      <c r="N180" s="427"/>
    </row>
    <row r="181">
      <c r="A181" s="424" t="str">
        <f>IF(C181="","","REC-"&amp;TEXT(YEAR(B181),"0000")&amp;"-"&amp;TEXT(ROW()-3,"000"))</f>
        <v>#ERROR!</v>
      </c>
      <c r="B181" s="266"/>
      <c r="C181" s="227"/>
      <c r="D181" s="227"/>
      <c r="E181" s="227"/>
      <c r="F181" s="227"/>
      <c r="G181" s="227"/>
      <c r="H181" s="227"/>
      <c r="I181" s="227"/>
      <c r="J181" s="227"/>
      <c r="K181" s="266" t="str">
        <f>IFERROR(IF(B181="","",IF(H181="Critique (danger sante)",B181+1,B181+5)),"")</f>
        <v>#ERROR!</v>
      </c>
      <c r="L181" s="266"/>
      <c r="M181" s="227"/>
      <c r="N181" s="233"/>
    </row>
    <row r="182">
      <c r="A182" s="424" t="str">
        <f>IF(C182="","","REC-"&amp;TEXT(YEAR(B182),"0000")&amp;"-"&amp;TEXT(ROW()-3,"000"))</f>
        <v>#ERROR!</v>
      </c>
      <c r="B182" s="425"/>
      <c r="C182" s="426"/>
      <c r="D182" s="426"/>
      <c r="E182" s="426"/>
      <c r="F182" s="426"/>
      <c r="G182" s="426"/>
      <c r="H182" s="426"/>
      <c r="I182" s="426"/>
      <c r="J182" s="426"/>
      <c r="K182" s="425" t="str">
        <f>IFERROR(IF(B182="","",IF(H182="Critique (danger sante)",B182+1,B182+5)),"")</f>
        <v>#ERROR!</v>
      </c>
      <c r="L182" s="425"/>
      <c r="M182" s="426"/>
      <c r="N182" s="427"/>
    </row>
    <row r="183">
      <c r="A183" s="424" t="str">
        <f>IF(C183="","","REC-"&amp;TEXT(YEAR(B183),"0000")&amp;"-"&amp;TEXT(ROW()-3,"000"))</f>
        <v>#ERROR!</v>
      </c>
      <c r="B183" s="266"/>
      <c r="C183" s="227"/>
      <c r="D183" s="227"/>
      <c r="E183" s="227"/>
      <c r="F183" s="227"/>
      <c r="G183" s="227"/>
      <c r="H183" s="227"/>
      <c r="I183" s="227"/>
      <c r="J183" s="227"/>
      <c r="K183" s="266" t="str">
        <f>IFERROR(IF(B183="","",IF(H183="Critique (danger sante)",B183+1,B183+5)),"")</f>
        <v>#ERROR!</v>
      </c>
      <c r="L183" s="266"/>
      <c r="M183" s="227"/>
      <c r="N183" s="233"/>
    </row>
    <row r="184">
      <c r="A184" s="424" t="str">
        <f>IF(C184="","","REC-"&amp;TEXT(YEAR(B184),"0000")&amp;"-"&amp;TEXT(ROW()-3,"000"))</f>
        <v>#ERROR!</v>
      </c>
      <c r="B184" s="425"/>
      <c r="C184" s="426"/>
      <c r="D184" s="426"/>
      <c r="E184" s="426"/>
      <c r="F184" s="426"/>
      <c r="G184" s="426"/>
      <c r="H184" s="426"/>
      <c r="I184" s="426"/>
      <c r="J184" s="426"/>
      <c r="K184" s="425" t="str">
        <f>IFERROR(IF(B184="","",IF(H184="Critique (danger sante)",B184+1,B184+5)),"")</f>
        <v>#ERROR!</v>
      </c>
      <c r="L184" s="425"/>
      <c r="M184" s="426"/>
      <c r="N184" s="427"/>
    </row>
    <row r="185">
      <c r="A185" s="424" t="str">
        <f>IF(C185="","","REC-"&amp;TEXT(YEAR(B185),"0000")&amp;"-"&amp;TEXT(ROW()-3,"000"))</f>
        <v>#ERROR!</v>
      </c>
      <c r="B185" s="266"/>
      <c r="C185" s="227"/>
      <c r="D185" s="227"/>
      <c r="E185" s="227"/>
      <c r="F185" s="227"/>
      <c r="G185" s="227"/>
      <c r="H185" s="227"/>
      <c r="I185" s="227"/>
      <c r="J185" s="227"/>
      <c r="K185" s="266" t="str">
        <f>IFERROR(IF(B185="","",IF(H185="Critique (danger sante)",B185+1,B185+5)),"")</f>
        <v>#ERROR!</v>
      </c>
      <c r="L185" s="266"/>
      <c r="M185" s="227"/>
      <c r="N185" s="233"/>
    </row>
    <row r="186">
      <c r="A186" s="424" t="str">
        <f>IF(C186="","","REC-"&amp;TEXT(YEAR(B186),"0000")&amp;"-"&amp;TEXT(ROW()-3,"000"))</f>
        <v>#ERROR!</v>
      </c>
      <c r="B186" s="425"/>
      <c r="C186" s="426"/>
      <c r="D186" s="426"/>
      <c r="E186" s="426"/>
      <c r="F186" s="426"/>
      <c r="G186" s="426"/>
      <c r="H186" s="426"/>
      <c r="I186" s="426"/>
      <c r="J186" s="426"/>
      <c r="K186" s="425" t="str">
        <f>IFERROR(IF(B186="","",IF(H186="Critique (danger sante)",B186+1,B186+5)),"")</f>
        <v>#ERROR!</v>
      </c>
      <c r="L186" s="425"/>
      <c r="M186" s="426"/>
      <c r="N186" s="427"/>
    </row>
    <row r="187">
      <c r="A187" s="424" t="str">
        <f>IF(C187="","","REC-"&amp;TEXT(YEAR(B187),"0000")&amp;"-"&amp;TEXT(ROW()-3,"000"))</f>
        <v>#ERROR!</v>
      </c>
      <c r="B187" s="266"/>
      <c r="C187" s="227"/>
      <c r="D187" s="227"/>
      <c r="E187" s="227"/>
      <c r="F187" s="227"/>
      <c r="G187" s="227"/>
      <c r="H187" s="227"/>
      <c r="I187" s="227"/>
      <c r="J187" s="227"/>
      <c r="K187" s="266" t="str">
        <f>IFERROR(IF(B187="","",IF(H187="Critique (danger sante)",B187+1,B187+5)),"")</f>
        <v>#ERROR!</v>
      </c>
      <c r="L187" s="266"/>
      <c r="M187" s="227"/>
      <c r="N187" s="233"/>
    </row>
    <row r="188">
      <c r="A188" s="424" t="str">
        <f>IF(C188="","","REC-"&amp;TEXT(YEAR(B188),"0000")&amp;"-"&amp;TEXT(ROW()-3,"000"))</f>
        <v>#ERROR!</v>
      </c>
      <c r="B188" s="425"/>
      <c r="C188" s="426"/>
      <c r="D188" s="426"/>
      <c r="E188" s="426"/>
      <c r="F188" s="426"/>
      <c r="G188" s="426"/>
      <c r="H188" s="426"/>
      <c r="I188" s="426"/>
      <c r="J188" s="426"/>
      <c r="K188" s="425" t="str">
        <f>IFERROR(IF(B188="","",IF(H188="Critique (danger sante)",B188+1,B188+5)),"")</f>
        <v>#ERROR!</v>
      </c>
      <c r="L188" s="425"/>
      <c r="M188" s="426"/>
      <c r="N188" s="427"/>
    </row>
    <row r="189">
      <c r="A189" s="424" t="str">
        <f>IF(C189="","","REC-"&amp;TEXT(YEAR(B189),"0000")&amp;"-"&amp;TEXT(ROW()-3,"000"))</f>
        <v>#ERROR!</v>
      </c>
      <c r="B189" s="266"/>
      <c r="C189" s="227"/>
      <c r="D189" s="227"/>
      <c r="E189" s="227"/>
      <c r="F189" s="227"/>
      <c r="G189" s="227"/>
      <c r="H189" s="227"/>
      <c r="I189" s="227"/>
      <c r="J189" s="227"/>
      <c r="K189" s="266" t="str">
        <f>IFERROR(IF(B189="","",IF(H189="Critique (danger sante)",B189+1,B189+5)),"")</f>
        <v>#ERROR!</v>
      </c>
      <c r="L189" s="266"/>
      <c r="M189" s="227"/>
      <c r="N189" s="233"/>
    </row>
    <row r="190">
      <c r="A190" s="424" t="str">
        <f>IF(C190="","","REC-"&amp;TEXT(YEAR(B190),"0000")&amp;"-"&amp;TEXT(ROW()-3,"000"))</f>
        <v>#ERROR!</v>
      </c>
      <c r="B190" s="425"/>
      <c r="C190" s="426"/>
      <c r="D190" s="426"/>
      <c r="E190" s="426"/>
      <c r="F190" s="426"/>
      <c r="G190" s="426"/>
      <c r="H190" s="426"/>
      <c r="I190" s="426"/>
      <c r="J190" s="426"/>
      <c r="K190" s="425" t="str">
        <f>IFERROR(IF(B190="","",IF(H190="Critique (danger sante)",B190+1,B190+5)),"")</f>
        <v>#ERROR!</v>
      </c>
      <c r="L190" s="425"/>
      <c r="M190" s="426"/>
      <c r="N190" s="427"/>
    </row>
    <row r="191">
      <c r="A191" s="424" t="str">
        <f>IF(C191="","","REC-"&amp;TEXT(YEAR(B191),"0000")&amp;"-"&amp;TEXT(ROW()-3,"000"))</f>
        <v>#ERROR!</v>
      </c>
      <c r="B191" s="266"/>
      <c r="C191" s="227"/>
      <c r="D191" s="227"/>
      <c r="E191" s="227"/>
      <c r="F191" s="227"/>
      <c r="G191" s="227"/>
      <c r="H191" s="227"/>
      <c r="I191" s="227"/>
      <c r="J191" s="227"/>
      <c r="K191" s="266" t="str">
        <f>IFERROR(IF(B191="","",IF(H191="Critique (danger sante)",B191+1,B191+5)),"")</f>
        <v>#ERROR!</v>
      </c>
      <c r="L191" s="266"/>
      <c r="M191" s="227"/>
      <c r="N191" s="233"/>
    </row>
    <row r="192">
      <c r="A192" s="424" t="str">
        <f>IF(C192="","","REC-"&amp;TEXT(YEAR(B192),"0000")&amp;"-"&amp;TEXT(ROW()-3,"000"))</f>
        <v>#ERROR!</v>
      </c>
      <c r="B192" s="425"/>
      <c r="C192" s="426"/>
      <c r="D192" s="426"/>
      <c r="E192" s="426"/>
      <c r="F192" s="426"/>
      <c r="G192" s="426"/>
      <c r="H192" s="426"/>
      <c r="I192" s="426"/>
      <c r="J192" s="426"/>
      <c r="K192" s="425" t="str">
        <f>IFERROR(IF(B192="","",IF(H192="Critique (danger sante)",B192+1,B192+5)),"")</f>
        <v>#ERROR!</v>
      </c>
      <c r="L192" s="425"/>
      <c r="M192" s="426"/>
      <c r="N192" s="427"/>
    </row>
    <row r="193">
      <c r="A193" s="424" t="str">
        <f>IF(C193="","","REC-"&amp;TEXT(YEAR(B193),"0000")&amp;"-"&amp;TEXT(ROW()-3,"000"))</f>
        <v>#ERROR!</v>
      </c>
      <c r="B193" s="266"/>
      <c r="C193" s="227"/>
      <c r="D193" s="227"/>
      <c r="E193" s="227"/>
      <c r="F193" s="227"/>
      <c r="G193" s="227"/>
      <c r="H193" s="227"/>
      <c r="I193" s="227"/>
      <c r="J193" s="227"/>
      <c r="K193" s="266" t="str">
        <f>IFERROR(IF(B193="","",IF(H193="Critique (danger sante)",B193+1,B193+5)),"")</f>
        <v>#ERROR!</v>
      </c>
      <c r="L193" s="266"/>
      <c r="M193" s="227"/>
      <c r="N193" s="233"/>
    </row>
    <row r="194">
      <c r="A194" s="424" t="str">
        <f>IF(C194="","","REC-"&amp;TEXT(YEAR(B194),"0000")&amp;"-"&amp;TEXT(ROW()-3,"000"))</f>
        <v>#ERROR!</v>
      </c>
      <c r="B194" s="425"/>
      <c r="C194" s="426"/>
      <c r="D194" s="426"/>
      <c r="E194" s="426"/>
      <c r="F194" s="426"/>
      <c r="G194" s="426"/>
      <c r="H194" s="426"/>
      <c r="I194" s="426"/>
      <c r="J194" s="426"/>
      <c r="K194" s="425" t="str">
        <f>IFERROR(IF(B194="","",IF(H194="Critique (danger sante)",B194+1,B194+5)),"")</f>
        <v>#ERROR!</v>
      </c>
      <c r="L194" s="425"/>
      <c r="M194" s="426"/>
      <c r="N194" s="427"/>
    </row>
    <row r="195">
      <c r="A195" s="424" t="str">
        <f>IF(C195="","","REC-"&amp;TEXT(YEAR(B195),"0000")&amp;"-"&amp;TEXT(ROW()-3,"000"))</f>
        <v>#ERROR!</v>
      </c>
      <c r="B195" s="266"/>
      <c r="C195" s="227"/>
      <c r="D195" s="227"/>
      <c r="E195" s="227"/>
      <c r="F195" s="227"/>
      <c r="G195" s="227"/>
      <c r="H195" s="227"/>
      <c r="I195" s="227"/>
      <c r="J195" s="227"/>
      <c r="K195" s="266" t="str">
        <f>IFERROR(IF(B195="","",IF(H195="Critique (danger sante)",B195+1,B195+5)),"")</f>
        <v>#ERROR!</v>
      </c>
      <c r="L195" s="266"/>
      <c r="M195" s="227"/>
      <c r="N195" s="233"/>
    </row>
    <row r="196">
      <c r="A196" s="424" t="str">
        <f>IF(C196="","","REC-"&amp;TEXT(YEAR(B196),"0000")&amp;"-"&amp;TEXT(ROW()-3,"000"))</f>
        <v>#ERROR!</v>
      </c>
      <c r="B196" s="425"/>
      <c r="C196" s="426"/>
      <c r="D196" s="426"/>
      <c r="E196" s="426"/>
      <c r="F196" s="426"/>
      <c r="G196" s="426"/>
      <c r="H196" s="426"/>
      <c r="I196" s="426"/>
      <c r="J196" s="426"/>
      <c r="K196" s="425" t="str">
        <f>IFERROR(IF(B196="","",IF(H196="Critique (danger sante)",B196+1,B196+5)),"")</f>
        <v>#ERROR!</v>
      </c>
      <c r="L196" s="425"/>
      <c r="M196" s="426"/>
      <c r="N196" s="427"/>
    </row>
    <row r="197">
      <c r="A197" s="424" t="str">
        <f>IF(C197="","","REC-"&amp;TEXT(YEAR(B197),"0000")&amp;"-"&amp;TEXT(ROW()-3,"000"))</f>
        <v>#ERROR!</v>
      </c>
      <c r="B197" s="266"/>
      <c r="C197" s="227"/>
      <c r="D197" s="227"/>
      <c r="E197" s="227"/>
      <c r="F197" s="227"/>
      <c r="G197" s="227"/>
      <c r="H197" s="227"/>
      <c r="I197" s="227"/>
      <c r="J197" s="227"/>
      <c r="K197" s="266" t="str">
        <f>IFERROR(IF(B197="","",IF(H197="Critique (danger sante)",B197+1,B197+5)),"")</f>
        <v>#ERROR!</v>
      </c>
      <c r="L197" s="266"/>
      <c r="M197" s="227"/>
      <c r="N197" s="233"/>
    </row>
    <row r="198">
      <c r="A198" s="424" t="str">
        <f>IF(C198="","","REC-"&amp;TEXT(YEAR(B198),"0000")&amp;"-"&amp;TEXT(ROW()-3,"000"))</f>
        <v>#ERROR!</v>
      </c>
      <c r="B198" s="425"/>
      <c r="C198" s="426"/>
      <c r="D198" s="426"/>
      <c r="E198" s="426"/>
      <c r="F198" s="426"/>
      <c r="G198" s="426"/>
      <c r="H198" s="426"/>
      <c r="I198" s="426"/>
      <c r="J198" s="426"/>
      <c r="K198" s="425" t="str">
        <f>IFERROR(IF(B198="","",IF(H198="Critique (danger sante)",B198+1,B198+5)),"")</f>
        <v>#ERROR!</v>
      </c>
      <c r="L198" s="425"/>
      <c r="M198" s="426"/>
      <c r="N198" s="427"/>
    </row>
    <row r="199">
      <c r="A199" s="424" t="str">
        <f>IF(C199="","","REC-"&amp;TEXT(YEAR(B199),"0000")&amp;"-"&amp;TEXT(ROW()-3,"000"))</f>
        <v>#ERROR!</v>
      </c>
      <c r="B199" s="266"/>
      <c r="C199" s="227"/>
      <c r="D199" s="227"/>
      <c r="E199" s="227"/>
      <c r="F199" s="227"/>
      <c r="G199" s="227"/>
      <c r="H199" s="227"/>
      <c r="I199" s="227"/>
      <c r="J199" s="227"/>
      <c r="K199" s="266" t="str">
        <f>IFERROR(IF(B199="","",IF(H199="Critique (danger sante)",B199+1,B199+5)),"")</f>
        <v>#ERROR!</v>
      </c>
      <c r="L199" s="266"/>
      <c r="M199" s="227"/>
      <c r="N199" s="233"/>
    </row>
    <row r="200">
      <c r="A200" s="424" t="str">
        <f>IF(C200="","","REC-"&amp;TEXT(YEAR(B200),"0000")&amp;"-"&amp;TEXT(ROW()-3,"000"))</f>
        <v>#ERROR!</v>
      </c>
      <c r="B200" s="425"/>
      <c r="C200" s="426"/>
      <c r="D200" s="426"/>
      <c r="E200" s="426"/>
      <c r="F200" s="426"/>
      <c r="G200" s="426"/>
      <c r="H200" s="426"/>
      <c r="I200" s="426"/>
      <c r="J200" s="426"/>
      <c r="K200" s="425" t="str">
        <f>IFERROR(IF(B200="","",IF(H200="Critique (danger sante)",B200+1,B200+5)),"")</f>
        <v>#ERROR!</v>
      </c>
      <c r="L200" s="425"/>
      <c r="M200" s="426"/>
      <c r="N200" s="427"/>
    </row>
    <row r="201">
      <c r="A201" s="424" t="str">
        <f>IF(C201="","","REC-"&amp;TEXT(YEAR(B201),"0000")&amp;"-"&amp;TEXT(ROW()-3,"000"))</f>
        <v>#ERROR!</v>
      </c>
      <c r="B201" s="266"/>
      <c r="C201" s="227"/>
      <c r="D201" s="227"/>
      <c r="E201" s="227"/>
      <c r="F201" s="227"/>
      <c r="G201" s="227"/>
      <c r="H201" s="227"/>
      <c r="I201" s="227"/>
      <c r="J201" s="227"/>
      <c r="K201" s="266" t="str">
        <f>IFERROR(IF(B201="","",IF(H201="Critique (danger sante)",B201+1,B201+5)),"")</f>
        <v>#ERROR!</v>
      </c>
      <c r="L201" s="266"/>
      <c r="M201" s="227"/>
      <c r="N201" s="233"/>
    </row>
    <row r="202">
      <c r="A202" s="424" t="str">
        <f>IF(C202="","","REC-"&amp;TEXT(YEAR(B202),"0000")&amp;"-"&amp;TEXT(ROW()-3,"000"))</f>
        <v>#ERROR!</v>
      </c>
      <c r="B202" s="425"/>
      <c r="C202" s="426"/>
      <c r="D202" s="426"/>
      <c r="E202" s="426"/>
      <c r="F202" s="426"/>
      <c r="G202" s="426"/>
      <c r="H202" s="426"/>
      <c r="I202" s="426"/>
      <c r="J202" s="426"/>
      <c r="K202" s="425" t="str">
        <f>IFERROR(IF(B202="","",IF(H202="Critique (danger sante)",B202+1,B202+5)),"")</f>
        <v>#ERROR!</v>
      </c>
      <c r="L202" s="425"/>
      <c r="M202" s="426"/>
      <c r="N202" s="427"/>
    </row>
    <row r="203">
      <c r="A203" s="428" t="str">
        <f>IF(C203="","","REC-"&amp;TEXT(YEAR(B203),"0000")&amp;"-"&amp;TEXT(ROW()-3,"000"))</f>
        <v>#ERROR!</v>
      </c>
      <c r="B203" s="272"/>
      <c r="C203" s="246"/>
      <c r="D203" s="246"/>
      <c r="E203" s="246"/>
      <c r="F203" s="246"/>
      <c r="G203" s="246"/>
      <c r="H203" s="246"/>
      <c r="I203" s="246"/>
      <c r="J203" s="246"/>
      <c r="K203" s="272" t="str">
        <f>IFERROR(IF(B203="","",IF(H203="Critique (danger sante)",B203+1,B203+5)),"")</f>
        <v>#ERROR!</v>
      </c>
      <c r="L203" s="272"/>
      <c r="M203" s="246"/>
      <c r="N203" s="251"/>
    </row>
  </sheetData>
  <mergeCells count="2">
    <mergeCell ref="A1:N1"/>
    <mergeCell ref="A2:N2"/>
  </mergeCells>
  <conditionalFormatting sqref="H4:H203">
    <cfRule type="containsText" dxfId="5" priority="1" stopIfTrue="1" operator="containsText" text="Critique">
      <formula>NOT(ISERROR(SEARCH(("Critique"),(H4))))</formula>
    </cfRule>
  </conditionalFormatting>
  <conditionalFormatting sqref="K4:K203">
    <cfRule type="expression" dxfId="0" priority="2" stopIfTrue="1">
      <formula>"=AND(K4&lt;TODAY(),M4&lt;&gt;"Cloturee",M4&lt;&gt;"Archivee",K4&lt;&gt;"")"</formula>
    </cfRule>
  </conditionalFormatting>
  <dataValidations>
    <dataValidation type="list" allowBlank="1" sqref="M4:M203">
      <formula1>"Ouverte,En cours,Repondue,Cloturee,Archivee"</formula1>
    </dataValidation>
    <dataValidation type="list" allowBlank="1" sqref="H4:H203">
      <formula1>"Critique (danger sante),Majeure (non-conformite),Mineure (qualite),Information"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1B9A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8.88"/>
    <col customWidth="1" min="2" max="2" width="25.13"/>
    <col customWidth="1" min="3" max="3" width="7.63"/>
    <col customWidth="1" min="4" max="4" width="8.88"/>
    <col customWidth="1" min="5" max="6" width="7.63"/>
    <col customWidth="1" min="7" max="7" width="8.88"/>
    <col customWidth="1" min="8" max="8" width="7.63"/>
    <col customWidth="1" min="9" max="9" width="10.13"/>
    <col customWidth="1" min="10" max="10" width="7.63"/>
    <col customWidth="1" min="11" max="11" width="8.88"/>
    <col customWidth="1" min="12" max="12" width="7.63"/>
    <col customWidth="1" min="13" max="13" width="8.88"/>
    <col customWidth="1" min="14" max="14" width="7.63"/>
    <col customWidth="1" min="15" max="15" width="8.88"/>
    <col customWidth="1" min="16" max="16" width="25.13"/>
    <col customWidth="1" min="17" max="20" width="8.88"/>
    <col customWidth="1" min="21" max="21" width="7.63"/>
    <col customWidth="1" min="22" max="22" width="22.63"/>
    <col customWidth="1" min="23" max="23" width="8.88"/>
    <col customWidth="1" min="24" max="24" width="18.88"/>
  </cols>
  <sheetData>
    <row r="1" ht="25.5" customHeight="1">
      <c r="A1" s="140" t="s">
        <v>1169</v>
      </c>
    </row>
    <row r="2" ht="25.5" customHeight="1">
      <c r="A2" s="275" t="s">
        <v>1170</v>
      </c>
    </row>
    <row r="3">
      <c r="A3" s="276" t="s">
        <v>1171</v>
      </c>
    </row>
    <row r="4" ht="27.0" customHeight="1">
      <c r="A4" s="158" t="s">
        <v>416</v>
      </c>
      <c r="B4" s="158" t="s">
        <v>1172</v>
      </c>
      <c r="C4" s="158" t="s">
        <v>425</v>
      </c>
      <c r="D4" s="158" t="s">
        <v>1173</v>
      </c>
      <c r="E4" s="158" t="s">
        <v>426</v>
      </c>
      <c r="F4" s="158" t="s">
        <v>1174</v>
      </c>
      <c r="G4" s="158" t="s">
        <v>1175</v>
      </c>
      <c r="H4" s="158" t="s">
        <v>427</v>
      </c>
      <c r="I4" s="158" t="s">
        <v>1176</v>
      </c>
      <c r="J4" s="158" t="s">
        <v>1177</v>
      </c>
      <c r="K4" s="158" t="s">
        <v>429</v>
      </c>
      <c r="L4" s="158" t="s">
        <v>1178</v>
      </c>
      <c r="M4" s="158" t="s">
        <v>428</v>
      </c>
      <c r="N4" s="158" t="s">
        <v>1179</v>
      </c>
      <c r="O4" s="158" t="s">
        <v>1180</v>
      </c>
      <c r="P4" s="158" t="s">
        <v>1181</v>
      </c>
      <c r="Q4" s="158" t="s">
        <v>431</v>
      </c>
      <c r="R4" s="158" t="s">
        <v>1182</v>
      </c>
      <c r="S4" s="158" t="s">
        <v>1183</v>
      </c>
      <c r="T4" s="158" t="s">
        <v>1184</v>
      </c>
      <c r="U4" s="158" t="s">
        <v>1185</v>
      </c>
      <c r="V4" s="158" t="s">
        <v>1186</v>
      </c>
      <c r="W4" s="158" t="s">
        <v>1187</v>
      </c>
      <c r="X4" s="158" t="s">
        <v>1188</v>
      </c>
    </row>
    <row r="5" ht="16.5" customHeight="1">
      <c r="A5" s="351" t="s">
        <v>436</v>
      </c>
      <c r="B5" s="32" t="s">
        <v>437</v>
      </c>
      <c r="C5" s="429">
        <v>0.0</v>
      </c>
      <c r="D5" s="429">
        <v>0.0</v>
      </c>
      <c r="E5" s="429">
        <v>0.0</v>
      </c>
      <c r="F5" s="429">
        <v>0.0</v>
      </c>
      <c r="G5" s="429">
        <v>0.0</v>
      </c>
      <c r="H5" s="429">
        <v>0.0</v>
      </c>
      <c r="I5" s="429">
        <v>0.0</v>
      </c>
      <c r="J5" s="429">
        <v>0.0</v>
      </c>
      <c r="K5" s="429">
        <v>0.0</v>
      </c>
      <c r="L5" s="430" t="s">
        <v>1189</v>
      </c>
      <c r="M5" s="431" t="str">
        <f>IFERROR(INDEX(Recettes!V:V,MATCH(A5,Recettes!A:A,0)),"")</f>
        <v>#ERROR!</v>
      </c>
      <c r="N5" s="431" t="str">
        <f>IFERROR(INDEX(Recettes!W:W,MATCH(A5,Recettes!A:A,0)),"")</f>
        <v>#ERROR!</v>
      </c>
      <c r="O5" s="431" t="str">
        <f>IFERROR(INDEX(Recettes!X:X,MATCH(A5,Recettes!A:A,0)),"")</f>
        <v>#ERROR!</v>
      </c>
      <c r="P5" s="432"/>
      <c r="Q5" s="433" t="str">
        <f>IFERROR(INDEX(Recettes!R:R,MATCH(A5,Recettes!A:A,0)),"")</f>
        <v>#ERROR!</v>
      </c>
      <c r="R5" s="433" t="str">
        <f>IFERROR(INDEX(Recettes!S:S,MATCH(A5,Recettes!A:A,0)),"")</f>
        <v>#ERROR!</v>
      </c>
      <c r="S5" s="433" t="str">
        <f>IFERROR(INDEX(Recettes!T:T,MATCH(A5,Recettes!A:A,0)),"")</f>
        <v>#ERROR!</v>
      </c>
      <c r="T5" s="433" t="str">
        <f>IFERROR(INDEX(Recettes!U:U,MATCH(A5,Recettes!A:A,0)),"")</f>
        <v>#ERROR!</v>
      </c>
      <c r="U5" s="433" t="str">
        <f>IFERROR(INDEX(Recettes!V:V,MATCH(A5,Recettes!A:A,0)),"")</f>
        <v>#ERROR!</v>
      </c>
      <c r="V5" s="434"/>
      <c r="W5" s="435" t="str">
        <f>IFERROR(INDEX(Config!B:B,MATCH("DDM appertisation standard (mois)",Config!A:A,0)),36)</f>
        <v>#ERROR!</v>
      </c>
      <c r="X5" s="436" t="str">
        <f>IFERROR(INDEX(Config!B:B,MATCH("Numero agrement DDPP",Config!A:A,0)),"A renseigner dans Config")</f>
        <v>#ERROR!</v>
      </c>
    </row>
    <row r="6" ht="16.5" customHeight="1">
      <c r="A6" s="351" t="s">
        <v>442</v>
      </c>
      <c r="B6" s="36" t="s">
        <v>443</v>
      </c>
      <c r="C6" s="431" t="str">
        <f>IFERROR(INDEX(Recettes!L:L,MATCH(A6,Recettes!A:A,0)),"")</f>
        <v>#ERROR!</v>
      </c>
      <c r="D6" s="431" t="str">
        <f>IFERROR(INDEX(Recettes!M:M,MATCH(A6,Recettes!A:A,0)),"")</f>
        <v>#ERROR!</v>
      </c>
      <c r="E6" s="431" t="str">
        <f>IFERROR(INDEX(Recettes!N:N,MATCH(A6,Recettes!A:A,0)),"")</f>
        <v>#ERROR!</v>
      </c>
      <c r="F6" s="431" t="str">
        <f>IFERROR(INDEX(Recettes!O:O,MATCH(A6,Recettes!A:A,0)),"")</f>
        <v>#ERROR!</v>
      </c>
      <c r="G6" s="431" t="str">
        <f>IFERROR(INDEX(Recettes!P:P,MATCH(A6,Recettes!A:A,0)),"")</f>
        <v>#ERROR!</v>
      </c>
      <c r="H6" s="431" t="str">
        <f>IFERROR(INDEX(Recettes!Q:Q,MATCH(A6,Recettes!A:A,0)),"")</f>
        <v>#ERROR!</v>
      </c>
      <c r="I6" s="431" t="str">
        <f>IFERROR(INDEX(Recettes!R:R,MATCH(A6,Recettes!A:A,0)),"")</f>
        <v>#ERROR!</v>
      </c>
      <c r="J6" s="431" t="str">
        <f>IFERROR(INDEX(Recettes!S:S,MATCH(A6,Recettes!A:A,0)),"")</f>
        <v>#ERROR!</v>
      </c>
      <c r="K6" s="431" t="str">
        <f>IFERROR(INDEX(Recettes!T:T,MATCH(A6,Recettes!A:A,0)),"")</f>
        <v>#ERROR!</v>
      </c>
      <c r="L6" s="431" t="str">
        <f>IFERROR(INDEX(Recettes!U:U,MATCH(A6,Recettes!A:A,0)),"")</f>
        <v>#ERROR!</v>
      </c>
      <c r="M6" s="431" t="str">
        <f>IFERROR(INDEX(Recettes!V:V,MATCH(A6,Recettes!A:A,0)),"")</f>
        <v>#ERROR!</v>
      </c>
      <c r="N6" s="431" t="str">
        <f>IFERROR(INDEX(Recettes!W:W,MATCH(A6,Recettes!A:A,0)),"")</f>
        <v>#ERROR!</v>
      </c>
      <c r="O6" s="431" t="str">
        <f>IFERROR(INDEX(Recettes!X:X,MATCH(A6,Recettes!A:A,0)),"")</f>
        <v>#ERROR!</v>
      </c>
      <c r="P6" s="432"/>
      <c r="Q6" s="433" t="str">
        <f>IFERROR(INDEX(Recettes!R:R,MATCH(A6,Recettes!A:A,0)),"")</f>
        <v>#ERROR!</v>
      </c>
      <c r="R6" s="433" t="str">
        <f>IFERROR(INDEX(Recettes!S:S,MATCH(A6,Recettes!A:A,0)),"")</f>
        <v>#ERROR!</v>
      </c>
      <c r="S6" s="433" t="str">
        <f>IFERROR(INDEX(Recettes!T:T,MATCH(A6,Recettes!A:A,0)),"")</f>
        <v>#ERROR!</v>
      </c>
      <c r="T6" s="433" t="str">
        <f>IFERROR(INDEX(Recettes!U:U,MATCH(A6,Recettes!A:A,0)),"")</f>
        <v>#ERROR!</v>
      </c>
      <c r="U6" s="433" t="str">
        <f>IFERROR(INDEX(Recettes!V:V,MATCH(A6,Recettes!A:A,0)),"")</f>
        <v>#ERROR!</v>
      </c>
      <c r="V6" s="434"/>
      <c r="W6" s="435" t="str">
        <f>IFERROR(INDEX(Config!B:B,MATCH("DDM appertisation standard (mois)",Config!A:A,0)),36)</f>
        <v>#ERROR!</v>
      </c>
      <c r="X6" s="436" t="str">
        <f>IFERROR(INDEX(Config!B:B,MATCH("Numero agrement DDPP",Config!A:A,0)),"A renseigner dans Config")</f>
        <v>#ERROR!</v>
      </c>
    </row>
    <row r="7" ht="16.5" customHeight="1">
      <c r="A7" s="351" t="s">
        <v>445</v>
      </c>
      <c r="B7" s="32" t="s">
        <v>446</v>
      </c>
      <c r="C7" s="431" t="str">
        <f>IFERROR(INDEX(Recettes!L:L,MATCH(A7,Recettes!A:A,0)),"")</f>
        <v>#ERROR!</v>
      </c>
      <c r="D7" s="431" t="str">
        <f>IFERROR(INDEX(Recettes!M:M,MATCH(A7,Recettes!A:A,0)),"")</f>
        <v>#ERROR!</v>
      </c>
      <c r="E7" s="431" t="str">
        <f>IFERROR(INDEX(Recettes!N:N,MATCH(A7,Recettes!A:A,0)),"")</f>
        <v>#ERROR!</v>
      </c>
      <c r="F7" s="431" t="str">
        <f>IFERROR(INDEX(Recettes!O:O,MATCH(A7,Recettes!A:A,0)),"")</f>
        <v>#ERROR!</v>
      </c>
      <c r="G7" s="431" t="str">
        <f>IFERROR(INDEX(Recettes!P:P,MATCH(A7,Recettes!A:A,0)),"")</f>
        <v>#ERROR!</v>
      </c>
      <c r="H7" s="431" t="str">
        <f>IFERROR(INDEX(Recettes!Q:Q,MATCH(A7,Recettes!A:A,0)),"")</f>
        <v>#ERROR!</v>
      </c>
      <c r="I7" s="431" t="str">
        <f>IFERROR(INDEX(Recettes!R:R,MATCH(A7,Recettes!A:A,0)),"")</f>
        <v>#ERROR!</v>
      </c>
      <c r="J7" s="431" t="str">
        <f>IFERROR(INDEX(Recettes!S:S,MATCH(A7,Recettes!A:A,0)),"")</f>
        <v>#ERROR!</v>
      </c>
      <c r="K7" s="431" t="str">
        <f>IFERROR(INDEX(Recettes!T:T,MATCH(A7,Recettes!A:A,0)),"")</f>
        <v>#ERROR!</v>
      </c>
      <c r="L7" s="431" t="str">
        <f>IFERROR(INDEX(Recettes!U:U,MATCH(A7,Recettes!A:A,0)),"")</f>
        <v>#ERROR!</v>
      </c>
      <c r="M7" s="431" t="str">
        <f>IFERROR(INDEX(Recettes!V:V,MATCH(A7,Recettes!A:A,0)),"")</f>
        <v>#ERROR!</v>
      </c>
      <c r="N7" s="431" t="str">
        <f>IFERROR(INDEX(Recettes!W:W,MATCH(A7,Recettes!A:A,0)),"")</f>
        <v>#ERROR!</v>
      </c>
      <c r="O7" s="431" t="str">
        <f>IFERROR(INDEX(Recettes!X:X,MATCH(A7,Recettes!A:A,0)),"")</f>
        <v>#ERROR!</v>
      </c>
      <c r="P7" s="432"/>
      <c r="Q7" s="433" t="str">
        <f>IFERROR(INDEX(Recettes!R:R,MATCH(A7,Recettes!A:A,0)),"")</f>
        <v>#ERROR!</v>
      </c>
      <c r="R7" s="433" t="str">
        <f>IFERROR(INDEX(Recettes!S:S,MATCH(A7,Recettes!A:A,0)),"")</f>
        <v>#ERROR!</v>
      </c>
      <c r="S7" s="433" t="str">
        <f>IFERROR(INDEX(Recettes!T:T,MATCH(A7,Recettes!A:A,0)),"")</f>
        <v>#ERROR!</v>
      </c>
      <c r="T7" s="433" t="str">
        <f>IFERROR(INDEX(Recettes!U:U,MATCH(A7,Recettes!A:A,0)),"")</f>
        <v>#ERROR!</v>
      </c>
      <c r="U7" s="433" t="str">
        <f>IFERROR(INDEX(Recettes!V:V,MATCH(A7,Recettes!A:A,0)),"")</f>
        <v>#ERROR!</v>
      </c>
      <c r="V7" s="434"/>
      <c r="W7" s="435" t="str">
        <f>IFERROR(INDEX(Config!B:B,MATCH("DDM appertisation standard (mois)",Config!A:A,0)),36)</f>
        <v>#ERROR!</v>
      </c>
      <c r="X7" s="436" t="str">
        <f>IFERROR(INDEX(Config!B:B,MATCH("Numero agrement DDPP",Config!A:A,0)),"A renseigner dans Config")</f>
        <v>#ERROR!</v>
      </c>
    </row>
    <row r="8" ht="16.5" customHeight="1">
      <c r="A8" s="351" t="s">
        <v>449</v>
      </c>
      <c r="B8" s="36" t="s">
        <v>450</v>
      </c>
      <c r="C8" s="431" t="str">
        <f>IFERROR(INDEX(Recettes!L:L,MATCH(A8,Recettes!A:A,0)),"")</f>
        <v>#ERROR!</v>
      </c>
      <c r="D8" s="431" t="str">
        <f>IFERROR(INDEX(Recettes!M:M,MATCH(A8,Recettes!A:A,0)),"")</f>
        <v>#ERROR!</v>
      </c>
      <c r="E8" s="431" t="str">
        <f>IFERROR(INDEX(Recettes!N:N,MATCH(A8,Recettes!A:A,0)),"")</f>
        <v>#ERROR!</v>
      </c>
      <c r="F8" s="431" t="str">
        <f>IFERROR(INDEX(Recettes!O:O,MATCH(A8,Recettes!A:A,0)),"")</f>
        <v>#ERROR!</v>
      </c>
      <c r="G8" s="431" t="str">
        <f>IFERROR(INDEX(Recettes!P:P,MATCH(A8,Recettes!A:A,0)),"")</f>
        <v>#ERROR!</v>
      </c>
      <c r="H8" s="431" t="str">
        <f>IFERROR(INDEX(Recettes!Q:Q,MATCH(A8,Recettes!A:A,0)),"")</f>
        <v>#ERROR!</v>
      </c>
      <c r="I8" s="431" t="str">
        <f>IFERROR(INDEX(Recettes!R:R,MATCH(A8,Recettes!A:A,0)),"")</f>
        <v>#ERROR!</v>
      </c>
      <c r="J8" s="431" t="str">
        <f>IFERROR(INDEX(Recettes!S:S,MATCH(A8,Recettes!A:A,0)),"")</f>
        <v>#ERROR!</v>
      </c>
      <c r="K8" s="431" t="str">
        <f>IFERROR(INDEX(Recettes!T:T,MATCH(A8,Recettes!A:A,0)),"")</f>
        <v>#ERROR!</v>
      </c>
      <c r="L8" s="431" t="str">
        <f>IFERROR(INDEX(Recettes!U:U,MATCH(A8,Recettes!A:A,0)),"")</f>
        <v>#ERROR!</v>
      </c>
      <c r="M8" s="431" t="str">
        <f>IFERROR(INDEX(Recettes!V:V,MATCH(A8,Recettes!A:A,0)),"")</f>
        <v>#ERROR!</v>
      </c>
      <c r="N8" s="431" t="str">
        <f>IFERROR(INDEX(Recettes!W:W,MATCH(A8,Recettes!A:A,0)),"")</f>
        <v>#ERROR!</v>
      </c>
      <c r="O8" s="431" t="str">
        <f>IFERROR(INDEX(Recettes!X:X,MATCH(A8,Recettes!A:A,0)),"")</f>
        <v>#ERROR!</v>
      </c>
      <c r="P8" s="432"/>
      <c r="Q8" s="433" t="str">
        <f>IFERROR(INDEX(Recettes!R:R,MATCH(A8,Recettes!A:A,0)),"")</f>
        <v>#ERROR!</v>
      </c>
      <c r="R8" s="433" t="str">
        <f>IFERROR(INDEX(Recettes!S:S,MATCH(A8,Recettes!A:A,0)),"")</f>
        <v>#ERROR!</v>
      </c>
      <c r="S8" s="433" t="str">
        <f>IFERROR(INDEX(Recettes!T:T,MATCH(A8,Recettes!A:A,0)),"")</f>
        <v>#ERROR!</v>
      </c>
      <c r="T8" s="433" t="str">
        <f>IFERROR(INDEX(Recettes!U:U,MATCH(A8,Recettes!A:A,0)),"")</f>
        <v>#ERROR!</v>
      </c>
      <c r="U8" s="433" t="str">
        <f>IFERROR(INDEX(Recettes!V:V,MATCH(A8,Recettes!A:A,0)),"")</f>
        <v>#ERROR!</v>
      </c>
      <c r="V8" s="434"/>
      <c r="W8" s="435" t="str">
        <f>IFERROR(INDEX(Config!B:B,MATCH("DDM appertisation standard (mois)",Config!A:A,0)),36)</f>
        <v>#ERROR!</v>
      </c>
      <c r="X8" s="436" t="str">
        <f>IFERROR(INDEX(Config!B:B,MATCH("Numero agrement DDPP",Config!A:A,0)),"A renseigner dans Config")</f>
        <v>#ERROR!</v>
      </c>
    </row>
    <row r="9" ht="16.5" customHeight="1">
      <c r="A9" s="351" t="s">
        <v>453</v>
      </c>
      <c r="B9" s="32" t="s">
        <v>454</v>
      </c>
      <c r="C9" s="431" t="str">
        <f>IFERROR(INDEX(Recettes!L:L,MATCH(A9,Recettes!A:A,0)),"")</f>
        <v>#ERROR!</v>
      </c>
      <c r="D9" s="431" t="str">
        <f>IFERROR(INDEX(Recettes!M:M,MATCH(A9,Recettes!A:A,0)),"")</f>
        <v>#ERROR!</v>
      </c>
      <c r="E9" s="431" t="str">
        <f>IFERROR(INDEX(Recettes!N:N,MATCH(A9,Recettes!A:A,0)),"")</f>
        <v>#ERROR!</v>
      </c>
      <c r="F9" s="431" t="str">
        <f>IFERROR(INDEX(Recettes!O:O,MATCH(A9,Recettes!A:A,0)),"")</f>
        <v>#ERROR!</v>
      </c>
      <c r="G9" s="431" t="str">
        <f>IFERROR(INDEX(Recettes!P:P,MATCH(A9,Recettes!A:A,0)),"")</f>
        <v>#ERROR!</v>
      </c>
      <c r="H9" s="431" t="str">
        <f>IFERROR(INDEX(Recettes!Q:Q,MATCH(A9,Recettes!A:A,0)),"")</f>
        <v>#ERROR!</v>
      </c>
      <c r="I9" s="431" t="str">
        <f>IFERROR(INDEX(Recettes!R:R,MATCH(A9,Recettes!A:A,0)),"")</f>
        <v>#ERROR!</v>
      </c>
      <c r="J9" s="431" t="str">
        <f>IFERROR(INDEX(Recettes!S:S,MATCH(A9,Recettes!A:A,0)),"")</f>
        <v>#ERROR!</v>
      </c>
      <c r="K9" s="431" t="str">
        <f>IFERROR(INDEX(Recettes!T:T,MATCH(A9,Recettes!A:A,0)),"")</f>
        <v>#ERROR!</v>
      </c>
      <c r="L9" s="431" t="str">
        <f>IFERROR(INDEX(Recettes!U:U,MATCH(A9,Recettes!A:A,0)),"")</f>
        <v>#ERROR!</v>
      </c>
      <c r="M9" s="431" t="str">
        <f>IFERROR(INDEX(Recettes!V:V,MATCH(A9,Recettes!A:A,0)),"")</f>
        <v>#ERROR!</v>
      </c>
      <c r="N9" s="431" t="str">
        <f>IFERROR(INDEX(Recettes!W:W,MATCH(A9,Recettes!A:A,0)),"")</f>
        <v>#ERROR!</v>
      </c>
      <c r="O9" s="431" t="str">
        <f>IFERROR(INDEX(Recettes!X:X,MATCH(A9,Recettes!A:A,0)),"")</f>
        <v>#ERROR!</v>
      </c>
      <c r="P9" s="432"/>
      <c r="Q9" s="433" t="str">
        <f>IFERROR(INDEX(Recettes!R:R,MATCH(A9,Recettes!A:A,0)),"")</f>
        <v>#ERROR!</v>
      </c>
      <c r="R9" s="433" t="str">
        <f>IFERROR(INDEX(Recettes!S:S,MATCH(A9,Recettes!A:A,0)),"")</f>
        <v>#ERROR!</v>
      </c>
      <c r="S9" s="433" t="str">
        <f>IFERROR(INDEX(Recettes!T:T,MATCH(A9,Recettes!A:A,0)),"")</f>
        <v>#ERROR!</v>
      </c>
      <c r="T9" s="433" t="str">
        <f>IFERROR(INDEX(Recettes!U:U,MATCH(A9,Recettes!A:A,0)),"")</f>
        <v>#ERROR!</v>
      </c>
      <c r="U9" s="433" t="str">
        <f>IFERROR(INDEX(Recettes!V:V,MATCH(A9,Recettes!A:A,0)),"")</f>
        <v>#ERROR!</v>
      </c>
      <c r="V9" s="434"/>
      <c r="W9" s="435" t="str">
        <f>IFERROR(INDEX(Config!B:B,MATCH("DDM appertisation standard (mois)",Config!A:A,0)),36)</f>
        <v>#ERROR!</v>
      </c>
      <c r="X9" s="436" t="str">
        <f>IFERROR(INDEX(Config!B:B,MATCH("Numero agrement DDPP",Config!A:A,0)),"A renseigner dans Config")</f>
        <v>#ERROR!</v>
      </c>
    </row>
    <row r="10" ht="16.5" customHeight="1">
      <c r="A10" s="351" t="s">
        <v>457</v>
      </c>
      <c r="B10" s="36" t="s">
        <v>458</v>
      </c>
      <c r="C10" s="431" t="str">
        <f>IFERROR(INDEX(Recettes!L:L,MATCH(A10,Recettes!A:A,0)),"")</f>
        <v>#ERROR!</v>
      </c>
      <c r="D10" s="431" t="str">
        <f>IFERROR(INDEX(Recettes!M:M,MATCH(A10,Recettes!A:A,0)),"")</f>
        <v>#ERROR!</v>
      </c>
      <c r="E10" s="431" t="str">
        <f>IFERROR(INDEX(Recettes!N:N,MATCH(A10,Recettes!A:A,0)),"")</f>
        <v>#ERROR!</v>
      </c>
      <c r="F10" s="431" t="str">
        <f>IFERROR(INDEX(Recettes!O:O,MATCH(A10,Recettes!A:A,0)),"")</f>
        <v>#ERROR!</v>
      </c>
      <c r="G10" s="431" t="str">
        <f>IFERROR(INDEX(Recettes!P:P,MATCH(A10,Recettes!A:A,0)),"")</f>
        <v>#ERROR!</v>
      </c>
      <c r="H10" s="431" t="str">
        <f>IFERROR(INDEX(Recettes!Q:Q,MATCH(A10,Recettes!A:A,0)),"")</f>
        <v>#ERROR!</v>
      </c>
      <c r="I10" s="431" t="str">
        <f>IFERROR(INDEX(Recettes!R:R,MATCH(A10,Recettes!A:A,0)),"")</f>
        <v>#ERROR!</v>
      </c>
      <c r="J10" s="431" t="str">
        <f>IFERROR(INDEX(Recettes!S:S,MATCH(A10,Recettes!A:A,0)),"")</f>
        <v>#ERROR!</v>
      </c>
      <c r="K10" s="431" t="str">
        <f>IFERROR(INDEX(Recettes!T:T,MATCH(A10,Recettes!A:A,0)),"")</f>
        <v>#ERROR!</v>
      </c>
      <c r="L10" s="431" t="str">
        <f>IFERROR(INDEX(Recettes!U:U,MATCH(A10,Recettes!A:A,0)),"")</f>
        <v>#ERROR!</v>
      </c>
      <c r="M10" s="431" t="str">
        <f>IFERROR(INDEX(Recettes!V:V,MATCH(A10,Recettes!A:A,0)),"")</f>
        <v>#ERROR!</v>
      </c>
      <c r="N10" s="431" t="str">
        <f>IFERROR(INDEX(Recettes!W:W,MATCH(A10,Recettes!A:A,0)),"")</f>
        <v>#ERROR!</v>
      </c>
      <c r="O10" s="431" t="str">
        <f>IFERROR(INDEX(Recettes!X:X,MATCH(A10,Recettes!A:A,0)),"")</f>
        <v>#ERROR!</v>
      </c>
      <c r="P10" s="432"/>
      <c r="Q10" s="433" t="str">
        <f>IFERROR(INDEX(Recettes!R:R,MATCH(A10,Recettes!A:A,0)),"")</f>
        <v>#ERROR!</v>
      </c>
      <c r="R10" s="433" t="str">
        <f>IFERROR(INDEX(Recettes!S:S,MATCH(A10,Recettes!A:A,0)),"")</f>
        <v>#ERROR!</v>
      </c>
      <c r="S10" s="433" t="str">
        <f>IFERROR(INDEX(Recettes!T:T,MATCH(A10,Recettes!A:A,0)),"")</f>
        <v>#ERROR!</v>
      </c>
      <c r="T10" s="433" t="str">
        <f>IFERROR(INDEX(Recettes!U:U,MATCH(A10,Recettes!A:A,0)),"")</f>
        <v>#ERROR!</v>
      </c>
      <c r="U10" s="433" t="str">
        <f>IFERROR(INDEX(Recettes!V:V,MATCH(A10,Recettes!A:A,0)),"")</f>
        <v>#ERROR!</v>
      </c>
      <c r="V10" s="434"/>
      <c r="W10" s="435" t="str">
        <f>IFERROR(INDEX(Config!B:B,MATCH("DDM appertisation standard (mois)",Config!A:A,0)),36)</f>
        <v>#ERROR!</v>
      </c>
      <c r="X10" s="436" t="str">
        <f>IFERROR(INDEX(Config!B:B,MATCH("Numero agrement DDPP",Config!A:A,0)),"A renseigner dans Config")</f>
        <v>#ERROR!</v>
      </c>
    </row>
    <row r="11" ht="16.5" customHeight="1">
      <c r="A11" s="351" t="s">
        <v>459</v>
      </c>
      <c r="B11" s="32" t="s">
        <v>460</v>
      </c>
      <c r="C11" s="431" t="str">
        <f>IFERROR(INDEX(Recettes!L:L,MATCH(A11,Recettes!A:A,0)),"")</f>
        <v>#ERROR!</v>
      </c>
      <c r="D11" s="431" t="str">
        <f>IFERROR(INDEX(Recettes!M:M,MATCH(A11,Recettes!A:A,0)),"")</f>
        <v>#ERROR!</v>
      </c>
      <c r="E11" s="431" t="str">
        <f>IFERROR(INDEX(Recettes!N:N,MATCH(A11,Recettes!A:A,0)),"")</f>
        <v>#ERROR!</v>
      </c>
      <c r="F11" s="431" t="str">
        <f>IFERROR(INDEX(Recettes!O:O,MATCH(A11,Recettes!A:A,0)),"")</f>
        <v>#ERROR!</v>
      </c>
      <c r="G11" s="431" t="str">
        <f>IFERROR(INDEX(Recettes!P:P,MATCH(A11,Recettes!A:A,0)),"")</f>
        <v>#ERROR!</v>
      </c>
      <c r="H11" s="431" t="str">
        <f>IFERROR(INDEX(Recettes!Q:Q,MATCH(A11,Recettes!A:A,0)),"")</f>
        <v>#ERROR!</v>
      </c>
      <c r="I11" s="431" t="str">
        <f>IFERROR(INDEX(Recettes!R:R,MATCH(A11,Recettes!A:A,0)),"")</f>
        <v>#ERROR!</v>
      </c>
      <c r="J11" s="431" t="str">
        <f>IFERROR(INDEX(Recettes!S:S,MATCH(A11,Recettes!A:A,0)),"")</f>
        <v>#ERROR!</v>
      </c>
      <c r="K11" s="431" t="str">
        <f>IFERROR(INDEX(Recettes!T:T,MATCH(A11,Recettes!A:A,0)),"")</f>
        <v>#ERROR!</v>
      </c>
      <c r="L11" s="431" t="str">
        <f>IFERROR(INDEX(Recettes!U:U,MATCH(A11,Recettes!A:A,0)),"")</f>
        <v>#ERROR!</v>
      </c>
      <c r="M11" s="431" t="str">
        <f>IFERROR(INDEX(Recettes!V:V,MATCH(A11,Recettes!A:A,0)),"")</f>
        <v>#ERROR!</v>
      </c>
      <c r="N11" s="431" t="str">
        <f>IFERROR(INDEX(Recettes!W:W,MATCH(A11,Recettes!A:A,0)),"")</f>
        <v>#ERROR!</v>
      </c>
      <c r="O11" s="431" t="str">
        <f>IFERROR(INDEX(Recettes!X:X,MATCH(A11,Recettes!A:A,0)),"")</f>
        <v>#ERROR!</v>
      </c>
      <c r="P11" s="432"/>
      <c r="Q11" s="433" t="str">
        <f>IFERROR(INDEX(Recettes!R:R,MATCH(A11,Recettes!A:A,0)),"")</f>
        <v>#ERROR!</v>
      </c>
      <c r="R11" s="433" t="str">
        <f>IFERROR(INDEX(Recettes!S:S,MATCH(A11,Recettes!A:A,0)),"")</f>
        <v>#ERROR!</v>
      </c>
      <c r="S11" s="433" t="str">
        <f>IFERROR(INDEX(Recettes!T:T,MATCH(A11,Recettes!A:A,0)),"")</f>
        <v>#ERROR!</v>
      </c>
      <c r="T11" s="433" t="str">
        <f>IFERROR(INDEX(Recettes!U:U,MATCH(A11,Recettes!A:A,0)),"")</f>
        <v>#ERROR!</v>
      </c>
      <c r="U11" s="433" t="str">
        <f>IFERROR(INDEX(Recettes!V:V,MATCH(A11,Recettes!A:A,0)),"")</f>
        <v>#ERROR!</v>
      </c>
      <c r="V11" s="434"/>
      <c r="W11" s="435" t="str">
        <f>IFERROR(INDEX(Config!B:B,MATCH("DDM appertisation standard (mois)",Config!A:A,0)),36)</f>
        <v>#ERROR!</v>
      </c>
      <c r="X11" s="436" t="str">
        <f>IFERROR(INDEX(Config!B:B,MATCH("Numero agrement DDPP",Config!A:A,0)),"A renseigner dans Config")</f>
        <v>#ERROR!</v>
      </c>
    </row>
    <row r="12" ht="16.5" customHeight="1">
      <c r="A12" s="351" t="s">
        <v>461</v>
      </c>
      <c r="B12" s="36" t="s">
        <v>462</v>
      </c>
      <c r="C12" s="431" t="str">
        <f>IFERROR(INDEX(Recettes!L:L,MATCH(A12,Recettes!A:A,0)),"")</f>
        <v>#ERROR!</v>
      </c>
      <c r="D12" s="431" t="str">
        <f>IFERROR(INDEX(Recettes!M:M,MATCH(A12,Recettes!A:A,0)),"")</f>
        <v>#ERROR!</v>
      </c>
      <c r="E12" s="431" t="str">
        <f>IFERROR(INDEX(Recettes!N:N,MATCH(A12,Recettes!A:A,0)),"")</f>
        <v>#ERROR!</v>
      </c>
      <c r="F12" s="431" t="str">
        <f>IFERROR(INDEX(Recettes!O:O,MATCH(A12,Recettes!A:A,0)),"")</f>
        <v>#ERROR!</v>
      </c>
      <c r="G12" s="431" t="str">
        <f>IFERROR(INDEX(Recettes!P:P,MATCH(A12,Recettes!A:A,0)),"")</f>
        <v>#ERROR!</v>
      </c>
      <c r="H12" s="431" t="str">
        <f>IFERROR(INDEX(Recettes!Q:Q,MATCH(A12,Recettes!A:A,0)),"")</f>
        <v>#ERROR!</v>
      </c>
      <c r="I12" s="431" t="str">
        <f>IFERROR(INDEX(Recettes!R:R,MATCH(A12,Recettes!A:A,0)),"")</f>
        <v>#ERROR!</v>
      </c>
      <c r="J12" s="431" t="str">
        <f>IFERROR(INDEX(Recettes!S:S,MATCH(A12,Recettes!A:A,0)),"")</f>
        <v>#ERROR!</v>
      </c>
      <c r="K12" s="431" t="str">
        <f>IFERROR(INDEX(Recettes!T:T,MATCH(A12,Recettes!A:A,0)),"")</f>
        <v>#ERROR!</v>
      </c>
      <c r="L12" s="431" t="str">
        <f>IFERROR(INDEX(Recettes!U:U,MATCH(A12,Recettes!A:A,0)),"")</f>
        <v>#ERROR!</v>
      </c>
      <c r="M12" s="431" t="str">
        <f>IFERROR(INDEX(Recettes!V:V,MATCH(A12,Recettes!A:A,0)),"")</f>
        <v>#ERROR!</v>
      </c>
      <c r="N12" s="431" t="str">
        <f>IFERROR(INDEX(Recettes!W:W,MATCH(A12,Recettes!A:A,0)),"")</f>
        <v>#ERROR!</v>
      </c>
      <c r="O12" s="431" t="str">
        <f>IFERROR(INDEX(Recettes!X:X,MATCH(A12,Recettes!A:A,0)),"")</f>
        <v>#ERROR!</v>
      </c>
      <c r="P12" s="432"/>
      <c r="Q12" s="433" t="str">
        <f>IFERROR(INDEX(Recettes!R:R,MATCH(A12,Recettes!A:A,0)),"")</f>
        <v>#ERROR!</v>
      </c>
      <c r="R12" s="433" t="str">
        <f>IFERROR(INDEX(Recettes!S:S,MATCH(A12,Recettes!A:A,0)),"")</f>
        <v>#ERROR!</v>
      </c>
      <c r="S12" s="433" t="str">
        <f>IFERROR(INDEX(Recettes!T:T,MATCH(A12,Recettes!A:A,0)),"")</f>
        <v>#ERROR!</v>
      </c>
      <c r="T12" s="433" t="str">
        <f>IFERROR(INDEX(Recettes!U:U,MATCH(A12,Recettes!A:A,0)),"")</f>
        <v>#ERROR!</v>
      </c>
      <c r="U12" s="433" t="str">
        <f>IFERROR(INDEX(Recettes!V:V,MATCH(A12,Recettes!A:A,0)),"")</f>
        <v>#ERROR!</v>
      </c>
      <c r="V12" s="434"/>
      <c r="W12" s="435" t="str">
        <f>IFERROR(INDEX(Config!B:B,MATCH("DDM appertisation standard (mois)",Config!A:A,0)),36)</f>
        <v>#ERROR!</v>
      </c>
      <c r="X12" s="436" t="str">
        <f>IFERROR(INDEX(Config!B:B,MATCH("Numero agrement DDPP",Config!A:A,0)),"A renseigner dans Config")</f>
        <v>#ERROR!</v>
      </c>
    </row>
    <row r="13" ht="16.5" customHeight="1">
      <c r="A13" s="351" t="s">
        <v>463</v>
      </c>
      <c r="B13" s="32" t="s">
        <v>464</v>
      </c>
      <c r="C13" s="431" t="str">
        <f>IFERROR(INDEX(Recettes!L:L,MATCH(A13,Recettes!A:A,0)),"")</f>
        <v>#ERROR!</v>
      </c>
      <c r="D13" s="431" t="str">
        <f>IFERROR(INDEX(Recettes!M:M,MATCH(A13,Recettes!A:A,0)),"")</f>
        <v>#ERROR!</v>
      </c>
      <c r="E13" s="431" t="str">
        <f>IFERROR(INDEX(Recettes!N:N,MATCH(A13,Recettes!A:A,0)),"")</f>
        <v>#ERROR!</v>
      </c>
      <c r="F13" s="431" t="str">
        <f>IFERROR(INDEX(Recettes!O:O,MATCH(A13,Recettes!A:A,0)),"")</f>
        <v>#ERROR!</v>
      </c>
      <c r="G13" s="431" t="str">
        <f>IFERROR(INDEX(Recettes!P:P,MATCH(A13,Recettes!A:A,0)),"")</f>
        <v>#ERROR!</v>
      </c>
      <c r="H13" s="431" t="str">
        <f>IFERROR(INDEX(Recettes!Q:Q,MATCH(A13,Recettes!A:A,0)),"")</f>
        <v>#ERROR!</v>
      </c>
      <c r="I13" s="431" t="str">
        <f>IFERROR(INDEX(Recettes!R:R,MATCH(A13,Recettes!A:A,0)),"")</f>
        <v>#ERROR!</v>
      </c>
      <c r="J13" s="431" t="str">
        <f>IFERROR(INDEX(Recettes!S:S,MATCH(A13,Recettes!A:A,0)),"")</f>
        <v>#ERROR!</v>
      </c>
      <c r="K13" s="431" t="str">
        <f>IFERROR(INDEX(Recettes!T:T,MATCH(A13,Recettes!A:A,0)),"")</f>
        <v>#ERROR!</v>
      </c>
      <c r="L13" s="431" t="str">
        <f>IFERROR(INDEX(Recettes!U:U,MATCH(A13,Recettes!A:A,0)),"")</f>
        <v>#ERROR!</v>
      </c>
      <c r="M13" s="431" t="str">
        <f>IFERROR(INDEX(Recettes!V:V,MATCH(A13,Recettes!A:A,0)),"")</f>
        <v>#ERROR!</v>
      </c>
      <c r="N13" s="431" t="str">
        <f>IFERROR(INDEX(Recettes!W:W,MATCH(A13,Recettes!A:A,0)),"")</f>
        <v>#ERROR!</v>
      </c>
      <c r="O13" s="431" t="str">
        <f>IFERROR(INDEX(Recettes!X:X,MATCH(A13,Recettes!A:A,0)),"")</f>
        <v>#ERROR!</v>
      </c>
      <c r="P13" s="432"/>
      <c r="Q13" s="433" t="str">
        <f>IFERROR(INDEX(Recettes!R:R,MATCH(A13,Recettes!A:A,0)),"")</f>
        <v>#ERROR!</v>
      </c>
      <c r="R13" s="433" t="str">
        <f>IFERROR(INDEX(Recettes!S:S,MATCH(A13,Recettes!A:A,0)),"")</f>
        <v>#ERROR!</v>
      </c>
      <c r="S13" s="433" t="str">
        <f>IFERROR(INDEX(Recettes!T:T,MATCH(A13,Recettes!A:A,0)),"")</f>
        <v>#ERROR!</v>
      </c>
      <c r="T13" s="433" t="str">
        <f>IFERROR(INDEX(Recettes!U:U,MATCH(A13,Recettes!A:A,0)),"")</f>
        <v>#ERROR!</v>
      </c>
      <c r="U13" s="433" t="str">
        <f>IFERROR(INDEX(Recettes!V:V,MATCH(A13,Recettes!A:A,0)),"")</f>
        <v>#ERROR!</v>
      </c>
      <c r="V13" s="434"/>
      <c r="W13" s="435" t="str">
        <f>IFERROR(INDEX(Config!B:B,MATCH("DDM appertisation standard (mois)",Config!A:A,0)),36)</f>
        <v>#ERROR!</v>
      </c>
      <c r="X13" s="436" t="str">
        <f>IFERROR(INDEX(Config!B:B,MATCH("Numero agrement DDPP",Config!A:A,0)),"A renseigner dans Config")</f>
        <v>#ERROR!</v>
      </c>
    </row>
    <row r="14" ht="16.5" customHeight="1">
      <c r="A14" s="351" t="s">
        <v>465</v>
      </c>
      <c r="B14" s="36" t="s">
        <v>466</v>
      </c>
      <c r="C14" s="431" t="str">
        <f>IFERROR(INDEX(Recettes!L:L,MATCH(A14,Recettes!A:A,0)),"")</f>
        <v>#ERROR!</v>
      </c>
      <c r="D14" s="431" t="str">
        <f>IFERROR(INDEX(Recettes!M:M,MATCH(A14,Recettes!A:A,0)),"")</f>
        <v>#ERROR!</v>
      </c>
      <c r="E14" s="431" t="str">
        <f>IFERROR(INDEX(Recettes!N:N,MATCH(A14,Recettes!A:A,0)),"")</f>
        <v>#ERROR!</v>
      </c>
      <c r="F14" s="431" t="str">
        <f>IFERROR(INDEX(Recettes!O:O,MATCH(A14,Recettes!A:A,0)),"")</f>
        <v>#ERROR!</v>
      </c>
      <c r="G14" s="431" t="str">
        <f>IFERROR(INDEX(Recettes!P:P,MATCH(A14,Recettes!A:A,0)),"")</f>
        <v>#ERROR!</v>
      </c>
      <c r="H14" s="431" t="str">
        <f>IFERROR(INDEX(Recettes!Q:Q,MATCH(A14,Recettes!A:A,0)),"")</f>
        <v>#ERROR!</v>
      </c>
      <c r="I14" s="431" t="str">
        <f>IFERROR(INDEX(Recettes!R:R,MATCH(A14,Recettes!A:A,0)),"")</f>
        <v>#ERROR!</v>
      </c>
      <c r="J14" s="431" t="str">
        <f>IFERROR(INDEX(Recettes!S:S,MATCH(A14,Recettes!A:A,0)),"")</f>
        <v>#ERROR!</v>
      </c>
      <c r="K14" s="431" t="str">
        <f>IFERROR(INDEX(Recettes!T:T,MATCH(A14,Recettes!A:A,0)),"")</f>
        <v>#ERROR!</v>
      </c>
      <c r="L14" s="431" t="str">
        <f>IFERROR(INDEX(Recettes!U:U,MATCH(A14,Recettes!A:A,0)),"")</f>
        <v>#ERROR!</v>
      </c>
      <c r="M14" s="431" t="str">
        <f>IFERROR(INDEX(Recettes!V:V,MATCH(A14,Recettes!A:A,0)),"")</f>
        <v>#ERROR!</v>
      </c>
      <c r="N14" s="431" t="str">
        <f>IFERROR(INDEX(Recettes!W:W,MATCH(A14,Recettes!A:A,0)),"")</f>
        <v>#ERROR!</v>
      </c>
      <c r="O14" s="431" t="str">
        <f>IFERROR(INDEX(Recettes!X:X,MATCH(A14,Recettes!A:A,0)),"")</f>
        <v>#ERROR!</v>
      </c>
      <c r="P14" s="432"/>
      <c r="Q14" s="433" t="str">
        <f>IFERROR(INDEX(Recettes!R:R,MATCH(A14,Recettes!A:A,0)),"")</f>
        <v>#ERROR!</v>
      </c>
      <c r="R14" s="433" t="str">
        <f>IFERROR(INDEX(Recettes!S:S,MATCH(A14,Recettes!A:A,0)),"")</f>
        <v>#ERROR!</v>
      </c>
      <c r="S14" s="433" t="str">
        <f>IFERROR(INDEX(Recettes!T:T,MATCH(A14,Recettes!A:A,0)),"")</f>
        <v>#ERROR!</v>
      </c>
      <c r="T14" s="433" t="str">
        <f>IFERROR(INDEX(Recettes!U:U,MATCH(A14,Recettes!A:A,0)),"")</f>
        <v>#ERROR!</v>
      </c>
      <c r="U14" s="433" t="str">
        <f>IFERROR(INDEX(Recettes!V:V,MATCH(A14,Recettes!A:A,0)),"")</f>
        <v>#ERROR!</v>
      </c>
      <c r="V14" s="434"/>
      <c r="W14" s="435" t="str">
        <f>IFERROR(INDEX(Config!B:B,MATCH("DDM appertisation standard (mois)",Config!A:A,0)),36)</f>
        <v>#ERROR!</v>
      </c>
      <c r="X14" s="436" t="str">
        <f>IFERROR(INDEX(Config!B:B,MATCH("Numero agrement DDPP",Config!A:A,0)),"A renseigner dans Config")</f>
        <v>#ERROR!</v>
      </c>
    </row>
    <row r="15" ht="16.5" customHeight="1">
      <c r="A15" s="351" t="s">
        <v>467</v>
      </c>
      <c r="B15" s="32" t="s">
        <v>468</v>
      </c>
      <c r="C15" s="431" t="str">
        <f>IFERROR(INDEX(Recettes!L:L,MATCH(A15,Recettes!A:A,0)),"")</f>
        <v>#ERROR!</v>
      </c>
      <c r="D15" s="431" t="str">
        <f>IFERROR(INDEX(Recettes!M:M,MATCH(A15,Recettes!A:A,0)),"")</f>
        <v>#ERROR!</v>
      </c>
      <c r="E15" s="431" t="str">
        <f>IFERROR(INDEX(Recettes!N:N,MATCH(A15,Recettes!A:A,0)),"")</f>
        <v>#ERROR!</v>
      </c>
      <c r="F15" s="431" t="str">
        <f>IFERROR(INDEX(Recettes!O:O,MATCH(A15,Recettes!A:A,0)),"")</f>
        <v>#ERROR!</v>
      </c>
      <c r="G15" s="431" t="str">
        <f>IFERROR(INDEX(Recettes!P:P,MATCH(A15,Recettes!A:A,0)),"")</f>
        <v>#ERROR!</v>
      </c>
      <c r="H15" s="431" t="str">
        <f>IFERROR(INDEX(Recettes!Q:Q,MATCH(A15,Recettes!A:A,0)),"")</f>
        <v>#ERROR!</v>
      </c>
      <c r="I15" s="431" t="str">
        <f>IFERROR(INDEX(Recettes!R:R,MATCH(A15,Recettes!A:A,0)),"")</f>
        <v>#ERROR!</v>
      </c>
      <c r="J15" s="431" t="str">
        <f>IFERROR(INDEX(Recettes!S:S,MATCH(A15,Recettes!A:A,0)),"")</f>
        <v>#ERROR!</v>
      </c>
      <c r="K15" s="431" t="str">
        <f>IFERROR(INDEX(Recettes!T:T,MATCH(A15,Recettes!A:A,0)),"")</f>
        <v>#ERROR!</v>
      </c>
      <c r="L15" s="431" t="str">
        <f>IFERROR(INDEX(Recettes!U:U,MATCH(A15,Recettes!A:A,0)),"")</f>
        <v>#ERROR!</v>
      </c>
      <c r="M15" s="431" t="str">
        <f>IFERROR(INDEX(Recettes!V:V,MATCH(A15,Recettes!A:A,0)),"")</f>
        <v>#ERROR!</v>
      </c>
      <c r="N15" s="431" t="str">
        <f>IFERROR(INDEX(Recettes!W:W,MATCH(A15,Recettes!A:A,0)),"")</f>
        <v>#ERROR!</v>
      </c>
      <c r="O15" s="431" t="str">
        <f>IFERROR(INDEX(Recettes!X:X,MATCH(A15,Recettes!A:A,0)),"")</f>
        <v>#ERROR!</v>
      </c>
      <c r="P15" s="432"/>
      <c r="Q15" s="433" t="str">
        <f>IFERROR(INDEX(Recettes!R:R,MATCH(A15,Recettes!A:A,0)),"")</f>
        <v>#ERROR!</v>
      </c>
      <c r="R15" s="433" t="str">
        <f>IFERROR(INDEX(Recettes!S:S,MATCH(A15,Recettes!A:A,0)),"")</f>
        <v>#ERROR!</v>
      </c>
      <c r="S15" s="433" t="str">
        <f>IFERROR(INDEX(Recettes!T:T,MATCH(A15,Recettes!A:A,0)),"")</f>
        <v>#ERROR!</v>
      </c>
      <c r="T15" s="433" t="str">
        <f>IFERROR(INDEX(Recettes!U:U,MATCH(A15,Recettes!A:A,0)),"")</f>
        <v>#ERROR!</v>
      </c>
      <c r="U15" s="433" t="str">
        <f>IFERROR(INDEX(Recettes!V:V,MATCH(A15,Recettes!A:A,0)),"")</f>
        <v>#ERROR!</v>
      </c>
      <c r="V15" s="434"/>
      <c r="W15" s="435" t="str">
        <f>IFERROR(INDEX(Config!B:B,MATCH("DDM appertisation standard (mois)",Config!A:A,0)),36)</f>
        <v>#ERROR!</v>
      </c>
      <c r="X15" s="436" t="str">
        <f>IFERROR(INDEX(Config!B:B,MATCH("Numero agrement DDPP",Config!A:A,0)),"A renseigner dans Config")</f>
        <v>#ERROR!</v>
      </c>
    </row>
    <row r="16" ht="16.5" customHeight="1">
      <c r="A16" s="351" t="s">
        <v>469</v>
      </c>
      <c r="B16" s="36" t="s">
        <v>470</v>
      </c>
      <c r="C16" s="431" t="str">
        <f>IFERROR(INDEX(Recettes!L:L,MATCH(A16,Recettes!A:A,0)),"")</f>
        <v>#ERROR!</v>
      </c>
      <c r="D16" s="431" t="str">
        <f>IFERROR(INDEX(Recettes!M:M,MATCH(A16,Recettes!A:A,0)),"")</f>
        <v>#ERROR!</v>
      </c>
      <c r="E16" s="431" t="str">
        <f>IFERROR(INDEX(Recettes!N:N,MATCH(A16,Recettes!A:A,0)),"")</f>
        <v>#ERROR!</v>
      </c>
      <c r="F16" s="431" t="str">
        <f>IFERROR(INDEX(Recettes!O:O,MATCH(A16,Recettes!A:A,0)),"")</f>
        <v>#ERROR!</v>
      </c>
      <c r="G16" s="431" t="str">
        <f>IFERROR(INDEX(Recettes!P:P,MATCH(A16,Recettes!A:A,0)),"")</f>
        <v>#ERROR!</v>
      </c>
      <c r="H16" s="431" t="str">
        <f>IFERROR(INDEX(Recettes!Q:Q,MATCH(A16,Recettes!A:A,0)),"")</f>
        <v>#ERROR!</v>
      </c>
      <c r="I16" s="431" t="str">
        <f>IFERROR(INDEX(Recettes!R:R,MATCH(A16,Recettes!A:A,0)),"")</f>
        <v>#ERROR!</v>
      </c>
      <c r="J16" s="431" t="str">
        <f>IFERROR(INDEX(Recettes!S:S,MATCH(A16,Recettes!A:A,0)),"")</f>
        <v>#ERROR!</v>
      </c>
      <c r="K16" s="431" t="str">
        <f>IFERROR(INDEX(Recettes!T:T,MATCH(A16,Recettes!A:A,0)),"")</f>
        <v>#ERROR!</v>
      </c>
      <c r="L16" s="431" t="str">
        <f>IFERROR(INDEX(Recettes!U:U,MATCH(A16,Recettes!A:A,0)),"")</f>
        <v>#ERROR!</v>
      </c>
      <c r="M16" s="431" t="str">
        <f>IFERROR(INDEX(Recettes!V:V,MATCH(A16,Recettes!A:A,0)),"")</f>
        <v>#ERROR!</v>
      </c>
      <c r="N16" s="431" t="str">
        <f>IFERROR(INDEX(Recettes!W:W,MATCH(A16,Recettes!A:A,0)),"")</f>
        <v>#ERROR!</v>
      </c>
      <c r="O16" s="431" t="str">
        <f>IFERROR(INDEX(Recettes!X:X,MATCH(A16,Recettes!A:A,0)),"")</f>
        <v>#ERROR!</v>
      </c>
      <c r="P16" s="432"/>
      <c r="Q16" s="433" t="str">
        <f>IFERROR(INDEX(Recettes!R:R,MATCH(A16,Recettes!A:A,0)),"")</f>
        <v>#ERROR!</v>
      </c>
      <c r="R16" s="433" t="str">
        <f>IFERROR(INDEX(Recettes!S:S,MATCH(A16,Recettes!A:A,0)),"")</f>
        <v>#ERROR!</v>
      </c>
      <c r="S16" s="433" t="str">
        <f>IFERROR(INDEX(Recettes!T:T,MATCH(A16,Recettes!A:A,0)),"")</f>
        <v>#ERROR!</v>
      </c>
      <c r="T16" s="433" t="str">
        <f>IFERROR(INDEX(Recettes!U:U,MATCH(A16,Recettes!A:A,0)),"")</f>
        <v>#ERROR!</v>
      </c>
      <c r="U16" s="433" t="str">
        <f>IFERROR(INDEX(Recettes!V:V,MATCH(A16,Recettes!A:A,0)),"")</f>
        <v>#ERROR!</v>
      </c>
      <c r="V16" s="434"/>
      <c r="W16" s="435" t="str">
        <f>IFERROR(INDEX(Config!B:B,MATCH("DDM appertisation standard (mois)",Config!A:A,0)),36)</f>
        <v>#ERROR!</v>
      </c>
      <c r="X16" s="436" t="str">
        <f>IFERROR(INDEX(Config!B:B,MATCH("Numero agrement DDPP",Config!A:A,0)),"A renseigner dans Config")</f>
        <v>#ERROR!</v>
      </c>
    </row>
    <row r="17" ht="16.5" customHeight="1">
      <c r="A17" s="351" t="s">
        <v>471</v>
      </c>
      <c r="B17" s="32" t="s">
        <v>472</v>
      </c>
      <c r="C17" s="431" t="str">
        <f>IFERROR(INDEX(Recettes!L:L,MATCH(A17,Recettes!A:A,0)),"")</f>
        <v>#ERROR!</v>
      </c>
      <c r="D17" s="431" t="str">
        <f>IFERROR(INDEX(Recettes!M:M,MATCH(A17,Recettes!A:A,0)),"")</f>
        <v>#ERROR!</v>
      </c>
      <c r="E17" s="431" t="str">
        <f>IFERROR(INDEX(Recettes!N:N,MATCH(A17,Recettes!A:A,0)),"")</f>
        <v>#ERROR!</v>
      </c>
      <c r="F17" s="431" t="str">
        <f>IFERROR(INDEX(Recettes!O:O,MATCH(A17,Recettes!A:A,0)),"")</f>
        <v>#ERROR!</v>
      </c>
      <c r="G17" s="431" t="str">
        <f>IFERROR(INDEX(Recettes!P:P,MATCH(A17,Recettes!A:A,0)),"")</f>
        <v>#ERROR!</v>
      </c>
      <c r="H17" s="431" t="str">
        <f>IFERROR(INDEX(Recettes!Q:Q,MATCH(A17,Recettes!A:A,0)),"")</f>
        <v>#ERROR!</v>
      </c>
      <c r="I17" s="431" t="str">
        <f>IFERROR(INDEX(Recettes!R:R,MATCH(A17,Recettes!A:A,0)),"")</f>
        <v>#ERROR!</v>
      </c>
      <c r="J17" s="431" t="str">
        <f>IFERROR(INDEX(Recettes!S:S,MATCH(A17,Recettes!A:A,0)),"")</f>
        <v>#ERROR!</v>
      </c>
      <c r="K17" s="431" t="str">
        <f>IFERROR(INDEX(Recettes!T:T,MATCH(A17,Recettes!A:A,0)),"")</f>
        <v>#ERROR!</v>
      </c>
      <c r="L17" s="431" t="str">
        <f>IFERROR(INDEX(Recettes!U:U,MATCH(A17,Recettes!A:A,0)),"")</f>
        <v>#ERROR!</v>
      </c>
      <c r="M17" s="431" t="str">
        <f>IFERROR(INDEX(Recettes!V:V,MATCH(A17,Recettes!A:A,0)),"")</f>
        <v>#ERROR!</v>
      </c>
      <c r="N17" s="431" t="str">
        <f>IFERROR(INDEX(Recettes!W:W,MATCH(A17,Recettes!A:A,0)),"")</f>
        <v>#ERROR!</v>
      </c>
      <c r="O17" s="431" t="str">
        <f>IFERROR(INDEX(Recettes!X:X,MATCH(A17,Recettes!A:A,0)),"")</f>
        <v>#ERROR!</v>
      </c>
      <c r="P17" s="432"/>
      <c r="Q17" s="433" t="str">
        <f>IFERROR(INDEX(Recettes!R:R,MATCH(A17,Recettes!A:A,0)),"")</f>
        <v>#ERROR!</v>
      </c>
      <c r="R17" s="433" t="str">
        <f>IFERROR(INDEX(Recettes!S:S,MATCH(A17,Recettes!A:A,0)),"")</f>
        <v>#ERROR!</v>
      </c>
      <c r="S17" s="433" t="str">
        <f>IFERROR(INDEX(Recettes!T:T,MATCH(A17,Recettes!A:A,0)),"")</f>
        <v>#ERROR!</v>
      </c>
      <c r="T17" s="433" t="str">
        <f>IFERROR(INDEX(Recettes!U:U,MATCH(A17,Recettes!A:A,0)),"")</f>
        <v>#ERROR!</v>
      </c>
      <c r="U17" s="433" t="str">
        <f>IFERROR(INDEX(Recettes!V:V,MATCH(A17,Recettes!A:A,0)),"")</f>
        <v>#ERROR!</v>
      </c>
      <c r="V17" s="434"/>
      <c r="W17" s="435" t="str">
        <f>IFERROR(INDEX(Config!B:B,MATCH("DDM appertisation standard (mois)",Config!A:A,0)),36)</f>
        <v>#ERROR!</v>
      </c>
      <c r="X17" s="436" t="str">
        <f>IFERROR(INDEX(Config!B:B,MATCH("Numero agrement DDPP",Config!A:A,0)),"A renseigner dans Config")</f>
        <v>#ERROR!</v>
      </c>
    </row>
    <row r="18" ht="16.5" customHeight="1">
      <c r="A18" s="351" t="s">
        <v>473</v>
      </c>
      <c r="B18" s="36" t="s">
        <v>474</v>
      </c>
      <c r="C18" s="431" t="str">
        <f>IFERROR(INDEX(Recettes!L:L,MATCH(A18,Recettes!A:A,0)),"")</f>
        <v>#ERROR!</v>
      </c>
      <c r="D18" s="431" t="str">
        <f>IFERROR(INDEX(Recettes!M:M,MATCH(A18,Recettes!A:A,0)),"")</f>
        <v>#ERROR!</v>
      </c>
      <c r="E18" s="431" t="str">
        <f>IFERROR(INDEX(Recettes!N:N,MATCH(A18,Recettes!A:A,0)),"")</f>
        <v>#ERROR!</v>
      </c>
      <c r="F18" s="431" t="str">
        <f>IFERROR(INDEX(Recettes!O:O,MATCH(A18,Recettes!A:A,0)),"")</f>
        <v>#ERROR!</v>
      </c>
      <c r="G18" s="431" t="str">
        <f>IFERROR(INDEX(Recettes!P:P,MATCH(A18,Recettes!A:A,0)),"")</f>
        <v>#ERROR!</v>
      </c>
      <c r="H18" s="431" t="str">
        <f>IFERROR(INDEX(Recettes!Q:Q,MATCH(A18,Recettes!A:A,0)),"")</f>
        <v>#ERROR!</v>
      </c>
      <c r="I18" s="431" t="str">
        <f>IFERROR(INDEX(Recettes!R:R,MATCH(A18,Recettes!A:A,0)),"")</f>
        <v>#ERROR!</v>
      </c>
      <c r="J18" s="431" t="str">
        <f>IFERROR(INDEX(Recettes!S:S,MATCH(A18,Recettes!A:A,0)),"")</f>
        <v>#ERROR!</v>
      </c>
      <c r="K18" s="431" t="str">
        <f>IFERROR(INDEX(Recettes!T:T,MATCH(A18,Recettes!A:A,0)),"")</f>
        <v>#ERROR!</v>
      </c>
      <c r="L18" s="431" t="str">
        <f>IFERROR(INDEX(Recettes!U:U,MATCH(A18,Recettes!A:A,0)),"")</f>
        <v>#ERROR!</v>
      </c>
      <c r="M18" s="431" t="str">
        <f>IFERROR(INDEX(Recettes!V:V,MATCH(A18,Recettes!A:A,0)),"")</f>
        <v>#ERROR!</v>
      </c>
      <c r="N18" s="431" t="str">
        <f>IFERROR(INDEX(Recettes!W:W,MATCH(A18,Recettes!A:A,0)),"")</f>
        <v>#ERROR!</v>
      </c>
      <c r="O18" s="431" t="str">
        <f>IFERROR(INDEX(Recettes!X:X,MATCH(A18,Recettes!A:A,0)),"")</f>
        <v>#ERROR!</v>
      </c>
      <c r="P18" s="432"/>
      <c r="Q18" s="433" t="str">
        <f>IFERROR(INDEX(Recettes!R:R,MATCH(A18,Recettes!A:A,0)),"")</f>
        <v>#ERROR!</v>
      </c>
      <c r="R18" s="433" t="str">
        <f>IFERROR(INDEX(Recettes!S:S,MATCH(A18,Recettes!A:A,0)),"")</f>
        <v>#ERROR!</v>
      </c>
      <c r="S18" s="433" t="str">
        <f>IFERROR(INDEX(Recettes!T:T,MATCH(A18,Recettes!A:A,0)),"")</f>
        <v>#ERROR!</v>
      </c>
      <c r="T18" s="433" t="str">
        <f>IFERROR(INDEX(Recettes!U:U,MATCH(A18,Recettes!A:A,0)),"")</f>
        <v>#ERROR!</v>
      </c>
      <c r="U18" s="433" t="str">
        <f>IFERROR(INDEX(Recettes!V:V,MATCH(A18,Recettes!A:A,0)),"")</f>
        <v>#ERROR!</v>
      </c>
      <c r="V18" s="434"/>
      <c r="W18" s="435" t="str">
        <f>IFERROR(INDEX(Config!B:B,MATCH("DDM appertisation standard (mois)",Config!A:A,0)),36)</f>
        <v>#ERROR!</v>
      </c>
      <c r="X18" s="436" t="str">
        <f>IFERROR(INDEX(Config!B:B,MATCH("Numero agrement DDPP",Config!A:A,0)),"A renseigner dans Config")</f>
        <v>#ERROR!</v>
      </c>
    </row>
    <row r="19" ht="16.5" customHeight="1">
      <c r="A19" s="351" t="s">
        <v>475</v>
      </c>
      <c r="B19" s="32" t="s">
        <v>476</v>
      </c>
      <c r="C19" s="431" t="str">
        <f>IFERROR(INDEX(Recettes!L:L,MATCH(A19,Recettes!A:A,0)),"")</f>
        <v>#ERROR!</v>
      </c>
      <c r="D19" s="431" t="str">
        <f>IFERROR(INDEX(Recettes!M:M,MATCH(A19,Recettes!A:A,0)),"")</f>
        <v>#ERROR!</v>
      </c>
      <c r="E19" s="431" t="str">
        <f>IFERROR(INDEX(Recettes!N:N,MATCH(A19,Recettes!A:A,0)),"")</f>
        <v>#ERROR!</v>
      </c>
      <c r="F19" s="431" t="str">
        <f>IFERROR(INDEX(Recettes!O:O,MATCH(A19,Recettes!A:A,0)),"")</f>
        <v>#ERROR!</v>
      </c>
      <c r="G19" s="431" t="str">
        <f>IFERROR(INDEX(Recettes!P:P,MATCH(A19,Recettes!A:A,0)),"")</f>
        <v>#ERROR!</v>
      </c>
      <c r="H19" s="431" t="str">
        <f>IFERROR(INDEX(Recettes!Q:Q,MATCH(A19,Recettes!A:A,0)),"")</f>
        <v>#ERROR!</v>
      </c>
      <c r="I19" s="431" t="str">
        <f>IFERROR(INDEX(Recettes!R:R,MATCH(A19,Recettes!A:A,0)),"")</f>
        <v>#ERROR!</v>
      </c>
      <c r="J19" s="431" t="str">
        <f>IFERROR(INDEX(Recettes!S:S,MATCH(A19,Recettes!A:A,0)),"")</f>
        <v>#ERROR!</v>
      </c>
      <c r="K19" s="431" t="str">
        <f>IFERROR(INDEX(Recettes!T:T,MATCH(A19,Recettes!A:A,0)),"")</f>
        <v>#ERROR!</v>
      </c>
      <c r="L19" s="431" t="str">
        <f>IFERROR(INDEX(Recettes!U:U,MATCH(A19,Recettes!A:A,0)),"")</f>
        <v>#ERROR!</v>
      </c>
      <c r="M19" s="431" t="str">
        <f>IFERROR(INDEX(Recettes!V:V,MATCH(A19,Recettes!A:A,0)),"")</f>
        <v>#ERROR!</v>
      </c>
      <c r="N19" s="431" t="str">
        <f>IFERROR(INDEX(Recettes!W:W,MATCH(A19,Recettes!A:A,0)),"")</f>
        <v>#ERROR!</v>
      </c>
      <c r="O19" s="431" t="str">
        <f>IFERROR(INDEX(Recettes!X:X,MATCH(A19,Recettes!A:A,0)),"")</f>
        <v>#ERROR!</v>
      </c>
      <c r="P19" s="432"/>
      <c r="Q19" s="433" t="str">
        <f>IFERROR(INDEX(Recettes!R:R,MATCH(A19,Recettes!A:A,0)),"")</f>
        <v>#ERROR!</v>
      </c>
      <c r="R19" s="433" t="str">
        <f>IFERROR(INDEX(Recettes!S:S,MATCH(A19,Recettes!A:A,0)),"")</f>
        <v>#ERROR!</v>
      </c>
      <c r="S19" s="433" t="str">
        <f>IFERROR(INDEX(Recettes!T:T,MATCH(A19,Recettes!A:A,0)),"")</f>
        <v>#ERROR!</v>
      </c>
      <c r="T19" s="433" t="str">
        <f>IFERROR(INDEX(Recettes!U:U,MATCH(A19,Recettes!A:A,0)),"")</f>
        <v>#ERROR!</v>
      </c>
      <c r="U19" s="433" t="str">
        <f>IFERROR(INDEX(Recettes!V:V,MATCH(A19,Recettes!A:A,0)),"")</f>
        <v>#ERROR!</v>
      </c>
      <c r="V19" s="434"/>
      <c r="W19" s="435" t="str">
        <f>IFERROR(INDEX(Config!B:B,MATCH("DDM appertisation standard (mois)",Config!A:A,0)),36)</f>
        <v>#ERROR!</v>
      </c>
      <c r="X19" s="436" t="str">
        <f>IFERROR(INDEX(Config!B:B,MATCH("Numero agrement DDPP",Config!A:A,0)),"A renseigner dans Config")</f>
        <v>#ERROR!</v>
      </c>
    </row>
    <row r="20" ht="16.5" customHeight="1">
      <c r="A20" s="351" t="s">
        <v>477</v>
      </c>
      <c r="B20" s="36" t="s">
        <v>478</v>
      </c>
      <c r="C20" s="431" t="str">
        <f>IFERROR(INDEX(Recettes!L:L,MATCH(A20,Recettes!A:A,0)),"")</f>
        <v>#ERROR!</v>
      </c>
      <c r="D20" s="431" t="str">
        <f>IFERROR(INDEX(Recettes!M:M,MATCH(A20,Recettes!A:A,0)),"")</f>
        <v>#ERROR!</v>
      </c>
      <c r="E20" s="431" t="str">
        <f>IFERROR(INDEX(Recettes!N:N,MATCH(A20,Recettes!A:A,0)),"")</f>
        <v>#ERROR!</v>
      </c>
      <c r="F20" s="431" t="str">
        <f>IFERROR(INDEX(Recettes!O:O,MATCH(A20,Recettes!A:A,0)),"")</f>
        <v>#ERROR!</v>
      </c>
      <c r="G20" s="431" t="str">
        <f>IFERROR(INDEX(Recettes!P:P,MATCH(A20,Recettes!A:A,0)),"")</f>
        <v>#ERROR!</v>
      </c>
      <c r="H20" s="431" t="str">
        <f>IFERROR(INDEX(Recettes!Q:Q,MATCH(A20,Recettes!A:A,0)),"")</f>
        <v>#ERROR!</v>
      </c>
      <c r="I20" s="431" t="str">
        <f>IFERROR(INDEX(Recettes!R:R,MATCH(A20,Recettes!A:A,0)),"")</f>
        <v>#ERROR!</v>
      </c>
      <c r="J20" s="431" t="str">
        <f>IFERROR(INDEX(Recettes!S:S,MATCH(A20,Recettes!A:A,0)),"")</f>
        <v>#ERROR!</v>
      </c>
      <c r="K20" s="431" t="str">
        <f>IFERROR(INDEX(Recettes!T:T,MATCH(A20,Recettes!A:A,0)),"")</f>
        <v>#ERROR!</v>
      </c>
      <c r="L20" s="431" t="str">
        <f>IFERROR(INDEX(Recettes!U:U,MATCH(A20,Recettes!A:A,0)),"")</f>
        <v>#ERROR!</v>
      </c>
      <c r="M20" s="431" t="str">
        <f>IFERROR(INDEX(Recettes!V:V,MATCH(A20,Recettes!A:A,0)),"")</f>
        <v>#ERROR!</v>
      </c>
      <c r="N20" s="431" t="str">
        <f>IFERROR(INDEX(Recettes!W:W,MATCH(A20,Recettes!A:A,0)),"")</f>
        <v>#ERROR!</v>
      </c>
      <c r="O20" s="431" t="str">
        <f>IFERROR(INDEX(Recettes!X:X,MATCH(A20,Recettes!A:A,0)),"")</f>
        <v>#ERROR!</v>
      </c>
      <c r="P20" s="432"/>
      <c r="Q20" s="433" t="str">
        <f>IFERROR(INDEX(Recettes!R:R,MATCH(A20,Recettes!A:A,0)),"")</f>
        <v>#ERROR!</v>
      </c>
      <c r="R20" s="433" t="str">
        <f>IFERROR(INDEX(Recettes!S:S,MATCH(A20,Recettes!A:A,0)),"")</f>
        <v>#ERROR!</v>
      </c>
      <c r="S20" s="433" t="str">
        <f>IFERROR(INDEX(Recettes!T:T,MATCH(A20,Recettes!A:A,0)),"")</f>
        <v>#ERROR!</v>
      </c>
      <c r="T20" s="433" t="str">
        <f>IFERROR(INDEX(Recettes!U:U,MATCH(A20,Recettes!A:A,0)),"")</f>
        <v>#ERROR!</v>
      </c>
      <c r="U20" s="433" t="str">
        <f>IFERROR(INDEX(Recettes!V:V,MATCH(A20,Recettes!A:A,0)),"")</f>
        <v>#ERROR!</v>
      </c>
      <c r="V20" s="434"/>
      <c r="W20" s="435" t="str">
        <f>IFERROR(INDEX(Config!B:B,MATCH("DDM appertisation standard (mois)",Config!A:A,0)),36)</f>
        <v>#ERROR!</v>
      </c>
      <c r="X20" s="436" t="str">
        <f>IFERROR(INDEX(Config!B:B,MATCH("Numero agrement DDPP",Config!A:A,0)),"A renseigner dans Config")</f>
        <v>#ERROR!</v>
      </c>
    </row>
    <row r="21" ht="16.5" customHeight="1">
      <c r="A21" s="351" t="s">
        <v>479</v>
      </c>
      <c r="B21" s="32" t="s">
        <v>480</v>
      </c>
      <c r="C21" s="431" t="str">
        <f>IFERROR(INDEX(Recettes!L:L,MATCH(A21,Recettes!A:A,0)),"")</f>
        <v>#ERROR!</v>
      </c>
      <c r="D21" s="431" t="str">
        <f>IFERROR(INDEX(Recettes!M:M,MATCH(A21,Recettes!A:A,0)),"")</f>
        <v>#ERROR!</v>
      </c>
      <c r="E21" s="431" t="str">
        <f>IFERROR(INDEX(Recettes!N:N,MATCH(A21,Recettes!A:A,0)),"")</f>
        <v>#ERROR!</v>
      </c>
      <c r="F21" s="431" t="str">
        <f>IFERROR(INDEX(Recettes!O:O,MATCH(A21,Recettes!A:A,0)),"")</f>
        <v>#ERROR!</v>
      </c>
      <c r="G21" s="431" t="str">
        <f>IFERROR(INDEX(Recettes!P:P,MATCH(A21,Recettes!A:A,0)),"")</f>
        <v>#ERROR!</v>
      </c>
      <c r="H21" s="431" t="str">
        <f>IFERROR(INDEX(Recettes!Q:Q,MATCH(A21,Recettes!A:A,0)),"")</f>
        <v>#ERROR!</v>
      </c>
      <c r="I21" s="431" t="str">
        <f>IFERROR(INDEX(Recettes!R:R,MATCH(A21,Recettes!A:A,0)),"")</f>
        <v>#ERROR!</v>
      </c>
      <c r="J21" s="431" t="str">
        <f>IFERROR(INDEX(Recettes!S:S,MATCH(A21,Recettes!A:A,0)),"")</f>
        <v>#ERROR!</v>
      </c>
      <c r="K21" s="431" t="str">
        <f>IFERROR(INDEX(Recettes!T:T,MATCH(A21,Recettes!A:A,0)),"")</f>
        <v>#ERROR!</v>
      </c>
      <c r="L21" s="431" t="str">
        <f>IFERROR(INDEX(Recettes!U:U,MATCH(A21,Recettes!A:A,0)),"")</f>
        <v>#ERROR!</v>
      </c>
      <c r="M21" s="431" t="str">
        <f>IFERROR(INDEX(Recettes!V:V,MATCH(A21,Recettes!A:A,0)),"")</f>
        <v>#ERROR!</v>
      </c>
      <c r="N21" s="431" t="str">
        <f>IFERROR(INDEX(Recettes!W:W,MATCH(A21,Recettes!A:A,0)),"")</f>
        <v>#ERROR!</v>
      </c>
      <c r="O21" s="431" t="str">
        <f>IFERROR(INDEX(Recettes!X:X,MATCH(A21,Recettes!A:A,0)),"")</f>
        <v>#ERROR!</v>
      </c>
      <c r="P21" s="432"/>
      <c r="Q21" s="433" t="str">
        <f>IFERROR(INDEX(Recettes!R:R,MATCH(A21,Recettes!A:A,0)),"")</f>
        <v>#ERROR!</v>
      </c>
      <c r="R21" s="433" t="str">
        <f>IFERROR(INDEX(Recettes!S:S,MATCH(A21,Recettes!A:A,0)),"")</f>
        <v>#ERROR!</v>
      </c>
      <c r="S21" s="433" t="str">
        <f>IFERROR(INDEX(Recettes!T:T,MATCH(A21,Recettes!A:A,0)),"")</f>
        <v>#ERROR!</v>
      </c>
      <c r="T21" s="433" t="str">
        <f>IFERROR(INDEX(Recettes!U:U,MATCH(A21,Recettes!A:A,0)),"")</f>
        <v>#ERROR!</v>
      </c>
      <c r="U21" s="433" t="str">
        <f>IFERROR(INDEX(Recettes!V:V,MATCH(A21,Recettes!A:A,0)),"")</f>
        <v>#ERROR!</v>
      </c>
      <c r="V21" s="434"/>
      <c r="W21" s="435" t="str">
        <f>IFERROR(INDEX(Config!B:B,MATCH("DDM appertisation standard (mois)",Config!A:A,0)),36)</f>
        <v>#ERROR!</v>
      </c>
      <c r="X21" s="436" t="str">
        <f>IFERROR(INDEX(Config!B:B,MATCH("Numero agrement DDPP",Config!A:A,0)),"A renseigner dans Config")</f>
        <v>#ERROR!</v>
      </c>
    </row>
    <row r="22" ht="16.5" customHeight="1">
      <c r="A22" s="351" t="s">
        <v>481</v>
      </c>
      <c r="B22" s="36" t="s">
        <v>482</v>
      </c>
      <c r="C22" s="431" t="str">
        <f>IFERROR(INDEX(Recettes!L:L,MATCH(A22,Recettes!A:A,0)),"")</f>
        <v>#ERROR!</v>
      </c>
      <c r="D22" s="431" t="str">
        <f>IFERROR(INDEX(Recettes!M:M,MATCH(A22,Recettes!A:A,0)),"")</f>
        <v>#ERROR!</v>
      </c>
      <c r="E22" s="431" t="str">
        <f>IFERROR(INDEX(Recettes!N:N,MATCH(A22,Recettes!A:A,0)),"")</f>
        <v>#ERROR!</v>
      </c>
      <c r="F22" s="431" t="str">
        <f>IFERROR(INDEX(Recettes!O:O,MATCH(A22,Recettes!A:A,0)),"")</f>
        <v>#ERROR!</v>
      </c>
      <c r="G22" s="431" t="str">
        <f>IFERROR(INDEX(Recettes!P:P,MATCH(A22,Recettes!A:A,0)),"")</f>
        <v>#ERROR!</v>
      </c>
      <c r="H22" s="431" t="str">
        <f>IFERROR(INDEX(Recettes!Q:Q,MATCH(A22,Recettes!A:A,0)),"")</f>
        <v>#ERROR!</v>
      </c>
      <c r="I22" s="431" t="str">
        <f>IFERROR(INDEX(Recettes!R:R,MATCH(A22,Recettes!A:A,0)),"")</f>
        <v>#ERROR!</v>
      </c>
      <c r="J22" s="431" t="str">
        <f>IFERROR(INDEX(Recettes!S:S,MATCH(A22,Recettes!A:A,0)),"")</f>
        <v>#ERROR!</v>
      </c>
      <c r="K22" s="431" t="str">
        <f>IFERROR(INDEX(Recettes!T:T,MATCH(A22,Recettes!A:A,0)),"")</f>
        <v>#ERROR!</v>
      </c>
      <c r="L22" s="431" t="str">
        <f>IFERROR(INDEX(Recettes!U:U,MATCH(A22,Recettes!A:A,0)),"")</f>
        <v>#ERROR!</v>
      </c>
      <c r="M22" s="431" t="str">
        <f>IFERROR(INDEX(Recettes!V:V,MATCH(A22,Recettes!A:A,0)),"")</f>
        <v>#ERROR!</v>
      </c>
      <c r="N22" s="431" t="str">
        <f>IFERROR(INDEX(Recettes!W:W,MATCH(A22,Recettes!A:A,0)),"")</f>
        <v>#ERROR!</v>
      </c>
      <c r="O22" s="431" t="str">
        <f>IFERROR(INDEX(Recettes!X:X,MATCH(A22,Recettes!A:A,0)),"")</f>
        <v>#ERROR!</v>
      </c>
      <c r="P22" s="432"/>
      <c r="Q22" s="433" t="str">
        <f>IFERROR(INDEX(Recettes!R:R,MATCH(A22,Recettes!A:A,0)),"")</f>
        <v>#ERROR!</v>
      </c>
      <c r="R22" s="433" t="str">
        <f>IFERROR(INDEX(Recettes!S:S,MATCH(A22,Recettes!A:A,0)),"")</f>
        <v>#ERROR!</v>
      </c>
      <c r="S22" s="433" t="str">
        <f>IFERROR(INDEX(Recettes!T:T,MATCH(A22,Recettes!A:A,0)),"")</f>
        <v>#ERROR!</v>
      </c>
      <c r="T22" s="433" t="str">
        <f>IFERROR(INDEX(Recettes!U:U,MATCH(A22,Recettes!A:A,0)),"")</f>
        <v>#ERROR!</v>
      </c>
      <c r="U22" s="433" t="str">
        <f>IFERROR(INDEX(Recettes!V:V,MATCH(A22,Recettes!A:A,0)),"")</f>
        <v>#ERROR!</v>
      </c>
      <c r="V22" s="434"/>
      <c r="W22" s="435" t="str">
        <f>IFERROR(INDEX(Config!B:B,MATCH("DDM appertisation standard (mois)",Config!A:A,0)),36)</f>
        <v>#ERROR!</v>
      </c>
      <c r="X22" s="436" t="str">
        <f>IFERROR(INDEX(Config!B:B,MATCH("Numero agrement DDPP",Config!A:A,0)),"A renseigner dans Config")</f>
        <v>#ERROR!</v>
      </c>
    </row>
    <row r="23" ht="16.5" customHeight="1">
      <c r="A23" s="351" t="s">
        <v>483</v>
      </c>
      <c r="B23" s="32" t="s">
        <v>484</v>
      </c>
      <c r="C23" s="431" t="str">
        <f>IFERROR(INDEX(Recettes!L:L,MATCH(A23,Recettes!A:A,0)),"")</f>
        <v>#ERROR!</v>
      </c>
      <c r="D23" s="431" t="str">
        <f>IFERROR(INDEX(Recettes!M:M,MATCH(A23,Recettes!A:A,0)),"")</f>
        <v>#ERROR!</v>
      </c>
      <c r="E23" s="431" t="str">
        <f>IFERROR(INDEX(Recettes!N:N,MATCH(A23,Recettes!A:A,0)),"")</f>
        <v>#ERROR!</v>
      </c>
      <c r="F23" s="431" t="str">
        <f>IFERROR(INDEX(Recettes!O:O,MATCH(A23,Recettes!A:A,0)),"")</f>
        <v>#ERROR!</v>
      </c>
      <c r="G23" s="431" t="str">
        <f>IFERROR(INDEX(Recettes!P:P,MATCH(A23,Recettes!A:A,0)),"")</f>
        <v>#ERROR!</v>
      </c>
      <c r="H23" s="431" t="str">
        <f>IFERROR(INDEX(Recettes!Q:Q,MATCH(A23,Recettes!A:A,0)),"")</f>
        <v>#ERROR!</v>
      </c>
      <c r="I23" s="431" t="str">
        <f>IFERROR(INDEX(Recettes!R:R,MATCH(A23,Recettes!A:A,0)),"")</f>
        <v>#ERROR!</v>
      </c>
      <c r="J23" s="431" t="str">
        <f>IFERROR(INDEX(Recettes!S:S,MATCH(A23,Recettes!A:A,0)),"")</f>
        <v>#ERROR!</v>
      </c>
      <c r="K23" s="431" t="str">
        <f>IFERROR(INDEX(Recettes!T:T,MATCH(A23,Recettes!A:A,0)),"")</f>
        <v>#ERROR!</v>
      </c>
      <c r="L23" s="431" t="str">
        <f>IFERROR(INDEX(Recettes!U:U,MATCH(A23,Recettes!A:A,0)),"")</f>
        <v>#ERROR!</v>
      </c>
      <c r="M23" s="431" t="str">
        <f>IFERROR(INDEX(Recettes!V:V,MATCH(A23,Recettes!A:A,0)),"")</f>
        <v>#ERROR!</v>
      </c>
      <c r="N23" s="431" t="str">
        <f>IFERROR(INDEX(Recettes!W:W,MATCH(A23,Recettes!A:A,0)),"")</f>
        <v>#ERROR!</v>
      </c>
      <c r="O23" s="431" t="str">
        <f>IFERROR(INDEX(Recettes!X:X,MATCH(A23,Recettes!A:A,0)),"")</f>
        <v>#ERROR!</v>
      </c>
      <c r="P23" s="432"/>
      <c r="Q23" s="433" t="str">
        <f>IFERROR(INDEX(Recettes!R:R,MATCH(A23,Recettes!A:A,0)),"")</f>
        <v>#ERROR!</v>
      </c>
      <c r="R23" s="433" t="str">
        <f>IFERROR(INDEX(Recettes!S:S,MATCH(A23,Recettes!A:A,0)),"")</f>
        <v>#ERROR!</v>
      </c>
      <c r="S23" s="433" t="str">
        <f>IFERROR(INDEX(Recettes!T:T,MATCH(A23,Recettes!A:A,0)),"")</f>
        <v>#ERROR!</v>
      </c>
      <c r="T23" s="433" t="str">
        <f>IFERROR(INDEX(Recettes!U:U,MATCH(A23,Recettes!A:A,0)),"")</f>
        <v>#ERROR!</v>
      </c>
      <c r="U23" s="433" t="str">
        <f>IFERROR(INDEX(Recettes!V:V,MATCH(A23,Recettes!A:A,0)),"")</f>
        <v>#ERROR!</v>
      </c>
      <c r="V23" s="434"/>
      <c r="W23" s="435" t="str">
        <f>IFERROR(INDEX(Config!B:B,MATCH("DDM appertisation standard (mois)",Config!A:A,0)),36)</f>
        <v>#ERROR!</v>
      </c>
      <c r="X23" s="436" t="str">
        <f>IFERROR(INDEX(Config!B:B,MATCH("Numero agrement DDPP",Config!A:A,0)),"A renseigner dans Config")</f>
        <v>#ERROR!</v>
      </c>
    </row>
    <row r="24" ht="16.5" customHeight="1">
      <c r="A24" s="351" t="s">
        <v>485</v>
      </c>
      <c r="B24" s="36" t="s">
        <v>486</v>
      </c>
      <c r="C24" s="431" t="str">
        <f>IFERROR(INDEX(Recettes!L:L,MATCH(A24,Recettes!A:A,0)),"")</f>
        <v>#ERROR!</v>
      </c>
      <c r="D24" s="431" t="str">
        <f>IFERROR(INDEX(Recettes!M:M,MATCH(A24,Recettes!A:A,0)),"")</f>
        <v>#ERROR!</v>
      </c>
      <c r="E24" s="431" t="str">
        <f>IFERROR(INDEX(Recettes!N:N,MATCH(A24,Recettes!A:A,0)),"")</f>
        <v>#ERROR!</v>
      </c>
      <c r="F24" s="431" t="str">
        <f>IFERROR(INDEX(Recettes!O:O,MATCH(A24,Recettes!A:A,0)),"")</f>
        <v>#ERROR!</v>
      </c>
      <c r="G24" s="431" t="str">
        <f>IFERROR(INDEX(Recettes!P:P,MATCH(A24,Recettes!A:A,0)),"")</f>
        <v>#ERROR!</v>
      </c>
      <c r="H24" s="431" t="str">
        <f>IFERROR(INDEX(Recettes!Q:Q,MATCH(A24,Recettes!A:A,0)),"")</f>
        <v>#ERROR!</v>
      </c>
      <c r="I24" s="431" t="str">
        <f>IFERROR(INDEX(Recettes!R:R,MATCH(A24,Recettes!A:A,0)),"")</f>
        <v>#ERROR!</v>
      </c>
      <c r="J24" s="431" t="str">
        <f>IFERROR(INDEX(Recettes!S:S,MATCH(A24,Recettes!A:A,0)),"")</f>
        <v>#ERROR!</v>
      </c>
      <c r="K24" s="431" t="str">
        <f>IFERROR(INDEX(Recettes!T:T,MATCH(A24,Recettes!A:A,0)),"")</f>
        <v>#ERROR!</v>
      </c>
      <c r="L24" s="431" t="str">
        <f>IFERROR(INDEX(Recettes!U:U,MATCH(A24,Recettes!A:A,0)),"")</f>
        <v>#ERROR!</v>
      </c>
      <c r="M24" s="431" t="str">
        <f>IFERROR(INDEX(Recettes!V:V,MATCH(A24,Recettes!A:A,0)),"")</f>
        <v>#ERROR!</v>
      </c>
      <c r="N24" s="431" t="str">
        <f>IFERROR(INDEX(Recettes!W:W,MATCH(A24,Recettes!A:A,0)),"")</f>
        <v>#ERROR!</v>
      </c>
      <c r="O24" s="431" t="str">
        <f>IFERROR(INDEX(Recettes!X:X,MATCH(A24,Recettes!A:A,0)),"")</f>
        <v>#ERROR!</v>
      </c>
      <c r="P24" s="432"/>
      <c r="Q24" s="433" t="str">
        <f>IFERROR(INDEX(Recettes!R:R,MATCH(A24,Recettes!A:A,0)),"")</f>
        <v>#ERROR!</v>
      </c>
      <c r="R24" s="433" t="str">
        <f>IFERROR(INDEX(Recettes!S:S,MATCH(A24,Recettes!A:A,0)),"")</f>
        <v>#ERROR!</v>
      </c>
      <c r="S24" s="433" t="str">
        <f>IFERROR(INDEX(Recettes!T:T,MATCH(A24,Recettes!A:A,0)),"")</f>
        <v>#ERROR!</v>
      </c>
      <c r="T24" s="433" t="str">
        <f>IFERROR(INDEX(Recettes!U:U,MATCH(A24,Recettes!A:A,0)),"")</f>
        <v>#ERROR!</v>
      </c>
      <c r="U24" s="433" t="str">
        <f>IFERROR(INDEX(Recettes!V:V,MATCH(A24,Recettes!A:A,0)),"")</f>
        <v>#ERROR!</v>
      </c>
      <c r="V24" s="434"/>
      <c r="W24" s="435" t="str">
        <f>IFERROR(INDEX(Config!B:B,MATCH("DDM appertisation standard (mois)",Config!A:A,0)),36)</f>
        <v>#ERROR!</v>
      </c>
      <c r="X24" s="436" t="str">
        <f>IFERROR(INDEX(Config!B:B,MATCH("Numero agrement DDPP",Config!A:A,0)),"A renseigner dans Config")</f>
        <v>#ERROR!</v>
      </c>
    </row>
    <row r="25" ht="16.5" customHeight="1">
      <c r="A25" s="351" t="s">
        <v>487</v>
      </c>
      <c r="B25" s="32" t="s">
        <v>488</v>
      </c>
      <c r="C25" s="431" t="str">
        <f>IFERROR(INDEX(Recettes!L:L,MATCH(A25,Recettes!A:A,0)),"")</f>
        <v>#ERROR!</v>
      </c>
      <c r="D25" s="431" t="str">
        <f>IFERROR(INDEX(Recettes!M:M,MATCH(A25,Recettes!A:A,0)),"")</f>
        <v>#ERROR!</v>
      </c>
      <c r="E25" s="431" t="str">
        <f>IFERROR(INDEX(Recettes!N:N,MATCH(A25,Recettes!A:A,0)),"")</f>
        <v>#ERROR!</v>
      </c>
      <c r="F25" s="431" t="str">
        <f>IFERROR(INDEX(Recettes!O:O,MATCH(A25,Recettes!A:A,0)),"")</f>
        <v>#ERROR!</v>
      </c>
      <c r="G25" s="431" t="str">
        <f>IFERROR(INDEX(Recettes!P:P,MATCH(A25,Recettes!A:A,0)),"")</f>
        <v>#ERROR!</v>
      </c>
      <c r="H25" s="431" t="str">
        <f>IFERROR(INDEX(Recettes!Q:Q,MATCH(A25,Recettes!A:A,0)),"")</f>
        <v>#ERROR!</v>
      </c>
      <c r="I25" s="431" t="str">
        <f>IFERROR(INDEX(Recettes!R:R,MATCH(A25,Recettes!A:A,0)),"")</f>
        <v>#ERROR!</v>
      </c>
      <c r="J25" s="431" t="str">
        <f>IFERROR(INDEX(Recettes!S:S,MATCH(A25,Recettes!A:A,0)),"")</f>
        <v>#ERROR!</v>
      </c>
      <c r="K25" s="431" t="str">
        <f>IFERROR(INDEX(Recettes!T:T,MATCH(A25,Recettes!A:A,0)),"")</f>
        <v>#ERROR!</v>
      </c>
      <c r="L25" s="431" t="str">
        <f>IFERROR(INDEX(Recettes!U:U,MATCH(A25,Recettes!A:A,0)),"")</f>
        <v>#ERROR!</v>
      </c>
      <c r="M25" s="431" t="str">
        <f>IFERROR(INDEX(Recettes!V:V,MATCH(A25,Recettes!A:A,0)),"")</f>
        <v>#ERROR!</v>
      </c>
      <c r="N25" s="431" t="str">
        <f>IFERROR(INDEX(Recettes!W:W,MATCH(A25,Recettes!A:A,0)),"")</f>
        <v>#ERROR!</v>
      </c>
      <c r="O25" s="431" t="str">
        <f>IFERROR(INDEX(Recettes!X:X,MATCH(A25,Recettes!A:A,0)),"")</f>
        <v>#ERROR!</v>
      </c>
      <c r="P25" s="432"/>
      <c r="Q25" s="433" t="str">
        <f>IFERROR(INDEX(Recettes!R:R,MATCH(A25,Recettes!A:A,0)),"")</f>
        <v>#ERROR!</v>
      </c>
      <c r="R25" s="433" t="str">
        <f>IFERROR(INDEX(Recettes!S:S,MATCH(A25,Recettes!A:A,0)),"")</f>
        <v>#ERROR!</v>
      </c>
      <c r="S25" s="433" t="str">
        <f>IFERROR(INDEX(Recettes!T:T,MATCH(A25,Recettes!A:A,0)),"")</f>
        <v>#ERROR!</v>
      </c>
      <c r="T25" s="433" t="str">
        <f>IFERROR(INDEX(Recettes!U:U,MATCH(A25,Recettes!A:A,0)),"")</f>
        <v>#ERROR!</v>
      </c>
      <c r="U25" s="433" t="str">
        <f>IFERROR(INDEX(Recettes!V:V,MATCH(A25,Recettes!A:A,0)),"")</f>
        <v>#ERROR!</v>
      </c>
      <c r="V25" s="434"/>
      <c r="W25" s="435" t="str">
        <f>IFERROR(INDEX(Config!B:B,MATCH("DDM appertisation standard (mois)",Config!A:A,0)),36)</f>
        <v>#ERROR!</v>
      </c>
      <c r="X25" s="436" t="str">
        <f>IFERROR(INDEX(Config!B:B,MATCH("Numero agrement DDPP",Config!A:A,0)),"A renseigner dans Config")</f>
        <v>#ERROR!</v>
      </c>
    </row>
    <row r="26" ht="16.5" customHeight="1">
      <c r="A26" s="351" t="s">
        <v>490</v>
      </c>
      <c r="B26" s="36" t="s">
        <v>491</v>
      </c>
      <c r="C26" s="431" t="str">
        <f>IFERROR(INDEX(Recettes!L:L,MATCH(A26,Recettes!A:A,0)),"")</f>
        <v>#ERROR!</v>
      </c>
      <c r="D26" s="431" t="str">
        <f>IFERROR(INDEX(Recettes!M:M,MATCH(A26,Recettes!A:A,0)),"")</f>
        <v>#ERROR!</v>
      </c>
      <c r="E26" s="431" t="str">
        <f>IFERROR(INDEX(Recettes!N:N,MATCH(A26,Recettes!A:A,0)),"")</f>
        <v>#ERROR!</v>
      </c>
      <c r="F26" s="431" t="str">
        <f>IFERROR(INDEX(Recettes!O:O,MATCH(A26,Recettes!A:A,0)),"")</f>
        <v>#ERROR!</v>
      </c>
      <c r="G26" s="431" t="str">
        <f>IFERROR(INDEX(Recettes!P:P,MATCH(A26,Recettes!A:A,0)),"")</f>
        <v>#ERROR!</v>
      </c>
      <c r="H26" s="431" t="str">
        <f>IFERROR(INDEX(Recettes!Q:Q,MATCH(A26,Recettes!A:A,0)),"")</f>
        <v>#ERROR!</v>
      </c>
      <c r="I26" s="431" t="str">
        <f>IFERROR(INDEX(Recettes!R:R,MATCH(A26,Recettes!A:A,0)),"")</f>
        <v>#ERROR!</v>
      </c>
      <c r="J26" s="431" t="str">
        <f>IFERROR(INDEX(Recettes!S:S,MATCH(A26,Recettes!A:A,0)),"")</f>
        <v>#ERROR!</v>
      </c>
      <c r="K26" s="431" t="str">
        <f>IFERROR(INDEX(Recettes!T:T,MATCH(A26,Recettes!A:A,0)),"")</f>
        <v>#ERROR!</v>
      </c>
      <c r="L26" s="431" t="str">
        <f>IFERROR(INDEX(Recettes!U:U,MATCH(A26,Recettes!A:A,0)),"")</f>
        <v>#ERROR!</v>
      </c>
      <c r="M26" s="431" t="str">
        <f>IFERROR(INDEX(Recettes!V:V,MATCH(A26,Recettes!A:A,0)),"")</f>
        <v>#ERROR!</v>
      </c>
      <c r="N26" s="431" t="str">
        <f>IFERROR(INDEX(Recettes!W:W,MATCH(A26,Recettes!A:A,0)),"")</f>
        <v>#ERROR!</v>
      </c>
      <c r="O26" s="431" t="str">
        <f>IFERROR(INDEX(Recettes!X:X,MATCH(A26,Recettes!A:A,0)),"")</f>
        <v>#ERROR!</v>
      </c>
      <c r="P26" s="432"/>
      <c r="Q26" s="433" t="str">
        <f>IFERROR(INDEX(Recettes!R:R,MATCH(A26,Recettes!A:A,0)),"")</f>
        <v>#ERROR!</v>
      </c>
      <c r="R26" s="433" t="str">
        <f>IFERROR(INDEX(Recettes!S:S,MATCH(A26,Recettes!A:A,0)),"")</f>
        <v>#ERROR!</v>
      </c>
      <c r="S26" s="433" t="str">
        <f>IFERROR(INDEX(Recettes!T:T,MATCH(A26,Recettes!A:A,0)),"")</f>
        <v>#ERROR!</v>
      </c>
      <c r="T26" s="433" t="str">
        <f>IFERROR(INDEX(Recettes!U:U,MATCH(A26,Recettes!A:A,0)),"")</f>
        <v>#ERROR!</v>
      </c>
      <c r="U26" s="433" t="str">
        <f>IFERROR(INDEX(Recettes!V:V,MATCH(A26,Recettes!A:A,0)),"")</f>
        <v>#ERROR!</v>
      </c>
      <c r="V26" s="434"/>
      <c r="W26" s="435" t="str">
        <f>IFERROR(INDEX(Config!B:B,MATCH("DDM appertisation standard (mois)",Config!A:A,0)),36)</f>
        <v>#ERROR!</v>
      </c>
      <c r="X26" s="436" t="str">
        <f>IFERROR(INDEX(Config!B:B,MATCH("Numero agrement DDPP",Config!A:A,0)),"A renseigner dans Config")</f>
        <v>#ERROR!</v>
      </c>
    </row>
    <row r="27" ht="16.5" customHeight="1">
      <c r="A27" s="351" t="s">
        <v>492</v>
      </c>
      <c r="B27" s="32" t="s">
        <v>493</v>
      </c>
      <c r="C27" s="431" t="str">
        <f>IFERROR(INDEX(Recettes!L:L,MATCH(A27,Recettes!A:A,0)),"")</f>
        <v>#ERROR!</v>
      </c>
      <c r="D27" s="431" t="str">
        <f>IFERROR(INDEX(Recettes!M:M,MATCH(A27,Recettes!A:A,0)),"")</f>
        <v>#ERROR!</v>
      </c>
      <c r="E27" s="431" t="str">
        <f>IFERROR(INDEX(Recettes!N:N,MATCH(A27,Recettes!A:A,0)),"")</f>
        <v>#ERROR!</v>
      </c>
      <c r="F27" s="431" t="str">
        <f>IFERROR(INDEX(Recettes!O:O,MATCH(A27,Recettes!A:A,0)),"")</f>
        <v>#ERROR!</v>
      </c>
      <c r="G27" s="431" t="str">
        <f>IFERROR(INDEX(Recettes!P:P,MATCH(A27,Recettes!A:A,0)),"")</f>
        <v>#ERROR!</v>
      </c>
      <c r="H27" s="431" t="str">
        <f>IFERROR(INDEX(Recettes!Q:Q,MATCH(A27,Recettes!A:A,0)),"")</f>
        <v>#ERROR!</v>
      </c>
      <c r="I27" s="431" t="str">
        <f>IFERROR(INDEX(Recettes!R:R,MATCH(A27,Recettes!A:A,0)),"")</f>
        <v>#ERROR!</v>
      </c>
      <c r="J27" s="431" t="str">
        <f>IFERROR(INDEX(Recettes!S:S,MATCH(A27,Recettes!A:A,0)),"")</f>
        <v>#ERROR!</v>
      </c>
      <c r="K27" s="431" t="str">
        <f>IFERROR(INDEX(Recettes!T:T,MATCH(A27,Recettes!A:A,0)),"")</f>
        <v>#ERROR!</v>
      </c>
      <c r="L27" s="431" t="str">
        <f>IFERROR(INDEX(Recettes!U:U,MATCH(A27,Recettes!A:A,0)),"")</f>
        <v>#ERROR!</v>
      </c>
      <c r="M27" s="431" t="str">
        <f>IFERROR(INDEX(Recettes!V:V,MATCH(A27,Recettes!A:A,0)),"")</f>
        <v>#ERROR!</v>
      </c>
      <c r="N27" s="431" t="str">
        <f>IFERROR(INDEX(Recettes!W:W,MATCH(A27,Recettes!A:A,0)),"")</f>
        <v>#ERROR!</v>
      </c>
      <c r="O27" s="431" t="str">
        <f>IFERROR(INDEX(Recettes!X:X,MATCH(A27,Recettes!A:A,0)),"")</f>
        <v>#ERROR!</v>
      </c>
      <c r="P27" s="432"/>
      <c r="Q27" s="433" t="str">
        <f>IFERROR(INDEX(Recettes!R:R,MATCH(A27,Recettes!A:A,0)),"")</f>
        <v>#ERROR!</v>
      </c>
      <c r="R27" s="433" t="str">
        <f>IFERROR(INDEX(Recettes!S:S,MATCH(A27,Recettes!A:A,0)),"")</f>
        <v>#ERROR!</v>
      </c>
      <c r="S27" s="433" t="str">
        <f>IFERROR(INDEX(Recettes!T:T,MATCH(A27,Recettes!A:A,0)),"")</f>
        <v>#ERROR!</v>
      </c>
      <c r="T27" s="433" t="str">
        <f>IFERROR(INDEX(Recettes!U:U,MATCH(A27,Recettes!A:A,0)),"")</f>
        <v>#ERROR!</v>
      </c>
      <c r="U27" s="433" t="str">
        <f>IFERROR(INDEX(Recettes!V:V,MATCH(A27,Recettes!A:A,0)),"")</f>
        <v>#ERROR!</v>
      </c>
      <c r="V27" s="434"/>
      <c r="W27" s="435" t="str">
        <f>IFERROR(INDEX(Config!B:B,MATCH("DDM appertisation standard (mois)",Config!A:A,0)),36)</f>
        <v>#ERROR!</v>
      </c>
      <c r="X27" s="436" t="str">
        <f>IFERROR(INDEX(Config!B:B,MATCH("Numero agrement DDPP",Config!A:A,0)),"A renseigner dans Config")</f>
        <v>#ERROR!</v>
      </c>
    </row>
    <row r="28" ht="16.5" customHeight="1">
      <c r="A28" s="351" t="s">
        <v>494</v>
      </c>
      <c r="B28" s="36" t="s">
        <v>495</v>
      </c>
      <c r="C28" s="431" t="str">
        <f>IFERROR(INDEX(Recettes!L:L,MATCH(A28,Recettes!A:A,0)),"")</f>
        <v>#ERROR!</v>
      </c>
      <c r="D28" s="431" t="str">
        <f>IFERROR(INDEX(Recettes!M:M,MATCH(A28,Recettes!A:A,0)),"")</f>
        <v>#ERROR!</v>
      </c>
      <c r="E28" s="431" t="str">
        <f>IFERROR(INDEX(Recettes!N:N,MATCH(A28,Recettes!A:A,0)),"")</f>
        <v>#ERROR!</v>
      </c>
      <c r="F28" s="431" t="str">
        <f>IFERROR(INDEX(Recettes!O:O,MATCH(A28,Recettes!A:A,0)),"")</f>
        <v>#ERROR!</v>
      </c>
      <c r="G28" s="431" t="str">
        <f>IFERROR(INDEX(Recettes!P:P,MATCH(A28,Recettes!A:A,0)),"")</f>
        <v>#ERROR!</v>
      </c>
      <c r="H28" s="431" t="str">
        <f>IFERROR(INDEX(Recettes!Q:Q,MATCH(A28,Recettes!A:A,0)),"")</f>
        <v>#ERROR!</v>
      </c>
      <c r="I28" s="431" t="str">
        <f>IFERROR(INDEX(Recettes!R:R,MATCH(A28,Recettes!A:A,0)),"")</f>
        <v>#ERROR!</v>
      </c>
      <c r="J28" s="431" t="str">
        <f>IFERROR(INDEX(Recettes!S:S,MATCH(A28,Recettes!A:A,0)),"")</f>
        <v>#ERROR!</v>
      </c>
      <c r="K28" s="431" t="str">
        <f>IFERROR(INDEX(Recettes!T:T,MATCH(A28,Recettes!A:A,0)),"")</f>
        <v>#ERROR!</v>
      </c>
      <c r="L28" s="431" t="str">
        <f>IFERROR(INDEX(Recettes!U:U,MATCH(A28,Recettes!A:A,0)),"")</f>
        <v>#ERROR!</v>
      </c>
      <c r="M28" s="431" t="str">
        <f>IFERROR(INDEX(Recettes!V:V,MATCH(A28,Recettes!A:A,0)),"")</f>
        <v>#ERROR!</v>
      </c>
      <c r="N28" s="431" t="str">
        <f>IFERROR(INDEX(Recettes!W:W,MATCH(A28,Recettes!A:A,0)),"")</f>
        <v>#ERROR!</v>
      </c>
      <c r="O28" s="431" t="str">
        <f>IFERROR(INDEX(Recettes!X:X,MATCH(A28,Recettes!A:A,0)),"")</f>
        <v>#ERROR!</v>
      </c>
      <c r="P28" s="432"/>
      <c r="Q28" s="433" t="str">
        <f>IFERROR(INDEX(Recettes!R:R,MATCH(A28,Recettes!A:A,0)),"")</f>
        <v>#ERROR!</v>
      </c>
      <c r="R28" s="433" t="str">
        <f>IFERROR(INDEX(Recettes!S:S,MATCH(A28,Recettes!A:A,0)),"")</f>
        <v>#ERROR!</v>
      </c>
      <c r="S28" s="433" t="str">
        <f>IFERROR(INDEX(Recettes!T:T,MATCH(A28,Recettes!A:A,0)),"")</f>
        <v>#ERROR!</v>
      </c>
      <c r="T28" s="433" t="str">
        <f>IFERROR(INDEX(Recettes!U:U,MATCH(A28,Recettes!A:A,0)),"")</f>
        <v>#ERROR!</v>
      </c>
      <c r="U28" s="433" t="str">
        <f>IFERROR(INDEX(Recettes!V:V,MATCH(A28,Recettes!A:A,0)),"")</f>
        <v>#ERROR!</v>
      </c>
      <c r="V28" s="434"/>
      <c r="W28" s="435" t="str">
        <f>IFERROR(INDEX(Config!B:B,MATCH("DDM appertisation standard (mois)",Config!A:A,0)),36)</f>
        <v>#ERROR!</v>
      </c>
      <c r="X28" s="436" t="str">
        <f>IFERROR(INDEX(Config!B:B,MATCH("Numero agrement DDPP",Config!A:A,0)),"A renseigner dans Config")</f>
        <v>#ERROR!</v>
      </c>
    </row>
    <row r="29" ht="16.5" customHeight="1">
      <c r="A29" s="351" t="s">
        <v>497</v>
      </c>
      <c r="B29" s="32" t="s">
        <v>498</v>
      </c>
      <c r="C29" s="431" t="str">
        <f>IFERROR(INDEX(Recettes!L:L,MATCH(A29,Recettes!A:A,0)),"")</f>
        <v>#ERROR!</v>
      </c>
      <c r="D29" s="431" t="str">
        <f>IFERROR(INDEX(Recettes!M:M,MATCH(A29,Recettes!A:A,0)),"")</f>
        <v>#ERROR!</v>
      </c>
      <c r="E29" s="431" t="str">
        <f>IFERROR(INDEX(Recettes!N:N,MATCH(A29,Recettes!A:A,0)),"")</f>
        <v>#ERROR!</v>
      </c>
      <c r="F29" s="431" t="str">
        <f>IFERROR(INDEX(Recettes!O:O,MATCH(A29,Recettes!A:A,0)),"")</f>
        <v>#ERROR!</v>
      </c>
      <c r="G29" s="431" t="str">
        <f>IFERROR(INDEX(Recettes!P:P,MATCH(A29,Recettes!A:A,0)),"")</f>
        <v>#ERROR!</v>
      </c>
      <c r="H29" s="431" t="str">
        <f>IFERROR(INDEX(Recettes!Q:Q,MATCH(A29,Recettes!A:A,0)),"")</f>
        <v>#ERROR!</v>
      </c>
      <c r="I29" s="431" t="str">
        <f>IFERROR(INDEX(Recettes!R:R,MATCH(A29,Recettes!A:A,0)),"")</f>
        <v>#ERROR!</v>
      </c>
      <c r="J29" s="431" t="str">
        <f>IFERROR(INDEX(Recettes!S:S,MATCH(A29,Recettes!A:A,0)),"")</f>
        <v>#ERROR!</v>
      </c>
      <c r="K29" s="431" t="str">
        <f>IFERROR(INDEX(Recettes!T:T,MATCH(A29,Recettes!A:A,0)),"")</f>
        <v>#ERROR!</v>
      </c>
      <c r="L29" s="431" t="str">
        <f>IFERROR(INDEX(Recettes!U:U,MATCH(A29,Recettes!A:A,0)),"")</f>
        <v>#ERROR!</v>
      </c>
      <c r="M29" s="431" t="str">
        <f>IFERROR(INDEX(Recettes!V:V,MATCH(A29,Recettes!A:A,0)),"")</f>
        <v>#ERROR!</v>
      </c>
      <c r="N29" s="431" t="str">
        <f>IFERROR(INDEX(Recettes!W:W,MATCH(A29,Recettes!A:A,0)),"")</f>
        <v>#ERROR!</v>
      </c>
      <c r="O29" s="431" t="str">
        <f>IFERROR(INDEX(Recettes!X:X,MATCH(A29,Recettes!A:A,0)),"")</f>
        <v>#ERROR!</v>
      </c>
      <c r="P29" s="432"/>
      <c r="Q29" s="433" t="str">
        <f>IFERROR(INDEX(Recettes!R:R,MATCH(A29,Recettes!A:A,0)),"")</f>
        <v>#ERROR!</v>
      </c>
      <c r="R29" s="433" t="str">
        <f>IFERROR(INDEX(Recettes!S:S,MATCH(A29,Recettes!A:A,0)),"")</f>
        <v>#ERROR!</v>
      </c>
      <c r="S29" s="433" t="str">
        <f>IFERROR(INDEX(Recettes!T:T,MATCH(A29,Recettes!A:A,0)),"")</f>
        <v>#ERROR!</v>
      </c>
      <c r="T29" s="433" t="str">
        <f>IFERROR(INDEX(Recettes!U:U,MATCH(A29,Recettes!A:A,0)),"")</f>
        <v>#ERROR!</v>
      </c>
      <c r="U29" s="433" t="str">
        <f>IFERROR(INDEX(Recettes!V:V,MATCH(A29,Recettes!A:A,0)),"")</f>
        <v>#ERROR!</v>
      </c>
      <c r="V29" s="434"/>
      <c r="W29" s="435" t="str">
        <f>IFERROR(INDEX(Config!B:B,MATCH("DDM appertisation standard (mois)",Config!A:A,0)),36)</f>
        <v>#ERROR!</v>
      </c>
      <c r="X29" s="436" t="str">
        <f>IFERROR(INDEX(Config!B:B,MATCH("Numero agrement DDPP",Config!A:A,0)),"A renseigner dans Config")</f>
        <v>#ERROR!</v>
      </c>
    </row>
    <row r="30" ht="16.5" customHeight="1">
      <c r="A30" s="351" t="s">
        <v>499</v>
      </c>
      <c r="B30" s="36" t="s">
        <v>500</v>
      </c>
      <c r="C30" s="431" t="str">
        <f>IFERROR(INDEX(Recettes!L:L,MATCH(A30,Recettes!A:A,0)),"")</f>
        <v>#ERROR!</v>
      </c>
      <c r="D30" s="431" t="str">
        <f>IFERROR(INDEX(Recettes!M:M,MATCH(A30,Recettes!A:A,0)),"")</f>
        <v>#ERROR!</v>
      </c>
      <c r="E30" s="431" t="str">
        <f>IFERROR(INDEX(Recettes!N:N,MATCH(A30,Recettes!A:A,0)),"")</f>
        <v>#ERROR!</v>
      </c>
      <c r="F30" s="431" t="str">
        <f>IFERROR(INDEX(Recettes!O:O,MATCH(A30,Recettes!A:A,0)),"")</f>
        <v>#ERROR!</v>
      </c>
      <c r="G30" s="431" t="str">
        <f>IFERROR(INDEX(Recettes!P:P,MATCH(A30,Recettes!A:A,0)),"")</f>
        <v>#ERROR!</v>
      </c>
      <c r="H30" s="431" t="str">
        <f>IFERROR(INDEX(Recettes!Q:Q,MATCH(A30,Recettes!A:A,0)),"")</f>
        <v>#ERROR!</v>
      </c>
      <c r="I30" s="431" t="str">
        <f>IFERROR(INDEX(Recettes!R:R,MATCH(A30,Recettes!A:A,0)),"")</f>
        <v>#ERROR!</v>
      </c>
      <c r="J30" s="431" t="str">
        <f>IFERROR(INDEX(Recettes!S:S,MATCH(A30,Recettes!A:A,0)),"")</f>
        <v>#ERROR!</v>
      </c>
      <c r="K30" s="431" t="str">
        <f>IFERROR(INDEX(Recettes!T:T,MATCH(A30,Recettes!A:A,0)),"")</f>
        <v>#ERROR!</v>
      </c>
      <c r="L30" s="431" t="str">
        <f>IFERROR(INDEX(Recettes!U:U,MATCH(A30,Recettes!A:A,0)),"")</f>
        <v>#ERROR!</v>
      </c>
      <c r="M30" s="431" t="str">
        <f>IFERROR(INDEX(Recettes!V:V,MATCH(A30,Recettes!A:A,0)),"")</f>
        <v>#ERROR!</v>
      </c>
      <c r="N30" s="431" t="str">
        <f>IFERROR(INDEX(Recettes!W:W,MATCH(A30,Recettes!A:A,0)),"")</f>
        <v>#ERROR!</v>
      </c>
      <c r="O30" s="431" t="str">
        <f>IFERROR(INDEX(Recettes!X:X,MATCH(A30,Recettes!A:A,0)),"")</f>
        <v>#ERROR!</v>
      </c>
      <c r="P30" s="432"/>
      <c r="Q30" s="433" t="str">
        <f>IFERROR(INDEX(Recettes!R:R,MATCH(A30,Recettes!A:A,0)),"")</f>
        <v>#ERROR!</v>
      </c>
      <c r="R30" s="433" t="str">
        <f>IFERROR(INDEX(Recettes!S:S,MATCH(A30,Recettes!A:A,0)),"")</f>
        <v>#ERROR!</v>
      </c>
      <c r="S30" s="433" t="str">
        <f>IFERROR(INDEX(Recettes!T:T,MATCH(A30,Recettes!A:A,0)),"")</f>
        <v>#ERROR!</v>
      </c>
      <c r="T30" s="433" t="str">
        <f>IFERROR(INDEX(Recettes!U:U,MATCH(A30,Recettes!A:A,0)),"")</f>
        <v>#ERROR!</v>
      </c>
      <c r="U30" s="433" t="str">
        <f>IFERROR(INDEX(Recettes!V:V,MATCH(A30,Recettes!A:A,0)),"")</f>
        <v>#ERROR!</v>
      </c>
      <c r="V30" s="434"/>
      <c r="W30" s="435" t="str">
        <f>IFERROR(INDEX(Config!B:B,MATCH("DDM appertisation standard (mois)",Config!A:A,0)),36)</f>
        <v>#ERROR!</v>
      </c>
      <c r="X30" s="436" t="str">
        <f>IFERROR(INDEX(Config!B:B,MATCH("Numero agrement DDPP",Config!A:A,0)),"A renseigner dans Config")</f>
        <v>#ERROR!</v>
      </c>
    </row>
    <row r="31" ht="16.5" customHeight="1">
      <c r="A31" s="351" t="s">
        <v>501</v>
      </c>
      <c r="B31" s="32" t="s">
        <v>502</v>
      </c>
      <c r="C31" s="431" t="str">
        <f>IFERROR(INDEX(Recettes!L:L,MATCH(A31,Recettes!A:A,0)),"")</f>
        <v>#ERROR!</v>
      </c>
      <c r="D31" s="431" t="str">
        <f>IFERROR(INDEX(Recettes!M:M,MATCH(A31,Recettes!A:A,0)),"")</f>
        <v>#ERROR!</v>
      </c>
      <c r="E31" s="431" t="str">
        <f>IFERROR(INDEX(Recettes!N:N,MATCH(A31,Recettes!A:A,0)),"")</f>
        <v>#ERROR!</v>
      </c>
      <c r="F31" s="431" t="str">
        <f>IFERROR(INDEX(Recettes!O:O,MATCH(A31,Recettes!A:A,0)),"")</f>
        <v>#ERROR!</v>
      </c>
      <c r="G31" s="431" t="str">
        <f>IFERROR(INDEX(Recettes!P:P,MATCH(A31,Recettes!A:A,0)),"")</f>
        <v>#ERROR!</v>
      </c>
      <c r="H31" s="431" t="str">
        <f>IFERROR(INDEX(Recettes!Q:Q,MATCH(A31,Recettes!A:A,0)),"")</f>
        <v>#ERROR!</v>
      </c>
      <c r="I31" s="431" t="str">
        <f>IFERROR(INDEX(Recettes!R:R,MATCH(A31,Recettes!A:A,0)),"")</f>
        <v>#ERROR!</v>
      </c>
      <c r="J31" s="431" t="str">
        <f>IFERROR(INDEX(Recettes!S:S,MATCH(A31,Recettes!A:A,0)),"")</f>
        <v>#ERROR!</v>
      </c>
      <c r="K31" s="431" t="str">
        <f>IFERROR(INDEX(Recettes!T:T,MATCH(A31,Recettes!A:A,0)),"")</f>
        <v>#ERROR!</v>
      </c>
      <c r="L31" s="431" t="str">
        <f>IFERROR(INDEX(Recettes!U:U,MATCH(A31,Recettes!A:A,0)),"")</f>
        <v>#ERROR!</v>
      </c>
      <c r="M31" s="431" t="str">
        <f>IFERROR(INDEX(Recettes!V:V,MATCH(A31,Recettes!A:A,0)),"")</f>
        <v>#ERROR!</v>
      </c>
      <c r="N31" s="431" t="str">
        <f>IFERROR(INDEX(Recettes!W:W,MATCH(A31,Recettes!A:A,0)),"")</f>
        <v>#ERROR!</v>
      </c>
      <c r="O31" s="431" t="str">
        <f>IFERROR(INDEX(Recettes!X:X,MATCH(A31,Recettes!A:A,0)),"")</f>
        <v>#ERROR!</v>
      </c>
      <c r="P31" s="432"/>
      <c r="Q31" s="433" t="str">
        <f>IFERROR(INDEX(Recettes!R:R,MATCH(A31,Recettes!A:A,0)),"")</f>
        <v>#ERROR!</v>
      </c>
      <c r="R31" s="433" t="str">
        <f>IFERROR(INDEX(Recettes!S:S,MATCH(A31,Recettes!A:A,0)),"")</f>
        <v>#ERROR!</v>
      </c>
      <c r="S31" s="433" t="str">
        <f>IFERROR(INDEX(Recettes!T:T,MATCH(A31,Recettes!A:A,0)),"")</f>
        <v>#ERROR!</v>
      </c>
      <c r="T31" s="433" t="str">
        <f>IFERROR(INDEX(Recettes!U:U,MATCH(A31,Recettes!A:A,0)),"")</f>
        <v>#ERROR!</v>
      </c>
      <c r="U31" s="433" t="str">
        <f>IFERROR(INDEX(Recettes!V:V,MATCH(A31,Recettes!A:A,0)),"")</f>
        <v>#ERROR!</v>
      </c>
      <c r="V31" s="434"/>
      <c r="W31" s="435" t="str">
        <f>IFERROR(INDEX(Config!B:B,MATCH("DDM appertisation standard (mois)",Config!A:A,0)),36)</f>
        <v>#ERROR!</v>
      </c>
      <c r="X31" s="436" t="str">
        <f>IFERROR(INDEX(Config!B:B,MATCH("Numero agrement DDPP",Config!A:A,0)),"A renseigner dans Config")</f>
        <v>#ERROR!</v>
      </c>
    </row>
    <row r="32" ht="16.5" customHeight="1">
      <c r="A32" s="351" t="s">
        <v>503</v>
      </c>
      <c r="B32" s="36" t="s">
        <v>504</v>
      </c>
      <c r="C32" s="431" t="str">
        <f>IFERROR(INDEX(Recettes!L:L,MATCH(A32,Recettes!A:A,0)),"")</f>
        <v>#ERROR!</v>
      </c>
      <c r="D32" s="431" t="str">
        <f>IFERROR(INDEX(Recettes!M:M,MATCH(A32,Recettes!A:A,0)),"")</f>
        <v>#ERROR!</v>
      </c>
      <c r="E32" s="431" t="str">
        <f>IFERROR(INDEX(Recettes!N:N,MATCH(A32,Recettes!A:A,0)),"")</f>
        <v>#ERROR!</v>
      </c>
      <c r="F32" s="431" t="str">
        <f>IFERROR(INDEX(Recettes!O:O,MATCH(A32,Recettes!A:A,0)),"")</f>
        <v>#ERROR!</v>
      </c>
      <c r="G32" s="431" t="str">
        <f>IFERROR(INDEX(Recettes!P:P,MATCH(A32,Recettes!A:A,0)),"")</f>
        <v>#ERROR!</v>
      </c>
      <c r="H32" s="431" t="str">
        <f>IFERROR(INDEX(Recettes!Q:Q,MATCH(A32,Recettes!A:A,0)),"")</f>
        <v>#ERROR!</v>
      </c>
      <c r="I32" s="431" t="str">
        <f>IFERROR(INDEX(Recettes!R:R,MATCH(A32,Recettes!A:A,0)),"")</f>
        <v>#ERROR!</v>
      </c>
      <c r="J32" s="431" t="str">
        <f>IFERROR(INDEX(Recettes!S:S,MATCH(A32,Recettes!A:A,0)),"")</f>
        <v>#ERROR!</v>
      </c>
      <c r="K32" s="431" t="str">
        <f>IFERROR(INDEX(Recettes!T:T,MATCH(A32,Recettes!A:A,0)),"")</f>
        <v>#ERROR!</v>
      </c>
      <c r="L32" s="431" t="str">
        <f>IFERROR(INDEX(Recettes!U:U,MATCH(A32,Recettes!A:A,0)),"")</f>
        <v>#ERROR!</v>
      </c>
      <c r="M32" s="431" t="str">
        <f>IFERROR(INDEX(Recettes!V:V,MATCH(A32,Recettes!A:A,0)),"")</f>
        <v>#ERROR!</v>
      </c>
      <c r="N32" s="431" t="str">
        <f>IFERROR(INDEX(Recettes!W:W,MATCH(A32,Recettes!A:A,0)),"")</f>
        <v>#ERROR!</v>
      </c>
      <c r="O32" s="431" t="str">
        <f>IFERROR(INDEX(Recettes!X:X,MATCH(A32,Recettes!A:A,0)),"")</f>
        <v>#ERROR!</v>
      </c>
      <c r="P32" s="432"/>
      <c r="Q32" s="433" t="str">
        <f>IFERROR(INDEX(Recettes!R:R,MATCH(A32,Recettes!A:A,0)),"")</f>
        <v>#ERROR!</v>
      </c>
      <c r="R32" s="433" t="str">
        <f>IFERROR(INDEX(Recettes!S:S,MATCH(A32,Recettes!A:A,0)),"")</f>
        <v>#ERROR!</v>
      </c>
      <c r="S32" s="433" t="str">
        <f>IFERROR(INDEX(Recettes!T:T,MATCH(A32,Recettes!A:A,0)),"")</f>
        <v>#ERROR!</v>
      </c>
      <c r="T32" s="433" t="str">
        <f>IFERROR(INDEX(Recettes!U:U,MATCH(A32,Recettes!A:A,0)),"")</f>
        <v>#ERROR!</v>
      </c>
      <c r="U32" s="433" t="str">
        <f>IFERROR(INDEX(Recettes!V:V,MATCH(A32,Recettes!A:A,0)),"")</f>
        <v>#ERROR!</v>
      </c>
      <c r="V32" s="434"/>
      <c r="W32" s="435" t="str">
        <f>IFERROR(INDEX(Config!B:B,MATCH("DDM appertisation standard (mois)",Config!A:A,0)),36)</f>
        <v>#ERROR!</v>
      </c>
      <c r="X32" s="436" t="str">
        <f>IFERROR(INDEX(Config!B:B,MATCH("Numero agrement DDPP",Config!A:A,0)),"A renseigner dans Config")</f>
        <v>#ERROR!</v>
      </c>
    </row>
    <row r="33" ht="16.5" customHeight="1">
      <c r="A33" s="351" t="s">
        <v>505</v>
      </c>
      <c r="B33" s="32" t="s">
        <v>506</v>
      </c>
      <c r="C33" s="431" t="str">
        <f>IFERROR(INDEX(Recettes!L:L,MATCH(A33,Recettes!A:A,0)),"")</f>
        <v>#ERROR!</v>
      </c>
      <c r="D33" s="431" t="str">
        <f>IFERROR(INDEX(Recettes!M:M,MATCH(A33,Recettes!A:A,0)),"")</f>
        <v>#ERROR!</v>
      </c>
      <c r="E33" s="431" t="str">
        <f>IFERROR(INDEX(Recettes!N:N,MATCH(A33,Recettes!A:A,0)),"")</f>
        <v>#ERROR!</v>
      </c>
      <c r="F33" s="431" t="str">
        <f>IFERROR(INDEX(Recettes!O:O,MATCH(A33,Recettes!A:A,0)),"")</f>
        <v>#ERROR!</v>
      </c>
      <c r="G33" s="431" t="str">
        <f>IFERROR(INDEX(Recettes!P:P,MATCH(A33,Recettes!A:A,0)),"")</f>
        <v>#ERROR!</v>
      </c>
      <c r="H33" s="431" t="str">
        <f>IFERROR(INDEX(Recettes!Q:Q,MATCH(A33,Recettes!A:A,0)),"")</f>
        <v>#ERROR!</v>
      </c>
      <c r="I33" s="431" t="str">
        <f>IFERROR(INDEX(Recettes!R:R,MATCH(A33,Recettes!A:A,0)),"")</f>
        <v>#ERROR!</v>
      </c>
      <c r="J33" s="431" t="str">
        <f>IFERROR(INDEX(Recettes!S:S,MATCH(A33,Recettes!A:A,0)),"")</f>
        <v>#ERROR!</v>
      </c>
      <c r="K33" s="431" t="str">
        <f>IFERROR(INDEX(Recettes!T:T,MATCH(A33,Recettes!A:A,0)),"")</f>
        <v>#ERROR!</v>
      </c>
      <c r="L33" s="431" t="str">
        <f>IFERROR(INDEX(Recettes!U:U,MATCH(A33,Recettes!A:A,0)),"")</f>
        <v>#ERROR!</v>
      </c>
      <c r="M33" s="431" t="str">
        <f>IFERROR(INDEX(Recettes!V:V,MATCH(A33,Recettes!A:A,0)),"")</f>
        <v>#ERROR!</v>
      </c>
      <c r="N33" s="431" t="str">
        <f>IFERROR(INDEX(Recettes!W:W,MATCH(A33,Recettes!A:A,0)),"")</f>
        <v>#ERROR!</v>
      </c>
      <c r="O33" s="431" t="str">
        <f>IFERROR(INDEX(Recettes!X:X,MATCH(A33,Recettes!A:A,0)),"")</f>
        <v>#ERROR!</v>
      </c>
      <c r="P33" s="432"/>
      <c r="Q33" s="433" t="str">
        <f>IFERROR(INDEX(Recettes!R:R,MATCH(A33,Recettes!A:A,0)),"")</f>
        <v>#ERROR!</v>
      </c>
      <c r="R33" s="433" t="str">
        <f>IFERROR(INDEX(Recettes!S:S,MATCH(A33,Recettes!A:A,0)),"")</f>
        <v>#ERROR!</v>
      </c>
      <c r="S33" s="433" t="str">
        <f>IFERROR(INDEX(Recettes!T:T,MATCH(A33,Recettes!A:A,0)),"")</f>
        <v>#ERROR!</v>
      </c>
      <c r="T33" s="433" t="str">
        <f>IFERROR(INDEX(Recettes!U:U,MATCH(A33,Recettes!A:A,0)),"")</f>
        <v>#ERROR!</v>
      </c>
      <c r="U33" s="433" t="str">
        <f>IFERROR(INDEX(Recettes!V:V,MATCH(A33,Recettes!A:A,0)),"")</f>
        <v>#ERROR!</v>
      </c>
      <c r="V33" s="434"/>
      <c r="W33" s="435" t="str">
        <f>IFERROR(INDEX(Config!B:B,MATCH("DDM appertisation standard (mois)",Config!A:A,0)),36)</f>
        <v>#ERROR!</v>
      </c>
      <c r="X33" s="436" t="str">
        <f>IFERROR(INDEX(Config!B:B,MATCH("Numero agrement DDPP",Config!A:A,0)),"A renseigner dans Config")</f>
        <v>#ERROR!</v>
      </c>
    </row>
    <row r="34">
      <c r="A34" s="27" t="s">
        <v>509</v>
      </c>
      <c r="B34" s="27" t="s">
        <v>510</v>
      </c>
      <c r="C34" s="55">
        <v>0.0</v>
      </c>
      <c r="D34" s="55">
        <v>0.0</v>
      </c>
      <c r="E34" s="55">
        <v>0.0</v>
      </c>
      <c r="F34" s="55">
        <v>0.0</v>
      </c>
      <c r="G34" s="55">
        <v>0.0</v>
      </c>
      <c r="H34" s="55">
        <v>0.0</v>
      </c>
      <c r="I34" s="55">
        <v>0.0</v>
      </c>
      <c r="J34" s="55">
        <v>0.0</v>
      </c>
      <c r="K34" s="55">
        <v>0.0</v>
      </c>
      <c r="L34" s="55">
        <v>0.0</v>
      </c>
      <c r="M34" s="55">
        <v>0.0</v>
      </c>
      <c r="N34" s="55">
        <v>0.0</v>
      </c>
      <c r="O34" s="55">
        <v>0.0</v>
      </c>
      <c r="Q34" s="55">
        <v>0.0</v>
      </c>
      <c r="R34" s="55">
        <v>0.0</v>
      </c>
      <c r="S34" s="55">
        <v>0.0</v>
      </c>
      <c r="T34" s="55">
        <v>0.0</v>
      </c>
      <c r="U34" s="55">
        <v>0.0</v>
      </c>
      <c r="V34" s="55">
        <v>115.0</v>
      </c>
      <c r="W34" s="55">
        <v>36.0</v>
      </c>
    </row>
  </sheetData>
  <mergeCells count="3">
    <mergeCell ref="A1:L1"/>
    <mergeCell ref="A2:L2"/>
    <mergeCell ref="A3:L3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8.88"/>
    <col customWidth="1" min="2" max="2" width="27.63"/>
    <col customWidth="1" min="3" max="3" width="15.13"/>
    <col customWidth="1" min="4" max="6" width="10.13"/>
    <col customWidth="1" min="7" max="8" width="25.13"/>
    <col customWidth="1" min="9" max="9" width="15.13"/>
    <col customWidth="1" min="10" max="11" width="12.63"/>
  </cols>
  <sheetData>
    <row r="1" ht="25.5" customHeight="1">
      <c r="A1" s="437" t="s">
        <v>1190</v>
      </c>
    </row>
    <row r="2" ht="25.5" customHeight="1">
      <c r="A2" s="359" t="s">
        <v>1191</v>
      </c>
    </row>
    <row r="3">
      <c r="A3" s="438" t="s">
        <v>1192</v>
      </c>
    </row>
    <row r="4" ht="30.0" customHeight="1">
      <c r="A4" s="439" t="s">
        <v>1193</v>
      </c>
      <c r="B4" s="439" t="s">
        <v>1194</v>
      </c>
      <c r="C4" s="439" t="s">
        <v>75</v>
      </c>
      <c r="D4" s="439" t="s">
        <v>1195</v>
      </c>
      <c r="E4" s="439" t="s">
        <v>1196</v>
      </c>
      <c r="F4" s="439" t="s">
        <v>1197</v>
      </c>
      <c r="G4" s="439" t="s">
        <v>1198</v>
      </c>
      <c r="H4" s="439" t="s">
        <v>999</v>
      </c>
      <c r="I4" s="439" t="s">
        <v>1000</v>
      </c>
      <c r="J4" s="439" t="s">
        <v>1199</v>
      </c>
      <c r="K4" s="439" t="s">
        <v>105</v>
      </c>
    </row>
    <row r="5" ht="27.0" customHeight="1">
      <c r="A5" s="440" t="s">
        <v>1200</v>
      </c>
      <c r="B5" s="441" t="s">
        <v>1201</v>
      </c>
      <c r="C5" s="442" t="s">
        <v>1202</v>
      </c>
      <c r="D5" s="443">
        <v>3.0</v>
      </c>
      <c r="E5" s="443">
        <v>3.0</v>
      </c>
      <c r="F5" s="444" t="str">
        <f>IFERROR(D5*E5,"")</f>
        <v>#ERROR!</v>
      </c>
      <c r="G5" s="445" t="s">
        <v>1203</v>
      </c>
      <c r="H5" s="446" t="s">
        <v>1204</v>
      </c>
      <c r="I5" s="447" t="s">
        <v>863</v>
      </c>
      <c r="J5" s="448" t="s">
        <v>1205</v>
      </c>
      <c r="K5" s="449" t="s">
        <v>1206</v>
      </c>
    </row>
    <row r="6" ht="27.0" customHeight="1">
      <c r="A6" s="36" t="s">
        <v>1200</v>
      </c>
      <c r="B6" s="38" t="s">
        <v>1207</v>
      </c>
      <c r="C6" s="37" t="s">
        <v>1208</v>
      </c>
      <c r="D6" s="443">
        <v>3.0</v>
      </c>
      <c r="E6" s="443">
        <v>3.0</v>
      </c>
      <c r="F6" s="444" t="str">
        <f>IFERROR(D6*E6,"")</f>
        <v>#ERROR!</v>
      </c>
      <c r="G6" s="450" t="s">
        <v>1209</v>
      </c>
      <c r="H6" s="446" t="s">
        <v>1210</v>
      </c>
      <c r="I6" s="169" t="s">
        <v>863</v>
      </c>
      <c r="J6" s="375" t="s">
        <v>1205</v>
      </c>
      <c r="K6" s="449" t="s">
        <v>1206</v>
      </c>
    </row>
    <row r="7" ht="27.0" customHeight="1">
      <c r="A7" s="440" t="s">
        <v>1200</v>
      </c>
      <c r="B7" s="441" t="s">
        <v>1211</v>
      </c>
      <c r="C7" s="442" t="s">
        <v>1212</v>
      </c>
      <c r="D7" s="443">
        <v>3.0</v>
      </c>
      <c r="E7" s="443">
        <v>3.0</v>
      </c>
      <c r="F7" s="444" t="str">
        <f>IFERROR(D7*E7,"")</f>
        <v>#ERROR!</v>
      </c>
      <c r="G7" s="445" t="s">
        <v>1213</v>
      </c>
      <c r="H7" s="446" t="s">
        <v>1214</v>
      </c>
      <c r="I7" s="447" t="s">
        <v>863</v>
      </c>
      <c r="J7" s="448" t="s">
        <v>1215</v>
      </c>
      <c r="K7" s="449" t="s">
        <v>1206</v>
      </c>
    </row>
    <row r="8" ht="27.0" customHeight="1">
      <c r="A8" s="36" t="s">
        <v>662</v>
      </c>
      <c r="B8" s="38" t="s">
        <v>1216</v>
      </c>
      <c r="C8" s="37" t="s">
        <v>1208</v>
      </c>
      <c r="D8" s="443">
        <v>2.0</v>
      </c>
      <c r="E8" s="443">
        <v>4.0</v>
      </c>
      <c r="F8" s="444" t="str">
        <f>IFERROR(D8*E8,"")</f>
        <v>#ERROR!</v>
      </c>
      <c r="G8" s="450" t="s">
        <v>1217</v>
      </c>
      <c r="H8" s="446" t="s">
        <v>1218</v>
      </c>
      <c r="I8" s="169" t="s">
        <v>863</v>
      </c>
      <c r="J8" s="375" t="s">
        <v>1205</v>
      </c>
      <c r="K8" s="449" t="s">
        <v>1206</v>
      </c>
    </row>
    <row r="9" ht="27.0" customHeight="1">
      <c r="A9" s="440" t="s">
        <v>662</v>
      </c>
      <c r="B9" s="441" t="s">
        <v>1219</v>
      </c>
      <c r="C9" s="442" t="s">
        <v>1220</v>
      </c>
      <c r="D9" s="443">
        <v>1.0</v>
      </c>
      <c r="E9" s="443">
        <v>4.0</v>
      </c>
      <c r="F9" s="444" t="str">
        <f>IFERROR(D9*E9,"")</f>
        <v>#ERROR!</v>
      </c>
      <c r="G9" s="445" t="s">
        <v>1221</v>
      </c>
      <c r="H9" s="446" t="s">
        <v>1222</v>
      </c>
      <c r="I9" s="447" t="s">
        <v>1223</v>
      </c>
      <c r="J9" s="448" t="s">
        <v>219</v>
      </c>
      <c r="K9" s="449" t="s">
        <v>1206</v>
      </c>
    </row>
    <row r="10" ht="27.0" customHeight="1">
      <c r="A10" s="36" t="s">
        <v>662</v>
      </c>
      <c r="B10" s="38" t="s">
        <v>1224</v>
      </c>
      <c r="C10" s="37" t="s">
        <v>1225</v>
      </c>
      <c r="D10" s="443">
        <v>1.0</v>
      </c>
      <c r="E10" s="443">
        <v>4.0</v>
      </c>
      <c r="F10" s="444" t="str">
        <f>IFERROR(D10*E10,"")</f>
        <v>#ERROR!</v>
      </c>
      <c r="G10" s="450" t="s">
        <v>1226</v>
      </c>
      <c r="H10" s="446" t="s">
        <v>1227</v>
      </c>
      <c r="I10" s="169" t="s">
        <v>1228</v>
      </c>
      <c r="J10" s="375" t="s">
        <v>219</v>
      </c>
      <c r="K10" s="449" t="s">
        <v>1206</v>
      </c>
    </row>
    <row r="11" ht="27.0" customHeight="1">
      <c r="A11" s="440" t="s">
        <v>1229</v>
      </c>
      <c r="B11" s="441" t="s">
        <v>1230</v>
      </c>
      <c r="C11" s="442" t="s">
        <v>1202</v>
      </c>
      <c r="D11" s="443">
        <v>2.0</v>
      </c>
      <c r="E11" s="443">
        <v>3.0</v>
      </c>
      <c r="F11" s="444" t="str">
        <f>IFERROR(D11*E11,"")</f>
        <v>#ERROR!</v>
      </c>
      <c r="G11" s="445" t="s">
        <v>1231</v>
      </c>
      <c r="H11" s="446" t="s">
        <v>1232</v>
      </c>
      <c r="I11" s="447" t="s">
        <v>863</v>
      </c>
      <c r="J11" s="448" t="s">
        <v>1215</v>
      </c>
      <c r="K11" s="449" t="s">
        <v>1206</v>
      </c>
    </row>
    <row r="12" ht="27.0" customHeight="1">
      <c r="A12" s="36" t="s">
        <v>1229</v>
      </c>
      <c r="B12" s="38" t="s">
        <v>1233</v>
      </c>
      <c r="C12" s="37" t="s">
        <v>1234</v>
      </c>
      <c r="D12" s="443">
        <v>2.0</v>
      </c>
      <c r="E12" s="443">
        <v>4.0</v>
      </c>
      <c r="F12" s="444" t="str">
        <f>IFERROR(D12*E12,"")</f>
        <v>#ERROR!</v>
      </c>
      <c r="G12" s="450" t="s">
        <v>1235</v>
      </c>
      <c r="H12" s="446" t="s">
        <v>1236</v>
      </c>
      <c r="I12" s="169" t="s">
        <v>863</v>
      </c>
      <c r="J12" s="375" t="s">
        <v>1205</v>
      </c>
      <c r="K12" s="449" t="s">
        <v>1206</v>
      </c>
    </row>
    <row r="13" ht="27.0" customHeight="1">
      <c r="A13" s="440" t="s">
        <v>1237</v>
      </c>
      <c r="B13" s="441" t="s">
        <v>1238</v>
      </c>
      <c r="C13" s="442" t="s">
        <v>1202</v>
      </c>
      <c r="D13" s="443">
        <v>3.0</v>
      </c>
      <c r="E13" s="443">
        <v>2.0</v>
      </c>
      <c r="F13" s="444" t="str">
        <f>IFERROR(D13*E13,"")</f>
        <v>#ERROR!</v>
      </c>
      <c r="G13" s="445" t="s">
        <v>1239</v>
      </c>
      <c r="H13" s="446" t="s">
        <v>1240</v>
      </c>
      <c r="I13" s="447" t="s">
        <v>863</v>
      </c>
      <c r="J13" s="448" t="s">
        <v>1205</v>
      </c>
      <c r="K13" s="449" t="s">
        <v>1206</v>
      </c>
    </row>
    <row r="14" ht="27.0" customHeight="1">
      <c r="A14" s="36" t="s">
        <v>1237</v>
      </c>
      <c r="B14" s="38" t="s">
        <v>1241</v>
      </c>
      <c r="C14" s="37" t="s">
        <v>1242</v>
      </c>
      <c r="D14" s="443">
        <v>3.0</v>
      </c>
      <c r="E14" s="443">
        <v>2.0</v>
      </c>
      <c r="F14" s="444" t="str">
        <f>IFERROR(D14*E14,"")</f>
        <v>#ERROR!</v>
      </c>
      <c r="G14" s="450" t="s">
        <v>1243</v>
      </c>
      <c r="H14" s="446" t="s">
        <v>1244</v>
      </c>
      <c r="I14" s="169" t="s">
        <v>863</v>
      </c>
      <c r="J14" s="375" t="s">
        <v>1245</v>
      </c>
      <c r="K14" s="449" t="s">
        <v>1206</v>
      </c>
    </row>
    <row r="15" ht="27.0" customHeight="1">
      <c r="A15" s="440" t="s">
        <v>1246</v>
      </c>
      <c r="B15" s="441" t="s">
        <v>1247</v>
      </c>
      <c r="C15" s="442" t="s">
        <v>1248</v>
      </c>
      <c r="D15" s="443">
        <v>1.0</v>
      </c>
      <c r="E15" s="443">
        <v>3.0</v>
      </c>
      <c r="F15" s="444" t="str">
        <f>IFERROR(D15*E15,"")</f>
        <v>#ERROR!</v>
      </c>
      <c r="G15" s="445" t="s">
        <v>1249</v>
      </c>
      <c r="H15" s="446" t="s">
        <v>1250</v>
      </c>
      <c r="I15" s="447" t="s">
        <v>863</v>
      </c>
      <c r="J15" s="448" t="s">
        <v>1245</v>
      </c>
      <c r="K15" s="449" t="s">
        <v>1206</v>
      </c>
    </row>
    <row r="16" ht="27.0" customHeight="1">
      <c r="A16" s="36" t="s">
        <v>1251</v>
      </c>
      <c r="B16" s="38" t="s">
        <v>1252</v>
      </c>
      <c r="C16" s="37" t="s">
        <v>1242</v>
      </c>
      <c r="D16" s="443">
        <v>2.0</v>
      </c>
      <c r="E16" s="443">
        <v>2.0</v>
      </c>
      <c r="F16" s="444" t="str">
        <f>IFERROR(D16*E16,"")</f>
        <v>#ERROR!</v>
      </c>
      <c r="G16" s="450" t="s">
        <v>1253</v>
      </c>
      <c r="H16" s="446" t="s">
        <v>1254</v>
      </c>
      <c r="I16" s="169" t="s">
        <v>863</v>
      </c>
      <c r="J16" s="375" t="s">
        <v>1245</v>
      </c>
      <c r="K16" s="449" t="s">
        <v>1206</v>
      </c>
    </row>
    <row r="17" ht="27.0" customHeight="1">
      <c r="A17" s="440" t="s">
        <v>1255</v>
      </c>
      <c r="B17" s="441" t="s">
        <v>1256</v>
      </c>
      <c r="C17" s="442" t="s">
        <v>1257</v>
      </c>
      <c r="D17" s="443">
        <v>1.0</v>
      </c>
      <c r="E17" s="443">
        <v>4.0</v>
      </c>
      <c r="F17" s="444" t="str">
        <f>IFERROR(D17*E17,"")</f>
        <v>#ERROR!</v>
      </c>
      <c r="G17" s="445" t="s">
        <v>1258</v>
      </c>
      <c r="H17" s="446" t="s">
        <v>1259</v>
      </c>
      <c r="I17" s="447" t="s">
        <v>863</v>
      </c>
      <c r="J17" s="448" t="s">
        <v>1260</v>
      </c>
      <c r="K17" s="449" t="s">
        <v>1206</v>
      </c>
    </row>
    <row r="18" ht="27.0" customHeight="1">
      <c r="A18" s="36" t="s">
        <v>1255</v>
      </c>
      <c r="B18" s="38" t="s">
        <v>1261</v>
      </c>
      <c r="C18" s="37" t="s">
        <v>1262</v>
      </c>
      <c r="D18" s="443">
        <v>2.0</v>
      </c>
      <c r="E18" s="443">
        <v>3.0</v>
      </c>
      <c r="F18" s="444" t="str">
        <f>IFERROR(D18*E18,"")</f>
        <v>#ERROR!</v>
      </c>
      <c r="G18" s="450" t="s">
        <v>1263</v>
      </c>
      <c r="H18" s="446" t="s">
        <v>1264</v>
      </c>
      <c r="I18" s="169" t="s">
        <v>863</v>
      </c>
      <c r="J18" s="375" t="s">
        <v>1205</v>
      </c>
      <c r="K18" s="449" t="s">
        <v>1206</v>
      </c>
    </row>
    <row r="19" ht="27.0" customHeight="1">
      <c r="A19" s="440" t="s">
        <v>1255</v>
      </c>
      <c r="B19" s="441" t="s">
        <v>1265</v>
      </c>
      <c r="C19" s="442" t="s">
        <v>1248</v>
      </c>
      <c r="D19" s="443">
        <v>3.0</v>
      </c>
      <c r="E19" s="443">
        <v>2.0</v>
      </c>
      <c r="F19" s="444" t="str">
        <f>IFERROR(D19*E19,"")</f>
        <v>#ERROR!</v>
      </c>
      <c r="G19" s="445" t="s">
        <v>1266</v>
      </c>
      <c r="H19" s="446" t="s">
        <v>1267</v>
      </c>
      <c r="I19" s="447" t="s">
        <v>863</v>
      </c>
      <c r="J19" s="448" t="s">
        <v>1245</v>
      </c>
      <c r="K19" s="449" t="s">
        <v>1206</v>
      </c>
    </row>
  </sheetData>
  <mergeCells count="3">
    <mergeCell ref="A1:J1"/>
    <mergeCell ref="A2:J2"/>
    <mergeCell ref="A3:J3"/>
  </mergeCells>
  <conditionalFormatting sqref="F5:F20">
    <cfRule type="cellIs" dxfId="5" priority="1" stopIfTrue="1" operator="greaterThanOrEqual">
      <formula>9</formula>
    </cfRule>
  </conditionalFormatting>
  <conditionalFormatting sqref="F5:F20">
    <cfRule type="cellIs" dxfId="0" priority="2" stopIfTrue="1" operator="between">
      <formula>5</formula>
      <formula>8</formula>
    </cfRule>
  </conditionalFormatting>
  <conditionalFormatting sqref="F5:F20">
    <cfRule type="cellIs" dxfId="4" priority="3" stopIfTrue="1" operator="lessThan">
      <formula>5</formula>
    </cfRule>
  </conditionalFormatting>
  <dataValidations>
    <dataValidation type="list" allowBlank="1" sqref="K5:K19">
      <formula1>"A traiter,En cours,Realise,Accepte (residuel)"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A6B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0.13"/>
    <col customWidth="1" min="2" max="2" width="7.63"/>
    <col customWidth="1" min="3" max="3" width="35.13"/>
    <col customWidth="1" min="4" max="6" width="7.63"/>
    <col customWidth="1" min="7" max="7" width="18.88"/>
    <col customWidth="1" min="8" max="8" width="10.13"/>
  </cols>
  <sheetData>
    <row r="1" ht="25.5" customHeight="1">
      <c r="A1" s="140" t="s">
        <v>1268</v>
      </c>
    </row>
    <row r="4" ht="19.5" customHeight="1">
      <c r="A4" s="7" t="s">
        <v>1269</v>
      </c>
    </row>
    <row r="5" ht="18.0" customHeight="1">
      <c r="A5" s="451" t="s">
        <v>1270</v>
      </c>
      <c r="C5" s="451" t="s">
        <v>559</v>
      </c>
      <c r="G5" s="451" t="s">
        <v>1271</v>
      </c>
    </row>
    <row r="6" ht="24.0" customHeight="1">
      <c r="A6" s="286" t="s">
        <v>1272</v>
      </c>
      <c r="B6" s="17"/>
      <c r="C6" s="452" t="s">
        <v>1273</v>
      </c>
      <c r="D6" s="16"/>
      <c r="E6" s="16"/>
      <c r="F6" s="17"/>
      <c r="G6" s="453" t="s">
        <v>1274</v>
      </c>
      <c r="H6" s="17"/>
    </row>
    <row r="7" ht="24.0" customHeight="1">
      <c r="A7" s="454" t="s">
        <v>1275</v>
      </c>
      <c r="B7" s="17"/>
      <c r="C7" s="455" t="s">
        <v>1276</v>
      </c>
      <c r="D7" s="16"/>
      <c r="E7" s="16"/>
      <c r="F7" s="17"/>
      <c r="G7" s="456" t="s">
        <v>1277</v>
      </c>
      <c r="H7" s="17"/>
    </row>
    <row r="8" ht="24.0" customHeight="1">
      <c r="A8" s="286" t="s">
        <v>1278</v>
      </c>
      <c r="B8" s="17"/>
      <c r="C8" s="452" t="s">
        <v>1279</v>
      </c>
      <c r="D8" s="16"/>
      <c r="E8" s="16"/>
      <c r="F8" s="17"/>
      <c r="G8" s="453" t="s">
        <v>1280</v>
      </c>
      <c r="H8" s="17"/>
    </row>
    <row r="9" ht="24.0" customHeight="1">
      <c r="A9" s="454" t="s">
        <v>1281</v>
      </c>
      <c r="B9" s="17"/>
      <c r="C9" s="455" t="s">
        <v>1282</v>
      </c>
      <c r="D9" s="16"/>
      <c r="E9" s="16"/>
      <c r="F9" s="17"/>
      <c r="G9" s="456" t="s">
        <v>1283</v>
      </c>
      <c r="H9" s="17"/>
    </row>
    <row r="10" ht="24.0" customHeight="1">
      <c r="A10" s="286" t="s">
        <v>1284</v>
      </c>
      <c r="B10" s="17"/>
      <c r="C10" s="452" t="s">
        <v>1285</v>
      </c>
      <c r="D10" s="16"/>
      <c r="E10" s="16"/>
      <c r="F10" s="17"/>
      <c r="G10" s="453" t="s">
        <v>1066</v>
      </c>
      <c r="H10" s="17"/>
    </row>
    <row r="12" ht="19.5" customHeight="1">
      <c r="A12" s="7" t="s">
        <v>1286</v>
      </c>
    </row>
    <row r="13" ht="18.0" customHeight="1">
      <c r="A13" s="451" t="s">
        <v>1270</v>
      </c>
      <c r="C13" s="451" t="s">
        <v>559</v>
      </c>
      <c r="G13" s="451" t="s">
        <v>1271</v>
      </c>
    </row>
    <row r="14" ht="24.0" customHeight="1">
      <c r="A14" s="286" t="s">
        <v>1287</v>
      </c>
      <c r="B14" s="17"/>
      <c r="C14" s="452" t="s">
        <v>1288</v>
      </c>
      <c r="D14" s="16"/>
      <c r="E14" s="16"/>
      <c r="F14" s="17"/>
      <c r="G14" s="453" t="s">
        <v>1289</v>
      </c>
      <c r="H14" s="17"/>
    </row>
    <row r="15" ht="24.0" customHeight="1">
      <c r="A15" s="454" t="s">
        <v>1290</v>
      </c>
      <c r="B15" s="17"/>
      <c r="C15" s="455" t="s">
        <v>1291</v>
      </c>
      <c r="D15" s="16"/>
      <c r="E15" s="16"/>
      <c r="F15" s="17"/>
      <c r="G15" s="456" t="s">
        <v>1292</v>
      </c>
      <c r="H15" s="17"/>
    </row>
    <row r="16" ht="24.0" customHeight="1">
      <c r="A16" s="286" t="s">
        <v>1293</v>
      </c>
      <c r="B16" s="17"/>
      <c r="C16" s="452" t="s">
        <v>1294</v>
      </c>
      <c r="D16" s="16"/>
      <c r="E16" s="16"/>
      <c r="F16" s="17"/>
      <c r="G16" s="453" t="s">
        <v>1295</v>
      </c>
      <c r="H16" s="17"/>
    </row>
    <row r="18" ht="19.5" customHeight="1">
      <c r="A18" s="7" t="s">
        <v>1296</v>
      </c>
    </row>
    <row r="19" ht="18.0" customHeight="1">
      <c r="A19" s="451" t="s">
        <v>1270</v>
      </c>
      <c r="C19" s="451" t="s">
        <v>559</v>
      </c>
      <c r="G19" s="451" t="s">
        <v>1271</v>
      </c>
    </row>
    <row r="20" ht="24.0" customHeight="1">
      <c r="A20" s="286" t="s">
        <v>1297</v>
      </c>
      <c r="B20" s="17"/>
      <c r="C20" s="452" t="s">
        <v>1298</v>
      </c>
      <c r="D20" s="16"/>
      <c r="E20" s="16"/>
      <c r="F20" s="17"/>
      <c r="G20" s="453" t="s">
        <v>1289</v>
      </c>
      <c r="H20" s="17"/>
    </row>
    <row r="21" ht="24.0" customHeight="1">
      <c r="A21" s="454" t="s">
        <v>1299</v>
      </c>
      <c r="B21" s="17"/>
      <c r="C21" s="455" t="s">
        <v>1300</v>
      </c>
      <c r="D21" s="16"/>
      <c r="E21" s="16"/>
      <c r="F21" s="17"/>
      <c r="G21" s="456" t="s">
        <v>1289</v>
      </c>
      <c r="H21" s="17"/>
    </row>
    <row r="22" ht="24.0" customHeight="1">
      <c r="A22" s="286" t="s">
        <v>1301</v>
      </c>
      <c r="B22" s="17"/>
      <c r="C22" s="452" t="s">
        <v>1302</v>
      </c>
      <c r="D22" s="16"/>
      <c r="E22" s="16"/>
      <c r="F22" s="17"/>
      <c r="G22" s="453" t="s">
        <v>1303</v>
      </c>
      <c r="H22" s="17"/>
    </row>
    <row r="23" ht="24.0" customHeight="1">
      <c r="A23" s="454" t="s">
        <v>1304</v>
      </c>
      <c r="B23" s="17"/>
      <c r="C23" s="455" t="s">
        <v>1305</v>
      </c>
      <c r="D23" s="16"/>
      <c r="E23" s="16"/>
      <c r="F23" s="17"/>
      <c r="G23" s="456" t="s">
        <v>1066</v>
      </c>
      <c r="H23" s="17"/>
    </row>
    <row r="25" ht="19.5" customHeight="1">
      <c r="A25" s="7" t="s">
        <v>1306</v>
      </c>
    </row>
    <row r="26" ht="18.0" customHeight="1">
      <c r="A26" s="451" t="s">
        <v>1270</v>
      </c>
      <c r="C26" s="451" t="s">
        <v>559</v>
      </c>
      <c r="G26" s="451" t="s">
        <v>1271</v>
      </c>
    </row>
    <row r="27" ht="24.0" customHeight="1">
      <c r="A27" s="286" t="s">
        <v>1307</v>
      </c>
      <c r="B27" s="17"/>
      <c r="C27" s="452" t="s">
        <v>1308</v>
      </c>
      <c r="D27" s="16"/>
      <c r="E27" s="16"/>
      <c r="F27" s="17"/>
      <c r="G27" s="453" t="s">
        <v>1309</v>
      </c>
      <c r="H27" s="17"/>
    </row>
    <row r="28" ht="24.0" customHeight="1">
      <c r="A28" s="454" t="s">
        <v>1310</v>
      </c>
      <c r="B28" s="17"/>
      <c r="C28" s="455" t="s">
        <v>1311</v>
      </c>
      <c r="D28" s="16"/>
      <c r="E28" s="16"/>
      <c r="F28" s="17"/>
      <c r="G28" s="456" t="s">
        <v>1205</v>
      </c>
      <c r="H28" s="17"/>
    </row>
    <row r="29" ht="24.0" customHeight="1">
      <c r="A29" s="286" t="s">
        <v>1312</v>
      </c>
      <c r="B29" s="17"/>
      <c r="C29" s="452" t="s">
        <v>1313</v>
      </c>
      <c r="D29" s="16"/>
      <c r="E29" s="16"/>
      <c r="F29" s="17"/>
      <c r="G29" s="453" t="s">
        <v>1314</v>
      </c>
      <c r="H29" s="17"/>
    </row>
  </sheetData>
  <mergeCells count="62">
    <mergeCell ref="C22:F22"/>
    <mergeCell ref="G22:H22"/>
    <mergeCell ref="A20:B20"/>
    <mergeCell ref="C20:F20"/>
    <mergeCell ref="G20:H20"/>
    <mergeCell ref="A21:B21"/>
    <mergeCell ref="C21:F21"/>
    <mergeCell ref="G21:H21"/>
    <mergeCell ref="A22:B22"/>
    <mergeCell ref="C29:F29"/>
    <mergeCell ref="G29:H29"/>
    <mergeCell ref="A27:B27"/>
    <mergeCell ref="C27:F27"/>
    <mergeCell ref="G27:H27"/>
    <mergeCell ref="A28:B28"/>
    <mergeCell ref="C28:F28"/>
    <mergeCell ref="G28:H28"/>
    <mergeCell ref="A29:B29"/>
    <mergeCell ref="A1:H1"/>
    <mergeCell ref="A4:J4"/>
    <mergeCell ref="A5:B5"/>
    <mergeCell ref="C5:F5"/>
    <mergeCell ref="G5:H5"/>
    <mergeCell ref="C6:F6"/>
    <mergeCell ref="G6:H6"/>
    <mergeCell ref="A6:B6"/>
    <mergeCell ref="A7:B7"/>
    <mergeCell ref="C7:F7"/>
    <mergeCell ref="G7:H7"/>
    <mergeCell ref="A8:B8"/>
    <mergeCell ref="C8:F8"/>
    <mergeCell ref="G8:H8"/>
    <mergeCell ref="A9:B9"/>
    <mergeCell ref="C9:F9"/>
    <mergeCell ref="G9:H9"/>
    <mergeCell ref="A10:B10"/>
    <mergeCell ref="C10:F10"/>
    <mergeCell ref="G10:H10"/>
    <mergeCell ref="A12:J12"/>
    <mergeCell ref="C15:F15"/>
    <mergeCell ref="G15:H15"/>
    <mergeCell ref="A13:B13"/>
    <mergeCell ref="C13:F13"/>
    <mergeCell ref="G13:H13"/>
    <mergeCell ref="A14:B14"/>
    <mergeCell ref="C14:F14"/>
    <mergeCell ref="G14:H14"/>
    <mergeCell ref="A15:B15"/>
    <mergeCell ref="A16:B16"/>
    <mergeCell ref="C16:F16"/>
    <mergeCell ref="G16:H16"/>
    <mergeCell ref="A18:J18"/>
    <mergeCell ref="A19:B19"/>
    <mergeCell ref="C19:F19"/>
    <mergeCell ref="G19:H19"/>
    <mergeCell ref="A23:B23"/>
    <mergeCell ref="C23:F23"/>
    <mergeCell ref="G23:H23"/>
    <mergeCell ref="A25:J25"/>
    <mergeCell ref="A26:B26"/>
    <mergeCell ref="C26:F26"/>
    <mergeCell ref="G26:H26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860B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3.25"/>
    <col customWidth="1" min="2" max="2" width="11.63"/>
    <col customWidth="1" min="3" max="3" width="23.25"/>
    <col customWidth="1" min="4" max="4" width="13.88"/>
    <col customWidth="1" min="5" max="5" width="25.13"/>
    <col customWidth="1" min="6" max="6" width="20.13"/>
    <col customWidth="1" min="7" max="7" width="12.63"/>
    <col customWidth="1" min="8" max="8" width="8.25"/>
    <col customWidth="1" min="9" max="9" width="11.38"/>
    <col customWidth="1" min="10" max="10" width="20.13"/>
    <col customWidth="1" min="11" max="11" width="12.63"/>
    <col customWidth="1" min="12" max="12" width="8.25"/>
    <col customWidth="1" min="13" max="13" width="11.38"/>
    <col customWidth="1" min="14" max="14" width="20.13"/>
    <col customWidth="1" min="15" max="15" width="12.63"/>
    <col customWidth="1" min="16" max="16" width="8.25"/>
    <col customWidth="1" min="17" max="17" width="11.38"/>
    <col customWidth="1" min="18" max="18" width="10.13"/>
    <col customWidth="1" min="19" max="19" width="10.75"/>
    <col customWidth="1" min="20" max="20" width="13.88"/>
    <col customWidth="1" min="21" max="21" width="10.75"/>
    <col customWidth="1" min="22" max="22" width="13.88"/>
    <col customWidth="1" min="23" max="23" width="13.25"/>
    <col customWidth="1" min="24" max="24" width="12.63"/>
    <col customWidth="1" min="25" max="25" width="13.88"/>
    <col customWidth="1" min="26" max="26" width="25.13"/>
  </cols>
  <sheetData>
    <row r="1" ht="25.5" customHeight="1">
      <c r="A1" s="30" t="s">
        <v>1315</v>
      </c>
    </row>
    <row r="2" ht="25.5" customHeight="1">
      <c r="A2" s="141" t="s">
        <v>1316</v>
      </c>
    </row>
    <row r="3">
      <c r="A3" s="276" t="s">
        <v>1317</v>
      </c>
    </row>
    <row r="4" ht="24.0" customHeight="1">
      <c r="A4" s="158" t="s">
        <v>921</v>
      </c>
      <c r="B4" s="158" t="s">
        <v>73</v>
      </c>
      <c r="C4" s="158" t="s">
        <v>76</v>
      </c>
      <c r="D4" s="158" t="s">
        <v>1110</v>
      </c>
      <c r="E4" s="158" t="s">
        <v>1318</v>
      </c>
      <c r="F4" s="158" t="s">
        <v>1319</v>
      </c>
      <c r="G4" s="158" t="s">
        <v>1320</v>
      </c>
      <c r="H4" s="158" t="s">
        <v>923</v>
      </c>
      <c r="I4" s="158" t="s">
        <v>1321</v>
      </c>
      <c r="J4" s="158" t="s">
        <v>1322</v>
      </c>
      <c r="K4" s="158" t="s">
        <v>1323</v>
      </c>
      <c r="L4" s="158" t="s">
        <v>925</v>
      </c>
      <c r="M4" s="158" t="s">
        <v>1324</v>
      </c>
      <c r="N4" s="158" t="s">
        <v>1325</v>
      </c>
      <c r="O4" s="158" t="s">
        <v>1326</v>
      </c>
      <c r="P4" s="158" t="s">
        <v>1327</v>
      </c>
      <c r="Q4" s="158" t="s">
        <v>1328</v>
      </c>
      <c r="R4" s="158" t="s">
        <v>81</v>
      </c>
      <c r="S4" s="158" t="s">
        <v>1329</v>
      </c>
      <c r="T4" s="158" t="s">
        <v>1330</v>
      </c>
      <c r="U4" s="158" t="s">
        <v>83</v>
      </c>
      <c r="V4" s="158" t="s">
        <v>84</v>
      </c>
      <c r="W4" s="158" t="s">
        <v>105</v>
      </c>
      <c r="X4" s="158" t="s">
        <v>926</v>
      </c>
      <c r="Y4" s="158" t="s">
        <v>1113</v>
      </c>
      <c r="Z4" s="158" t="s">
        <v>1331</v>
      </c>
    </row>
    <row r="5">
      <c r="A5" s="403" t="str">
        <f>IF(C5="","","BC-"&amp;TEXT(YEAR(B5),"0000")&amp;"-"&amp;TEXT(ROW()-4,"000"))</f>
        <v>#ERROR!</v>
      </c>
      <c r="B5" s="457">
        <v>46121.08333333333</v>
      </c>
      <c r="C5" s="216" t="s">
        <v>1147</v>
      </c>
      <c r="D5" s="216" t="s">
        <v>1332</v>
      </c>
      <c r="E5" s="216" t="s">
        <v>1333</v>
      </c>
      <c r="F5" s="216" t="s">
        <v>480</v>
      </c>
      <c r="G5" s="216" t="s">
        <v>456</v>
      </c>
      <c r="H5" s="221">
        <v>10.0</v>
      </c>
      <c r="I5" s="221">
        <v>5.592417061611375</v>
      </c>
      <c r="J5" s="216" t="s">
        <v>484</v>
      </c>
      <c r="K5" s="216" t="s">
        <v>439</v>
      </c>
      <c r="L5" s="221">
        <v>10.0</v>
      </c>
      <c r="M5" s="221">
        <v>9.004739336492891</v>
      </c>
      <c r="N5" s="216" t="s">
        <v>504</v>
      </c>
      <c r="O5" s="216" t="s">
        <v>456</v>
      </c>
      <c r="P5" s="221">
        <v>10.0</v>
      </c>
      <c r="Q5" s="221">
        <v>4.644549763033176</v>
      </c>
      <c r="R5" s="221">
        <v>0.0</v>
      </c>
      <c r="S5" s="217"/>
      <c r="T5" s="458">
        <v>192.41706161137444</v>
      </c>
      <c r="U5" s="291">
        <v>10.582938388625594</v>
      </c>
      <c r="V5" s="459">
        <v>203.00000000000003</v>
      </c>
      <c r="W5" s="216" t="s">
        <v>1152</v>
      </c>
      <c r="X5" s="278"/>
      <c r="Y5" s="217"/>
      <c r="Z5" s="223"/>
    </row>
    <row r="6">
      <c r="A6" s="408" t="str">
        <f>IF(C6="","","BC-"&amp;TEXT(YEAR(B6),"0000")&amp;"-"&amp;TEXT(ROW()-4,"000"))</f>
        <v>#ERROR!</v>
      </c>
      <c r="B6" s="460">
        <v>46116.08333333333</v>
      </c>
      <c r="C6" s="226" t="s">
        <v>1147</v>
      </c>
      <c r="D6" s="226" t="s">
        <v>1332</v>
      </c>
      <c r="E6" s="226" t="s">
        <v>1334</v>
      </c>
      <c r="F6" s="226" t="s">
        <v>476</v>
      </c>
      <c r="G6" s="226" t="s">
        <v>456</v>
      </c>
      <c r="H6" s="231">
        <v>15.0</v>
      </c>
      <c r="I6" s="231">
        <v>5.592417061611375</v>
      </c>
      <c r="J6" s="227"/>
      <c r="K6" s="227"/>
      <c r="L6" s="227"/>
      <c r="M6" s="227"/>
      <c r="N6" s="227"/>
      <c r="O6" s="227"/>
      <c r="P6" s="227"/>
      <c r="Q6" s="227"/>
      <c r="R6" s="231">
        <v>0.0</v>
      </c>
      <c r="S6" s="227"/>
      <c r="T6" s="461">
        <v>83.88625592417063</v>
      </c>
      <c r="U6" s="294">
        <v>4.613744075829384</v>
      </c>
      <c r="V6" s="462">
        <v>88.5</v>
      </c>
      <c r="W6" s="226" t="s">
        <v>1152</v>
      </c>
      <c r="X6" s="266"/>
      <c r="Y6" s="227"/>
      <c r="Z6" s="233"/>
    </row>
    <row r="7">
      <c r="A7" s="408" t="str">
        <f>IF(C7="","","BC-"&amp;TEXT(YEAR(B7),"0000")&amp;"-"&amp;TEXT(ROW()-4,"000"))</f>
        <v>#ERROR!</v>
      </c>
      <c r="B7" s="270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410" t="str">
        <f>IFERROR(ROUND(((I7*H7)+(M7*L7)+(Q7*P7))*(1-R7)+S7,2),"")</f>
        <v>#ERROR!</v>
      </c>
      <c r="U7" s="283" t="str">
        <f>IFERROR(ROUND(T7*0.055,2),"")</f>
        <v>#ERROR!</v>
      </c>
      <c r="V7" s="463" t="str">
        <f>IFERROR(T7+U7,"")</f>
        <v>#ERROR!</v>
      </c>
      <c r="W7" s="235"/>
      <c r="X7" s="270"/>
      <c r="Y7" s="235"/>
      <c r="Z7" s="240"/>
    </row>
    <row r="8">
      <c r="A8" s="408" t="str">
        <f>IF(C8="","","BC-"&amp;TEXT(YEAR(B8),"0000")&amp;"-"&amp;TEXT(ROW()-4,"000"))</f>
        <v>#ERROR!</v>
      </c>
      <c r="B8" s="266"/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410" t="str">
        <f>IFERROR(ROUND(((I8*H8)+(M8*L8)+(Q8*P8))*(1-R8)+S8,2),"")</f>
        <v>#ERROR!</v>
      </c>
      <c r="U8" s="281" t="str">
        <f>IFERROR(ROUND(T8*0.055,2),"")</f>
        <v>#ERROR!</v>
      </c>
      <c r="V8" s="463" t="str">
        <f>IFERROR(T8+U8,"")</f>
        <v>#ERROR!</v>
      </c>
      <c r="W8" s="227"/>
      <c r="X8" s="266"/>
      <c r="Y8" s="227"/>
      <c r="Z8" s="233"/>
    </row>
    <row r="9">
      <c r="A9" s="408" t="str">
        <f>IF(C9="","","BC-"&amp;TEXT(YEAR(B9),"0000")&amp;"-"&amp;TEXT(ROW()-4,"000"))</f>
        <v>#ERROR!</v>
      </c>
      <c r="B9" s="270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410" t="str">
        <f>IFERROR(ROUND(((I9*H9)+(M9*L9)+(Q9*P9))*(1-R9)+S9,2),"")</f>
        <v>#ERROR!</v>
      </c>
      <c r="U9" s="283" t="str">
        <f>IFERROR(ROUND(T9*0.055,2),"")</f>
        <v>#ERROR!</v>
      </c>
      <c r="V9" s="463" t="str">
        <f>IFERROR(T9+U9,"")</f>
        <v>#ERROR!</v>
      </c>
      <c r="W9" s="235"/>
      <c r="X9" s="270"/>
      <c r="Y9" s="235"/>
      <c r="Z9" s="240"/>
    </row>
    <row r="10">
      <c r="A10" s="408" t="str">
        <f>IF(C10="","","BC-"&amp;TEXT(YEAR(B10),"0000")&amp;"-"&amp;TEXT(ROW()-4,"000"))</f>
        <v>#ERROR!</v>
      </c>
      <c r="B10" s="266"/>
      <c r="C10" s="227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410" t="str">
        <f>IFERROR(ROUND(((I10*H10)+(M10*L10)+(Q10*P10))*(1-R10)+S10,2),"")</f>
        <v>#ERROR!</v>
      </c>
      <c r="U10" s="281" t="str">
        <f>IFERROR(ROUND(T10*0.055,2),"")</f>
        <v>#ERROR!</v>
      </c>
      <c r="V10" s="463" t="str">
        <f>IFERROR(T10+U10,"")</f>
        <v>#ERROR!</v>
      </c>
      <c r="W10" s="227"/>
      <c r="X10" s="266"/>
      <c r="Y10" s="227"/>
      <c r="Z10" s="233"/>
    </row>
    <row r="11">
      <c r="A11" s="408" t="str">
        <f>IF(C11="","","BC-"&amp;TEXT(YEAR(B11),"0000")&amp;"-"&amp;TEXT(ROW()-4,"000"))</f>
        <v>#ERROR!</v>
      </c>
      <c r="B11" s="270"/>
      <c r="C11" s="235"/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410" t="str">
        <f>IFERROR(ROUND(((I11*H11)+(M11*L11)+(Q11*P11))*(1-R11)+S11,2),"")</f>
        <v>#ERROR!</v>
      </c>
      <c r="U11" s="283" t="str">
        <f>IFERROR(ROUND(T11*0.055,2),"")</f>
        <v>#ERROR!</v>
      </c>
      <c r="V11" s="463" t="str">
        <f>IFERROR(T11+U11,"")</f>
        <v>#ERROR!</v>
      </c>
      <c r="W11" s="235"/>
      <c r="X11" s="270"/>
      <c r="Y11" s="235"/>
      <c r="Z11" s="240"/>
    </row>
    <row r="12">
      <c r="A12" s="408" t="str">
        <f>IF(C12="","","BC-"&amp;TEXT(YEAR(B12),"0000")&amp;"-"&amp;TEXT(ROW()-4,"000"))</f>
        <v>#ERROR!</v>
      </c>
      <c r="B12" s="266"/>
      <c r="C12" s="227"/>
      <c r="D12" s="227"/>
      <c r="E12" s="227"/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410" t="str">
        <f>IFERROR(ROUND(((I12*H12)+(M12*L12)+(Q12*P12))*(1-R12)+S12,2),"")</f>
        <v>#ERROR!</v>
      </c>
      <c r="U12" s="281" t="str">
        <f>IFERROR(ROUND(T12*0.055,2),"")</f>
        <v>#ERROR!</v>
      </c>
      <c r="V12" s="463" t="str">
        <f>IFERROR(T12+U12,"")</f>
        <v>#ERROR!</v>
      </c>
      <c r="W12" s="227"/>
      <c r="X12" s="266"/>
      <c r="Y12" s="227"/>
      <c r="Z12" s="233"/>
    </row>
    <row r="13">
      <c r="A13" s="408" t="str">
        <f>IF(C13="","","BC-"&amp;TEXT(YEAR(B13),"0000")&amp;"-"&amp;TEXT(ROW()-4,"000"))</f>
        <v>#ERROR!</v>
      </c>
      <c r="B13" s="270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410" t="str">
        <f>IFERROR(ROUND(((I13*H13)+(M13*L13)+(Q13*P13))*(1-R13)+S13,2),"")</f>
        <v>#ERROR!</v>
      </c>
      <c r="U13" s="283" t="str">
        <f>IFERROR(ROUND(T13*0.055,2),"")</f>
        <v>#ERROR!</v>
      </c>
      <c r="V13" s="463" t="str">
        <f>IFERROR(T13+U13,"")</f>
        <v>#ERROR!</v>
      </c>
      <c r="W13" s="235"/>
      <c r="X13" s="270"/>
      <c r="Y13" s="235"/>
      <c r="Z13" s="240"/>
    </row>
    <row r="14">
      <c r="A14" s="408" t="str">
        <f>IF(C14="","","BC-"&amp;TEXT(YEAR(B14),"0000")&amp;"-"&amp;TEXT(ROW()-4,"000"))</f>
        <v>#ERROR!</v>
      </c>
      <c r="B14" s="266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410" t="str">
        <f>IFERROR(ROUND(((I14*H14)+(M14*L14)+(Q14*P14))*(1-R14)+S14,2),"")</f>
        <v>#ERROR!</v>
      </c>
      <c r="U14" s="281" t="str">
        <f>IFERROR(ROUND(T14*0.055,2),"")</f>
        <v>#ERROR!</v>
      </c>
      <c r="V14" s="463" t="str">
        <f>IFERROR(T14+U14,"")</f>
        <v>#ERROR!</v>
      </c>
      <c r="W14" s="227"/>
      <c r="X14" s="266"/>
      <c r="Y14" s="227"/>
      <c r="Z14" s="233"/>
    </row>
    <row r="15">
      <c r="A15" s="408" t="str">
        <f>IF(C15="","","BC-"&amp;TEXT(YEAR(B15),"0000")&amp;"-"&amp;TEXT(ROW()-4,"000"))</f>
        <v>#ERROR!</v>
      </c>
      <c r="B15" s="270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410" t="str">
        <f>IFERROR(ROUND(((I15*H15)+(M15*L15)+(Q15*P15))*(1-R15)+S15,2),"")</f>
        <v>#ERROR!</v>
      </c>
      <c r="U15" s="283" t="str">
        <f>IFERROR(ROUND(T15*0.055,2),"")</f>
        <v>#ERROR!</v>
      </c>
      <c r="V15" s="463" t="str">
        <f>IFERROR(T15+U15,"")</f>
        <v>#ERROR!</v>
      </c>
      <c r="W15" s="235"/>
      <c r="X15" s="270"/>
      <c r="Y15" s="235"/>
      <c r="Z15" s="240"/>
    </row>
    <row r="16">
      <c r="A16" s="408" t="str">
        <f>IF(C16="","","BC-"&amp;TEXT(YEAR(B16),"0000")&amp;"-"&amp;TEXT(ROW()-4,"000"))</f>
        <v>#ERROR!</v>
      </c>
      <c r="B16" s="266"/>
      <c r="C16" s="227"/>
      <c r="D16" s="227"/>
      <c r="E16" s="227"/>
      <c r="F16" s="227"/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410" t="str">
        <f>IFERROR(ROUND(((I16*H16)+(M16*L16)+(Q16*P16))*(1-R16)+S16,2),"")</f>
        <v>#ERROR!</v>
      </c>
      <c r="U16" s="281" t="str">
        <f>IFERROR(ROUND(T16*0.055,2),"")</f>
        <v>#ERROR!</v>
      </c>
      <c r="V16" s="463" t="str">
        <f>IFERROR(T16+U16,"")</f>
        <v>#ERROR!</v>
      </c>
      <c r="W16" s="227"/>
      <c r="X16" s="266"/>
      <c r="Y16" s="227"/>
      <c r="Z16" s="233"/>
    </row>
    <row r="17">
      <c r="A17" s="408" t="str">
        <f>IF(C17="","","BC-"&amp;TEXT(YEAR(B17),"0000")&amp;"-"&amp;TEXT(ROW()-4,"000"))</f>
        <v>#ERROR!</v>
      </c>
      <c r="B17" s="270"/>
      <c r="C17" s="235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410" t="str">
        <f>IFERROR(ROUND(((I17*H17)+(M17*L17)+(Q17*P17))*(1-R17)+S17,2),"")</f>
        <v>#ERROR!</v>
      </c>
      <c r="U17" s="283" t="str">
        <f>IFERROR(ROUND(T17*0.055,2),"")</f>
        <v>#ERROR!</v>
      </c>
      <c r="V17" s="463" t="str">
        <f>IFERROR(T17+U17,"")</f>
        <v>#ERROR!</v>
      </c>
      <c r="W17" s="235"/>
      <c r="X17" s="270"/>
      <c r="Y17" s="235"/>
      <c r="Z17" s="240"/>
    </row>
    <row r="18">
      <c r="A18" s="408" t="str">
        <f>IF(C18="","","BC-"&amp;TEXT(YEAR(B18),"0000")&amp;"-"&amp;TEXT(ROW()-4,"000"))</f>
        <v>#ERROR!</v>
      </c>
      <c r="B18" s="266"/>
      <c r="C18" s="227"/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410" t="str">
        <f>IFERROR(ROUND(((I18*H18)+(M18*L18)+(Q18*P18))*(1-R18)+S18,2),"")</f>
        <v>#ERROR!</v>
      </c>
      <c r="U18" s="281" t="str">
        <f>IFERROR(ROUND(T18*0.055,2),"")</f>
        <v>#ERROR!</v>
      </c>
      <c r="V18" s="463" t="str">
        <f>IFERROR(T18+U18,"")</f>
        <v>#ERROR!</v>
      </c>
      <c r="W18" s="227"/>
      <c r="X18" s="266"/>
      <c r="Y18" s="227"/>
      <c r="Z18" s="233"/>
    </row>
    <row r="19">
      <c r="A19" s="408" t="str">
        <f>IF(C19="","","BC-"&amp;TEXT(YEAR(B19),"0000")&amp;"-"&amp;TEXT(ROW()-4,"000"))</f>
        <v>#ERROR!</v>
      </c>
      <c r="B19" s="270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410" t="str">
        <f>IFERROR(ROUND(((I19*H19)+(M19*L19)+(Q19*P19))*(1-R19)+S19,2),"")</f>
        <v>#ERROR!</v>
      </c>
      <c r="U19" s="283" t="str">
        <f>IFERROR(ROUND(T19*0.055,2),"")</f>
        <v>#ERROR!</v>
      </c>
      <c r="V19" s="463" t="str">
        <f>IFERROR(T19+U19,"")</f>
        <v>#ERROR!</v>
      </c>
      <c r="W19" s="235"/>
      <c r="X19" s="270"/>
      <c r="Y19" s="235"/>
      <c r="Z19" s="240"/>
    </row>
    <row r="20">
      <c r="A20" s="408" t="str">
        <f>IF(C20="","","BC-"&amp;TEXT(YEAR(B20),"0000")&amp;"-"&amp;TEXT(ROW()-4,"000"))</f>
        <v>#ERROR!</v>
      </c>
      <c r="B20" s="266"/>
      <c r="C20" s="227"/>
      <c r="D20" s="227"/>
      <c r="E20" s="227"/>
      <c r="F20" s="227"/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410" t="str">
        <f>IFERROR(ROUND(((I20*H20)+(M20*L20)+(Q20*P20))*(1-R20)+S20,2),"")</f>
        <v>#ERROR!</v>
      </c>
      <c r="U20" s="281" t="str">
        <f>IFERROR(ROUND(T20*0.055,2),"")</f>
        <v>#ERROR!</v>
      </c>
      <c r="V20" s="463" t="str">
        <f>IFERROR(T20+U20,"")</f>
        <v>#ERROR!</v>
      </c>
      <c r="W20" s="227"/>
      <c r="X20" s="266"/>
      <c r="Y20" s="227"/>
      <c r="Z20" s="233"/>
    </row>
    <row r="21">
      <c r="A21" s="408" t="str">
        <f>IF(C21="","","BC-"&amp;TEXT(YEAR(B21),"0000")&amp;"-"&amp;TEXT(ROW()-4,"000"))</f>
        <v>#ERROR!</v>
      </c>
      <c r="B21" s="270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410" t="str">
        <f>IFERROR(ROUND(((I21*H21)+(M21*L21)+(Q21*P21))*(1-R21)+S21,2),"")</f>
        <v>#ERROR!</v>
      </c>
      <c r="U21" s="283" t="str">
        <f>IFERROR(ROUND(T21*0.055,2),"")</f>
        <v>#ERROR!</v>
      </c>
      <c r="V21" s="463" t="str">
        <f>IFERROR(T21+U21,"")</f>
        <v>#ERROR!</v>
      </c>
      <c r="W21" s="235"/>
      <c r="X21" s="270"/>
      <c r="Y21" s="235"/>
      <c r="Z21" s="240"/>
    </row>
    <row r="22">
      <c r="A22" s="408" t="str">
        <f>IF(C22="","","BC-"&amp;TEXT(YEAR(B22),"0000")&amp;"-"&amp;TEXT(ROW()-4,"000"))</f>
        <v>#ERROR!</v>
      </c>
      <c r="B22" s="266"/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410" t="str">
        <f>IFERROR(ROUND(((I22*H22)+(M22*L22)+(Q22*P22))*(1-R22)+S22,2),"")</f>
        <v>#ERROR!</v>
      </c>
      <c r="U22" s="281" t="str">
        <f>IFERROR(ROUND(T22*0.055,2),"")</f>
        <v>#ERROR!</v>
      </c>
      <c r="V22" s="463" t="str">
        <f>IFERROR(T22+U22,"")</f>
        <v>#ERROR!</v>
      </c>
      <c r="W22" s="227"/>
      <c r="X22" s="266"/>
      <c r="Y22" s="227"/>
      <c r="Z22" s="233"/>
    </row>
    <row r="23">
      <c r="A23" s="408" t="str">
        <f>IF(C23="","","BC-"&amp;TEXT(YEAR(B23),"0000")&amp;"-"&amp;TEXT(ROW()-4,"000"))</f>
        <v>#ERROR!</v>
      </c>
      <c r="B23" s="270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410" t="str">
        <f>IFERROR(ROUND(((I23*H23)+(M23*L23)+(Q23*P23))*(1-R23)+S23,2),"")</f>
        <v>#ERROR!</v>
      </c>
      <c r="U23" s="283" t="str">
        <f>IFERROR(ROUND(T23*0.055,2),"")</f>
        <v>#ERROR!</v>
      </c>
      <c r="V23" s="463" t="str">
        <f>IFERROR(T23+U23,"")</f>
        <v>#ERROR!</v>
      </c>
      <c r="W23" s="235"/>
      <c r="X23" s="270"/>
      <c r="Y23" s="235"/>
      <c r="Z23" s="240"/>
    </row>
    <row r="24">
      <c r="A24" s="408" t="str">
        <f>IF(C24="","","BC-"&amp;TEXT(YEAR(B24),"0000")&amp;"-"&amp;TEXT(ROW()-4,"000"))</f>
        <v>#ERROR!</v>
      </c>
      <c r="B24" s="266"/>
      <c r="C24" s="227"/>
      <c r="D24" s="227"/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410" t="str">
        <f>IFERROR(ROUND(((I24*H24)+(M24*L24)+(Q24*P24))*(1-R24)+S24,2),"")</f>
        <v>#ERROR!</v>
      </c>
      <c r="U24" s="281" t="str">
        <f>IFERROR(ROUND(T24*0.055,2),"")</f>
        <v>#ERROR!</v>
      </c>
      <c r="V24" s="463" t="str">
        <f>IFERROR(T24+U24,"")</f>
        <v>#ERROR!</v>
      </c>
      <c r="W24" s="227"/>
      <c r="X24" s="266"/>
      <c r="Y24" s="227"/>
      <c r="Z24" s="233"/>
    </row>
    <row r="25">
      <c r="A25" s="408" t="str">
        <f>IF(C25="","","BC-"&amp;TEXT(YEAR(B25),"0000")&amp;"-"&amp;TEXT(ROW()-4,"000"))</f>
        <v>#ERROR!</v>
      </c>
      <c r="B25" s="270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410" t="str">
        <f>IFERROR(ROUND(((I25*H25)+(M25*L25)+(Q25*P25))*(1-R25)+S25,2),"")</f>
        <v>#ERROR!</v>
      </c>
      <c r="U25" s="283" t="str">
        <f>IFERROR(ROUND(T25*0.055,2),"")</f>
        <v>#ERROR!</v>
      </c>
      <c r="V25" s="463" t="str">
        <f>IFERROR(T25+U25,"")</f>
        <v>#ERROR!</v>
      </c>
      <c r="W25" s="235"/>
      <c r="X25" s="270"/>
      <c r="Y25" s="235"/>
      <c r="Z25" s="240"/>
    </row>
    <row r="26">
      <c r="A26" s="408" t="str">
        <f>IF(C26="","","BC-"&amp;TEXT(YEAR(B26),"0000")&amp;"-"&amp;TEXT(ROW()-4,"000"))</f>
        <v>#ERROR!</v>
      </c>
      <c r="B26" s="266"/>
      <c r="C26" s="227"/>
      <c r="D26" s="227"/>
      <c r="E26" s="227"/>
      <c r="F26" s="227"/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410" t="str">
        <f>IFERROR(ROUND(((I26*H26)+(M26*L26)+(Q26*P26))*(1-R26)+S26,2),"")</f>
        <v>#ERROR!</v>
      </c>
      <c r="U26" s="281" t="str">
        <f>IFERROR(ROUND(T26*0.055,2),"")</f>
        <v>#ERROR!</v>
      </c>
      <c r="V26" s="463" t="str">
        <f>IFERROR(T26+U26,"")</f>
        <v>#ERROR!</v>
      </c>
      <c r="W26" s="227"/>
      <c r="X26" s="266"/>
      <c r="Y26" s="227"/>
      <c r="Z26" s="233"/>
    </row>
    <row r="27">
      <c r="A27" s="408" t="str">
        <f>IF(C27="","","BC-"&amp;TEXT(YEAR(B27),"0000")&amp;"-"&amp;TEXT(ROW()-4,"000"))</f>
        <v>#ERROR!</v>
      </c>
      <c r="B27" s="270"/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410" t="str">
        <f>IFERROR(ROUND(((I27*H27)+(M27*L27)+(Q27*P27))*(1-R27)+S27,2),"")</f>
        <v>#ERROR!</v>
      </c>
      <c r="U27" s="283" t="str">
        <f>IFERROR(ROUND(T27*0.055,2),"")</f>
        <v>#ERROR!</v>
      </c>
      <c r="V27" s="463" t="str">
        <f>IFERROR(T27+U27,"")</f>
        <v>#ERROR!</v>
      </c>
      <c r="W27" s="235"/>
      <c r="X27" s="270"/>
      <c r="Y27" s="235"/>
      <c r="Z27" s="240"/>
    </row>
    <row r="28">
      <c r="A28" s="408" t="str">
        <f>IF(C28="","","BC-"&amp;TEXT(YEAR(B28),"0000")&amp;"-"&amp;TEXT(ROW()-4,"000"))</f>
        <v>#ERROR!</v>
      </c>
      <c r="B28" s="266"/>
      <c r="C28" s="227"/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410" t="str">
        <f>IFERROR(ROUND(((I28*H28)+(M28*L28)+(Q28*P28))*(1-R28)+S28,2),"")</f>
        <v>#ERROR!</v>
      </c>
      <c r="U28" s="281" t="str">
        <f>IFERROR(ROUND(T28*0.055,2),"")</f>
        <v>#ERROR!</v>
      </c>
      <c r="V28" s="463" t="str">
        <f>IFERROR(T28+U28,"")</f>
        <v>#ERROR!</v>
      </c>
      <c r="W28" s="227"/>
      <c r="X28" s="266"/>
      <c r="Y28" s="227"/>
      <c r="Z28" s="233"/>
    </row>
    <row r="29">
      <c r="A29" s="408" t="str">
        <f>IF(C29="","","BC-"&amp;TEXT(YEAR(B29),"0000")&amp;"-"&amp;TEXT(ROW()-4,"000"))</f>
        <v>#ERROR!</v>
      </c>
      <c r="B29" s="270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410" t="str">
        <f>IFERROR(ROUND(((I29*H29)+(M29*L29)+(Q29*P29))*(1-R29)+S29,2),"")</f>
        <v>#ERROR!</v>
      </c>
      <c r="U29" s="283" t="str">
        <f>IFERROR(ROUND(T29*0.055,2),"")</f>
        <v>#ERROR!</v>
      </c>
      <c r="V29" s="463" t="str">
        <f>IFERROR(T29+U29,"")</f>
        <v>#ERROR!</v>
      </c>
      <c r="W29" s="235"/>
      <c r="X29" s="270"/>
      <c r="Y29" s="235"/>
      <c r="Z29" s="240"/>
    </row>
    <row r="30">
      <c r="A30" s="408" t="str">
        <f>IF(C30="","","BC-"&amp;TEXT(YEAR(B30),"0000")&amp;"-"&amp;TEXT(ROW()-4,"000"))</f>
        <v>#ERROR!</v>
      </c>
      <c r="B30" s="266"/>
      <c r="C30" s="227"/>
      <c r="D30" s="227"/>
      <c r="E30" s="227"/>
      <c r="F30" s="227"/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410" t="str">
        <f>IFERROR(ROUND(((I30*H30)+(M30*L30)+(Q30*P30))*(1-R30)+S30,2),"")</f>
        <v>#ERROR!</v>
      </c>
      <c r="U30" s="281" t="str">
        <f>IFERROR(ROUND(T30*0.055,2),"")</f>
        <v>#ERROR!</v>
      </c>
      <c r="V30" s="463" t="str">
        <f>IFERROR(T30+U30,"")</f>
        <v>#ERROR!</v>
      </c>
      <c r="W30" s="227"/>
      <c r="X30" s="266"/>
      <c r="Y30" s="227"/>
      <c r="Z30" s="233"/>
    </row>
    <row r="31">
      <c r="A31" s="408" t="str">
        <f>IF(C31="","","BC-"&amp;TEXT(YEAR(B31),"0000")&amp;"-"&amp;TEXT(ROW()-4,"000"))</f>
        <v>#ERROR!</v>
      </c>
      <c r="B31" s="270"/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410" t="str">
        <f>IFERROR(ROUND(((I31*H31)+(M31*L31)+(Q31*P31))*(1-R31)+S31,2),"")</f>
        <v>#ERROR!</v>
      </c>
      <c r="U31" s="283" t="str">
        <f>IFERROR(ROUND(T31*0.055,2),"")</f>
        <v>#ERROR!</v>
      </c>
      <c r="V31" s="463" t="str">
        <f>IFERROR(T31+U31,"")</f>
        <v>#ERROR!</v>
      </c>
      <c r="W31" s="235"/>
      <c r="X31" s="270"/>
      <c r="Y31" s="235"/>
      <c r="Z31" s="240"/>
    </row>
    <row r="32">
      <c r="A32" s="408" t="str">
        <f>IF(C32="","","BC-"&amp;TEXT(YEAR(B32),"0000")&amp;"-"&amp;TEXT(ROW()-4,"000"))</f>
        <v>#ERROR!</v>
      </c>
      <c r="B32" s="266"/>
      <c r="C32" s="227"/>
      <c r="D32" s="227"/>
      <c r="E32" s="227"/>
      <c r="F32" s="227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410" t="str">
        <f>IFERROR(ROUND(((I32*H32)+(M32*L32)+(Q32*P32))*(1-R32)+S32,2),"")</f>
        <v>#ERROR!</v>
      </c>
      <c r="U32" s="281" t="str">
        <f>IFERROR(ROUND(T32*0.055,2),"")</f>
        <v>#ERROR!</v>
      </c>
      <c r="V32" s="463" t="str">
        <f>IFERROR(T32+U32,"")</f>
        <v>#ERROR!</v>
      </c>
      <c r="W32" s="227"/>
      <c r="X32" s="266"/>
      <c r="Y32" s="227"/>
      <c r="Z32" s="233"/>
    </row>
    <row r="33">
      <c r="A33" s="408" t="str">
        <f>IF(C33="","","BC-"&amp;TEXT(YEAR(B33),"0000")&amp;"-"&amp;TEXT(ROW()-4,"000"))</f>
        <v>#ERROR!</v>
      </c>
      <c r="B33" s="270"/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410" t="str">
        <f>IFERROR(ROUND(((I33*H33)+(M33*L33)+(Q33*P33))*(1-R33)+S33,2),"")</f>
        <v>#ERROR!</v>
      </c>
      <c r="U33" s="283" t="str">
        <f>IFERROR(ROUND(T33*0.055,2),"")</f>
        <v>#ERROR!</v>
      </c>
      <c r="V33" s="463" t="str">
        <f>IFERROR(T33+U33,"")</f>
        <v>#ERROR!</v>
      </c>
      <c r="W33" s="235"/>
      <c r="X33" s="270"/>
      <c r="Y33" s="235"/>
      <c r="Z33" s="240"/>
    </row>
    <row r="34">
      <c r="A34" s="408" t="str">
        <f>IF(C34="","","BC-"&amp;TEXT(YEAR(B34),"0000")&amp;"-"&amp;TEXT(ROW()-4,"000"))</f>
        <v>#ERROR!</v>
      </c>
      <c r="B34" s="266"/>
      <c r="C34" s="227"/>
      <c r="D34" s="227"/>
      <c r="E34" s="227"/>
      <c r="F34" s="227"/>
      <c r="G34" s="227"/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410" t="str">
        <f>IFERROR(ROUND(((I34*H34)+(M34*L34)+(Q34*P34))*(1-R34)+S34,2),"")</f>
        <v>#ERROR!</v>
      </c>
      <c r="U34" s="281" t="str">
        <f>IFERROR(ROUND(T34*0.055,2),"")</f>
        <v>#ERROR!</v>
      </c>
      <c r="V34" s="463" t="str">
        <f>IFERROR(T34+U34,"")</f>
        <v>#ERROR!</v>
      </c>
      <c r="W34" s="227"/>
      <c r="X34" s="266"/>
      <c r="Y34" s="227"/>
      <c r="Z34" s="233"/>
    </row>
    <row r="35">
      <c r="A35" s="408" t="str">
        <f>IF(C35="","","BC-"&amp;TEXT(YEAR(B35),"0000")&amp;"-"&amp;TEXT(ROW()-4,"000"))</f>
        <v>#ERROR!</v>
      </c>
      <c r="B35" s="270"/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410" t="str">
        <f>IFERROR(ROUND(((I35*H35)+(M35*L35)+(Q35*P35))*(1-R35)+S35,2),"")</f>
        <v>#ERROR!</v>
      </c>
      <c r="U35" s="283" t="str">
        <f>IFERROR(ROUND(T35*0.055,2),"")</f>
        <v>#ERROR!</v>
      </c>
      <c r="V35" s="463" t="str">
        <f>IFERROR(T35+U35,"")</f>
        <v>#ERROR!</v>
      </c>
      <c r="W35" s="235"/>
      <c r="X35" s="270"/>
      <c r="Y35" s="235"/>
      <c r="Z35" s="240"/>
    </row>
    <row r="36">
      <c r="A36" s="408" t="str">
        <f>IF(C36="","","BC-"&amp;TEXT(YEAR(B36),"0000")&amp;"-"&amp;TEXT(ROW()-4,"000"))</f>
        <v>#ERROR!</v>
      </c>
      <c r="B36" s="266"/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410" t="str">
        <f>IFERROR(ROUND(((I36*H36)+(M36*L36)+(Q36*P36))*(1-R36)+S36,2),"")</f>
        <v>#ERROR!</v>
      </c>
      <c r="U36" s="281" t="str">
        <f>IFERROR(ROUND(T36*0.055,2),"")</f>
        <v>#ERROR!</v>
      </c>
      <c r="V36" s="463" t="str">
        <f>IFERROR(T36+U36,"")</f>
        <v>#ERROR!</v>
      </c>
      <c r="W36" s="227"/>
      <c r="X36" s="266"/>
      <c r="Y36" s="227"/>
      <c r="Z36" s="233"/>
    </row>
    <row r="37">
      <c r="A37" s="408" t="str">
        <f>IF(C37="","","BC-"&amp;TEXT(YEAR(B37),"0000")&amp;"-"&amp;TEXT(ROW()-4,"000"))</f>
        <v>#ERROR!</v>
      </c>
      <c r="B37" s="270"/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410" t="str">
        <f>IFERROR(ROUND(((I37*H37)+(M37*L37)+(Q37*P37))*(1-R37)+S37,2),"")</f>
        <v>#ERROR!</v>
      </c>
      <c r="U37" s="283" t="str">
        <f>IFERROR(ROUND(T37*0.055,2),"")</f>
        <v>#ERROR!</v>
      </c>
      <c r="V37" s="463" t="str">
        <f>IFERROR(T37+U37,"")</f>
        <v>#ERROR!</v>
      </c>
      <c r="W37" s="235"/>
      <c r="X37" s="270"/>
      <c r="Y37" s="235"/>
      <c r="Z37" s="240"/>
    </row>
    <row r="38">
      <c r="A38" s="408" t="str">
        <f>IF(C38="","","BC-"&amp;TEXT(YEAR(B38),"0000")&amp;"-"&amp;TEXT(ROW()-4,"000"))</f>
        <v>#ERROR!</v>
      </c>
      <c r="B38" s="266"/>
      <c r="C38" s="227"/>
      <c r="D38" s="227"/>
      <c r="E38" s="227"/>
      <c r="F38" s="227"/>
      <c r="G38" s="227"/>
      <c r="H38" s="227"/>
      <c r="I38" s="227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410" t="str">
        <f>IFERROR(ROUND(((I38*H38)+(M38*L38)+(Q38*P38))*(1-R38)+S38,2),"")</f>
        <v>#ERROR!</v>
      </c>
      <c r="U38" s="281" t="str">
        <f>IFERROR(ROUND(T38*0.055,2),"")</f>
        <v>#ERROR!</v>
      </c>
      <c r="V38" s="463" t="str">
        <f>IFERROR(T38+U38,"")</f>
        <v>#ERROR!</v>
      </c>
      <c r="W38" s="227"/>
      <c r="X38" s="266"/>
      <c r="Y38" s="227"/>
      <c r="Z38" s="233"/>
    </row>
    <row r="39">
      <c r="A39" s="408" t="str">
        <f>IF(C39="","","BC-"&amp;TEXT(YEAR(B39),"0000")&amp;"-"&amp;TEXT(ROW()-4,"000"))</f>
        <v>#ERROR!</v>
      </c>
      <c r="B39" s="270"/>
      <c r="C39" s="235"/>
      <c r="D39" s="235"/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410" t="str">
        <f>IFERROR(ROUND(((I39*H39)+(M39*L39)+(Q39*P39))*(1-R39)+S39,2),"")</f>
        <v>#ERROR!</v>
      </c>
      <c r="U39" s="283" t="str">
        <f>IFERROR(ROUND(T39*0.055,2),"")</f>
        <v>#ERROR!</v>
      </c>
      <c r="V39" s="463" t="str">
        <f>IFERROR(T39+U39,"")</f>
        <v>#ERROR!</v>
      </c>
      <c r="W39" s="235"/>
      <c r="X39" s="270"/>
      <c r="Y39" s="235"/>
      <c r="Z39" s="240"/>
    </row>
    <row r="40">
      <c r="A40" s="408" t="str">
        <f>IF(C40="","","BC-"&amp;TEXT(YEAR(B40),"0000")&amp;"-"&amp;TEXT(ROW()-4,"000"))</f>
        <v>#ERROR!</v>
      </c>
      <c r="B40" s="266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410" t="str">
        <f>IFERROR(ROUND(((I40*H40)+(M40*L40)+(Q40*P40))*(1-R40)+S40,2),"")</f>
        <v>#ERROR!</v>
      </c>
      <c r="U40" s="281" t="str">
        <f>IFERROR(ROUND(T40*0.055,2),"")</f>
        <v>#ERROR!</v>
      </c>
      <c r="V40" s="463" t="str">
        <f>IFERROR(T40+U40,"")</f>
        <v>#ERROR!</v>
      </c>
      <c r="W40" s="227"/>
      <c r="X40" s="266"/>
      <c r="Y40" s="227"/>
      <c r="Z40" s="233"/>
    </row>
    <row r="41">
      <c r="A41" s="408" t="str">
        <f>IF(C41="","","BC-"&amp;TEXT(YEAR(B41),"0000")&amp;"-"&amp;TEXT(ROW()-4,"000"))</f>
        <v>#ERROR!</v>
      </c>
      <c r="B41" s="270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410" t="str">
        <f>IFERROR(ROUND(((I41*H41)+(M41*L41)+(Q41*P41))*(1-R41)+S41,2),"")</f>
        <v>#ERROR!</v>
      </c>
      <c r="U41" s="283" t="str">
        <f>IFERROR(ROUND(T41*0.055,2),"")</f>
        <v>#ERROR!</v>
      </c>
      <c r="V41" s="463" t="str">
        <f>IFERROR(T41+U41,"")</f>
        <v>#ERROR!</v>
      </c>
      <c r="W41" s="235"/>
      <c r="X41" s="270"/>
      <c r="Y41" s="235"/>
      <c r="Z41" s="240"/>
    </row>
    <row r="42">
      <c r="A42" s="408" t="str">
        <f>IF(C42="","","BC-"&amp;TEXT(YEAR(B42),"0000")&amp;"-"&amp;TEXT(ROW()-4,"000"))</f>
        <v>#ERROR!</v>
      </c>
      <c r="B42" s="266"/>
      <c r="C42" s="227"/>
      <c r="D42" s="227"/>
      <c r="E42" s="227"/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410" t="str">
        <f>IFERROR(ROUND(((I42*H42)+(M42*L42)+(Q42*P42))*(1-R42)+S42,2),"")</f>
        <v>#ERROR!</v>
      </c>
      <c r="U42" s="281" t="str">
        <f>IFERROR(ROUND(T42*0.055,2),"")</f>
        <v>#ERROR!</v>
      </c>
      <c r="V42" s="463" t="str">
        <f>IFERROR(T42+U42,"")</f>
        <v>#ERROR!</v>
      </c>
      <c r="W42" s="227"/>
      <c r="X42" s="266"/>
      <c r="Y42" s="227"/>
      <c r="Z42" s="233"/>
    </row>
    <row r="43">
      <c r="A43" s="408" t="str">
        <f>IF(C43="","","BC-"&amp;TEXT(YEAR(B43),"0000")&amp;"-"&amp;TEXT(ROW()-4,"000"))</f>
        <v>#ERROR!</v>
      </c>
      <c r="B43" s="270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410" t="str">
        <f>IFERROR(ROUND(((I43*H43)+(M43*L43)+(Q43*P43))*(1-R43)+S43,2),"")</f>
        <v>#ERROR!</v>
      </c>
      <c r="U43" s="283" t="str">
        <f>IFERROR(ROUND(T43*0.055,2),"")</f>
        <v>#ERROR!</v>
      </c>
      <c r="V43" s="463" t="str">
        <f>IFERROR(T43+U43,"")</f>
        <v>#ERROR!</v>
      </c>
      <c r="W43" s="235"/>
      <c r="X43" s="270"/>
      <c r="Y43" s="235"/>
      <c r="Z43" s="240"/>
    </row>
    <row r="44">
      <c r="A44" s="408" t="str">
        <f>IF(C44="","","BC-"&amp;TEXT(YEAR(B44),"0000")&amp;"-"&amp;TEXT(ROW()-4,"000"))</f>
        <v>#ERROR!</v>
      </c>
      <c r="B44" s="266"/>
      <c r="C44" s="227"/>
      <c r="D44" s="227"/>
      <c r="E44" s="227"/>
      <c r="F44" s="227"/>
      <c r="G44" s="227"/>
      <c r="H44" s="227"/>
      <c r="I44" s="227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410" t="str">
        <f>IFERROR(ROUND(((I44*H44)+(M44*L44)+(Q44*P44))*(1-R44)+S44,2),"")</f>
        <v>#ERROR!</v>
      </c>
      <c r="U44" s="281" t="str">
        <f>IFERROR(ROUND(T44*0.055,2),"")</f>
        <v>#ERROR!</v>
      </c>
      <c r="V44" s="463" t="str">
        <f>IFERROR(T44+U44,"")</f>
        <v>#ERROR!</v>
      </c>
      <c r="W44" s="227"/>
      <c r="X44" s="266"/>
      <c r="Y44" s="227"/>
      <c r="Z44" s="233"/>
    </row>
    <row r="45">
      <c r="A45" s="408" t="str">
        <f>IF(C45="","","BC-"&amp;TEXT(YEAR(B45),"0000")&amp;"-"&amp;TEXT(ROW()-4,"000"))</f>
        <v>#ERROR!</v>
      </c>
      <c r="B45" s="270"/>
      <c r="C45" s="235"/>
      <c r="D45" s="235"/>
      <c r="E45" s="235"/>
      <c r="F45" s="235"/>
      <c r="G45" s="235"/>
      <c r="H45" s="235"/>
      <c r="I45" s="235"/>
      <c r="J45" s="235"/>
      <c r="K45" s="235"/>
      <c r="L45" s="235"/>
      <c r="M45" s="235"/>
      <c r="N45" s="235"/>
      <c r="O45" s="235"/>
      <c r="P45" s="235"/>
      <c r="Q45" s="235"/>
      <c r="R45" s="235"/>
      <c r="S45" s="235"/>
      <c r="T45" s="410" t="str">
        <f>IFERROR(ROUND(((I45*H45)+(M45*L45)+(Q45*P45))*(1-R45)+S45,2),"")</f>
        <v>#ERROR!</v>
      </c>
      <c r="U45" s="283" t="str">
        <f>IFERROR(ROUND(T45*0.055,2),"")</f>
        <v>#ERROR!</v>
      </c>
      <c r="V45" s="463" t="str">
        <f>IFERROR(T45+U45,"")</f>
        <v>#ERROR!</v>
      </c>
      <c r="W45" s="235"/>
      <c r="X45" s="270"/>
      <c r="Y45" s="235"/>
      <c r="Z45" s="240"/>
    </row>
    <row r="46">
      <c r="A46" s="408" t="str">
        <f>IF(C46="","","BC-"&amp;TEXT(YEAR(B46),"0000")&amp;"-"&amp;TEXT(ROW()-4,"000"))</f>
        <v>#ERROR!</v>
      </c>
      <c r="B46" s="266"/>
      <c r="C46" s="227"/>
      <c r="D46" s="227"/>
      <c r="E46" s="227"/>
      <c r="F46" s="227"/>
      <c r="G46" s="227"/>
      <c r="H46" s="227"/>
      <c r="I46" s="227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410" t="str">
        <f>IFERROR(ROUND(((I46*H46)+(M46*L46)+(Q46*P46))*(1-R46)+S46,2),"")</f>
        <v>#ERROR!</v>
      </c>
      <c r="U46" s="281" t="str">
        <f>IFERROR(ROUND(T46*0.055,2),"")</f>
        <v>#ERROR!</v>
      </c>
      <c r="V46" s="463" t="str">
        <f>IFERROR(T46+U46,"")</f>
        <v>#ERROR!</v>
      </c>
      <c r="W46" s="227"/>
      <c r="X46" s="266"/>
      <c r="Y46" s="227"/>
      <c r="Z46" s="233"/>
    </row>
    <row r="47">
      <c r="A47" s="408" t="str">
        <f>IF(C47="","","BC-"&amp;TEXT(YEAR(B47),"0000")&amp;"-"&amp;TEXT(ROW()-4,"000"))</f>
        <v>#ERROR!</v>
      </c>
      <c r="B47" s="270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35"/>
      <c r="R47" s="235"/>
      <c r="S47" s="235"/>
      <c r="T47" s="410" t="str">
        <f>IFERROR(ROUND(((I47*H47)+(M47*L47)+(Q47*P47))*(1-R47)+S47,2),"")</f>
        <v>#ERROR!</v>
      </c>
      <c r="U47" s="283" t="str">
        <f>IFERROR(ROUND(T47*0.055,2),"")</f>
        <v>#ERROR!</v>
      </c>
      <c r="V47" s="463" t="str">
        <f>IFERROR(T47+U47,"")</f>
        <v>#ERROR!</v>
      </c>
      <c r="W47" s="235"/>
      <c r="X47" s="270"/>
      <c r="Y47" s="235"/>
      <c r="Z47" s="240"/>
    </row>
    <row r="48">
      <c r="A48" s="408" t="str">
        <f>IF(C48="","","BC-"&amp;TEXT(YEAR(B48),"0000")&amp;"-"&amp;TEXT(ROW()-4,"000"))</f>
        <v>#ERROR!</v>
      </c>
      <c r="B48" s="266"/>
      <c r="C48" s="227"/>
      <c r="D48" s="227"/>
      <c r="E48" s="227"/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410" t="str">
        <f>IFERROR(ROUND(((I48*H48)+(M48*L48)+(Q48*P48))*(1-R48)+S48,2),"")</f>
        <v>#ERROR!</v>
      </c>
      <c r="U48" s="281" t="str">
        <f>IFERROR(ROUND(T48*0.055,2),"")</f>
        <v>#ERROR!</v>
      </c>
      <c r="V48" s="463" t="str">
        <f>IFERROR(T48+U48,"")</f>
        <v>#ERROR!</v>
      </c>
      <c r="W48" s="227"/>
      <c r="X48" s="266"/>
      <c r="Y48" s="227"/>
      <c r="Z48" s="233"/>
    </row>
    <row r="49">
      <c r="A49" s="408" t="str">
        <f>IF(C49="","","BC-"&amp;TEXT(YEAR(B49),"0000")&amp;"-"&amp;TEXT(ROW()-4,"000"))</f>
        <v>#ERROR!</v>
      </c>
      <c r="B49" s="270"/>
      <c r="C49" s="235"/>
      <c r="D49" s="235"/>
      <c r="E49" s="235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410" t="str">
        <f>IFERROR(ROUND(((I49*H49)+(M49*L49)+(Q49*P49))*(1-R49)+S49,2),"")</f>
        <v>#ERROR!</v>
      </c>
      <c r="U49" s="283" t="str">
        <f>IFERROR(ROUND(T49*0.055,2),"")</f>
        <v>#ERROR!</v>
      </c>
      <c r="V49" s="463" t="str">
        <f>IFERROR(T49+U49,"")</f>
        <v>#ERROR!</v>
      </c>
      <c r="W49" s="235"/>
      <c r="X49" s="270"/>
      <c r="Y49" s="235"/>
      <c r="Z49" s="240"/>
    </row>
    <row r="50">
      <c r="A50" s="408" t="str">
        <f>IF(C50="","","BC-"&amp;TEXT(YEAR(B50),"0000")&amp;"-"&amp;TEXT(ROW()-4,"000"))</f>
        <v>#ERROR!</v>
      </c>
      <c r="B50" s="266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410" t="str">
        <f>IFERROR(ROUND(((I50*H50)+(M50*L50)+(Q50*P50))*(1-R50)+S50,2),"")</f>
        <v>#ERROR!</v>
      </c>
      <c r="U50" s="281" t="str">
        <f>IFERROR(ROUND(T50*0.055,2),"")</f>
        <v>#ERROR!</v>
      </c>
      <c r="V50" s="463" t="str">
        <f>IFERROR(T50+U50,"")</f>
        <v>#ERROR!</v>
      </c>
      <c r="W50" s="227"/>
      <c r="X50" s="266"/>
      <c r="Y50" s="227"/>
      <c r="Z50" s="233"/>
    </row>
    <row r="51">
      <c r="A51" s="408" t="str">
        <f>IF(C51="","","BC-"&amp;TEXT(YEAR(B51),"0000")&amp;"-"&amp;TEXT(ROW()-4,"000"))</f>
        <v>#ERROR!</v>
      </c>
      <c r="B51" s="270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410" t="str">
        <f>IFERROR(ROUND(((I51*H51)+(M51*L51)+(Q51*P51))*(1-R51)+S51,2),"")</f>
        <v>#ERROR!</v>
      </c>
      <c r="U51" s="283" t="str">
        <f>IFERROR(ROUND(T51*0.055,2),"")</f>
        <v>#ERROR!</v>
      </c>
      <c r="V51" s="463" t="str">
        <f>IFERROR(T51+U51,"")</f>
        <v>#ERROR!</v>
      </c>
      <c r="W51" s="235"/>
      <c r="X51" s="270"/>
      <c r="Y51" s="235"/>
      <c r="Z51" s="240"/>
    </row>
    <row r="52">
      <c r="A52" s="408" t="str">
        <f>IF(C52="","","BC-"&amp;TEXT(YEAR(B52),"0000")&amp;"-"&amp;TEXT(ROW()-4,"000"))</f>
        <v>#ERROR!</v>
      </c>
      <c r="B52" s="266"/>
      <c r="C52" s="227"/>
      <c r="D52" s="227"/>
      <c r="E52" s="227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410" t="str">
        <f>IFERROR(ROUND(((I52*H52)+(M52*L52)+(Q52*P52))*(1-R52)+S52,2),"")</f>
        <v>#ERROR!</v>
      </c>
      <c r="U52" s="281" t="str">
        <f>IFERROR(ROUND(T52*0.055,2),"")</f>
        <v>#ERROR!</v>
      </c>
      <c r="V52" s="463" t="str">
        <f>IFERROR(T52+U52,"")</f>
        <v>#ERROR!</v>
      </c>
      <c r="W52" s="227"/>
      <c r="X52" s="266"/>
      <c r="Y52" s="227"/>
      <c r="Z52" s="233"/>
    </row>
    <row r="53">
      <c r="A53" s="408" t="str">
        <f>IF(C53="","","BC-"&amp;TEXT(YEAR(B53),"0000")&amp;"-"&amp;TEXT(ROW()-4,"000"))</f>
        <v>#ERROR!</v>
      </c>
      <c r="B53" s="270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410" t="str">
        <f>IFERROR(ROUND(((I53*H53)+(M53*L53)+(Q53*P53))*(1-R53)+S53,2),"")</f>
        <v>#ERROR!</v>
      </c>
      <c r="U53" s="283" t="str">
        <f>IFERROR(ROUND(T53*0.055,2),"")</f>
        <v>#ERROR!</v>
      </c>
      <c r="V53" s="463" t="str">
        <f>IFERROR(T53+U53,"")</f>
        <v>#ERROR!</v>
      </c>
      <c r="W53" s="235"/>
      <c r="X53" s="270"/>
      <c r="Y53" s="235"/>
      <c r="Z53" s="240"/>
    </row>
    <row r="54">
      <c r="A54" s="408" t="str">
        <f>IF(C54="","","BC-"&amp;TEXT(YEAR(B54),"0000")&amp;"-"&amp;TEXT(ROW()-4,"000"))</f>
        <v>#ERROR!</v>
      </c>
      <c r="B54" s="266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410" t="str">
        <f>IFERROR(ROUND(((I54*H54)+(M54*L54)+(Q54*P54))*(1-R54)+S54,2),"")</f>
        <v>#ERROR!</v>
      </c>
      <c r="U54" s="281" t="str">
        <f>IFERROR(ROUND(T54*0.055,2),"")</f>
        <v>#ERROR!</v>
      </c>
      <c r="V54" s="463" t="str">
        <f>IFERROR(T54+U54,"")</f>
        <v>#ERROR!</v>
      </c>
      <c r="W54" s="227"/>
      <c r="X54" s="266"/>
      <c r="Y54" s="227"/>
      <c r="Z54" s="233"/>
    </row>
    <row r="55">
      <c r="A55" s="408" t="str">
        <f>IF(C55="","","BC-"&amp;TEXT(YEAR(B55),"0000")&amp;"-"&amp;TEXT(ROW()-4,"000"))</f>
        <v>#ERROR!</v>
      </c>
      <c r="B55" s="270"/>
      <c r="C55" s="235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410" t="str">
        <f>IFERROR(ROUND(((I55*H55)+(M55*L55)+(Q55*P55))*(1-R55)+S55,2),"")</f>
        <v>#ERROR!</v>
      </c>
      <c r="U55" s="283" t="str">
        <f>IFERROR(ROUND(T55*0.055,2),"")</f>
        <v>#ERROR!</v>
      </c>
      <c r="V55" s="463" t="str">
        <f>IFERROR(T55+U55,"")</f>
        <v>#ERROR!</v>
      </c>
      <c r="W55" s="235"/>
      <c r="X55" s="270"/>
      <c r="Y55" s="235"/>
      <c r="Z55" s="240"/>
    </row>
    <row r="56">
      <c r="A56" s="408" t="str">
        <f>IF(C56="","","BC-"&amp;TEXT(YEAR(B56),"0000")&amp;"-"&amp;TEXT(ROW()-4,"000"))</f>
        <v>#ERROR!</v>
      </c>
      <c r="B56" s="266"/>
      <c r="C56" s="227"/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410" t="str">
        <f>IFERROR(ROUND(((I56*H56)+(M56*L56)+(Q56*P56))*(1-R56)+S56,2),"")</f>
        <v>#ERROR!</v>
      </c>
      <c r="U56" s="281" t="str">
        <f>IFERROR(ROUND(T56*0.055,2),"")</f>
        <v>#ERROR!</v>
      </c>
      <c r="V56" s="463" t="str">
        <f>IFERROR(T56+U56,"")</f>
        <v>#ERROR!</v>
      </c>
      <c r="W56" s="227"/>
      <c r="X56" s="266"/>
      <c r="Y56" s="227"/>
      <c r="Z56" s="233"/>
    </row>
    <row r="57">
      <c r="A57" s="408" t="str">
        <f>IF(C57="","","BC-"&amp;TEXT(YEAR(B57),"0000")&amp;"-"&amp;TEXT(ROW()-4,"000"))</f>
        <v>#ERROR!</v>
      </c>
      <c r="B57" s="270"/>
      <c r="C57" s="235"/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410" t="str">
        <f>IFERROR(ROUND(((I57*H57)+(M57*L57)+(Q57*P57))*(1-R57)+S57,2),"")</f>
        <v>#ERROR!</v>
      </c>
      <c r="U57" s="283" t="str">
        <f>IFERROR(ROUND(T57*0.055,2),"")</f>
        <v>#ERROR!</v>
      </c>
      <c r="V57" s="463" t="str">
        <f>IFERROR(T57+U57,"")</f>
        <v>#ERROR!</v>
      </c>
      <c r="W57" s="235"/>
      <c r="X57" s="270"/>
      <c r="Y57" s="235"/>
      <c r="Z57" s="240"/>
    </row>
    <row r="58">
      <c r="A58" s="408" t="str">
        <f>IF(C58="","","BC-"&amp;TEXT(YEAR(B58),"0000")&amp;"-"&amp;TEXT(ROW()-4,"000"))</f>
        <v>#ERROR!</v>
      </c>
      <c r="B58" s="266"/>
      <c r="C58" s="227"/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410" t="str">
        <f>IFERROR(ROUND(((I58*H58)+(M58*L58)+(Q58*P58))*(1-R58)+S58,2),"")</f>
        <v>#ERROR!</v>
      </c>
      <c r="U58" s="281" t="str">
        <f>IFERROR(ROUND(T58*0.055,2),"")</f>
        <v>#ERROR!</v>
      </c>
      <c r="V58" s="463" t="str">
        <f>IFERROR(T58+U58,"")</f>
        <v>#ERROR!</v>
      </c>
      <c r="W58" s="227"/>
      <c r="X58" s="266"/>
      <c r="Y58" s="227"/>
      <c r="Z58" s="233"/>
    </row>
    <row r="59">
      <c r="A59" s="408" t="str">
        <f>IF(C59="","","BC-"&amp;TEXT(YEAR(B59),"0000")&amp;"-"&amp;TEXT(ROW()-4,"000"))</f>
        <v>#ERROR!</v>
      </c>
      <c r="B59" s="270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410" t="str">
        <f>IFERROR(ROUND(((I59*H59)+(M59*L59)+(Q59*P59))*(1-R59)+S59,2),"")</f>
        <v>#ERROR!</v>
      </c>
      <c r="U59" s="283" t="str">
        <f>IFERROR(ROUND(T59*0.055,2),"")</f>
        <v>#ERROR!</v>
      </c>
      <c r="V59" s="463" t="str">
        <f>IFERROR(T59+U59,"")</f>
        <v>#ERROR!</v>
      </c>
      <c r="W59" s="235"/>
      <c r="X59" s="270"/>
      <c r="Y59" s="235"/>
      <c r="Z59" s="240"/>
    </row>
    <row r="60">
      <c r="A60" s="408" t="str">
        <f>IF(C60="","","BC-"&amp;TEXT(YEAR(B60),"0000")&amp;"-"&amp;TEXT(ROW()-4,"000"))</f>
        <v>#ERROR!</v>
      </c>
      <c r="B60" s="266"/>
      <c r="C60" s="227"/>
      <c r="D60" s="227"/>
      <c r="E60" s="227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410" t="str">
        <f>IFERROR(ROUND(((I60*H60)+(M60*L60)+(Q60*P60))*(1-R60)+S60,2),"")</f>
        <v>#ERROR!</v>
      </c>
      <c r="U60" s="281" t="str">
        <f>IFERROR(ROUND(T60*0.055,2),"")</f>
        <v>#ERROR!</v>
      </c>
      <c r="V60" s="463" t="str">
        <f>IFERROR(T60+U60,"")</f>
        <v>#ERROR!</v>
      </c>
      <c r="W60" s="227"/>
      <c r="X60" s="266"/>
      <c r="Y60" s="227"/>
      <c r="Z60" s="233"/>
    </row>
    <row r="61">
      <c r="A61" s="408" t="str">
        <f>IF(C61="","","BC-"&amp;TEXT(YEAR(B61),"0000")&amp;"-"&amp;TEXT(ROW()-4,"000"))</f>
        <v>#ERROR!</v>
      </c>
      <c r="B61" s="270"/>
      <c r="C61" s="235"/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/>
      <c r="P61" s="235"/>
      <c r="Q61" s="235"/>
      <c r="R61" s="235"/>
      <c r="S61" s="235"/>
      <c r="T61" s="410" t="str">
        <f>IFERROR(ROUND(((I61*H61)+(M61*L61)+(Q61*P61))*(1-R61)+S61,2),"")</f>
        <v>#ERROR!</v>
      </c>
      <c r="U61" s="283" t="str">
        <f>IFERROR(ROUND(T61*0.055,2),"")</f>
        <v>#ERROR!</v>
      </c>
      <c r="V61" s="463" t="str">
        <f>IFERROR(T61+U61,"")</f>
        <v>#ERROR!</v>
      </c>
      <c r="W61" s="235"/>
      <c r="X61" s="270"/>
      <c r="Y61" s="235"/>
      <c r="Z61" s="240"/>
    </row>
    <row r="62">
      <c r="A62" s="408" t="str">
        <f>IF(C62="","","BC-"&amp;TEXT(YEAR(B62),"0000")&amp;"-"&amp;TEXT(ROW()-4,"000"))</f>
        <v>#ERROR!</v>
      </c>
      <c r="B62" s="266"/>
      <c r="C62" s="227"/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410" t="str">
        <f>IFERROR(ROUND(((I62*H62)+(M62*L62)+(Q62*P62))*(1-R62)+S62,2),"")</f>
        <v>#ERROR!</v>
      </c>
      <c r="U62" s="281" t="str">
        <f>IFERROR(ROUND(T62*0.055,2),"")</f>
        <v>#ERROR!</v>
      </c>
      <c r="V62" s="463" t="str">
        <f>IFERROR(T62+U62,"")</f>
        <v>#ERROR!</v>
      </c>
      <c r="W62" s="227"/>
      <c r="X62" s="266"/>
      <c r="Y62" s="227"/>
      <c r="Z62" s="233"/>
    </row>
    <row r="63">
      <c r="A63" s="408" t="str">
        <f>IF(C63="","","BC-"&amp;TEXT(YEAR(B63),"0000")&amp;"-"&amp;TEXT(ROW()-4,"000"))</f>
        <v>#ERROR!</v>
      </c>
      <c r="B63" s="270"/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410" t="str">
        <f>IFERROR(ROUND(((I63*H63)+(M63*L63)+(Q63*P63))*(1-R63)+S63,2),"")</f>
        <v>#ERROR!</v>
      </c>
      <c r="U63" s="283" t="str">
        <f>IFERROR(ROUND(T63*0.055,2),"")</f>
        <v>#ERROR!</v>
      </c>
      <c r="V63" s="463" t="str">
        <f>IFERROR(T63+U63,"")</f>
        <v>#ERROR!</v>
      </c>
      <c r="W63" s="235"/>
      <c r="X63" s="270"/>
      <c r="Y63" s="235"/>
      <c r="Z63" s="240"/>
    </row>
    <row r="64">
      <c r="A64" s="408" t="str">
        <f>IF(C64="","","BC-"&amp;TEXT(YEAR(B64),"0000")&amp;"-"&amp;TEXT(ROW()-4,"000"))</f>
        <v>#ERROR!</v>
      </c>
      <c r="B64" s="266"/>
      <c r="C64" s="227"/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410" t="str">
        <f>IFERROR(ROUND(((I64*H64)+(M64*L64)+(Q64*P64))*(1-R64)+S64,2),"")</f>
        <v>#ERROR!</v>
      </c>
      <c r="U64" s="281" t="str">
        <f>IFERROR(ROUND(T64*0.055,2),"")</f>
        <v>#ERROR!</v>
      </c>
      <c r="V64" s="463" t="str">
        <f>IFERROR(T64+U64,"")</f>
        <v>#ERROR!</v>
      </c>
      <c r="W64" s="227"/>
      <c r="X64" s="266"/>
      <c r="Y64" s="227"/>
      <c r="Z64" s="233"/>
    </row>
    <row r="65">
      <c r="A65" s="408" t="str">
        <f>IF(C65="","","BC-"&amp;TEXT(YEAR(B65),"0000")&amp;"-"&amp;TEXT(ROW()-4,"000"))</f>
        <v>#ERROR!</v>
      </c>
      <c r="B65" s="270"/>
      <c r="C65" s="235"/>
      <c r="D65" s="235"/>
      <c r="E65" s="235"/>
      <c r="F65" s="235"/>
      <c r="G65" s="235"/>
      <c r="H65" s="235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410" t="str">
        <f>IFERROR(ROUND(((I65*H65)+(M65*L65)+(Q65*P65))*(1-R65)+S65,2),"")</f>
        <v>#ERROR!</v>
      </c>
      <c r="U65" s="283" t="str">
        <f>IFERROR(ROUND(T65*0.055,2),"")</f>
        <v>#ERROR!</v>
      </c>
      <c r="V65" s="463" t="str">
        <f>IFERROR(T65+U65,"")</f>
        <v>#ERROR!</v>
      </c>
      <c r="W65" s="235"/>
      <c r="X65" s="270"/>
      <c r="Y65" s="235"/>
      <c r="Z65" s="240"/>
    </row>
    <row r="66">
      <c r="A66" s="408" t="str">
        <f>IF(C66="","","BC-"&amp;TEXT(YEAR(B66),"0000")&amp;"-"&amp;TEXT(ROW()-4,"000"))</f>
        <v>#ERROR!</v>
      </c>
      <c r="B66" s="266"/>
      <c r="C66" s="227"/>
      <c r="D66" s="227"/>
      <c r="E66" s="227"/>
      <c r="F66" s="227"/>
      <c r="G66" s="227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410" t="str">
        <f>IFERROR(ROUND(((I66*H66)+(M66*L66)+(Q66*P66))*(1-R66)+S66,2),"")</f>
        <v>#ERROR!</v>
      </c>
      <c r="U66" s="281" t="str">
        <f>IFERROR(ROUND(T66*0.055,2),"")</f>
        <v>#ERROR!</v>
      </c>
      <c r="V66" s="463" t="str">
        <f>IFERROR(T66+U66,"")</f>
        <v>#ERROR!</v>
      </c>
      <c r="W66" s="227"/>
      <c r="X66" s="266"/>
      <c r="Y66" s="227"/>
      <c r="Z66" s="233"/>
    </row>
    <row r="67">
      <c r="A67" s="408" t="str">
        <f>IF(C67="","","BC-"&amp;TEXT(YEAR(B67),"0000")&amp;"-"&amp;TEXT(ROW()-4,"000"))</f>
        <v>#ERROR!</v>
      </c>
      <c r="B67" s="270"/>
      <c r="C67" s="235"/>
      <c r="D67" s="235"/>
      <c r="E67" s="235"/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410" t="str">
        <f>IFERROR(ROUND(((I67*H67)+(M67*L67)+(Q67*P67))*(1-R67)+S67,2),"")</f>
        <v>#ERROR!</v>
      </c>
      <c r="U67" s="283" t="str">
        <f>IFERROR(ROUND(T67*0.055,2),"")</f>
        <v>#ERROR!</v>
      </c>
      <c r="V67" s="463" t="str">
        <f>IFERROR(T67+U67,"")</f>
        <v>#ERROR!</v>
      </c>
      <c r="W67" s="235"/>
      <c r="X67" s="270"/>
      <c r="Y67" s="235"/>
      <c r="Z67" s="240"/>
    </row>
    <row r="68">
      <c r="A68" s="408" t="str">
        <f>IF(C68="","","BC-"&amp;TEXT(YEAR(B68),"0000")&amp;"-"&amp;TEXT(ROW()-4,"000"))</f>
        <v>#ERROR!</v>
      </c>
      <c r="B68" s="266"/>
      <c r="C68" s="227"/>
      <c r="D68" s="227"/>
      <c r="E68" s="227"/>
      <c r="F68" s="227"/>
      <c r="G68" s="227"/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410" t="str">
        <f>IFERROR(ROUND(((I68*H68)+(M68*L68)+(Q68*P68))*(1-R68)+S68,2),"")</f>
        <v>#ERROR!</v>
      </c>
      <c r="U68" s="281" t="str">
        <f>IFERROR(ROUND(T68*0.055,2),"")</f>
        <v>#ERROR!</v>
      </c>
      <c r="V68" s="463" t="str">
        <f>IFERROR(T68+U68,"")</f>
        <v>#ERROR!</v>
      </c>
      <c r="W68" s="227"/>
      <c r="X68" s="266"/>
      <c r="Y68" s="227"/>
      <c r="Z68" s="233"/>
    </row>
    <row r="69">
      <c r="A69" s="408" t="str">
        <f>IF(C69="","","BC-"&amp;TEXT(YEAR(B69),"0000")&amp;"-"&amp;TEXT(ROW()-4,"000"))</f>
        <v>#ERROR!</v>
      </c>
      <c r="B69" s="270"/>
      <c r="C69" s="235"/>
      <c r="D69" s="235"/>
      <c r="E69" s="235"/>
      <c r="F69" s="235"/>
      <c r="G69" s="235"/>
      <c r="H69" s="235"/>
      <c r="I69" s="235"/>
      <c r="J69" s="235"/>
      <c r="K69" s="235"/>
      <c r="L69" s="235"/>
      <c r="M69" s="235"/>
      <c r="N69" s="235"/>
      <c r="O69" s="235"/>
      <c r="P69" s="235"/>
      <c r="Q69" s="235"/>
      <c r="R69" s="235"/>
      <c r="S69" s="235"/>
      <c r="T69" s="410" t="str">
        <f>IFERROR(ROUND(((I69*H69)+(M69*L69)+(Q69*P69))*(1-R69)+S69,2),"")</f>
        <v>#ERROR!</v>
      </c>
      <c r="U69" s="283" t="str">
        <f>IFERROR(ROUND(T69*0.055,2),"")</f>
        <v>#ERROR!</v>
      </c>
      <c r="V69" s="463" t="str">
        <f>IFERROR(T69+U69,"")</f>
        <v>#ERROR!</v>
      </c>
      <c r="W69" s="235"/>
      <c r="X69" s="270"/>
      <c r="Y69" s="235"/>
      <c r="Z69" s="240"/>
    </row>
    <row r="70">
      <c r="A70" s="408" t="str">
        <f>IF(C70="","","BC-"&amp;TEXT(YEAR(B70),"0000")&amp;"-"&amp;TEXT(ROW()-4,"000"))</f>
        <v>#ERROR!</v>
      </c>
      <c r="B70" s="266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410" t="str">
        <f>IFERROR(ROUND(((I70*H70)+(M70*L70)+(Q70*P70))*(1-R70)+S70,2),"")</f>
        <v>#ERROR!</v>
      </c>
      <c r="U70" s="281" t="str">
        <f>IFERROR(ROUND(T70*0.055,2),"")</f>
        <v>#ERROR!</v>
      </c>
      <c r="V70" s="463" t="str">
        <f>IFERROR(T70+U70,"")</f>
        <v>#ERROR!</v>
      </c>
      <c r="W70" s="227"/>
      <c r="X70" s="266"/>
      <c r="Y70" s="227"/>
      <c r="Z70" s="233"/>
    </row>
    <row r="71">
      <c r="A71" s="408" t="str">
        <f>IF(C71="","","BC-"&amp;TEXT(YEAR(B71),"0000")&amp;"-"&amp;TEXT(ROW()-4,"000"))</f>
        <v>#ERROR!</v>
      </c>
      <c r="B71" s="270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410" t="str">
        <f>IFERROR(ROUND(((I71*H71)+(M71*L71)+(Q71*P71))*(1-R71)+S71,2),"")</f>
        <v>#ERROR!</v>
      </c>
      <c r="U71" s="283" t="str">
        <f>IFERROR(ROUND(T71*0.055,2),"")</f>
        <v>#ERROR!</v>
      </c>
      <c r="V71" s="463" t="str">
        <f>IFERROR(T71+U71,"")</f>
        <v>#ERROR!</v>
      </c>
      <c r="W71" s="235"/>
      <c r="X71" s="270"/>
      <c r="Y71" s="235"/>
      <c r="Z71" s="240"/>
    </row>
    <row r="72">
      <c r="A72" s="408" t="str">
        <f>IF(C72="","","BC-"&amp;TEXT(YEAR(B72),"0000")&amp;"-"&amp;TEXT(ROW()-4,"000"))</f>
        <v>#ERROR!</v>
      </c>
      <c r="B72" s="266"/>
      <c r="C72" s="227"/>
      <c r="D72" s="227"/>
      <c r="E72" s="227"/>
      <c r="F72" s="227"/>
      <c r="G72" s="227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410" t="str">
        <f>IFERROR(ROUND(((I72*H72)+(M72*L72)+(Q72*P72))*(1-R72)+S72,2),"")</f>
        <v>#ERROR!</v>
      </c>
      <c r="U72" s="281" t="str">
        <f>IFERROR(ROUND(T72*0.055,2),"")</f>
        <v>#ERROR!</v>
      </c>
      <c r="V72" s="463" t="str">
        <f>IFERROR(T72+U72,"")</f>
        <v>#ERROR!</v>
      </c>
      <c r="W72" s="227"/>
      <c r="X72" s="266"/>
      <c r="Y72" s="227"/>
      <c r="Z72" s="233"/>
    </row>
    <row r="73">
      <c r="A73" s="408" t="str">
        <f>IF(C73="","","BC-"&amp;TEXT(YEAR(B73),"0000")&amp;"-"&amp;TEXT(ROW()-4,"000"))</f>
        <v>#ERROR!</v>
      </c>
      <c r="B73" s="270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410" t="str">
        <f>IFERROR(ROUND(((I73*H73)+(M73*L73)+(Q73*P73))*(1-R73)+S73,2),"")</f>
        <v>#ERROR!</v>
      </c>
      <c r="U73" s="283" t="str">
        <f>IFERROR(ROUND(T73*0.055,2),"")</f>
        <v>#ERROR!</v>
      </c>
      <c r="V73" s="463" t="str">
        <f>IFERROR(T73+U73,"")</f>
        <v>#ERROR!</v>
      </c>
      <c r="W73" s="235"/>
      <c r="X73" s="270"/>
      <c r="Y73" s="235"/>
      <c r="Z73" s="240"/>
    </row>
    <row r="74">
      <c r="A74" s="408" t="str">
        <f>IF(C74="","","BC-"&amp;TEXT(YEAR(B74),"0000")&amp;"-"&amp;TEXT(ROW()-4,"000"))</f>
        <v>#ERROR!</v>
      </c>
      <c r="B74" s="266"/>
      <c r="C74" s="227"/>
      <c r="D74" s="227"/>
      <c r="E74" s="227"/>
      <c r="F74" s="227"/>
      <c r="G74" s="227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410" t="str">
        <f>IFERROR(ROUND(((I74*H74)+(M74*L74)+(Q74*P74))*(1-R74)+S74,2),"")</f>
        <v>#ERROR!</v>
      </c>
      <c r="U74" s="281" t="str">
        <f>IFERROR(ROUND(T74*0.055,2),"")</f>
        <v>#ERROR!</v>
      </c>
      <c r="V74" s="463" t="str">
        <f>IFERROR(T74+U74,"")</f>
        <v>#ERROR!</v>
      </c>
      <c r="W74" s="227"/>
      <c r="X74" s="266"/>
      <c r="Y74" s="227"/>
      <c r="Z74" s="233"/>
    </row>
    <row r="75">
      <c r="A75" s="408" t="str">
        <f>IF(C75="","","BC-"&amp;TEXT(YEAR(B75),"0000")&amp;"-"&amp;TEXT(ROW()-4,"000"))</f>
        <v>#ERROR!</v>
      </c>
      <c r="B75" s="270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410" t="str">
        <f>IFERROR(ROUND(((I75*H75)+(M75*L75)+(Q75*P75))*(1-R75)+S75,2),"")</f>
        <v>#ERROR!</v>
      </c>
      <c r="U75" s="283" t="str">
        <f>IFERROR(ROUND(T75*0.055,2),"")</f>
        <v>#ERROR!</v>
      </c>
      <c r="V75" s="463" t="str">
        <f>IFERROR(T75+U75,"")</f>
        <v>#ERROR!</v>
      </c>
      <c r="W75" s="235"/>
      <c r="X75" s="270"/>
      <c r="Y75" s="235"/>
      <c r="Z75" s="240"/>
    </row>
    <row r="76">
      <c r="A76" s="408" t="str">
        <f>IF(C76="","","BC-"&amp;TEXT(YEAR(B76),"0000")&amp;"-"&amp;TEXT(ROW()-4,"000"))</f>
        <v>#ERROR!</v>
      </c>
      <c r="B76" s="266"/>
      <c r="C76" s="227"/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410" t="str">
        <f>IFERROR(ROUND(((I76*H76)+(M76*L76)+(Q76*P76))*(1-R76)+S76,2),"")</f>
        <v>#ERROR!</v>
      </c>
      <c r="U76" s="281" t="str">
        <f>IFERROR(ROUND(T76*0.055,2),"")</f>
        <v>#ERROR!</v>
      </c>
      <c r="V76" s="463" t="str">
        <f>IFERROR(T76+U76,"")</f>
        <v>#ERROR!</v>
      </c>
      <c r="W76" s="227"/>
      <c r="X76" s="266"/>
      <c r="Y76" s="227"/>
      <c r="Z76" s="233"/>
    </row>
    <row r="77">
      <c r="A77" s="408" t="str">
        <f>IF(C77="","","BC-"&amp;TEXT(YEAR(B77),"0000")&amp;"-"&amp;TEXT(ROW()-4,"000"))</f>
        <v>#ERROR!</v>
      </c>
      <c r="B77" s="270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410" t="str">
        <f>IFERROR(ROUND(((I77*H77)+(M77*L77)+(Q77*P77))*(1-R77)+S77,2),"")</f>
        <v>#ERROR!</v>
      </c>
      <c r="U77" s="283" t="str">
        <f>IFERROR(ROUND(T77*0.055,2),"")</f>
        <v>#ERROR!</v>
      </c>
      <c r="V77" s="463" t="str">
        <f>IFERROR(T77+U77,"")</f>
        <v>#ERROR!</v>
      </c>
      <c r="W77" s="235"/>
      <c r="X77" s="270"/>
      <c r="Y77" s="235"/>
      <c r="Z77" s="240"/>
    </row>
    <row r="78">
      <c r="A78" s="408" t="str">
        <f>IF(C78="","","BC-"&amp;TEXT(YEAR(B78),"0000")&amp;"-"&amp;TEXT(ROW()-4,"000"))</f>
        <v>#ERROR!</v>
      </c>
      <c r="B78" s="266"/>
      <c r="C78" s="227"/>
      <c r="D78" s="227"/>
      <c r="E78" s="227"/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410" t="str">
        <f>IFERROR(ROUND(((I78*H78)+(M78*L78)+(Q78*P78))*(1-R78)+S78,2),"")</f>
        <v>#ERROR!</v>
      </c>
      <c r="U78" s="281" t="str">
        <f>IFERROR(ROUND(T78*0.055,2),"")</f>
        <v>#ERROR!</v>
      </c>
      <c r="V78" s="463" t="str">
        <f>IFERROR(T78+U78,"")</f>
        <v>#ERROR!</v>
      </c>
      <c r="W78" s="227"/>
      <c r="X78" s="266"/>
      <c r="Y78" s="227"/>
      <c r="Z78" s="233"/>
    </row>
    <row r="79">
      <c r="A79" s="408" t="str">
        <f>IF(C79="","","BC-"&amp;TEXT(YEAR(B79),"0000")&amp;"-"&amp;TEXT(ROW()-4,"000"))</f>
        <v>#ERROR!</v>
      </c>
      <c r="B79" s="270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410" t="str">
        <f>IFERROR(ROUND(((I79*H79)+(M79*L79)+(Q79*P79))*(1-R79)+S79,2),"")</f>
        <v>#ERROR!</v>
      </c>
      <c r="U79" s="283" t="str">
        <f>IFERROR(ROUND(T79*0.055,2),"")</f>
        <v>#ERROR!</v>
      </c>
      <c r="V79" s="463" t="str">
        <f>IFERROR(T79+U79,"")</f>
        <v>#ERROR!</v>
      </c>
      <c r="W79" s="235"/>
      <c r="X79" s="270"/>
      <c r="Y79" s="235"/>
      <c r="Z79" s="240"/>
    </row>
    <row r="80">
      <c r="A80" s="408" t="str">
        <f>IF(C80="","","BC-"&amp;TEXT(YEAR(B80),"0000")&amp;"-"&amp;TEXT(ROW()-4,"000"))</f>
        <v>#ERROR!</v>
      </c>
      <c r="B80" s="266"/>
      <c r="C80" s="227"/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410" t="str">
        <f>IFERROR(ROUND(((I80*H80)+(M80*L80)+(Q80*P80))*(1-R80)+S80,2),"")</f>
        <v>#ERROR!</v>
      </c>
      <c r="U80" s="281" t="str">
        <f>IFERROR(ROUND(T80*0.055,2),"")</f>
        <v>#ERROR!</v>
      </c>
      <c r="V80" s="463" t="str">
        <f>IFERROR(T80+U80,"")</f>
        <v>#ERROR!</v>
      </c>
      <c r="W80" s="227"/>
      <c r="X80" s="266"/>
      <c r="Y80" s="227"/>
      <c r="Z80" s="233"/>
    </row>
    <row r="81">
      <c r="A81" s="408" t="str">
        <f>IF(C81="","","BC-"&amp;TEXT(YEAR(B81),"0000")&amp;"-"&amp;TEXT(ROW()-4,"000"))</f>
        <v>#ERROR!</v>
      </c>
      <c r="B81" s="270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410" t="str">
        <f>IFERROR(ROUND(((I81*H81)+(M81*L81)+(Q81*P81))*(1-R81)+S81,2),"")</f>
        <v>#ERROR!</v>
      </c>
      <c r="U81" s="283" t="str">
        <f>IFERROR(ROUND(T81*0.055,2),"")</f>
        <v>#ERROR!</v>
      </c>
      <c r="V81" s="463" t="str">
        <f>IFERROR(T81+U81,"")</f>
        <v>#ERROR!</v>
      </c>
      <c r="W81" s="235"/>
      <c r="X81" s="270"/>
      <c r="Y81" s="235"/>
      <c r="Z81" s="240"/>
    </row>
    <row r="82">
      <c r="A82" s="408" t="str">
        <f>IF(C82="","","BC-"&amp;TEXT(YEAR(B82),"0000")&amp;"-"&amp;TEXT(ROW()-4,"000"))</f>
        <v>#ERROR!</v>
      </c>
      <c r="B82" s="266"/>
      <c r="C82" s="227"/>
      <c r="D82" s="227"/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410" t="str">
        <f>IFERROR(ROUND(((I82*H82)+(M82*L82)+(Q82*P82))*(1-R82)+S82,2),"")</f>
        <v>#ERROR!</v>
      </c>
      <c r="U82" s="281" t="str">
        <f>IFERROR(ROUND(T82*0.055,2),"")</f>
        <v>#ERROR!</v>
      </c>
      <c r="V82" s="463" t="str">
        <f>IFERROR(T82+U82,"")</f>
        <v>#ERROR!</v>
      </c>
      <c r="W82" s="227"/>
      <c r="X82" s="266"/>
      <c r="Y82" s="227"/>
      <c r="Z82" s="233"/>
    </row>
    <row r="83">
      <c r="A83" s="408" t="str">
        <f>IF(C83="","","BC-"&amp;TEXT(YEAR(B83),"0000")&amp;"-"&amp;TEXT(ROW()-4,"000"))</f>
        <v>#ERROR!</v>
      </c>
      <c r="B83" s="270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410" t="str">
        <f>IFERROR(ROUND(((I83*H83)+(M83*L83)+(Q83*P83))*(1-R83)+S83,2),"")</f>
        <v>#ERROR!</v>
      </c>
      <c r="U83" s="283" t="str">
        <f>IFERROR(ROUND(T83*0.055,2),"")</f>
        <v>#ERROR!</v>
      </c>
      <c r="V83" s="463" t="str">
        <f>IFERROR(T83+U83,"")</f>
        <v>#ERROR!</v>
      </c>
      <c r="W83" s="235"/>
      <c r="X83" s="270"/>
      <c r="Y83" s="235"/>
      <c r="Z83" s="240"/>
    </row>
    <row r="84">
      <c r="A84" s="408" t="str">
        <f>IF(C84="","","BC-"&amp;TEXT(YEAR(B84),"0000")&amp;"-"&amp;TEXT(ROW()-4,"000"))</f>
        <v>#ERROR!</v>
      </c>
      <c r="B84" s="266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410" t="str">
        <f>IFERROR(ROUND(((I84*H84)+(M84*L84)+(Q84*P84))*(1-R84)+S84,2),"")</f>
        <v>#ERROR!</v>
      </c>
      <c r="U84" s="281" t="str">
        <f>IFERROR(ROUND(T84*0.055,2),"")</f>
        <v>#ERROR!</v>
      </c>
      <c r="V84" s="463" t="str">
        <f>IFERROR(T84+U84,"")</f>
        <v>#ERROR!</v>
      </c>
      <c r="W84" s="227"/>
      <c r="X84" s="266"/>
      <c r="Y84" s="227"/>
      <c r="Z84" s="233"/>
    </row>
    <row r="85">
      <c r="A85" s="408" t="str">
        <f>IF(C85="","","BC-"&amp;TEXT(YEAR(B85),"0000")&amp;"-"&amp;TEXT(ROW()-4,"000"))</f>
        <v>#ERROR!</v>
      </c>
      <c r="B85" s="270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410" t="str">
        <f>IFERROR(ROUND(((I85*H85)+(M85*L85)+(Q85*P85))*(1-R85)+S85,2),"")</f>
        <v>#ERROR!</v>
      </c>
      <c r="U85" s="283" t="str">
        <f>IFERROR(ROUND(T85*0.055,2),"")</f>
        <v>#ERROR!</v>
      </c>
      <c r="V85" s="463" t="str">
        <f>IFERROR(T85+U85,"")</f>
        <v>#ERROR!</v>
      </c>
      <c r="W85" s="235"/>
      <c r="X85" s="270"/>
      <c r="Y85" s="235"/>
      <c r="Z85" s="240"/>
    </row>
    <row r="86">
      <c r="A86" s="408" t="str">
        <f>IF(C86="","","BC-"&amp;TEXT(YEAR(B86),"0000")&amp;"-"&amp;TEXT(ROW()-4,"000"))</f>
        <v>#ERROR!</v>
      </c>
      <c r="B86" s="266"/>
      <c r="C86" s="227"/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410" t="str">
        <f>IFERROR(ROUND(((I86*H86)+(M86*L86)+(Q86*P86))*(1-R86)+S86,2),"")</f>
        <v>#ERROR!</v>
      </c>
      <c r="U86" s="281" t="str">
        <f>IFERROR(ROUND(T86*0.055,2),"")</f>
        <v>#ERROR!</v>
      </c>
      <c r="V86" s="463" t="str">
        <f>IFERROR(T86+U86,"")</f>
        <v>#ERROR!</v>
      </c>
      <c r="W86" s="227"/>
      <c r="X86" s="266"/>
      <c r="Y86" s="227"/>
      <c r="Z86" s="233"/>
    </row>
    <row r="87">
      <c r="A87" s="408" t="str">
        <f>IF(C87="","","BC-"&amp;TEXT(YEAR(B87),"0000")&amp;"-"&amp;TEXT(ROW()-4,"000"))</f>
        <v>#ERROR!</v>
      </c>
      <c r="B87" s="270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410" t="str">
        <f>IFERROR(ROUND(((I87*H87)+(M87*L87)+(Q87*P87))*(1-R87)+S87,2),"")</f>
        <v>#ERROR!</v>
      </c>
      <c r="U87" s="283" t="str">
        <f>IFERROR(ROUND(T87*0.055,2),"")</f>
        <v>#ERROR!</v>
      </c>
      <c r="V87" s="463" t="str">
        <f>IFERROR(T87+U87,"")</f>
        <v>#ERROR!</v>
      </c>
      <c r="W87" s="235"/>
      <c r="X87" s="270"/>
      <c r="Y87" s="235"/>
      <c r="Z87" s="240"/>
    </row>
    <row r="88">
      <c r="A88" s="408" t="str">
        <f>IF(C88="","","BC-"&amp;TEXT(YEAR(B88),"0000")&amp;"-"&amp;TEXT(ROW()-4,"000"))</f>
        <v>#ERROR!</v>
      </c>
      <c r="B88" s="266"/>
      <c r="C88" s="227"/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410" t="str">
        <f>IFERROR(ROUND(((I88*H88)+(M88*L88)+(Q88*P88))*(1-R88)+S88,2),"")</f>
        <v>#ERROR!</v>
      </c>
      <c r="U88" s="281" t="str">
        <f>IFERROR(ROUND(T88*0.055,2),"")</f>
        <v>#ERROR!</v>
      </c>
      <c r="V88" s="463" t="str">
        <f>IFERROR(T88+U88,"")</f>
        <v>#ERROR!</v>
      </c>
      <c r="W88" s="227"/>
      <c r="X88" s="266"/>
      <c r="Y88" s="227"/>
      <c r="Z88" s="233"/>
    </row>
    <row r="89">
      <c r="A89" s="408" t="str">
        <f>IF(C89="","","BC-"&amp;TEXT(YEAR(B89),"0000")&amp;"-"&amp;TEXT(ROW()-4,"000"))</f>
        <v>#ERROR!</v>
      </c>
      <c r="B89" s="270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410" t="str">
        <f>IFERROR(ROUND(((I89*H89)+(M89*L89)+(Q89*P89))*(1-R89)+S89,2),"")</f>
        <v>#ERROR!</v>
      </c>
      <c r="U89" s="283" t="str">
        <f>IFERROR(ROUND(T89*0.055,2),"")</f>
        <v>#ERROR!</v>
      </c>
      <c r="V89" s="463" t="str">
        <f>IFERROR(T89+U89,"")</f>
        <v>#ERROR!</v>
      </c>
      <c r="W89" s="235"/>
      <c r="X89" s="270"/>
      <c r="Y89" s="235"/>
      <c r="Z89" s="240"/>
    </row>
    <row r="90">
      <c r="A90" s="408" t="str">
        <f>IF(C90="","","BC-"&amp;TEXT(YEAR(B90),"0000")&amp;"-"&amp;TEXT(ROW()-4,"000"))</f>
        <v>#ERROR!</v>
      </c>
      <c r="B90" s="266"/>
      <c r="C90" s="227"/>
      <c r="D90" s="227"/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410" t="str">
        <f>IFERROR(ROUND(((I90*H90)+(M90*L90)+(Q90*P90))*(1-R90)+S90,2),"")</f>
        <v>#ERROR!</v>
      </c>
      <c r="U90" s="281" t="str">
        <f>IFERROR(ROUND(T90*0.055,2),"")</f>
        <v>#ERROR!</v>
      </c>
      <c r="V90" s="463" t="str">
        <f>IFERROR(T90+U90,"")</f>
        <v>#ERROR!</v>
      </c>
      <c r="W90" s="227"/>
      <c r="X90" s="266"/>
      <c r="Y90" s="227"/>
      <c r="Z90" s="233"/>
    </row>
    <row r="91">
      <c r="A91" s="408" t="str">
        <f>IF(C91="","","BC-"&amp;TEXT(YEAR(B91),"0000")&amp;"-"&amp;TEXT(ROW()-4,"000"))</f>
        <v>#ERROR!</v>
      </c>
      <c r="B91" s="270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410" t="str">
        <f>IFERROR(ROUND(((I91*H91)+(M91*L91)+(Q91*P91))*(1-R91)+S91,2),"")</f>
        <v>#ERROR!</v>
      </c>
      <c r="U91" s="283" t="str">
        <f>IFERROR(ROUND(T91*0.055,2),"")</f>
        <v>#ERROR!</v>
      </c>
      <c r="V91" s="463" t="str">
        <f>IFERROR(T91+U91,"")</f>
        <v>#ERROR!</v>
      </c>
      <c r="W91" s="235"/>
      <c r="X91" s="270"/>
      <c r="Y91" s="235"/>
      <c r="Z91" s="240"/>
    </row>
    <row r="92">
      <c r="A92" s="408" t="str">
        <f>IF(C92="","","BC-"&amp;TEXT(YEAR(B92),"0000")&amp;"-"&amp;TEXT(ROW()-4,"000"))</f>
        <v>#ERROR!</v>
      </c>
      <c r="B92" s="266"/>
      <c r="C92" s="227"/>
      <c r="D92" s="227"/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410" t="str">
        <f>IFERROR(ROUND(((I92*H92)+(M92*L92)+(Q92*P92))*(1-R92)+S92,2),"")</f>
        <v>#ERROR!</v>
      </c>
      <c r="U92" s="281" t="str">
        <f>IFERROR(ROUND(T92*0.055,2),"")</f>
        <v>#ERROR!</v>
      </c>
      <c r="V92" s="463" t="str">
        <f>IFERROR(T92+U92,"")</f>
        <v>#ERROR!</v>
      </c>
      <c r="W92" s="227"/>
      <c r="X92" s="266"/>
      <c r="Y92" s="227"/>
      <c r="Z92" s="233"/>
    </row>
    <row r="93">
      <c r="A93" s="408" t="str">
        <f>IF(C93="","","BC-"&amp;TEXT(YEAR(B93),"0000")&amp;"-"&amp;TEXT(ROW()-4,"000"))</f>
        <v>#ERROR!</v>
      </c>
      <c r="B93" s="270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410" t="str">
        <f>IFERROR(ROUND(((I93*H93)+(M93*L93)+(Q93*P93))*(1-R93)+S93,2),"")</f>
        <v>#ERROR!</v>
      </c>
      <c r="U93" s="283" t="str">
        <f>IFERROR(ROUND(T93*0.055,2),"")</f>
        <v>#ERROR!</v>
      </c>
      <c r="V93" s="463" t="str">
        <f>IFERROR(T93+U93,"")</f>
        <v>#ERROR!</v>
      </c>
      <c r="W93" s="235"/>
      <c r="X93" s="270"/>
      <c r="Y93" s="235"/>
      <c r="Z93" s="240"/>
    </row>
    <row r="94">
      <c r="A94" s="408" t="str">
        <f>IF(C94="","","BC-"&amp;TEXT(YEAR(B94),"0000")&amp;"-"&amp;TEXT(ROW()-4,"000"))</f>
        <v>#ERROR!</v>
      </c>
      <c r="B94" s="266"/>
      <c r="C94" s="227"/>
      <c r="D94" s="227"/>
      <c r="E94" s="227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410" t="str">
        <f>IFERROR(ROUND(((I94*H94)+(M94*L94)+(Q94*P94))*(1-R94)+S94,2),"")</f>
        <v>#ERROR!</v>
      </c>
      <c r="U94" s="281" t="str">
        <f>IFERROR(ROUND(T94*0.055,2),"")</f>
        <v>#ERROR!</v>
      </c>
      <c r="V94" s="463" t="str">
        <f>IFERROR(T94+U94,"")</f>
        <v>#ERROR!</v>
      </c>
      <c r="W94" s="227"/>
      <c r="X94" s="266"/>
      <c r="Y94" s="227"/>
      <c r="Z94" s="233"/>
    </row>
    <row r="95">
      <c r="A95" s="408" t="str">
        <f>IF(C95="","","BC-"&amp;TEXT(YEAR(B95),"0000")&amp;"-"&amp;TEXT(ROW()-4,"000"))</f>
        <v>#ERROR!</v>
      </c>
      <c r="B95" s="270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410" t="str">
        <f>IFERROR(ROUND(((I95*H95)+(M95*L95)+(Q95*P95))*(1-R95)+S95,2),"")</f>
        <v>#ERROR!</v>
      </c>
      <c r="U95" s="283" t="str">
        <f>IFERROR(ROUND(T95*0.055,2),"")</f>
        <v>#ERROR!</v>
      </c>
      <c r="V95" s="463" t="str">
        <f>IFERROR(T95+U95,"")</f>
        <v>#ERROR!</v>
      </c>
      <c r="W95" s="235"/>
      <c r="X95" s="270"/>
      <c r="Y95" s="235"/>
      <c r="Z95" s="240"/>
    </row>
    <row r="96">
      <c r="A96" s="408" t="str">
        <f>IF(C96="","","BC-"&amp;TEXT(YEAR(B96),"0000")&amp;"-"&amp;TEXT(ROW()-4,"000"))</f>
        <v>#ERROR!</v>
      </c>
      <c r="B96" s="266"/>
      <c r="C96" s="227"/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410" t="str">
        <f>IFERROR(ROUND(((I96*H96)+(M96*L96)+(Q96*P96))*(1-R96)+S96,2),"")</f>
        <v>#ERROR!</v>
      </c>
      <c r="U96" s="281" t="str">
        <f>IFERROR(ROUND(T96*0.055,2),"")</f>
        <v>#ERROR!</v>
      </c>
      <c r="V96" s="463" t="str">
        <f>IFERROR(T96+U96,"")</f>
        <v>#ERROR!</v>
      </c>
      <c r="W96" s="227"/>
      <c r="X96" s="266"/>
      <c r="Y96" s="227"/>
      <c r="Z96" s="233"/>
    </row>
    <row r="97">
      <c r="A97" s="408" t="str">
        <f>IF(C97="","","BC-"&amp;TEXT(YEAR(B97),"0000")&amp;"-"&amp;TEXT(ROW()-4,"000"))</f>
        <v>#ERROR!</v>
      </c>
      <c r="B97" s="270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410" t="str">
        <f>IFERROR(ROUND(((I97*H97)+(M97*L97)+(Q97*P97))*(1-R97)+S97,2),"")</f>
        <v>#ERROR!</v>
      </c>
      <c r="U97" s="283" t="str">
        <f>IFERROR(ROUND(T97*0.055,2),"")</f>
        <v>#ERROR!</v>
      </c>
      <c r="V97" s="463" t="str">
        <f>IFERROR(T97+U97,"")</f>
        <v>#ERROR!</v>
      </c>
      <c r="W97" s="235"/>
      <c r="X97" s="270"/>
      <c r="Y97" s="235"/>
      <c r="Z97" s="240"/>
    </row>
    <row r="98">
      <c r="A98" s="408" t="str">
        <f>IF(C98="","","BC-"&amp;TEXT(YEAR(B98),"0000")&amp;"-"&amp;TEXT(ROW()-4,"000"))</f>
        <v>#ERROR!</v>
      </c>
      <c r="B98" s="266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410" t="str">
        <f>IFERROR(ROUND(((I98*H98)+(M98*L98)+(Q98*P98))*(1-R98)+S98,2),"")</f>
        <v>#ERROR!</v>
      </c>
      <c r="U98" s="281" t="str">
        <f>IFERROR(ROUND(T98*0.055,2),"")</f>
        <v>#ERROR!</v>
      </c>
      <c r="V98" s="463" t="str">
        <f>IFERROR(T98+U98,"")</f>
        <v>#ERROR!</v>
      </c>
      <c r="W98" s="227"/>
      <c r="X98" s="266"/>
      <c r="Y98" s="227"/>
      <c r="Z98" s="233"/>
    </row>
    <row r="99">
      <c r="A99" s="408" t="str">
        <f>IF(C99="","","BC-"&amp;TEXT(YEAR(B99),"0000")&amp;"-"&amp;TEXT(ROW()-4,"000"))</f>
        <v>#ERROR!</v>
      </c>
      <c r="B99" s="270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410" t="str">
        <f>IFERROR(ROUND(((I99*H99)+(M99*L99)+(Q99*P99))*(1-R99)+S99,2),"")</f>
        <v>#ERROR!</v>
      </c>
      <c r="U99" s="283" t="str">
        <f>IFERROR(ROUND(T99*0.055,2),"")</f>
        <v>#ERROR!</v>
      </c>
      <c r="V99" s="463" t="str">
        <f>IFERROR(T99+U99,"")</f>
        <v>#ERROR!</v>
      </c>
      <c r="W99" s="235"/>
      <c r="X99" s="270"/>
      <c r="Y99" s="235"/>
      <c r="Z99" s="240"/>
    </row>
    <row r="100">
      <c r="A100" s="408" t="str">
        <f>IF(C100="","","BC-"&amp;TEXT(YEAR(B100),"0000")&amp;"-"&amp;TEXT(ROW()-4,"000"))</f>
        <v>#ERROR!</v>
      </c>
      <c r="B100" s="266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410" t="str">
        <f>IFERROR(ROUND(((I100*H100)+(M100*L100)+(Q100*P100))*(1-R100)+S100,2),"")</f>
        <v>#ERROR!</v>
      </c>
      <c r="U100" s="281" t="str">
        <f>IFERROR(ROUND(T100*0.055,2),"")</f>
        <v>#ERROR!</v>
      </c>
      <c r="V100" s="463" t="str">
        <f>IFERROR(T100+U100,"")</f>
        <v>#ERROR!</v>
      </c>
      <c r="W100" s="227"/>
      <c r="X100" s="266"/>
      <c r="Y100" s="227"/>
      <c r="Z100" s="233"/>
    </row>
    <row r="101">
      <c r="A101" s="408" t="str">
        <f>IF(C101="","","BC-"&amp;TEXT(YEAR(B101),"0000")&amp;"-"&amp;TEXT(ROW()-4,"000"))</f>
        <v>#ERROR!</v>
      </c>
      <c r="B101" s="270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410" t="str">
        <f>IFERROR(ROUND(((I101*H101)+(M101*L101)+(Q101*P101))*(1-R101)+S101,2),"")</f>
        <v>#ERROR!</v>
      </c>
      <c r="U101" s="283" t="str">
        <f>IFERROR(ROUND(T101*0.055,2),"")</f>
        <v>#ERROR!</v>
      </c>
      <c r="V101" s="463" t="str">
        <f>IFERROR(T101+U101,"")</f>
        <v>#ERROR!</v>
      </c>
      <c r="W101" s="235"/>
      <c r="X101" s="270"/>
      <c r="Y101" s="235"/>
      <c r="Z101" s="240"/>
    </row>
    <row r="102">
      <c r="A102" s="408" t="str">
        <f>IF(C102="","","BC-"&amp;TEXT(YEAR(B102),"0000")&amp;"-"&amp;TEXT(ROW()-4,"000"))</f>
        <v>#ERROR!</v>
      </c>
      <c r="B102" s="266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410" t="str">
        <f>IFERROR(ROUND(((I102*H102)+(M102*L102)+(Q102*P102))*(1-R102)+S102,2),"")</f>
        <v>#ERROR!</v>
      </c>
      <c r="U102" s="281" t="str">
        <f>IFERROR(ROUND(T102*0.055,2),"")</f>
        <v>#ERROR!</v>
      </c>
      <c r="V102" s="463" t="str">
        <f>IFERROR(T102+U102,"")</f>
        <v>#ERROR!</v>
      </c>
      <c r="W102" s="227"/>
      <c r="X102" s="266"/>
      <c r="Y102" s="227"/>
      <c r="Z102" s="233"/>
    </row>
    <row r="103">
      <c r="A103" s="408" t="str">
        <f>IF(C103="","","BC-"&amp;TEXT(YEAR(B103),"0000")&amp;"-"&amp;TEXT(ROW()-4,"000"))</f>
        <v>#ERROR!</v>
      </c>
      <c r="B103" s="270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410" t="str">
        <f>IFERROR(ROUND(((I103*H103)+(M103*L103)+(Q103*P103))*(1-R103)+S103,2),"")</f>
        <v>#ERROR!</v>
      </c>
      <c r="U103" s="283" t="str">
        <f>IFERROR(ROUND(T103*0.055,2),"")</f>
        <v>#ERROR!</v>
      </c>
      <c r="V103" s="463" t="str">
        <f>IFERROR(T103+U103,"")</f>
        <v>#ERROR!</v>
      </c>
      <c r="W103" s="235"/>
      <c r="X103" s="270"/>
      <c r="Y103" s="235"/>
      <c r="Z103" s="240"/>
    </row>
    <row r="104">
      <c r="A104" s="408" t="str">
        <f>IF(C104="","","BC-"&amp;TEXT(YEAR(B104),"0000")&amp;"-"&amp;TEXT(ROW()-4,"000"))</f>
        <v>#ERROR!</v>
      </c>
      <c r="B104" s="266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410" t="str">
        <f>IFERROR(ROUND(((I104*H104)+(M104*L104)+(Q104*P104))*(1-R104)+S104,2),"")</f>
        <v>#ERROR!</v>
      </c>
      <c r="U104" s="281" t="str">
        <f>IFERROR(ROUND(T104*0.055,2),"")</f>
        <v>#ERROR!</v>
      </c>
      <c r="V104" s="463" t="str">
        <f>IFERROR(T104+U104,"")</f>
        <v>#ERROR!</v>
      </c>
      <c r="W104" s="227"/>
      <c r="X104" s="266"/>
      <c r="Y104" s="227"/>
      <c r="Z104" s="233"/>
    </row>
    <row r="105">
      <c r="A105" s="408" t="str">
        <f>IF(C105="","","BC-"&amp;TEXT(YEAR(B105),"0000")&amp;"-"&amp;TEXT(ROW()-4,"000"))</f>
        <v>#ERROR!</v>
      </c>
      <c r="B105" s="270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410" t="str">
        <f>IFERROR(ROUND(((I105*H105)+(M105*L105)+(Q105*P105))*(1-R105)+S105,2),"")</f>
        <v>#ERROR!</v>
      </c>
      <c r="U105" s="283" t="str">
        <f>IFERROR(ROUND(T105*0.055,2),"")</f>
        <v>#ERROR!</v>
      </c>
      <c r="V105" s="463" t="str">
        <f>IFERROR(T105+U105,"")</f>
        <v>#ERROR!</v>
      </c>
      <c r="W105" s="235"/>
      <c r="X105" s="270"/>
      <c r="Y105" s="235"/>
      <c r="Z105" s="240"/>
    </row>
    <row r="106">
      <c r="A106" s="408" t="str">
        <f>IF(C106="","","BC-"&amp;TEXT(YEAR(B106),"0000")&amp;"-"&amp;TEXT(ROW()-4,"000"))</f>
        <v>#ERROR!</v>
      </c>
      <c r="B106" s="266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410" t="str">
        <f>IFERROR(ROUND(((I106*H106)+(M106*L106)+(Q106*P106))*(1-R106)+S106,2),"")</f>
        <v>#ERROR!</v>
      </c>
      <c r="U106" s="281" t="str">
        <f>IFERROR(ROUND(T106*0.055,2),"")</f>
        <v>#ERROR!</v>
      </c>
      <c r="V106" s="463" t="str">
        <f>IFERROR(T106+U106,"")</f>
        <v>#ERROR!</v>
      </c>
      <c r="W106" s="227"/>
      <c r="X106" s="266"/>
      <c r="Y106" s="227"/>
      <c r="Z106" s="233"/>
    </row>
    <row r="107">
      <c r="A107" s="408" t="str">
        <f>IF(C107="","","BC-"&amp;TEXT(YEAR(B107),"0000")&amp;"-"&amp;TEXT(ROW()-4,"000"))</f>
        <v>#ERROR!</v>
      </c>
      <c r="B107" s="270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410" t="str">
        <f>IFERROR(ROUND(((I107*H107)+(M107*L107)+(Q107*P107))*(1-R107)+S107,2),"")</f>
        <v>#ERROR!</v>
      </c>
      <c r="U107" s="283" t="str">
        <f>IFERROR(ROUND(T107*0.055,2),"")</f>
        <v>#ERROR!</v>
      </c>
      <c r="V107" s="463" t="str">
        <f>IFERROR(T107+U107,"")</f>
        <v>#ERROR!</v>
      </c>
      <c r="W107" s="235"/>
      <c r="X107" s="270"/>
      <c r="Y107" s="235"/>
      <c r="Z107" s="240"/>
    </row>
    <row r="108">
      <c r="A108" s="408" t="str">
        <f>IF(C108="","","BC-"&amp;TEXT(YEAR(B108),"0000")&amp;"-"&amp;TEXT(ROW()-4,"000"))</f>
        <v>#ERROR!</v>
      </c>
      <c r="B108" s="266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410" t="str">
        <f>IFERROR(ROUND(((I108*H108)+(M108*L108)+(Q108*P108))*(1-R108)+S108,2),"")</f>
        <v>#ERROR!</v>
      </c>
      <c r="U108" s="281" t="str">
        <f>IFERROR(ROUND(T108*0.055,2),"")</f>
        <v>#ERROR!</v>
      </c>
      <c r="V108" s="463" t="str">
        <f>IFERROR(T108+U108,"")</f>
        <v>#ERROR!</v>
      </c>
      <c r="W108" s="227"/>
      <c r="X108" s="266"/>
      <c r="Y108" s="227"/>
      <c r="Z108" s="233"/>
    </row>
    <row r="109">
      <c r="A109" s="408" t="str">
        <f>IF(C109="","","BC-"&amp;TEXT(YEAR(B109),"0000")&amp;"-"&amp;TEXT(ROW()-4,"000"))</f>
        <v>#ERROR!</v>
      </c>
      <c r="B109" s="270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410" t="str">
        <f>IFERROR(ROUND(((I109*H109)+(M109*L109)+(Q109*P109))*(1-R109)+S109,2),"")</f>
        <v>#ERROR!</v>
      </c>
      <c r="U109" s="283" t="str">
        <f>IFERROR(ROUND(T109*0.055,2),"")</f>
        <v>#ERROR!</v>
      </c>
      <c r="V109" s="463" t="str">
        <f>IFERROR(T109+U109,"")</f>
        <v>#ERROR!</v>
      </c>
      <c r="W109" s="235"/>
      <c r="X109" s="270"/>
      <c r="Y109" s="235"/>
      <c r="Z109" s="240"/>
    </row>
    <row r="110">
      <c r="A110" s="408" t="str">
        <f>IF(C110="","","BC-"&amp;TEXT(YEAR(B110),"0000")&amp;"-"&amp;TEXT(ROW()-4,"000"))</f>
        <v>#ERROR!</v>
      </c>
      <c r="B110" s="266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410" t="str">
        <f>IFERROR(ROUND(((I110*H110)+(M110*L110)+(Q110*P110))*(1-R110)+S110,2),"")</f>
        <v>#ERROR!</v>
      </c>
      <c r="U110" s="281" t="str">
        <f>IFERROR(ROUND(T110*0.055,2),"")</f>
        <v>#ERROR!</v>
      </c>
      <c r="V110" s="463" t="str">
        <f>IFERROR(T110+U110,"")</f>
        <v>#ERROR!</v>
      </c>
      <c r="W110" s="227"/>
      <c r="X110" s="266"/>
      <c r="Y110" s="227"/>
      <c r="Z110" s="233"/>
    </row>
    <row r="111">
      <c r="A111" s="408" t="str">
        <f>IF(C111="","","BC-"&amp;TEXT(YEAR(B111),"0000")&amp;"-"&amp;TEXT(ROW()-4,"000"))</f>
        <v>#ERROR!</v>
      </c>
      <c r="B111" s="270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410" t="str">
        <f>IFERROR(ROUND(((I111*H111)+(M111*L111)+(Q111*P111))*(1-R111)+S111,2),"")</f>
        <v>#ERROR!</v>
      </c>
      <c r="U111" s="283" t="str">
        <f>IFERROR(ROUND(T111*0.055,2),"")</f>
        <v>#ERROR!</v>
      </c>
      <c r="V111" s="463" t="str">
        <f>IFERROR(T111+U111,"")</f>
        <v>#ERROR!</v>
      </c>
      <c r="W111" s="235"/>
      <c r="X111" s="270"/>
      <c r="Y111" s="235"/>
      <c r="Z111" s="240"/>
    </row>
    <row r="112">
      <c r="A112" s="408" t="str">
        <f>IF(C112="","","BC-"&amp;TEXT(YEAR(B112),"0000")&amp;"-"&amp;TEXT(ROW()-4,"000"))</f>
        <v>#ERROR!</v>
      </c>
      <c r="B112" s="266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410" t="str">
        <f>IFERROR(ROUND(((I112*H112)+(M112*L112)+(Q112*P112))*(1-R112)+S112,2),"")</f>
        <v>#ERROR!</v>
      </c>
      <c r="U112" s="281" t="str">
        <f>IFERROR(ROUND(T112*0.055,2),"")</f>
        <v>#ERROR!</v>
      </c>
      <c r="V112" s="463" t="str">
        <f>IFERROR(T112+U112,"")</f>
        <v>#ERROR!</v>
      </c>
      <c r="W112" s="227"/>
      <c r="X112" s="266"/>
      <c r="Y112" s="227"/>
      <c r="Z112" s="233"/>
    </row>
    <row r="113">
      <c r="A113" s="408" t="str">
        <f>IF(C113="","","BC-"&amp;TEXT(YEAR(B113),"0000")&amp;"-"&amp;TEXT(ROW()-4,"000"))</f>
        <v>#ERROR!</v>
      </c>
      <c r="B113" s="270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410" t="str">
        <f>IFERROR(ROUND(((I113*H113)+(M113*L113)+(Q113*P113))*(1-R113)+S113,2),"")</f>
        <v>#ERROR!</v>
      </c>
      <c r="U113" s="283" t="str">
        <f>IFERROR(ROUND(T113*0.055,2),"")</f>
        <v>#ERROR!</v>
      </c>
      <c r="V113" s="463" t="str">
        <f>IFERROR(T113+U113,"")</f>
        <v>#ERROR!</v>
      </c>
      <c r="W113" s="235"/>
      <c r="X113" s="270"/>
      <c r="Y113" s="235"/>
      <c r="Z113" s="240"/>
    </row>
    <row r="114">
      <c r="A114" s="408" t="str">
        <f>IF(C114="","","BC-"&amp;TEXT(YEAR(B114),"0000")&amp;"-"&amp;TEXT(ROW()-4,"000"))</f>
        <v>#ERROR!</v>
      </c>
      <c r="B114" s="266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410" t="str">
        <f>IFERROR(ROUND(((I114*H114)+(M114*L114)+(Q114*P114))*(1-R114)+S114,2),"")</f>
        <v>#ERROR!</v>
      </c>
      <c r="U114" s="281" t="str">
        <f>IFERROR(ROUND(T114*0.055,2),"")</f>
        <v>#ERROR!</v>
      </c>
      <c r="V114" s="463" t="str">
        <f>IFERROR(T114+U114,"")</f>
        <v>#ERROR!</v>
      </c>
      <c r="W114" s="227"/>
      <c r="X114" s="266"/>
      <c r="Y114" s="227"/>
      <c r="Z114" s="233"/>
    </row>
    <row r="115">
      <c r="A115" s="408" t="str">
        <f>IF(C115="","","BC-"&amp;TEXT(YEAR(B115),"0000")&amp;"-"&amp;TEXT(ROW()-4,"000"))</f>
        <v>#ERROR!</v>
      </c>
      <c r="B115" s="270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410" t="str">
        <f>IFERROR(ROUND(((I115*H115)+(M115*L115)+(Q115*P115))*(1-R115)+S115,2),"")</f>
        <v>#ERROR!</v>
      </c>
      <c r="U115" s="283" t="str">
        <f>IFERROR(ROUND(T115*0.055,2),"")</f>
        <v>#ERROR!</v>
      </c>
      <c r="V115" s="463" t="str">
        <f>IFERROR(T115+U115,"")</f>
        <v>#ERROR!</v>
      </c>
      <c r="W115" s="235"/>
      <c r="X115" s="270"/>
      <c r="Y115" s="235"/>
      <c r="Z115" s="240"/>
    </row>
    <row r="116">
      <c r="A116" s="408" t="str">
        <f>IF(C116="","","BC-"&amp;TEXT(YEAR(B116),"0000")&amp;"-"&amp;TEXT(ROW()-4,"000"))</f>
        <v>#ERROR!</v>
      </c>
      <c r="B116" s="266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410" t="str">
        <f>IFERROR(ROUND(((I116*H116)+(M116*L116)+(Q116*P116))*(1-R116)+S116,2),"")</f>
        <v>#ERROR!</v>
      </c>
      <c r="U116" s="281" t="str">
        <f>IFERROR(ROUND(T116*0.055,2),"")</f>
        <v>#ERROR!</v>
      </c>
      <c r="V116" s="463" t="str">
        <f>IFERROR(T116+U116,"")</f>
        <v>#ERROR!</v>
      </c>
      <c r="W116" s="227"/>
      <c r="X116" s="266"/>
      <c r="Y116" s="227"/>
      <c r="Z116" s="233"/>
    </row>
    <row r="117">
      <c r="A117" s="408" t="str">
        <f>IF(C117="","","BC-"&amp;TEXT(YEAR(B117),"0000")&amp;"-"&amp;TEXT(ROW()-4,"000"))</f>
        <v>#ERROR!</v>
      </c>
      <c r="B117" s="270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410" t="str">
        <f>IFERROR(ROUND(((I117*H117)+(M117*L117)+(Q117*P117))*(1-R117)+S117,2),"")</f>
        <v>#ERROR!</v>
      </c>
      <c r="U117" s="283" t="str">
        <f>IFERROR(ROUND(T117*0.055,2),"")</f>
        <v>#ERROR!</v>
      </c>
      <c r="V117" s="463" t="str">
        <f>IFERROR(T117+U117,"")</f>
        <v>#ERROR!</v>
      </c>
      <c r="W117" s="235"/>
      <c r="X117" s="270"/>
      <c r="Y117" s="235"/>
      <c r="Z117" s="240"/>
    </row>
    <row r="118">
      <c r="A118" s="408" t="str">
        <f>IF(C118="","","BC-"&amp;TEXT(YEAR(B118),"0000")&amp;"-"&amp;TEXT(ROW()-4,"000"))</f>
        <v>#ERROR!</v>
      </c>
      <c r="B118" s="266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410" t="str">
        <f>IFERROR(ROUND(((I118*H118)+(M118*L118)+(Q118*P118))*(1-R118)+S118,2),"")</f>
        <v>#ERROR!</v>
      </c>
      <c r="U118" s="281" t="str">
        <f>IFERROR(ROUND(T118*0.055,2),"")</f>
        <v>#ERROR!</v>
      </c>
      <c r="V118" s="463" t="str">
        <f>IFERROR(T118+U118,"")</f>
        <v>#ERROR!</v>
      </c>
      <c r="W118" s="227"/>
      <c r="X118" s="266"/>
      <c r="Y118" s="227"/>
      <c r="Z118" s="233"/>
    </row>
    <row r="119">
      <c r="A119" s="408" t="str">
        <f>IF(C119="","","BC-"&amp;TEXT(YEAR(B119),"0000")&amp;"-"&amp;TEXT(ROW()-4,"000"))</f>
        <v>#ERROR!</v>
      </c>
      <c r="B119" s="270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410" t="str">
        <f>IFERROR(ROUND(((I119*H119)+(M119*L119)+(Q119*P119))*(1-R119)+S119,2),"")</f>
        <v>#ERROR!</v>
      </c>
      <c r="U119" s="283" t="str">
        <f>IFERROR(ROUND(T119*0.055,2),"")</f>
        <v>#ERROR!</v>
      </c>
      <c r="V119" s="463" t="str">
        <f>IFERROR(T119+U119,"")</f>
        <v>#ERROR!</v>
      </c>
      <c r="W119" s="235"/>
      <c r="X119" s="270"/>
      <c r="Y119" s="235"/>
      <c r="Z119" s="240"/>
    </row>
    <row r="120">
      <c r="A120" s="408" t="str">
        <f>IF(C120="","","BC-"&amp;TEXT(YEAR(B120),"0000")&amp;"-"&amp;TEXT(ROW()-4,"000"))</f>
        <v>#ERROR!</v>
      </c>
      <c r="B120" s="266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410" t="str">
        <f>IFERROR(ROUND(((I120*H120)+(M120*L120)+(Q120*P120))*(1-R120)+S120,2),"")</f>
        <v>#ERROR!</v>
      </c>
      <c r="U120" s="281" t="str">
        <f>IFERROR(ROUND(T120*0.055,2),"")</f>
        <v>#ERROR!</v>
      </c>
      <c r="V120" s="463" t="str">
        <f>IFERROR(T120+U120,"")</f>
        <v>#ERROR!</v>
      </c>
      <c r="W120" s="227"/>
      <c r="X120" s="266"/>
      <c r="Y120" s="227"/>
      <c r="Z120" s="233"/>
    </row>
    <row r="121">
      <c r="A121" s="408" t="str">
        <f>IF(C121="","","BC-"&amp;TEXT(YEAR(B121),"0000")&amp;"-"&amp;TEXT(ROW()-4,"000"))</f>
        <v>#ERROR!</v>
      </c>
      <c r="B121" s="270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410" t="str">
        <f>IFERROR(ROUND(((I121*H121)+(M121*L121)+(Q121*P121))*(1-R121)+S121,2),"")</f>
        <v>#ERROR!</v>
      </c>
      <c r="U121" s="283" t="str">
        <f>IFERROR(ROUND(T121*0.055,2),"")</f>
        <v>#ERROR!</v>
      </c>
      <c r="V121" s="463" t="str">
        <f>IFERROR(T121+U121,"")</f>
        <v>#ERROR!</v>
      </c>
      <c r="W121" s="235"/>
      <c r="X121" s="270"/>
      <c r="Y121" s="235"/>
      <c r="Z121" s="240"/>
    </row>
    <row r="122">
      <c r="A122" s="408" t="str">
        <f>IF(C122="","","BC-"&amp;TEXT(YEAR(B122),"0000")&amp;"-"&amp;TEXT(ROW()-4,"000"))</f>
        <v>#ERROR!</v>
      </c>
      <c r="B122" s="266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410" t="str">
        <f>IFERROR(ROUND(((I122*H122)+(M122*L122)+(Q122*P122))*(1-R122)+S122,2),"")</f>
        <v>#ERROR!</v>
      </c>
      <c r="U122" s="281" t="str">
        <f>IFERROR(ROUND(T122*0.055,2),"")</f>
        <v>#ERROR!</v>
      </c>
      <c r="V122" s="463" t="str">
        <f>IFERROR(T122+U122,"")</f>
        <v>#ERROR!</v>
      </c>
      <c r="W122" s="227"/>
      <c r="X122" s="266"/>
      <c r="Y122" s="227"/>
      <c r="Z122" s="233"/>
    </row>
    <row r="123">
      <c r="A123" s="408" t="str">
        <f>IF(C123="","","BC-"&amp;TEXT(YEAR(B123),"0000")&amp;"-"&amp;TEXT(ROW()-4,"000"))</f>
        <v>#ERROR!</v>
      </c>
      <c r="B123" s="270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410" t="str">
        <f>IFERROR(ROUND(((I123*H123)+(M123*L123)+(Q123*P123))*(1-R123)+S123,2),"")</f>
        <v>#ERROR!</v>
      </c>
      <c r="U123" s="283" t="str">
        <f>IFERROR(ROUND(T123*0.055,2),"")</f>
        <v>#ERROR!</v>
      </c>
      <c r="V123" s="463" t="str">
        <f>IFERROR(T123+U123,"")</f>
        <v>#ERROR!</v>
      </c>
      <c r="W123" s="235"/>
      <c r="X123" s="270"/>
      <c r="Y123" s="235"/>
      <c r="Z123" s="240"/>
    </row>
    <row r="124">
      <c r="A124" s="408" t="str">
        <f>IF(C124="","","BC-"&amp;TEXT(YEAR(B124),"0000")&amp;"-"&amp;TEXT(ROW()-4,"000"))</f>
        <v>#ERROR!</v>
      </c>
      <c r="B124" s="266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410" t="str">
        <f>IFERROR(ROUND(((I124*H124)+(M124*L124)+(Q124*P124))*(1-R124)+S124,2),"")</f>
        <v>#ERROR!</v>
      </c>
      <c r="U124" s="281" t="str">
        <f>IFERROR(ROUND(T124*0.055,2),"")</f>
        <v>#ERROR!</v>
      </c>
      <c r="V124" s="463" t="str">
        <f>IFERROR(T124+U124,"")</f>
        <v>#ERROR!</v>
      </c>
      <c r="W124" s="227"/>
      <c r="X124" s="266"/>
      <c r="Y124" s="227"/>
      <c r="Z124" s="233"/>
    </row>
    <row r="125">
      <c r="A125" s="408" t="str">
        <f>IF(C125="","","BC-"&amp;TEXT(YEAR(B125),"0000")&amp;"-"&amp;TEXT(ROW()-4,"000"))</f>
        <v>#ERROR!</v>
      </c>
      <c r="B125" s="270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410" t="str">
        <f>IFERROR(ROUND(((I125*H125)+(M125*L125)+(Q125*P125))*(1-R125)+S125,2),"")</f>
        <v>#ERROR!</v>
      </c>
      <c r="U125" s="283" t="str">
        <f>IFERROR(ROUND(T125*0.055,2),"")</f>
        <v>#ERROR!</v>
      </c>
      <c r="V125" s="463" t="str">
        <f>IFERROR(T125+U125,"")</f>
        <v>#ERROR!</v>
      </c>
      <c r="W125" s="235"/>
      <c r="X125" s="270"/>
      <c r="Y125" s="235"/>
      <c r="Z125" s="240"/>
    </row>
    <row r="126">
      <c r="A126" s="408" t="str">
        <f>IF(C126="","","BC-"&amp;TEXT(YEAR(B126),"0000")&amp;"-"&amp;TEXT(ROW()-4,"000"))</f>
        <v>#ERROR!</v>
      </c>
      <c r="B126" s="266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410" t="str">
        <f>IFERROR(ROUND(((I126*H126)+(M126*L126)+(Q126*P126))*(1-R126)+S126,2),"")</f>
        <v>#ERROR!</v>
      </c>
      <c r="U126" s="281" t="str">
        <f>IFERROR(ROUND(T126*0.055,2),"")</f>
        <v>#ERROR!</v>
      </c>
      <c r="V126" s="463" t="str">
        <f>IFERROR(T126+U126,"")</f>
        <v>#ERROR!</v>
      </c>
      <c r="W126" s="227"/>
      <c r="X126" s="266"/>
      <c r="Y126" s="227"/>
      <c r="Z126" s="233"/>
    </row>
    <row r="127">
      <c r="A127" s="408" t="str">
        <f>IF(C127="","","BC-"&amp;TEXT(YEAR(B127),"0000")&amp;"-"&amp;TEXT(ROW()-4,"000"))</f>
        <v>#ERROR!</v>
      </c>
      <c r="B127" s="270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410" t="str">
        <f>IFERROR(ROUND(((I127*H127)+(M127*L127)+(Q127*P127))*(1-R127)+S127,2),"")</f>
        <v>#ERROR!</v>
      </c>
      <c r="U127" s="283" t="str">
        <f>IFERROR(ROUND(T127*0.055,2),"")</f>
        <v>#ERROR!</v>
      </c>
      <c r="V127" s="463" t="str">
        <f>IFERROR(T127+U127,"")</f>
        <v>#ERROR!</v>
      </c>
      <c r="W127" s="235"/>
      <c r="X127" s="270"/>
      <c r="Y127" s="235"/>
      <c r="Z127" s="240"/>
    </row>
    <row r="128">
      <c r="A128" s="408" t="str">
        <f>IF(C128="","","BC-"&amp;TEXT(YEAR(B128),"0000")&amp;"-"&amp;TEXT(ROW()-4,"000"))</f>
        <v>#ERROR!</v>
      </c>
      <c r="B128" s="266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410" t="str">
        <f>IFERROR(ROUND(((I128*H128)+(M128*L128)+(Q128*P128))*(1-R128)+S128,2),"")</f>
        <v>#ERROR!</v>
      </c>
      <c r="U128" s="281" t="str">
        <f>IFERROR(ROUND(T128*0.055,2),"")</f>
        <v>#ERROR!</v>
      </c>
      <c r="V128" s="463" t="str">
        <f>IFERROR(T128+U128,"")</f>
        <v>#ERROR!</v>
      </c>
      <c r="W128" s="227"/>
      <c r="X128" s="266"/>
      <c r="Y128" s="227"/>
      <c r="Z128" s="233"/>
    </row>
    <row r="129">
      <c r="A129" s="408" t="str">
        <f>IF(C129="","","BC-"&amp;TEXT(YEAR(B129),"0000")&amp;"-"&amp;TEXT(ROW()-4,"000"))</f>
        <v>#ERROR!</v>
      </c>
      <c r="B129" s="270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410" t="str">
        <f>IFERROR(ROUND(((I129*H129)+(M129*L129)+(Q129*P129))*(1-R129)+S129,2),"")</f>
        <v>#ERROR!</v>
      </c>
      <c r="U129" s="283" t="str">
        <f>IFERROR(ROUND(T129*0.055,2),"")</f>
        <v>#ERROR!</v>
      </c>
      <c r="V129" s="463" t="str">
        <f>IFERROR(T129+U129,"")</f>
        <v>#ERROR!</v>
      </c>
      <c r="W129" s="235"/>
      <c r="X129" s="270"/>
      <c r="Y129" s="235"/>
      <c r="Z129" s="240"/>
    </row>
    <row r="130">
      <c r="A130" s="408" t="str">
        <f>IF(C130="","","BC-"&amp;TEXT(YEAR(B130),"0000")&amp;"-"&amp;TEXT(ROW()-4,"000"))</f>
        <v>#ERROR!</v>
      </c>
      <c r="B130" s="266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410" t="str">
        <f>IFERROR(ROUND(((I130*H130)+(M130*L130)+(Q130*P130))*(1-R130)+S130,2),"")</f>
        <v>#ERROR!</v>
      </c>
      <c r="U130" s="281" t="str">
        <f>IFERROR(ROUND(T130*0.055,2),"")</f>
        <v>#ERROR!</v>
      </c>
      <c r="V130" s="463" t="str">
        <f>IFERROR(T130+U130,"")</f>
        <v>#ERROR!</v>
      </c>
      <c r="W130" s="227"/>
      <c r="X130" s="266"/>
      <c r="Y130" s="227"/>
      <c r="Z130" s="233"/>
    </row>
    <row r="131">
      <c r="A131" s="408" t="str">
        <f>IF(C131="","","BC-"&amp;TEXT(YEAR(B131),"0000")&amp;"-"&amp;TEXT(ROW()-4,"000"))</f>
        <v>#ERROR!</v>
      </c>
      <c r="B131" s="270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410" t="str">
        <f>IFERROR(ROUND(((I131*H131)+(M131*L131)+(Q131*P131))*(1-R131)+S131,2),"")</f>
        <v>#ERROR!</v>
      </c>
      <c r="U131" s="283" t="str">
        <f>IFERROR(ROUND(T131*0.055,2),"")</f>
        <v>#ERROR!</v>
      </c>
      <c r="V131" s="463" t="str">
        <f>IFERROR(T131+U131,"")</f>
        <v>#ERROR!</v>
      </c>
      <c r="W131" s="235"/>
      <c r="X131" s="270"/>
      <c r="Y131" s="235"/>
      <c r="Z131" s="240"/>
    </row>
    <row r="132">
      <c r="A132" s="408" t="str">
        <f>IF(C132="","","BC-"&amp;TEXT(YEAR(B132),"0000")&amp;"-"&amp;TEXT(ROW()-4,"000"))</f>
        <v>#ERROR!</v>
      </c>
      <c r="B132" s="266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410" t="str">
        <f>IFERROR(ROUND(((I132*H132)+(M132*L132)+(Q132*P132))*(1-R132)+S132,2),"")</f>
        <v>#ERROR!</v>
      </c>
      <c r="U132" s="281" t="str">
        <f>IFERROR(ROUND(T132*0.055,2),"")</f>
        <v>#ERROR!</v>
      </c>
      <c r="V132" s="463" t="str">
        <f>IFERROR(T132+U132,"")</f>
        <v>#ERROR!</v>
      </c>
      <c r="W132" s="227"/>
      <c r="X132" s="266"/>
      <c r="Y132" s="227"/>
      <c r="Z132" s="233"/>
    </row>
    <row r="133">
      <c r="A133" s="408" t="str">
        <f>IF(C133="","","BC-"&amp;TEXT(YEAR(B133),"0000")&amp;"-"&amp;TEXT(ROW()-4,"000"))</f>
        <v>#ERROR!</v>
      </c>
      <c r="B133" s="270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410" t="str">
        <f>IFERROR(ROUND(((I133*H133)+(M133*L133)+(Q133*P133))*(1-R133)+S133,2),"")</f>
        <v>#ERROR!</v>
      </c>
      <c r="U133" s="283" t="str">
        <f>IFERROR(ROUND(T133*0.055,2),"")</f>
        <v>#ERROR!</v>
      </c>
      <c r="V133" s="463" t="str">
        <f>IFERROR(T133+U133,"")</f>
        <v>#ERROR!</v>
      </c>
      <c r="W133" s="235"/>
      <c r="X133" s="270"/>
      <c r="Y133" s="235"/>
      <c r="Z133" s="240"/>
    </row>
    <row r="134">
      <c r="A134" s="408" t="str">
        <f>IF(C134="","","BC-"&amp;TEXT(YEAR(B134),"0000")&amp;"-"&amp;TEXT(ROW()-4,"000"))</f>
        <v>#ERROR!</v>
      </c>
      <c r="B134" s="266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410" t="str">
        <f>IFERROR(ROUND(((I134*H134)+(M134*L134)+(Q134*P134))*(1-R134)+S134,2),"")</f>
        <v>#ERROR!</v>
      </c>
      <c r="U134" s="281" t="str">
        <f>IFERROR(ROUND(T134*0.055,2),"")</f>
        <v>#ERROR!</v>
      </c>
      <c r="V134" s="463" t="str">
        <f>IFERROR(T134+U134,"")</f>
        <v>#ERROR!</v>
      </c>
      <c r="W134" s="227"/>
      <c r="X134" s="266"/>
      <c r="Y134" s="227"/>
      <c r="Z134" s="233"/>
    </row>
    <row r="135">
      <c r="A135" s="408" t="str">
        <f>IF(C135="","","BC-"&amp;TEXT(YEAR(B135),"0000")&amp;"-"&amp;TEXT(ROW()-4,"000"))</f>
        <v>#ERROR!</v>
      </c>
      <c r="B135" s="270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410" t="str">
        <f>IFERROR(ROUND(((I135*H135)+(M135*L135)+(Q135*P135))*(1-R135)+S135,2),"")</f>
        <v>#ERROR!</v>
      </c>
      <c r="U135" s="283" t="str">
        <f>IFERROR(ROUND(T135*0.055,2),"")</f>
        <v>#ERROR!</v>
      </c>
      <c r="V135" s="463" t="str">
        <f>IFERROR(T135+U135,"")</f>
        <v>#ERROR!</v>
      </c>
      <c r="W135" s="235"/>
      <c r="X135" s="270"/>
      <c r="Y135" s="235"/>
      <c r="Z135" s="240"/>
    </row>
    <row r="136">
      <c r="A136" s="408" t="str">
        <f>IF(C136="","","BC-"&amp;TEXT(YEAR(B136),"0000")&amp;"-"&amp;TEXT(ROW()-4,"000"))</f>
        <v>#ERROR!</v>
      </c>
      <c r="B136" s="266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410" t="str">
        <f>IFERROR(ROUND(((I136*H136)+(M136*L136)+(Q136*P136))*(1-R136)+S136,2),"")</f>
        <v>#ERROR!</v>
      </c>
      <c r="U136" s="281" t="str">
        <f>IFERROR(ROUND(T136*0.055,2),"")</f>
        <v>#ERROR!</v>
      </c>
      <c r="V136" s="463" t="str">
        <f>IFERROR(T136+U136,"")</f>
        <v>#ERROR!</v>
      </c>
      <c r="W136" s="227"/>
      <c r="X136" s="266"/>
      <c r="Y136" s="227"/>
      <c r="Z136" s="233"/>
    </row>
    <row r="137">
      <c r="A137" s="408" t="str">
        <f>IF(C137="","","BC-"&amp;TEXT(YEAR(B137),"0000")&amp;"-"&amp;TEXT(ROW()-4,"000"))</f>
        <v>#ERROR!</v>
      </c>
      <c r="B137" s="270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410" t="str">
        <f>IFERROR(ROUND(((I137*H137)+(M137*L137)+(Q137*P137))*(1-R137)+S137,2),"")</f>
        <v>#ERROR!</v>
      </c>
      <c r="U137" s="283" t="str">
        <f>IFERROR(ROUND(T137*0.055,2),"")</f>
        <v>#ERROR!</v>
      </c>
      <c r="V137" s="463" t="str">
        <f>IFERROR(T137+U137,"")</f>
        <v>#ERROR!</v>
      </c>
      <c r="W137" s="235"/>
      <c r="X137" s="270"/>
      <c r="Y137" s="235"/>
      <c r="Z137" s="240"/>
    </row>
    <row r="138">
      <c r="A138" s="408" t="str">
        <f>IF(C138="","","BC-"&amp;TEXT(YEAR(B138),"0000")&amp;"-"&amp;TEXT(ROW()-4,"000"))</f>
        <v>#ERROR!</v>
      </c>
      <c r="B138" s="266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410" t="str">
        <f>IFERROR(ROUND(((I138*H138)+(M138*L138)+(Q138*P138))*(1-R138)+S138,2),"")</f>
        <v>#ERROR!</v>
      </c>
      <c r="U138" s="281" t="str">
        <f>IFERROR(ROUND(T138*0.055,2),"")</f>
        <v>#ERROR!</v>
      </c>
      <c r="V138" s="463" t="str">
        <f>IFERROR(T138+U138,"")</f>
        <v>#ERROR!</v>
      </c>
      <c r="W138" s="227"/>
      <c r="X138" s="266"/>
      <c r="Y138" s="227"/>
      <c r="Z138" s="233"/>
    </row>
    <row r="139">
      <c r="A139" s="408" t="str">
        <f>IF(C139="","","BC-"&amp;TEXT(YEAR(B139),"0000")&amp;"-"&amp;TEXT(ROW()-4,"000"))</f>
        <v>#ERROR!</v>
      </c>
      <c r="B139" s="270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410" t="str">
        <f>IFERROR(ROUND(((I139*H139)+(M139*L139)+(Q139*P139))*(1-R139)+S139,2),"")</f>
        <v>#ERROR!</v>
      </c>
      <c r="U139" s="283" t="str">
        <f>IFERROR(ROUND(T139*0.055,2),"")</f>
        <v>#ERROR!</v>
      </c>
      <c r="V139" s="463" t="str">
        <f>IFERROR(T139+U139,"")</f>
        <v>#ERROR!</v>
      </c>
      <c r="W139" s="235"/>
      <c r="X139" s="270"/>
      <c r="Y139" s="235"/>
      <c r="Z139" s="240"/>
    </row>
    <row r="140">
      <c r="A140" s="408" t="str">
        <f>IF(C140="","","BC-"&amp;TEXT(YEAR(B140),"0000")&amp;"-"&amp;TEXT(ROW()-4,"000"))</f>
        <v>#ERROR!</v>
      </c>
      <c r="B140" s="266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410" t="str">
        <f>IFERROR(ROUND(((I140*H140)+(M140*L140)+(Q140*P140))*(1-R140)+S140,2),"")</f>
        <v>#ERROR!</v>
      </c>
      <c r="U140" s="281" t="str">
        <f>IFERROR(ROUND(T140*0.055,2),"")</f>
        <v>#ERROR!</v>
      </c>
      <c r="V140" s="463" t="str">
        <f>IFERROR(T140+U140,"")</f>
        <v>#ERROR!</v>
      </c>
      <c r="W140" s="227"/>
      <c r="X140" s="266"/>
      <c r="Y140" s="227"/>
      <c r="Z140" s="233"/>
    </row>
    <row r="141">
      <c r="A141" s="408" t="str">
        <f>IF(C141="","","BC-"&amp;TEXT(YEAR(B141),"0000")&amp;"-"&amp;TEXT(ROW()-4,"000"))</f>
        <v>#ERROR!</v>
      </c>
      <c r="B141" s="270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410" t="str">
        <f>IFERROR(ROUND(((I141*H141)+(M141*L141)+(Q141*P141))*(1-R141)+S141,2),"")</f>
        <v>#ERROR!</v>
      </c>
      <c r="U141" s="283" t="str">
        <f>IFERROR(ROUND(T141*0.055,2),"")</f>
        <v>#ERROR!</v>
      </c>
      <c r="V141" s="463" t="str">
        <f>IFERROR(T141+U141,"")</f>
        <v>#ERROR!</v>
      </c>
      <c r="W141" s="235"/>
      <c r="X141" s="270"/>
      <c r="Y141" s="235"/>
      <c r="Z141" s="240"/>
    </row>
    <row r="142">
      <c r="A142" s="408" t="str">
        <f>IF(C142="","","BC-"&amp;TEXT(YEAR(B142),"0000")&amp;"-"&amp;TEXT(ROW()-4,"000"))</f>
        <v>#ERROR!</v>
      </c>
      <c r="B142" s="266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410" t="str">
        <f>IFERROR(ROUND(((I142*H142)+(M142*L142)+(Q142*P142))*(1-R142)+S142,2),"")</f>
        <v>#ERROR!</v>
      </c>
      <c r="U142" s="281" t="str">
        <f>IFERROR(ROUND(T142*0.055,2),"")</f>
        <v>#ERROR!</v>
      </c>
      <c r="V142" s="463" t="str">
        <f>IFERROR(T142+U142,"")</f>
        <v>#ERROR!</v>
      </c>
      <c r="W142" s="227"/>
      <c r="X142" s="266"/>
      <c r="Y142" s="227"/>
      <c r="Z142" s="233"/>
    </row>
    <row r="143">
      <c r="A143" s="408" t="str">
        <f>IF(C143="","","BC-"&amp;TEXT(YEAR(B143),"0000")&amp;"-"&amp;TEXT(ROW()-4,"000"))</f>
        <v>#ERROR!</v>
      </c>
      <c r="B143" s="270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410" t="str">
        <f>IFERROR(ROUND(((I143*H143)+(M143*L143)+(Q143*P143))*(1-R143)+S143,2),"")</f>
        <v>#ERROR!</v>
      </c>
      <c r="U143" s="283" t="str">
        <f>IFERROR(ROUND(T143*0.055,2),"")</f>
        <v>#ERROR!</v>
      </c>
      <c r="V143" s="463" t="str">
        <f>IFERROR(T143+U143,"")</f>
        <v>#ERROR!</v>
      </c>
      <c r="W143" s="235"/>
      <c r="X143" s="270"/>
      <c r="Y143" s="235"/>
      <c r="Z143" s="240"/>
    </row>
    <row r="144">
      <c r="A144" s="408" t="str">
        <f>IF(C144="","","BC-"&amp;TEXT(YEAR(B144),"0000")&amp;"-"&amp;TEXT(ROW()-4,"000"))</f>
        <v>#ERROR!</v>
      </c>
      <c r="B144" s="266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410" t="str">
        <f>IFERROR(ROUND(((I144*H144)+(M144*L144)+(Q144*P144))*(1-R144)+S144,2),"")</f>
        <v>#ERROR!</v>
      </c>
      <c r="U144" s="281" t="str">
        <f>IFERROR(ROUND(T144*0.055,2),"")</f>
        <v>#ERROR!</v>
      </c>
      <c r="V144" s="463" t="str">
        <f>IFERROR(T144+U144,"")</f>
        <v>#ERROR!</v>
      </c>
      <c r="W144" s="227"/>
      <c r="X144" s="266"/>
      <c r="Y144" s="227"/>
      <c r="Z144" s="233"/>
    </row>
    <row r="145">
      <c r="A145" s="408" t="str">
        <f>IF(C145="","","BC-"&amp;TEXT(YEAR(B145),"0000")&amp;"-"&amp;TEXT(ROW()-4,"000"))</f>
        <v>#ERROR!</v>
      </c>
      <c r="B145" s="270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410" t="str">
        <f>IFERROR(ROUND(((I145*H145)+(M145*L145)+(Q145*P145))*(1-R145)+S145,2),"")</f>
        <v>#ERROR!</v>
      </c>
      <c r="U145" s="283" t="str">
        <f>IFERROR(ROUND(T145*0.055,2),"")</f>
        <v>#ERROR!</v>
      </c>
      <c r="V145" s="463" t="str">
        <f>IFERROR(T145+U145,"")</f>
        <v>#ERROR!</v>
      </c>
      <c r="W145" s="235"/>
      <c r="X145" s="270"/>
      <c r="Y145" s="235"/>
      <c r="Z145" s="240"/>
    </row>
    <row r="146">
      <c r="A146" s="408" t="str">
        <f>IF(C146="","","BC-"&amp;TEXT(YEAR(B146),"0000")&amp;"-"&amp;TEXT(ROW()-4,"000"))</f>
        <v>#ERROR!</v>
      </c>
      <c r="B146" s="266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410" t="str">
        <f>IFERROR(ROUND(((I146*H146)+(M146*L146)+(Q146*P146))*(1-R146)+S146,2),"")</f>
        <v>#ERROR!</v>
      </c>
      <c r="U146" s="281" t="str">
        <f>IFERROR(ROUND(T146*0.055,2),"")</f>
        <v>#ERROR!</v>
      </c>
      <c r="V146" s="463" t="str">
        <f>IFERROR(T146+U146,"")</f>
        <v>#ERROR!</v>
      </c>
      <c r="W146" s="227"/>
      <c r="X146" s="266"/>
      <c r="Y146" s="227"/>
      <c r="Z146" s="233"/>
    </row>
    <row r="147">
      <c r="A147" s="408" t="str">
        <f>IF(C147="","","BC-"&amp;TEXT(YEAR(B147),"0000")&amp;"-"&amp;TEXT(ROW()-4,"000"))</f>
        <v>#ERROR!</v>
      </c>
      <c r="B147" s="270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410" t="str">
        <f>IFERROR(ROUND(((I147*H147)+(M147*L147)+(Q147*P147))*(1-R147)+S147,2),"")</f>
        <v>#ERROR!</v>
      </c>
      <c r="U147" s="283" t="str">
        <f>IFERROR(ROUND(T147*0.055,2),"")</f>
        <v>#ERROR!</v>
      </c>
      <c r="V147" s="463" t="str">
        <f>IFERROR(T147+U147,"")</f>
        <v>#ERROR!</v>
      </c>
      <c r="W147" s="235"/>
      <c r="X147" s="270"/>
      <c r="Y147" s="235"/>
      <c r="Z147" s="240"/>
    </row>
    <row r="148">
      <c r="A148" s="408" t="str">
        <f>IF(C148="","","BC-"&amp;TEXT(YEAR(B148),"0000")&amp;"-"&amp;TEXT(ROW()-4,"000"))</f>
        <v>#ERROR!</v>
      </c>
      <c r="B148" s="266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410" t="str">
        <f>IFERROR(ROUND(((I148*H148)+(M148*L148)+(Q148*P148))*(1-R148)+S148,2),"")</f>
        <v>#ERROR!</v>
      </c>
      <c r="U148" s="281" t="str">
        <f>IFERROR(ROUND(T148*0.055,2),"")</f>
        <v>#ERROR!</v>
      </c>
      <c r="V148" s="463" t="str">
        <f>IFERROR(T148+U148,"")</f>
        <v>#ERROR!</v>
      </c>
      <c r="W148" s="227"/>
      <c r="X148" s="266"/>
      <c r="Y148" s="227"/>
      <c r="Z148" s="233"/>
    </row>
    <row r="149">
      <c r="A149" s="408" t="str">
        <f>IF(C149="","","BC-"&amp;TEXT(YEAR(B149),"0000")&amp;"-"&amp;TEXT(ROW()-4,"000"))</f>
        <v>#ERROR!</v>
      </c>
      <c r="B149" s="270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410" t="str">
        <f>IFERROR(ROUND(((I149*H149)+(M149*L149)+(Q149*P149))*(1-R149)+S149,2),"")</f>
        <v>#ERROR!</v>
      </c>
      <c r="U149" s="283" t="str">
        <f>IFERROR(ROUND(T149*0.055,2),"")</f>
        <v>#ERROR!</v>
      </c>
      <c r="V149" s="463" t="str">
        <f>IFERROR(T149+U149,"")</f>
        <v>#ERROR!</v>
      </c>
      <c r="W149" s="235"/>
      <c r="X149" s="270"/>
      <c r="Y149" s="235"/>
      <c r="Z149" s="240"/>
    </row>
    <row r="150">
      <c r="A150" s="408" t="str">
        <f>IF(C150="","","BC-"&amp;TEXT(YEAR(B150),"0000")&amp;"-"&amp;TEXT(ROW()-4,"000"))</f>
        <v>#ERROR!</v>
      </c>
      <c r="B150" s="266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410" t="str">
        <f>IFERROR(ROUND(((I150*H150)+(M150*L150)+(Q150*P150))*(1-R150)+S150,2),"")</f>
        <v>#ERROR!</v>
      </c>
      <c r="U150" s="281" t="str">
        <f>IFERROR(ROUND(T150*0.055,2),"")</f>
        <v>#ERROR!</v>
      </c>
      <c r="V150" s="463" t="str">
        <f>IFERROR(T150+U150,"")</f>
        <v>#ERROR!</v>
      </c>
      <c r="W150" s="227"/>
      <c r="X150" s="266"/>
      <c r="Y150" s="227"/>
      <c r="Z150" s="233"/>
    </row>
    <row r="151">
      <c r="A151" s="408" t="str">
        <f>IF(C151="","","BC-"&amp;TEXT(YEAR(B151),"0000")&amp;"-"&amp;TEXT(ROW()-4,"000"))</f>
        <v>#ERROR!</v>
      </c>
      <c r="B151" s="270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410" t="str">
        <f>IFERROR(ROUND(((I151*H151)+(M151*L151)+(Q151*P151))*(1-R151)+S151,2),"")</f>
        <v>#ERROR!</v>
      </c>
      <c r="U151" s="283" t="str">
        <f>IFERROR(ROUND(T151*0.055,2),"")</f>
        <v>#ERROR!</v>
      </c>
      <c r="V151" s="463" t="str">
        <f>IFERROR(T151+U151,"")</f>
        <v>#ERROR!</v>
      </c>
      <c r="W151" s="235"/>
      <c r="X151" s="270"/>
      <c r="Y151" s="235"/>
      <c r="Z151" s="240"/>
    </row>
    <row r="152">
      <c r="A152" s="408" t="str">
        <f>IF(C152="","","BC-"&amp;TEXT(YEAR(B152),"0000")&amp;"-"&amp;TEXT(ROW()-4,"000"))</f>
        <v>#ERROR!</v>
      </c>
      <c r="B152" s="266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410" t="str">
        <f>IFERROR(ROUND(((I152*H152)+(M152*L152)+(Q152*P152))*(1-R152)+S152,2),"")</f>
        <v>#ERROR!</v>
      </c>
      <c r="U152" s="281" t="str">
        <f>IFERROR(ROUND(T152*0.055,2),"")</f>
        <v>#ERROR!</v>
      </c>
      <c r="V152" s="463" t="str">
        <f>IFERROR(T152+U152,"")</f>
        <v>#ERROR!</v>
      </c>
      <c r="W152" s="227"/>
      <c r="X152" s="266"/>
      <c r="Y152" s="227"/>
      <c r="Z152" s="233"/>
    </row>
    <row r="153">
      <c r="A153" s="408" t="str">
        <f>IF(C153="","","BC-"&amp;TEXT(YEAR(B153),"0000")&amp;"-"&amp;TEXT(ROW()-4,"000"))</f>
        <v>#ERROR!</v>
      </c>
      <c r="B153" s="270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410" t="str">
        <f>IFERROR(ROUND(((I153*H153)+(M153*L153)+(Q153*P153))*(1-R153)+S153,2),"")</f>
        <v>#ERROR!</v>
      </c>
      <c r="U153" s="283" t="str">
        <f>IFERROR(ROUND(T153*0.055,2),"")</f>
        <v>#ERROR!</v>
      </c>
      <c r="V153" s="463" t="str">
        <f>IFERROR(T153+U153,"")</f>
        <v>#ERROR!</v>
      </c>
      <c r="W153" s="235"/>
      <c r="X153" s="270"/>
      <c r="Y153" s="235"/>
      <c r="Z153" s="240"/>
    </row>
    <row r="154">
      <c r="A154" s="408" t="str">
        <f>IF(C154="","","BC-"&amp;TEXT(YEAR(B154),"0000")&amp;"-"&amp;TEXT(ROW()-4,"000"))</f>
        <v>#ERROR!</v>
      </c>
      <c r="B154" s="266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410" t="str">
        <f>IFERROR(ROUND(((I154*H154)+(M154*L154)+(Q154*P154))*(1-R154)+S154,2),"")</f>
        <v>#ERROR!</v>
      </c>
      <c r="U154" s="281" t="str">
        <f>IFERROR(ROUND(T154*0.055,2),"")</f>
        <v>#ERROR!</v>
      </c>
      <c r="V154" s="463" t="str">
        <f>IFERROR(T154+U154,"")</f>
        <v>#ERROR!</v>
      </c>
      <c r="W154" s="227"/>
      <c r="X154" s="266"/>
      <c r="Y154" s="227"/>
      <c r="Z154" s="233"/>
    </row>
    <row r="155">
      <c r="A155" s="408" t="str">
        <f>IF(C155="","","BC-"&amp;TEXT(YEAR(B155),"0000")&amp;"-"&amp;TEXT(ROW()-4,"000"))</f>
        <v>#ERROR!</v>
      </c>
      <c r="B155" s="270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410" t="str">
        <f>IFERROR(ROUND(((I155*H155)+(M155*L155)+(Q155*P155))*(1-R155)+S155,2),"")</f>
        <v>#ERROR!</v>
      </c>
      <c r="U155" s="283" t="str">
        <f>IFERROR(ROUND(T155*0.055,2),"")</f>
        <v>#ERROR!</v>
      </c>
      <c r="V155" s="463" t="str">
        <f>IFERROR(T155+U155,"")</f>
        <v>#ERROR!</v>
      </c>
      <c r="W155" s="235"/>
      <c r="X155" s="270"/>
      <c r="Y155" s="235"/>
      <c r="Z155" s="240"/>
    </row>
    <row r="156">
      <c r="A156" s="408" t="str">
        <f>IF(C156="","","BC-"&amp;TEXT(YEAR(B156),"0000")&amp;"-"&amp;TEXT(ROW()-4,"000"))</f>
        <v>#ERROR!</v>
      </c>
      <c r="B156" s="266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410" t="str">
        <f>IFERROR(ROUND(((I156*H156)+(M156*L156)+(Q156*P156))*(1-R156)+S156,2),"")</f>
        <v>#ERROR!</v>
      </c>
      <c r="U156" s="281" t="str">
        <f>IFERROR(ROUND(T156*0.055,2),"")</f>
        <v>#ERROR!</v>
      </c>
      <c r="V156" s="463" t="str">
        <f>IFERROR(T156+U156,"")</f>
        <v>#ERROR!</v>
      </c>
      <c r="W156" s="227"/>
      <c r="X156" s="266"/>
      <c r="Y156" s="227"/>
      <c r="Z156" s="233"/>
    </row>
    <row r="157">
      <c r="A157" s="408" t="str">
        <f>IF(C157="","","BC-"&amp;TEXT(YEAR(B157),"0000")&amp;"-"&amp;TEXT(ROW()-4,"000"))</f>
        <v>#ERROR!</v>
      </c>
      <c r="B157" s="270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410" t="str">
        <f>IFERROR(ROUND(((I157*H157)+(M157*L157)+(Q157*P157))*(1-R157)+S157,2),"")</f>
        <v>#ERROR!</v>
      </c>
      <c r="U157" s="283" t="str">
        <f>IFERROR(ROUND(T157*0.055,2),"")</f>
        <v>#ERROR!</v>
      </c>
      <c r="V157" s="463" t="str">
        <f>IFERROR(T157+U157,"")</f>
        <v>#ERROR!</v>
      </c>
      <c r="W157" s="235"/>
      <c r="X157" s="270"/>
      <c r="Y157" s="235"/>
      <c r="Z157" s="240"/>
    </row>
    <row r="158">
      <c r="A158" s="408" t="str">
        <f>IF(C158="","","BC-"&amp;TEXT(YEAR(B158),"0000")&amp;"-"&amp;TEXT(ROW()-4,"000"))</f>
        <v>#ERROR!</v>
      </c>
      <c r="B158" s="266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410" t="str">
        <f>IFERROR(ROUND(((I158*H158)+(M158*L158)+(Q158*P158))*(1-R158)+S158,2),"")</f>
        <v>#ERROR!</v>
      </c>
      <c r="U158" s="281" t="str">
        <f>IFERROR(ROUND(T158*0.055,2),"")</f>
        <v>#ERROR!</v>
      </c>
      <c r="V158" s="463" t="str">
        <f>IFERROR(T158+U158,"")</f>
        <v>#ERROR!</v>
      </c>
      <c r="W158" s="227"/>
      <c r="X158" s="266"/>
      <c r="Y158" s="227"/>
      <c r="Z158" s="233"/>
    </row>
    <row r="159">
      <c r="A159" s="408" t="str">
        <f>IF(C159="","","BC-"&amp;TEXT(YEAR(B159),"0000")&amp;"-"&amp;TEXT(ROW()-4,"000"))</f>
        <v>#ERROR!</v>
      </c>
      <c r="B159" s="270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410" t="str">
        <f>IFERROR(ROUND(((I159*H159)+(M159*L159)+(Q159*P159))*(1-R159)+S159,2),"")</f>
        <v>#ERROR!</v>
      </c>
      <c r="U159" s="283" t="str">
        <f>IFERROR(ROUND(T159*0.055,2),"")</f>
        <v>#ERROR!</v>
      </c>
      <c r="V159" s="463" t="str">
        <f>IFERROR(T159+U159,"")</f>
        <v>#ERROR!</v>
      </c>
      <c r="W159" s="235"/>
      <c r="X159" s="270"/>
      <c r="Y159" s="235"/>
      <c r="Z159" s="240"/>
    </row>
    <row r="160">
      <c r="A160" s="408" t="str">
        <f>IF(C160="","","BC-"&amp;TEXT(YEAR(B160),"0000")&amp;"-"&amp;TEXT(ROW()-4,"000"))</f>
        <v>#ERROR!</v>
      </c>
      <c r="B160" s="266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410" t="str">
        <f>IFERROR(ROUND(((I160*H160)+(M160*L160)+(Q160*P160))*(1-R160)+S160,2),"")</f>
        <v>#ERROR!</v>
      </c>
      <c r="U160" s="281" t="str">
        <f>IFERROR(ROUND(T160*0.055,2),"")</f>
        <v>#ERROR!</v>
      </c>
      <c r="V160" s="463" t="str">
        <f>IFERROR(T160+U160,"")</f>
        <v>#ERROR!</v>
      </c>
      <c r="W160" s="227"/>
      <c r="X160" s="266"/>
      <c r="Y160" s="227"/>
      <c r="Z160" s="233"/>
    </row>
    <row r="161">
      <c r="A161" s="408" t="str">
        <f>IF(C161="","","BC-"&amp;TEXT(YEAR(B161),"0000")&amp;"-"&amp;TEXT(ROW()-4,"000"))</f>
        <v>#ERROR!</v>
      </c>
      <c r="B161" s="270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410" t="str">
        <f>IFERROR(ROUND(((I161*H161)+(M161*L161)+(Q161*P161))*(1-R161)+S161,2),"")</f>
        <v>#ERROR!</v>
      </c>
      <c r="U161" s="283" t="str">
        <f>IFERROR(ROUND(T161*0.055,2),"")</f>
        <v>#ERROR!</v>
      </c>
      <c r="V161" s="463" t="str">
        <f>IFERROR(T161+U161,"")</f>
        <v>#ERROR!</v>
      </c>
      <c r="W161" s="235"/>
      <c r="X161" s="270"/>
      <c r="Y161" s="235"/>
      <c r="Z161" s="240"/>
    </row>
    <row r="162">
      <c r="A162" s="408" t="str">
        <f>IF(C162="","","BC-"&amp;TEXT(YEAR(B162),"0000")&amp;"-"&amp;TEXT(ROW()-4,"000"))</f>
        <v>#ERROR!</v>
      </c>
      <c r="B162" s="266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410" t="str">
        <f>IFERROR(ROUND(((I162*H162)+(M162*L162)+(Q162*P162))*(1-R162)+S162,2),"")</f>
        <v>#ERROR!</v>
      </c>
      <c r="U162" s="281" t="str">
        <f>IFERROR(ROUND(T162*0.055,2),"")</f>
        <v>#ERROR!</v>
      </c>
      <c r="V162" s="463" t="str">
        <f>IFERROR(T162+U162,"")</f>
        <v>#ERROR!</v>
      </c>
      <c r="W162" s="227"/>
      <c r="X162" s="266"/>
      <c r="Y162" s="227"/>
      <c r="Z162" s="233"/>
    </row>
    <row r="163">
      <c r="A163" s="408" t="str">
        <f>IF(C163="","","BC-"&amp;TEXT(YEAR(B163),"0000")&amp;"-"&amp;TEXT(ROW()-4,"000"))</f>
        <v>#ERROR!</v>
      </c>
      <c r="B163" s="270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410" t="str">
        <f>IFERROR(ROUND(((I163*H163)+(M163*L163)+(Q163*P163))*(1-R163)+S163,2),"")</f>
        <v>#ERROR!</v>
      </c>
      <c r="U163" s="283" t="str">
        <f>IFERROR(ROUND(T163*0.055,2),"")</f>
        <v>#ERROR!</v>
      </c>
      <c r="V163" s="463" t="str">
        <f>IFERROR(T163+U163,"")</f>
        <v>#ERROR!</v>
      </c>
      <c r="W163" s="235"/>
      <c r="X163" s="270"/>
      <c r="Y163" s="235"/>
      <c r="Z163" s="240"/>
    </row>
    <row r="164">
      <c r="A164" s="408" t="str">
        <f>IF(C164="","","BC-"&amp;TEXT(YEAR(B164),"0000")&amp;"-"&amp;TEXT(ROW()-4,"000"))</f>
        <v>#ERROR!</v>
      </c>
      <c r="B164" s="266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410" t="str">
        <f>IFERROR(ROUND(((I164*H164)+(M164*L164)+(Q164*P164))*(1-R164)+S164,2),"")</f>
        <v>#ERROR!</v>
      </c>
      <c r="U164" s="281" t="str">
        <f>IFERROR(ROUND(T164*0.055,2),"")</f>
        <v>#ERROR!</v>
      </c>
      <c r="V164" s="463" t="str">
        <f>IFERROR(T164+U164,"")</f>
        <v>#ERROR!</v>
      </c>
      <c r="W164" s="227"/>
      <c r="X164" s="266"/>
      <c r="Y164" s="227"/>
      <c r="Z164" s="233"/>
    </row>
    <row r="165">
      <c r="A165" s="408" t="str">
        <f>IF(C165="","","BC-"&amp;TEXT(YEAR(B165),"0000")&amp;"-"&amp;TEXT(ROW()-4,"000"))</f>
        <v>#ERROR!</v>
      </c>
      <c r="B165" s="270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410" t="str">
        <f>IFERROR(ROUND(((I165*H165)+(M165*L165)+(Q165*P165))*(1-R165)+S165,2),"")</f>
        <v>#ERROR!</v>
      </c>
      <c r="U165" s="283" t="str">
        <f>IFERROR(ROUND(T165*0.055,2),"")</f>
        <v>#ERROR!</v>
      </c>
      <c r="V165" s="463" t="str">
        <f>IFERROR(T165+U165,"")</f>
        <v>#ERROR!</v>
      </c>
      <c r="W165" s="235"/>
      <c r="X165" s="270"/>
      <c r="Y165" s="235"/>
      <c r="Z165" s="240"/>
    </row>
    <row r="166">
      <c r="A166" s="408" t="str">
        <f>IF(C166="","","BC-"&amp;TEXT(YEAR(B166),"0000")&amp;"-"&amp;TEXT(ROW()-4,"000"))</f>
        <v>#ERROR!</v>
      </c>
      <c r="B166" s="266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410" t="str">
        <f>IFERROR(ROUND(((I166*H166)+(M166*L166)+(Q166*P166))*(1-R166)+S166,2),"")</f>
        <v>#ERROR!</v>
      </c>
      <c r="U166" s="281" t="str">
        <f>IFERROR(ROUND(T166*0.055,2),"")</f>
        <v>#ERROR!</v>
      </c>
      <c r="V166" s="463" t="str">
        <f>IFERROR(T166+U166,"")</f>
        <v>#ERROR!</v>
      </c>
      <c r="W166" s="227"/>
      <c r="X166" s="266"/>
      <c r="Y166" s="227"/>
      <c r="Z166" s="233"/>
    </row>
    <row r="167">
      <c r="A167" s="408" t="str">
        <f>IF(C167="","","BC-"&amp;TEXT(YEAR(B167),"0000")&amp;"-"&amp;TEXT(ROW()-4,"000"))</f>
        <v>#ERROR!</v>
      </c>
      <c r="B167" s="270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410" t="str">
        <f>IFERROR(ROUND(((I167*H167)+(M167*L167)+(Q167*P167))*(1-R167)+S167,2),"")</f>
        <v>#ERROR!</v>
      </c>
      <c r="U167" s="283" t="str">
        <f>IFERROR(ROUND(T167*0.055,2),"")</f>
        <v>#ERROR!</v>
      </c>
      <c r="V167" s="463" t="str">
        <f>IFERROR(T167+U167,"")</f>
        <v>#ERROR!</v>
      </c>
      <c r="W167" s="235"/>
      <c r="X167" s="270"/>
      <c r="Y167" s="235"/>
      <c r="Z167" s="240"/>
    </row>
    <row r="168">
      <c r="A168" s="408" t="str">
        <f>IF(C168="","","BC-"&amp;TEXT(YEAR(B168),"0000")&amp;"-"&amp;TEXT(ROW()-4,"000"))</f>
        <v>#ERROR!</v>
      </c>
      <c r="B168" s="266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410" t="str">
        <f>IFERROR(ROUND(((I168*H168)+(M168*L168)+(Q168*P168))*(1-R168)+S168,2),"")</f>
        <v>#ERROR!</v>
      </c>
      <c r="U168" s="281" t="str">
        <f>IFERROR(ROUND(T168*0.055,2),"")</f>
        <v>#ERROR!</v>
      </c>
      <c r="V168" s="463" t="str">
        <f>IFERROR(T168+U168,"")</f>
        <v>#ERROR!</v>
      </c>
      <c r="W168" s="227"/>
      <c r="X168" s="266"/>
      <c r="Y168" s="227"/>
      <c r="Z168" s="233"/>
    </row>
    <row r="169">
      <c r="A169" s="408" t="str">
        <f>IF(C169="","","BC-"&amp;TEXT(YEAR(B169),"0000")&amp;"-"&amp;TEXT(ROW()-4,"000"))</f>
        <v>#ERROR!</v>
      </c>
      <c r="B169" s="270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410" t="str">
        <f>IFERROR(ROUND(((I169*H169)+(M169*L169)+(Q169*P169))*(1-R169)+S169,2),"")</f>
        <v>#ERROR!</v>
      </c>
      <c r="U169" s="283" t="str">
        <f>IFERROR(ROUND(T169*0.055,2),"")</f>
        <v>#ERROR!</v>
      </c>
      <c r="V169" s="463" t="str">
        <f>IFERROR(T169+U169,"")</f>
        <v>#ERROR!</v>
      </c>
      <c r="W169" s="235"/>
      <c r="X169" s="270"/>
      <c r="Y169" s="235"/>
      <c r="Z169" s="240"/>
    </row>
    <row r="170">
      <c r="A170" s="408" t="str">
        <f>IF(C170="","","BC-"&amp;TEXT(YEAR(B170),"0000")&amp;"-"&amp;TEXT(ROW()-4,"000"))</f>
        <v>#ERROR!</v>
      </c>
      <c r="B170" s="266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410" t="str">
        <f>IFERROR(ROUND(((I170*H170)+(M170*L170)+(Q170*P170))*(1-R170)+S170,2),"")</f>
        <v>#ERROR!</v>
      </c>
      <c r="U170" s="281" t="str">
        <f>IFERROR(ROUND(T170*0.055,2),"")</f>
        <v>#ERROR!</v>
      </c>
      <c r="V170" s="463" t="str">
        <f>IFERROR(T170+U170,"")</f>
        <v>#ERROR!</v>
      </c>
      <c r="W170" s="227"/>
      <c r="X170" s="266"/>
      <c r="Y170" s="227"/>
      <c r="Z170" s="233"/>
    </row>
    <row r="171">
      <c r="A171" s="408" t="str">
        <f>IF(C171="","","BC-"&amp;TEXT(YEAR(B171),"0000")&amp;"-"&amp;TEXT(ROW()-4,"000"))</f>
        <v>#ERROR!</v>
      </c>
      <c r="B171" s="270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410" t="str">
        <f>IFERROR(ROUND(((I171*H171)+(M171*L171)+(Q171*P171))*(1-R171)+S171,2),"")</f>
        <v>#ERROR!</v>
      </c>
      <c r="U171" s="283" t="str">
        <f>IFERROR(ROUND(T171*0.055,2),"")</f>
        <v>#ERROR!</v>
      </c>
      <c r="V171" s="463" t="str">
        <f>IFERROR(T171+U171,"")</f>
        <v>#ERROR!</v>
      </c>
      <c r="W171" s="235"/>
      <c r="X171" s="270"/>
      <c r="Y171" s="235"/>
      <c r="Z171" s="240"/>
    </row>
    <row r="172">
      <c r="A172" s="408" t="str">
        <f>IF(C172="","","BC-"&amp;TEXT(YEAR(B172),"0000")&amp;"-"&amp;TEXT(ROW()-4,"000"))</f>
        <v>#ERROR!</v>
      </c>
      <c r="B172" s="266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410" t="str">
        <f>IFERROR(ROUND(((I172*H172)+(M172*L172)+(Q172*P172))*(1-R172)+S172,2),"")</f>
        <v>#ERROR!</v>
      </c>
      <c r="U172" s="281" t="str">
        <f>IFERROR(ROUND(T172*0.055,2),"")</f>
        <v>#ERROR!</v>
      </c>
      <c r="V172" s="463" t="str">
        <f>IFERROR(T172+U172,"")</f>
        <v>#ERROR!</v>
      </c>
      <c r="W172" s="227"/>
      <c r="X172" s="266"/>
      <c r="Y172" s="227"/>
      <c r="Z172" s="233"/>
    </row>
    <row r="173">
      <c r="A173" s="408" t="str">
        <f>IF(C173="","","BC-"&amp;TEXT(YEAR(B173),"0000")&amp;"-"&amp;TEXT(ROW()-4,"000"))</f>
        <v>#ERROR!</v>
      </c>
      <c r="B173" s="270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410" t="str">
        <f>IFERROR(ROUND(((I173*H173)+(M173*L173)+(Q173*P173))*(1-R173)+S173,2),"")</f>
        <v>#ERROR!</v>
      </c>
      <c r="U173" s="283" t="str">
        <f>IFERROR(ROUND(T173*0.055,2),"")</f>
        <v>#ERROR!</v>
      </c>
      <c r="V173" s="463" t="str">
        <f>IFERROR(T173+U173,"")</f>
        <v>#ERROR!</v>
      </c>
      <c r="W173" s="235"/>
      <c r="X173" s="270"/>
      <c r="Y173" s="235"/>
      <c r="Z173" s="240"/>
    </row>
    <row r="174">
      <c r="A174" s="408" t="str">
        <f>IF(C174="","","BC-"&amp;TEXT(YEAR(B174),"0000")&amp;"-"&amp;TEXT(ROW()-4,"000"))</f>
        <v>#ERROR!</v>
      </c>
      <c r="B174" s="266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410" t="str">
        <f>IFERROR(ROUND(((I174*H174)+(M174*L174)+(Q174*P174))*(1-R174)+S174,2),"")</f>
        <v>#ERROR!</v>
      </c>
      <c r="U174" s="281" t="str">
        <f>IFERROR(ROUND(T174*0.055,2),"")</f>
        <v>#ERROR!</v>
      </c>
      <c r="V174" s="463" t="str">
        <f>IFERROR(T174+U174,"")</f>
        <v>#ERROR!</v>
      </c>
      <c r="W174" s="227"/>
      <c r="X174" s="266"/>
      <c r="Y174" s="227"/>
      <c r="Z174" s="233"/>
    </row>
    <row r="175">
      <c r="A175" s="408" t="str">
        <f>IF(C175="","","BC-"&amp;TEXT(YEAR(B175),"0000")&amp;"-"&amp;TEXT(ROW()-4,"000"))</f>
        <v>#ERROR!</v>
      </c>
      <c r="B175" s="270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410" t="str">
        <f>IFERROR(ROUND(((I175*H175)+(M175*L175)+(Q175*P175))*(1-R175)+S175,2),"")</f>
        <v>#ERROR!</v>
      </c>
      <c r="U175" s="283" t="str">
        <f>IFERROR(ROUND(T175*0.055,2),"")</f>
        <v>#ERROR!</v>
      </c>
      <c r="V175" s="463" t="str">
        <f>IFERROR(T175+U175,"")</f>
        <v>#ERROR!</v>
      </c>
      <c r="W175" s="235"/>
      <c r="X175" s="270"/>
      <c r="Y175" s="235"/>
      <c r="Z175" s="240"/>
    </row>
    <row r="176">
      <c r="A176" s="408" t="str">
        <f>IF(C176="","","BC-"&amp;TEXT(YEAR(B176),"0000")&amp;"-"&amp;TEXT(ROW()-4,"000"))</f>
        <v>#ERROR!</v>
      </c>
      <c r="B176" s="266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410" t="str">
        <f>IFERROR(ROUND(((I176*H176)+(M176*L176)+(Q176*P176))*(1-R176)+S176,2),"")</f>
        <v>#ERROR!</v>
      </c>
      <c r="U176" s="281" t="str">
        <f>IFERROR(ROUND(T176*0.055,2),"")</f>
        <v>#ERROR!</v>
      </c>
      <c r="V176" s="463" t="str">
        <f>IFERROR(T176+U176,"")</f>
        <v>#ERROR!</v>
      </c>
      <c r="W176" s="227"/>
      <c r="X176" s="266"/>
      <c r="Y176" s="227"/>
      <c r="Z176" s="233"/>
    </row>
    <row r="177">
      <c r="A177" s="408" t="str">
        <f>IF(C177="","","BC-"&amp;TEXT(YEAR(B177),"0000")&amp;"-"&amp;TEXT(ROW()-4,"000"))</f>
        <v>#ERROR!</v>
      </c>
      <c r="B177" s="270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410" t="str">
        <f>IFERROR(ROUND(((I177*H177)+(M177*L177)+(Q177*P177))*(1-R177)+S177,2),"")</f>
        <v>#ERROR!</v>
      </c>
      <c r="U177" s="283" t="str">
        <f>IFERROR(ROUND(T177*0.055,2),"")</f>
        <v>#ERROR!</v>
      </c>
      <c r="V177" s="463" t="str">
        <f>IFERROR(T177+U177,"")</f>
        <v>#ERROR!</v>
      </c>
      <c r="W177" s="235"/>
      <c r="X177" s="270"/>
      <c r="Y177" s="235"/>
      <c r="Z177" s="240"/>
    </row>
    <row r="178">
      <c r="A178" s="408" t="str">
        <f>IF(C178="","","BC-"&amp;TEXT(YEAR(B178),"0000")&amp;"-"&amp;TEXT(ROW()-4,"000"))</f>
        <v>#ERROR!</v>
      </c>
      <c r="B178" s="266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410" t="str">
        <f>IFERROR(ROUND(((I178*H178)+(M178*L178)+(Q178*P178))*(1-R178)+S178,2),"")</f>
        <v>#ERROR!</v>
      </c>
      <c r="U178" s="281" t="str">
        <f>IFERROR(ROUND(T178*0.055,2),"")</f>
        <v>#ERROR!</v>
      </c>
      <c r="V178" s="463" t="str">
        <f>IFERROR(T178+U178,"")</f>
        <v>#ERROR!</v>
      </c>
      <c r="W178" s="227"/>
      <c r="X178" s="266"/>
      <c r="Y178" s="227"/>
      <c r="Z178" s="233"/>
    </row>
    <row r="179">
      <c r="A179" s="408" t="str">
        <f>IF(C179="","","BC-"&amp;TEXT(YEAR(B179),"0000")&amp;"-"&amp;TEXT(ROW()-4,"000"))</f>
        <v>#ERROR!</v>
      </c>
      <c r="B179" s="270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410" t="str">
        <f>IFERROR(ROUND(((I179*H179)+(M179*L179)+(Q179*P179))*(1-R179)+S179,2),"")</f>
        <v>#ERROR!</v>
      </c>
      <c r="U179" s="283" t="str">
        <f>IFERROR(ROUND(T179*0.055,2),"")</f>
        <v>#ERROR!</v>
      </c>
      <c r="V179" s="463" t="str">
        <f>IFERROR(T179+U179,"")</f>
        <v>#ERROR!</v>
      </c>
      <c r="W179" s="235"/>
      <c r="X179" s="270"/>
      <c r="Y179" s="235"/>
      <c r="Z179" s="240"/>
    </row>
    <row r="180">
      <c r="A180" s="408" t="str">
        <f>IF(C180="","","BC-"&amp;TEXT(YEAR(B180),"0000")&amp;"-"&amp;TEXT(ROW()-4,"000"))</f>
        <v>#ERROR!</v>
      </c>
      <c r="B180" s="266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410" t="str">
        <f>IFERROR(ROUND(((I180*H180)+(M180*L180)+(Q180*P180))*(1-R180)+S180,2),"")</f>
        <v>#ERROR!</v>
      </c>
      <c r="U180" s="281" t="str">
        <f>IFERROR(ROUND(T180*0.055,2),"")</f>
        <v>#ERROR!</v>
      </c>
      <c r="V180" s="463" t="str">
        <f>IFERROR(T180+U180,"")</f>
        <v>#ERROR!</v>
      </c>
      <c r="W180" s="227"/>
      <c r="X180" s="266"/>
      <c r="Y180" s="227"/>
      <c r="Z180" s="233"/>
    </row>
    <row r="181">
      <c r="A181" s="408" t="str">
        <f>IF(C181="","","BC-"&amp;TEXT(YEAR(B181),"0000")&amp;"-"&amp;TEXT(ROW()-4,"000"))</f>
        <v>#ERROR!</v>
      </c>
      <c r="B181" s="270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410" t="str">
        <f>IFERROR(ROUND(((I181*H181)+(M181*L181)+(Q181*P181))*(1-R181)+S181,2),"")</f>
        <v>#ERROR!</v>
      </c>
      <c r="U181" s="283" t="str">
        <f>IFERROR(ROUND(T181*0.055,2),"")</f>
        <v>#ERROR!</v>
      </c>
      <c r="V181" s="463" t="str">
        <f>IFERROR(T181+U181,"")</f>
        <v>#ERROR!</v>
      </c>
      <c r="W181" s="235"/>
      <c r="X181" s="270"/>
      <c r="Y181" s="235"/>
      <c r="Z181" s="240"/>
    </row>
    <row r="182">
      <c r="A182" s="408" t="str">
        <f>IF(C182="","","BC-"&amp;TEXT(YEAR(B182),"0000")&amp;"-"&amp;TEXT(ROW()-4,"000"))</f>
        <v>#ERROR!</v>
      </c>
      <c r="B182" s="266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410" t="str">
        <f>IFERROR(ROUND(((I182*H182)+(M182*L182)+(Q182*P182))*(1-R182)+S182,2),"")</f>
        <v>#ERROR!</v>
      </c>
      <c r="U182" s="281" t="str">
        <f>IFERROR(ROUND(T182*0.055,2),"")</f>
        <v>#ERROR!</v>
      </c>
      <c r="V182" s="463" t="str">
        <f>IFERROR(T182+U182,"")</f>
        <v>#ERROR!</v>
      </c>
      <c r="W182" s="227"/>
      <c r="X182" s="266"/>
      <c r="Y182" s="227"/>
      <c r="Z182" s="233"/>
    </row>
    <row r="183">
      <c r="A183" s="408" t="str">
        <f>IF(C183="","","BC-"&amp;TEXT(YEAR(B183),"0000")&amp;"-"&amp;TEXT(ROW()-4,"000"))</f>
        <v>#ERROR!</v>
      </c>
      <c r="B183" s="270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410" t="str">
        <f>IFERROR(ROUND(((I183*H183)+(M183*L183)+(Q183*P183))*(1-R183)+S183,2),"")</f>
        <v>#ERROR!</v>
      </c>
      <c r="U183" s="283" t="str">
        <f>IFERROR(ROUND(T183*0.055,2),"")</f>
        <v>#ERROR!</v>
      </c>
      <c r="V183" s="463" t="str">
        <f>IFERROR(T183+U183,"")</f>
        <v>#ERROR!</v>
      </c>
      <c r="W183" s="235"/>
      <c r="X183" s="270"/>
      <c r="Y183" s="235"/>
      <c r="Z183" s="240"/>
    </row>
    <row r="184">
      <c r="A184" s="408" t="str">
        <f>IF(C184="","","BC-"&amp;TEXT(YEAR(B184),"0000")&amp;"-"&amp;TEXT(ROW()-4,"000"))</f>
        <v>#ERROR!</v>
      </c>
      <c r="B184" s="266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410" t="str">
        <f>IFERROR(ROUND(((I184*H184)+(M184*L184)+(Q184*P184))*(1-R184)+S184,2),"")</f>
        <v>#ERROR!</v>
      </c>
      <c r="U184" s="281" t="str">
        <f>IFERROR(ROUND(T184*0.055,2),"")</f>
        <v>#ERROR!</v>
      </c>
      <c r="V184" s="463" t="str">
        <f>IFERROR(T184+U184,"")</f>
        <v>#ERROR!</v>
      </c>
      <c r="W184" s="227"/>
      <c r="X184" s="266"/>
      <c r="Y184" s="227"/>
      <c r="Z184" s="233"/>
    </row>
    <row r="185">
      <c r="A185" s="408" t="str">
        <f>IF(C185="","","BC-"&amp;TEXT(YEAR(B185),"0000")&amp;"-"&amp;TEXT(ROW()-4,"000"))</f>
        <v>#ERROR!</v>
      </c>
      <c r="B185" s="270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410" t="str">
        <f>IFERROR(ROUND(((I185*H185)+(M185*L185)+(Q185*P185))*(1-R185)+S185,2),"")</f>
        <v>#ERROR!</v>
      </c>
      <c r="U185" s="283" t="str">
        <f>IFERROR(ROUND(T185*0.055,2),"")</f>
        <v>#ERROR!</v>
      </c>
      <c r="V185" s="463" t="str">
        <f>IFERROR(T185+U185,"")</f>
        <v>#ERROR!</v>
      </c>
      <c r="W185" s="235"/>
      <c r="X185" s="270"/>
      <c r="Y185" s="235"/>
      <c r="Z185" s="240"/>
    </row>
    <row r="186">
      <c r="A186" s="408" t="str">
        <f>IF(C186="","","BC-"&amp;TEXT(YEAR(B186),"0000")&amp;"-"&amp;TEXT(ROW()-4,"000"))</f>
        <v>#ERROR!</v>
      </c>
      <c r="B186" s="266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410" t="str">
        <f>IFERROR(ROUND(((I186*H186)+(M186*L186)+(Q186*P186))*(1-R186)+S186,2),"")</f>
        <v>#ERROR!</v>
      </c>
      <c r="U186" s="281" t="str">
        <f>IFERROR(ROUND(T186*0.055,2),"")</f>
        <v>#ERROR!</v>
      </c>
      <c r="V186" s="463" t="str">
        <f>IFERROR(T186+U186,"")</f>
        <v>#ERROR!</v>
      </c>
      <c r="W186" s="227"/>
      <c r="X186" s="266"/>
      <c r="Y186" s="227"/>
      <c r="Z186" s="233"/>
    </row>
    <row r="187">
      <c r="A187" s="408" t="str">
        <f>IF(C187="","","BC-"&amp;TEXT(YEAR(B187),"0000")&amp;"-"&amp;TEXT(ROW()-4,"000"))</f>
        <v>#ERROR!</v>
      </c>
      <c r="B187" s="270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410" t="str">
        <f>IFERROR(ROUND(((I187*H187)+(M187*L187)+(Q187*P187))*(1-R187)+S187,2),"")</f>
        <v>#ERROR!</v>
      </c>
      <c r="U187" s="283" t="str">
        <f>IFERROR(ROUND(T187*0.055,2),"")</f>
        <v>#ERROR!</v>
      </c>
      <c r="V187" s="463" t="str">
        <f>IFERROR(T187+U187,"")</f>
        <v>#ERROR!</v>
      </c>
      <c r="W187" s="235"/>
      <c r="X187" s="270"/>
      <c r="Y187" s="235"/>
      <c r="Z187" s="240"/>
    </row>
    <row r="188">
      <c r="A188" s="408" t="str">
        <f>IF(C188="","","BC-"&amp;TEXT(YEAR(B188),"0000")&amp;"-"&amp;TEXT(ROW()-4,"000"))</f>
        <v>#ERROR!</v>
      </c>
      <c r="B188" s="266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410" t="str">
        <f>IFERROR(ROUND(((I188*H188)+(M188*L188)+(Q188*P188))*(1-R188)+S188,2),"")</f>
        <v>#ERROR!</v>
      </c>
      <c r="U188" s="281" t="str">
        <f>IFERROR(ROUND(T188*0.055,2),"")</f>
        <v>#ERROR!</v>
      </c>
      <c r="V188" s="463" t="str">
        <f>IFERROR(T188+U188,"")</f>
        <v>#ERROR!</v>
      </c>
      <c r="W188" s="227"/>
      <c r="X188" s="266"/>
      <c r="Y188" s="227"/>
      <c r="Z188" s="233"/>
    </row>
    <row r="189">
      <c r="A189" s="408" t="str">
        <f>IF(C189="","","BC-"&amp;TEXT(YEAR(B189),"0000")&amp;"-"&amp;TEXT(ROW()-4,"000"))</f>
        <v>#ERROR!</v>
      </c>
      <c r="B189" s="270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410" t="str">
        <f>IFERROR(ROUND(((I189*H189)+(M189*L189)+(Q189*P189))*(1-R189)+S189,2),"")</f>
        <v>#ERROR!</v>
      </c>
      <c r="U189" s="283" t="str">
        <f>IFERROR(ROUND(T189*0.055,2),"")</f>
        <v>#ERROR!</v>
      </c>
      <c r="V189" s="463" t="str">
        <f>IFERROR(T189+U189,"")</f>
        <v>#ERROR!</v>
      </c>
      <c r="W189" s="235"/>
      <c r="X189" s="270"/>
      <c r="Y189" s="235"/>
      <c r="Z189" s="240"/>
    </row>
    <row r="190">
      <c r="A190" s="408" t="str">
        <f>IF(C190="","","BC-"&amp;TEXT(YEAR(B190),"0000")&amp;"-"&amp;TEXT(ROW()-4,"000"))</f>
        <v>#ERROR!</v>
      </c>
      <c r="B190" s="266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410" t="str">
        <f>IFERROR(ROUND(((I190*H190)+(M190*L190)+(Q190*P190))*(1-R190)+S190,2),"")</f>
        <v>#ERROR!</v>
      </c>
      <c r="U190" s="281" t="str">
        <f>IFERROR(ROUND(T190*0.055,2),"")</f>
        <v>#ERROR!</v>
      </c>
      <c r="V190" s="463" t="str">
        <f>IFERROR(T190+U190,"")</f>
        <v>#ERROR!</v>
      </c>
      <c r="W190" s="227"/>
      <c r="X190" s="266"/>
      <c r="Y190" s="227"/>
      <c r="Z190" s="233"/>
    </row>
    <row r="191">
      <c r="A191" s="408" t="str">
        <f>IF(C191="","","BC-"&amp;TEXT(YEAR(B191),"0000")&amp;"-"&amp;TEXT(ROW()-4,"000"))</f>
        <v>#ERROR!</v>
      </c>
      <c r="B191" s="270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410" t="str">
        <f>IFERROR(ROUND(((I191*H191)+(M191*L191)+(Q191*P191))*(1-R191)+S191,2),"")</f>
        <v>#ERROR!</v>
      </c>
      <c r="U191" s="283" t="str">
        <f>IFERROR(ROUND(T191*0.055,2),"")</f>
        <v>#ERROR!</v>
      </c>
      <c r="V191" s="463" t="str">
        <f>IFERROR(T191+U191,"")</f>
        <v>#ERROR!</v>
      </c>
      <c r="W191" s="235"/>
      <c r="X191" s="270"/>
      <c r="Y191" s="235"/>
      <c r="Z191" s="240"/>
    </row>
    <row r="192">
      <c r="A192" s="408" t="str">
        <f>IF(C192="","","BC-"&amp;TEXT(YEAR(B192),"0000")&amp;"-"&amp;TEXT(ROW()-4,"000"))</f>
        <v>#ERROR!</v>
      </c>
      <c r="B192" s="266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410" t="str">
        <f>IFERROR(ROUND(((I192*H192)+(M192*L192)+(Q192*P192))*(1-R192)+S192,2),"")</f>
        <v>#ERROR!</v>
      </c>
      <c r="U192" s="281" t="str">
        <f>IFERROR(ROUND(T192*0.055,2),"")</f>
        <v>#ERROR!</v>
      </c>
      <c r="V192" s="463" t="str">
        <f>IFERROR(T192+U192,"")</f>
        <v>#ERROR!</v>
      </c>
      <c r="W192" s="227"/>
      <c r="X192" s="266"/>
      <c r="Y192" s="227"/>
      <c r="Z192" s="233"/>
    </row>
    <row r="193">
      <c r="A193" s="408" t="str">
        <f>IF(C193="","","BC-"&amp;TEXT(YEAR(B193),"0000")&amp;"-"&amp;TEXT(ROW()-4,"000"))</f>
        <v>#ERROR!</v>
      </c>
      <c r="B193" s="270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410" t="str">
        <f>IFERROR(ROUND(((I193*H193)+(M193*L193)+(Q193*P193))*(1-R193)+S193,2),"")</f>
        <v>#ERROR!</v>
      </c>
      <c r="U193" s="283" t="str">
        <f>IFERROR(ROUND(T193*0.055,2),"")</f>
        <v>#ERROR!</v>
      </c>
      <c r="V193" s="463" t="str">
        <f>IFERROR(T193+U193,"")</f>
        <v>#ERROR!</v>
      </c>
      <c r="W193" s="235"/>
      <c r="X193" s="270"/>
      <c r="Y193" s="235"/>
      <c r="Z193" s="240"/>
    </row>
    <row r="194">
      <c r="A194" s="408" t="str">
        <f>IF(C194="","","BC-"&amp;TEXT(YEAR(B194),"0000")&amp;"-"&amp;TEXT(ROW()-4,"000"))</f>
        <v>#ERROR!</v>
      </c>
      <c r="B194" s="266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410" t="str">
        <f>IFERROR(ROUND(((I194*H194)+(M194*L194)+(Q194*P194))*(1-R194)+S194,2),"")</f>
        <v>#ERROR!</v>
      </c>
      <c r="U194" s="281" t="str">
        <f>IFERROR(ROUND(T194*0.055,2),"")</f>
        <v>#ERROR!</v>
      </c>
      <c r="V194" s="463" t="str">
        <f>IFERROR(T194+U194,"")</f>
        <v>#ERROR!</v>
      </c>
      <c r="W194" s="227"/>
      <c r="X194" s="266"/>
      <c r="Y194" s="227"/>
      <c r="Z194" s="233"/>
    </row>
    <row r="195">
      <c r="A195" s="408" t="str">
        <f>IF(C195="","","BC-"&amp;TEXT(YEAR(B195),"0000")&amp;"-"&amp;TEXT(ROW()-4,"000"))</f>
        <v>#ERROR!</v>
      </c>
      <c r="B195" s="270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410" t="str">
        <f>IFERROR(ROUND(((I195*H195)+(M195*L195)+(Q195*P195))*(1-R195)+S195,2),"")</f>
        <v>#ERROR!</v>
      </c>
      <c r="U195" s="283" t="str">
        <f>IFERROR(ROUND(T195*0.055,2),"")</f>
        <v>#ERROR!</v>
      </c>
      <c r="V195" s="463" t="str">
        <f>IFERROR(T195+U195,"")</f>
        <v>#ERROR!</v>
      </c>
      <c r="W195" s="235"/>
      <c r="X195" s="270"/>
      <c r="Y195" s="235"/>
      <c r="Z195" s="240"/>
    </row>
    <row r="196">
      <c r="A196" s="408" t="str">
        <f>IF(C196="","","BC-"&amp;TEXT(YEAR(B196),"0000")&amp;"-"&amp;TEXT(ROW()-4,"000"))</f>
        <v>#ERROR!</v>
      </c>
      <c r="B196" s="266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410" t="str">
        <f>IFERROR(ROUND(((I196*H196)+(M196*L196)+(Q196*P196))*(1-R196)+S196,2),"")</f>
        <v>#ERROR!</v>
      </c>
      <c r="U196" s="281" t="str">
        <f>IFERROR(ROUND(T196*0.055,2),"")</f>
        <v>#ERROR!</v>
      </c>
      <c r="V196" s="463" t="str">
        <f>IFERROR(T196+U196,"")</f>
        <v>#ERROR!</v>
      </c>
      <c r="W196" s="227"/>
      <c r="X196" s="266"/>
      <c r="Y196" s="227"/>
      <c r="Z196" s="233"/>
    </row>
    <row r="197">
      <c r="A197" s="408" t="str">
        <f>IF(C197="","","BC-"&amp;TEXT(YEAR(B197),"0000")&amp;"-"&amp;TEXT(ROW()-4,"000"))</f>
        <v>#ERROR!</v>
      </c>
      <c r="B197" s="270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410" t="str">
        <f>IFERROR(ROUND(((I197*H197)+(M197*L197)+(Q197*P197))*(1-R197)+S197,2),"")</f>
        <v>#ERROR!</v>
      </c>
      <c r="U197" s="283" t="str">
        <f>IFERROR(ROUND(T197*0.055,2),"")</f>
        <v>#ERROR!</v>
      </c>
      <c r="V197" s="463" t="str">
        <f>IFERROR(T197+U197,"")</f>
        <v>#ERROR!</v>
      </c>
      <c r="W197" s="235"/>
      <c r="X197" s="270"/>
      <c r="Y197" s="235"/>
      <c r="Z197" s="240"/>
    </row>
    <row r="198">
      <c r="A198" s="408" t="str">
        <f>IF(C198="","","BC-"&amp;TEXT(YEAR(B198),"0000")&amp;"-"&amp;TEXT(ROW()-4,"000"))</f>
        <v>#ERROR!</v>
      </c>
      <c r="B198" s="266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410" t="str">
        <f>IFERROR(ROUND(((I198*H198)+(M198*L198)+(Q198*P198))*(1-R198)+S198,2),"")</f>
        <v>#ERROR!</v>
      </c>
      <c r="U198" s="281" t="str">
        <f>IFERROR(ROUND(T198*0.055,2),"")</f>
        <v>#ERROR!</v>
      </c>
      <c r="V198" s="463" t="str">
        <f>IFERROR(T198+U198,"")</f>
        <v>#ERROR!</v>
      </c>
      <c r="W198" s="227"/>
      <c r="X198" s="266"/>
      <c r="Y198" s="227"/>
      <c r="Z198" s="233"/>
    </row>
    <row r="199">
      <c r="A199" s="408" t="str">
        <f>IF(C199="","","BC-"&amp;TEXT(YEAR(B199),"0000")&amp;"-"&amp;TEXT(ROW()-4,"000"))</f>
        <v>#ERROR!</v>
      </c>
      <c r="B199" s="270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410" t="str">
        <f>IFERROR(ROUND(((I199*H199)+(M199*L199)+(Q199*P199))*(1-R199)+S199,2),"")</f>
        <v>#ERROR!</v>
      </c>
      <c r="U199" s="283" t="str">
        <f>IFERROR(ROUND(T199*0.055,2),"")</f>
        <v>#ERROR!</v>
      </c>
      <c r="V199" s="463" t="str">
        <f>IFERROR(T199+U199,"")</f>
        <v>#ERROR!</v>
      </c>
      <c r="W199" s="235"/>
      <c r="X199" s="270"/>
      <c r="Y199" s="235"/>
      <c r="Z199" s="240"/>
    </row>
    <row r="200">
      <c r="A200" s="408" t="str">
        <f>IF(C200="","","BC-"&amp;TEXT(YEAR(B200),"0000")&amp;"-"&amp;TEXT(ROW()-4,"000"))</f>
        <v>#ERROR!</v>
      </c>
      <c r="B200" s="266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410" t="str">
        <f>IFERROR(ROUND(((I200*H200)+(M200*L200)+(Q200*P200))*(1-R200)+S200,2),"")</f>
        <v>#ERROR!</v>
      </c>
      <c r="U200" s="281" t="str">
        <f>IFERROR(ROUND(T200*0.055,2),"")</f>
        <v>#ERROR!</v>
      </c>
      <c r="V200" s="463" t="str">
        <f>IFERROR(T200+U200,"")</f>
        <v>#ERROR!</v>
      </c>
      <c r="W200" s="227"/>
      <c r="X200" s="266"/>
      <c r="Y200" s="227"/>
      <c r="Z200" s="233"/>
    </row>
    <row r="201">
      <c r="A201" s="408" t="str">
        <f>IF(C201="","","BC-"&amp;TEXT(YEAR(B201),"0000")&amp;"-"&amp;TEXT(ROW()-4,"000"))</f>
        <v>#ERROR!</v>
      </c>
      <c r="B201" s="270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410" t="str">
        <f>IFERROR(ROUND(((I201*H201)+(M201*L201)+(Q201*P201))*(1-R201)+S201,2),"")</f>
        <v>#ERROR!</v>
      </c>
      <c r="U201" s="283" t="str">
        <f>IFERROR(ROUND(T201*0.055,2),"")</f>
        <v>#ERROR!</v>
      </c>
      <c r="V201" s="463" t="str">
        <f>IFERROR(T201+U201,"")</f>
        <v>#ERROR!</v>
      </c>
      <c r="W201" s="235"/>
      <c r="X201" s="270"/>
      <c r="Y201" s="235"/>
      <c r="Z201" s="240"/>
    </row>
    <row r="202">
      <c r="A202" s="408" t="str">
        <f>IF(C202="","","BC-"&amp;TEXT(YEAR(B202),"0000")&amp;"-"&amp;TEXT(ROW()-4,"000"))</f>
        <v>#ERROR!</v>
      </c>
      <c r="B202" s="266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410" t="str">
        <f>IFERROR(ROUND(((I202*H202)+(M202*L202)+(Q202*P202))*(1-R202)+S202,2),"")</f>
        <v>#ERROR!</v>
      </c>
      <c r="U202" s="281" t="str">
        <f>IFERROR(ROUND(T202*0.055,2),"")</f>
        <v>#ERROR!</v>
      </c>
      <c r="V202" s="463" t="str">
        <f>IFERROR(T202+U202,"")</f>
        <v>#ERROR!</v>
      </c>
      <c r="W202" s="227"/>
      <c r="X202" s="266"/>
      <c r="Y202" s="227"/>
      <c r="Z202" s="233"/>
    </row>
    <row r="203">
      <c r="A203" s="408" t="str">
        <f>IF(C203="","","BC-"&amp;TEXT(YEAR(B203),"0000")&amp;"-"&amp;TEXT(ROW()-4,"000"))</f>
        <v>#ERROR!</v>
      </c>
      <c r="B203" s="270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410" t="str">
        <f>IFERROR(ROUND(((I203*H203)+(M203*L203)+(Q203*P203))*(1-R203)+S203,2),"")</f>
        <v>#ERROR!</v>
      </c>
      <c r="U203" s="283" t="str">
        <f>IFERROR(ROUND(T203*0.055,2),"")</f>
        <v>#ERROR!</v>
      </c>
      <c r="V203" s="463" t="str">
        <f>IFERROR(T203+U203,"")</f>
        <v>#ERROR!</v>
      </c>
      <c r="W203" s="235"/>
      <c r="X203" s="270"/>
      <c r="Y203" s="235"/>
      <c r="Z203" s="240"/>
    </row>
    <row r="204">
      <c r="A204" s="414" t="str">
        <f>IF(C204="","","BC-"&amp;TEXT(YEAR(B204),"0000")&amp;"-"&amp;TEXT(ROW()-4,"000"))</f>
        <v>#ERROR!</v>
      </c>
      <c r="B204" s="272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416" t="str">
        <f>IFERROR(ROUND(((I204*H204)+(M204*L204)+(Q204*P204))*(1-R204)+S204,2),"")</f>
        <v>#ERROR!</v>
      </c>
      <c r="U204" s="285" t="str">
        <f>IFERROR(ROUND(T204*0.055,2),"")</f>
        <v>#ERROR!</v>
      </c>
      <c r="V204" s="464" t="str">
        <f>IFERROR(T204+U204,"")</f>
        <v>#ERROR!</v>
      </c>
      <c r="W204" s="246"/>
      <c r="X204" s="272"/>
      <c r="Y204" s="246"/>
      <c r="Z204" s="251"/>
    </row>
    <row r="205">
      <c r="A205" s="27" t="s">
        <v>1335</v>
      </c>
      <c r="B205" s="402">
        <v>46111.08333333333</v>
      </c>
      <c r="C205" s="27" t="s">
        <v>732</v>
      </c>
      <c r="D205" s="27" t="s">
        <v>1336</v>
      </c>
      <c r="E205" s="27" t="s">
        <v>1337</v>
      </c>
      <c r="F205" s="55">
        <v>0.0</v>
      </c>
      <c r="G205" s="27" t="s">
        <v>1152</v>
      </c>
    </row>
  </sheetData>
  <mergeCells count="3">
    <mergeCell ref="A1:V1"/>
    <mergeCell ref="A2:V2"/>
    <mergeCell ref="A3:V3"/>
  </mergeCells>
  <conditionalFormatting sqref="W5:W204">
    <cfRule type="cellIs" dxfId="2" priority="1" stopIfTrue="1" operator="equal">
      <formula>"Rupture"</formula>
    </cfRule>
  </conditionalFormatting>
  <conditionalFormatting sqref="W5:W204">
    <cfRule type="cellIs" dxfId="2" priority="2" stopIfTrue="1" operator="equal">
      <formula>"NC"</formula>
    </cfRule>
  </conditionalFormatting>
  <conditionalFormatting sqref="W5:W204">
    <cfRule type="cellIs" dxfId="2" priority="3" stopIfTrue="1" operator="equal">
      <formula>"Expire"</formula>
    </cfRule>
  </conditionalFormatting>
  <conditionalFormatting sqref="W5:W204">
    <cfRule type="cellIs" dxfId="2" priority="4" stopIfTrue="1" operator="equal">
      <formula>"URGENT"</formula>
    </cfRule>
  </conditionalFormatting>
  <conditionalFormatting sqref="W5:W204">
    <cfRule type="cellIs" dxfId="2" priority="5" stopIfTrue="1" operator="equal">
      <formula>"Bloque"</formula>
    </cfRule>
  </conditionalFormatting>
  <conditionalFormatting sqref="W5:W204">
    <cfRule type="cellIs" dxfId="3" priority="6" stopIfTrue="1" operator="equal">
      <formula>"Proche"</formula>
    </cfRule>
  </conditionalFormatting>
  <conditionalFormatting sqref="W5:W204">
    <cfRule type="cellIs" dxfId="3" priority="7" stopIfTrue="1" operator="equal">
      <formula>"A PRODUIRE"</formula>
    </cfRule>
  </conditionalFormatting>
  <conditionalFormatting sqref="W5:W204">
    <cfRule type="cellIs" dxfId="3" priority="8" stopIfTrue="1" operator="equal">
      <formula>"Sous-temperature"</formula>
    </cfRule>
  </conditionalFormatting>
  <conditionalFormatting sqref="W5:W204">
    <cfRule type="cellIs" dxfId="4" priority="9" stopIfTrue="1" operator="equal">
      <formula>"OK"</formula>
    </cfRule>
  </conditionalFormatting>
  <conditionalFormatting sqref="W5:W204">
    <cfRule type="cellIs" dxfId="4" priority="10" stopIfTrue="1" operator="equal">
      <formula>"Valide"</formula>
    </cfRule>
  </conditionalFormatting>
  <conditionalFormatting sqref="W5:W204">
    <cfRule type="cellIs" dxfId="4" priority="11" stopIfTrue="1" operator="equal">
      <formula>"Termine"</formula>
    </cfRule>
  </conditionalFormatting>
  <conditionalFormatting sqref="W5:W204">
    <cfRule type="cellIs" dxfId="4" priority="12" stopIfTrue="1" operator="equal">
      <formula>"Actif"</formula>
    </cfRule>
  </conditionalFormatting>
  <dataValidations>
    <dataValidation type="list" allowBlank="1" sqref="G5:G204 K5:K204 O5:O204">
      <formula1>"RR100-290,RR100-370,RR100-580,RR100-850,RR100-1050,RR100-1550,W60-050,W60-080,W60-160"</formula1>
    </dataValidation>
    <dataValidation type="list" allowBlank="1" sqref="D5:D204">
      <formula1>"B2C — Particulier,Restaurant,Epicerie fine,Hotel,GMS,CE / Association,Autre B2B"</formula1>
    </dataValidation>
    <dataValidation type="list" allowBlank="1" sqref="Y5:Y204">
      <formula1>"Comptant,8 jours,15 jours,30 jours,45 jours,60 jours"</formula1>
    </dataValidation>
    <dataValidation type="list" allowBlank="1" sqref="F5:F204 J5:J204 N5:N204">
      <formula1>"Rillettes du Chef,Pate du Chef,Mousse du Chef,Plat Traiteur du Chef,Dessert du Chef - Creme Vanill,Pate de Campagne Maison 41,Pate Echalote &amp; Thym Citron,Pate Basque Piment d'Espelette,Pate Pleurotes &amp; Persil Plat,Pate Chataigne Ardeche,Pate Echalotes Gri"&amp;"ses d'Anjou,Rillettes Classiques au Thym,Rillettes Poireaux Confits,Rillettes Gingembre &amp; Citron,Rillettes Poivre de Madagascar,Rillettes Poireaux Confits Nord,Rillettes Curry Vert Reunion,Mousse Brandade de Morue,Saucisses Lentilles Puy,Bourguignon de Bo"&amp;"euf,Pot-au-Feu de Boeuf,Saute Porc &amp; Puree,Cassoulet Maison 41,Garbure Bearnaise,Creme Oeufs Vanille Bourbon,Creme Chocolat Noir 70%,Creme Caramel Renversee,Riz au Lait Cannelle &amp; Orange,Far Breton aux Pruneaux"</formula1>
    </dataValidation>
    <dataValidation type="list" allowBlank="1" sqref="W5:W204">
      <formula1>"Devis,Confirme,En preparation,Livre,Facture,Annule"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860B"/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3" width="25.13"/>
    <col customWidth="1" min="4" max="4" width="16.38"/>
    <col customWidth="1" min="5" max="5" width="11.38"/>
    <col customWidth="1" min="6" max="8" width="13.88"/>
  </cols>
  <sheetData>
    <row r="1" ht="21.0" customHeight="1">
      <c r="A1" s="140" t="s">
        <v>1338</v>
      </c>
    </row>
    <row r="2" ht="19.5" customHeight="1">
      <c r="B2" s="183" t="s">
        <v>1339</v>
      </c>
      <c r="C2" s="465"/>
      <c r="D2" s="44" t="s">
        <v>1340</v>
      </c>
    </row>
    <row r="5" ht="16.5" customHeight="1">
      <c r="A5" s="466" t="s">
        <v>1341</v>
      </c>
      <c r="C5" s="467" t="s">
        <v>1342</v>
      </c>
      <c r="F5" s="468" t="str">
        <f>"DESTINATAIRE : "&amp;IFERROR(INDEX('Bons de Commande'!C:C,MATCH(C2,'Bons de Commande'!A:A,0)),"— saisir N° BC —")</f>
        <v>#ERROR!</v>
      </c>
    </row>
    <row r="6" ht="16.5" customHeight="1">
      <c r="C6" s="21" t="s">
        <v>1343</v>
      </c>
    </row>
    <row r="7" ht="16.5" customHeight="1">
      <c r="C7" s="21" t="s">
        <v>1344</v>
      </c>
    </row>
    <row r="8" ht="16.5" customHeight="1"/>
    <row r="10" ht="22.5" customHeight="1">
      <c r="A10" s="469" t="str">
        <f>"BON DE COMMANDE  N°  "&amp;C2&amp;"    Date : "&amp;TEXT(IFERROR(INDEX('Bons de Commande'!B:B,MATCH(C2,'Bons de Commande'!A:A,0)),""),"dd/mm/yyyy")</f>
        <v>#ERROR!</v>
      </c>
    </row>
    <row r="12" ht="18.0" customHeight="1">
      <c r="A12" s="470" t="s">
        <v>652</v>
      </c>
      <c r="B12" s="470" t="s">
        <v>1345</v>
      </c>
      <c r="C12" s="470" t="s">
        <v>653</v>
      </c>
      <c r="D12" s="470" t="s">
        <v>79</v>
      </c>
      <c r="E12" s="470" t="s">
        <v>723</v>
      </c>
      <c r="F12" s="470" t="s">
        <v>1119</v>
      </c>
      <c r="G12" s="470" t="s">
        <v>656</v>
      </c>
      <c r="H12" s="470" t="s">
        <v>657</v>
      </c>
    </row>
    <row r="13" ht="16.5" customHeight="1">
      <c r="A13" s="209">
        <v>1.0</v>
      </c>
      <c r="B13" s="128" t="str">
        <f>IFERROR(INDEX('Bons de Commande'!F:F,MATCH(C2,'Bons de Commande'!A:A,0)),"")</f>
        <v>#ERROR!</v>
      </c>
      <c r="C13" s="348" t="str">
        <f>IFERROR(INDEX('Bons de Commande'!G:G,MATCH(C2,'Bons de Commande'!A:A,0)),"")</f>
        <v>#ERROR!</v>
      </c>
      <c r="D13" s="348" t="str">
        <f>IFERROR(INDEX('Bons de Commande'!H:H,MATCH(C2,'Bons de Commande'!A:A,0)),"")</f>
        <v>#ERROR!</v>
      </c>
      <c r="E13" s="130" t="str">
        <f>IFERROR(INDEX('Bons de Commande'!I:I,MATCH(C2,'Bons de Commande'!A:A,0)),"")</f>
        <v>#ERROR!</v>
      </c>
      <c r="F13" s="471" t="str">
        <f>IFERROR(INDEX('Bons de Commande'!R:R,MATCH(C2,'Bons de Commande'!A:A,0)),0)</f>
        <v>#ERROR!</v>
      </c>
      <c r="G13" s="199" t="str">
        <f>IFERROR(E13*D13*(1-F13),"")</f>
        <v>#ERROR!</v>
      </c>
      <c r="H13" s="130" t="str">
        <f>IFERROR(G13*1.055,"")</f>
        <v>#ERROR!</v>
      </c>
    </row>
    <row r="14" ht="16.5" customHeight="1">
      <c r="A14" s="212">
        <v>2.0</v>
      </c>
      <c r="B14" s="62" t="str">
        <f>IFERROR(INDEX('Bons de Commande'!J:J,MATCH(C2,'Bons de Commande'!A:A,0)),"")</f>
        <v>#ERROR!</v>
      </c>
      <c r="C14" s="347" t="str">
        <f>IFERROR(INDEX('Bons de Commande'!K:K,MATCH(C2,'Bons de Commande'!A:A,0)),"")</f>
        <v>#ERROR!</v>
      </c>
      <c r="D14" s="347" t="str">
        <f>IFERROR(INDEX('Bons de Commande'!L:L,MATCH(C2,'Bons de Commande'!A:A,0)),"")</f>
        <v>#ERROR!</v>
      </c>
      <c r="E14" s="121" t="str">
        <f>IFERROR(INDEX('Bons de Commande'!M:M,MATCH(C2,'Bons de Commande'!A:A,0)),"")</f>
        <v>#ERROR!</v>
      </c>
      <c r="F14" s="472" t="str">
        <f>IFERROR(INDEX('Bons de Commande'!R:R,MATCH(C2,'Bons de Commande'!A:A,0)),0)</f>
        <v>#ERROR!</v>
      </c>
      <c r="G14" s="194" t="str">
        <f>IFERROR(E14*D14*(1-F14),"")</f>
        <v>#ERROR!</v>
      </c>
      <c r="H14" s="121" t="str">
        <f>IFERROR(G14*1.055,"")</f>
        <v>#ERROR!</v>
      </c>
    </row>
    <row r="15" ht="16.5" customHeight="1">
      <c r="A15" s="209">
        <v>3.0</v>
      </c>
      <c r="B15" s="128" t="str">
        <f>IFERROR(INDEX('Bons de Commande'!N:N,MATCH(C2,'Bons de Commande'!A:A,0)),"")</f>
        <v>#ERROR!</v>
      </c>
      <c r="C15" s="348" t="str">
        <f>IFERROR(INDEX('Bons de Commande'!O:O,MATCH(C2,'Bons de Commande'!A:A,0)),"")</f>
        <v>#ERROR!</v>
      </c>
      <c r="D15" s="348" t="str">
        <f>IFERROR(INDEX('Bons de Commande'!P:P,MATCH(C2,'Bons de Commande'!A:A,0)),"")</f>
        <v>#ERROR!</v>
      </c>
      <c r="E15" s="130" t="str">
        <f>IFERROR(INDEX('Bons de Commande'!Q:Q,MATCH(C2,'Bons de Commande'!A:A,0)),"")</f>
        <v>#ERROR!</v>
      </c>
      <c r="F15" s="471" t="str">
        <f>IFERROR(INDEX('Bons de Commande'!R:R,MATCH(C2,'Bons de Commande'!A:A,0)),0)</f>
        <v>#ERROR!</v>
      </c>
      <c r="G15" s="199" t="str">
        <f>IFERROR(E15*D15*(1-F15),"")</f>
        <v>#ERROR!</v>
      </c>
      <c r="H15" s="130" t="str">
        <f>IFERROR(G15*1.055,"")</f>
        <v>#ERROR!</v>
      </c>
    </row>
    <row r="18" ht="19.5" customHeight="1">
      <c r="A18" s="473" t="s">
        <v>1346</v>
      </c>
      <c r="G18" s="132" t="str">
        <f>SUM(G13:G15)</f>
        <v>#ERROR!</v>
      </c>
    </row>
    <row r="19" ht="19.5" customHeight="1">
      <c r="A19" s="474" t="s">
        <v>1347</v>
      </c>
      <c r="G19" s="258" t="str">
        <f>ROUND(G18*0.055,2)</f>
        <v>#ERROR!</v>
      </c>
    </row>
    <row r="20" ht="19.5" customHeight="1">
      <c r="A20" s="475" t="s">
        <v>1348</v>
      </c>
      <c r="G20" s="476" t="str">
        <f>G18+G19</f>
        <v>#ERROR!</v>
      </c>
    </row>
  </sheetData>
  <mergeCells count="12">
    <mergeCell ref="A10:H10"/>
    <mergeCell ref="A18:F18"/>
    <mergeCell ref="A19:F19"/>
    <mergeCell ref="A20:F20"/>
    <mergeCell ref="G20:H20"/>
    <mergeCell ref="A1:H1"/>
    <mergeCell ref="D2:H2"/>
    <mergeCell ref="A5:B8"/>
    <mergeCell ref="C5:E5"/>
    <mergeCell ref="F5:H5"/>
    <mergeCell ref="C6:E6"/>
    <mergeCell ref="C7:E7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88"/>
    <col customWidth="1" min="2" max="2" width="27.63"/>
    <col customWidth="1" min="3" max="10" width="13.88"/>
  </cols>
  <sheetData>
    <row r="1" ht="25.5" customHeight="1">
      <c r="A1" s="122" t="s">
        <v>1349</v>
      </c>
    </row>
    <row r="2" ht="25.5" customHeight="1">
      <c r="A2" s="141" t="s">
        <v>1350</v>
      </c>
    </row>
    <row r="4" ht="16.5" customHeight="1">
      <c r="A4" s="7" t="s">
        <v>1351</v>
      </c>
    </row>
    <row r="5" ht="19.5" customHeight="1">
      <c r="A5" s="31" t="s">
        <v>558</v>
      </c>
      <c r="B5" s="31" t="s">
        <v>1172</v>
      </c>
      <c r="C5" s="31" t="s">
        <v>78</v>
      </c>
      <c r="D5" s="31" t="s">
        <v>1352</v>
      </c>
      <c r="E5" s="31" t="s">
        <v>1353</v>
      </c>
      <c r="F5" s="31" t="s">
        <v>707</v>
      </c>
      <c r="G5" s="31" t="s">
        <v>619</v>
      </c>
      <c r="H5" s="31" t="s">
        <v>1354</v>
      </c>
      <c r="I5" s="31" t="s">
        <v>1355</v>
      </c>
    </row>
    <row r="6" ht="15.0" customHeight="1">
      <c r="A6" s="351" t="s">
        <v>436</v>
      </c>
      <c r="B6" s="477" t="s">
        <v>437</v>
      </c>
      <c r="C6" s="33" t="s">
        <v>439</v>
      </c>
      <c r="D6" s="199" t="str">
        <f>IFERROR(INDEX('Prix Vente'!C:C,MATCH(B6&amp;C6,'Prix Vente'!A:A&amp;'Prix Vente'!B:B,0)),"")</f>
        <v>#ERROR!</v>
      </c>
      <c r="E6" s="478" t="str">
        <f>IFERROR(INDEX('Cout de Revient'!I:I,MATCH(B6,'Cout de Revient'!B:B,0)),"")</f>
        <v>#ERROR!</v>
      </c>
      <c r="F6" s="199" t="str">
        <f>IFERROR(D6-E6/1.055,"")</f>
        <v>#ERROR!</v>
      </c>
      <c r="G6" s="479" t="str">
        <f>IFERROR(F6/(D6/1.055),"")</f>
        <v>#ERROR!</v>
      </c>
      <c r="H6" s="480" t="str">
        <f>IFERROR(ROUND(D6*0.90,2),"")</f>
        <v>#ERROR!</v>
      </c>
      <c r="I6" s="198" t="str">
        <f>IFERROR(D6-H6,"")</f>
        <v>#ERROR!</v>
      </c>
    </row>
    <row r="7" ht="15.0" customHeight="1">
      <c r="A7" s="351" t="s">
        <v>442</v>
      </c>
      <c r="B7" s="138" t="s">
        <v>443</v>
      </c>
      <c r="C7" s="37" t="s">
        <v>439</v>
      </c>
      <c r="D7" s="194" t="str">
        <f>IFERROR(INDEX('Prix Vente'!C:C,MATCH(B7&amp;C7,'Prix Vente'!A:A&amp;'Prix Vente'!B:B,0)),"")</f>
        <v>#ERROR!</v>
      </c>
      <c r="E7" s="481" t="str">
        <f>IFERROR(INDEX('Cout de Revient'!I:I,MATCH(B7,'Cout de Revient'!B:B,0)),"")</f>
        <v>#ERROR!</v>
      </c>
      <c r="F7" s="194" t="str">
        <f>IFERROR(D7-E7/1.055,"")</f>
        <v>#ERROR!</v>
      </c>
      <c r="G7" s="482" t="str">
        <f>IFERROR(F7/(D7/1.055),"")</f>
        <v>#ERROR!</v>
      </c>
      <c r="H7" s="480" t="str">
        <f>IFERROR(ROUND(D7*0.90,2),"")</f>
        <v>#ERROR!</v>
      </c>
      <c r="I7" s="193" t="str">
        <f>IFERROR(D7-H7,"")</f>
        <v>#ERROR!</v>
      </c>
    </row>
    <row r="8" ht="15.0" customHeight="1">
      <c r="A8" s="351" t="s">
        <v>445</v>
      </c>
      <c r="B8" s="477" t="s">
        <v>446</v>
      </c>
      <c r="C8" s="33" t="s">
        <v>448</v>
      </c>
      <c r="D8" s="199" t="str">
        <f>IFERROR(INDEX('Prix Vente'!C:C,MATCH(B8&amp;C8,'Prix Vente'!A:A&amp;'Prix Vente'!B:B,0)),"")</f>
        <v>#ERROR!</v>
      </c>
      <c r="E8" s="478" t="str">
        <f>IFERROR(INDEX('Cout de Revient'!I:I,MATCH(B8,'Cout de Revient'!B:B,0)),"")</f>
        <v>#ERROR!</v>
      </c>
      <c r="F8" s="199" t="str">
        <f>IFERROR(D8-E8/1.055,"")</f>
        <v>#ERROR!</v>
      </c>
      <c r="G8" s="479" t="str">
        <f>IFERROR(F8/(D8/1.055),"")</f>
        <v>#ERROR!</v>
      </c>
      <c r="H8" s="480" t="str">
        <f>IFERROR(ROUND(D8*0.90,2),"")</f>
        <v>#ERROR!</v>
      </c>
      <c r="I8" s="198" t="str">
        <f>IFERROR(D8-H8,"")</f>
        <v>#ERROR!</v>
      </c>
    </row>
    <row r="9" ht="15.0" customHeight="1">
      <c r="A9" s="351" t="s">
        <v>449</v>
      </c>
      <c r="B9" s="138" t="s">
        <v>450</v>
      </c>
      <c r="C9" s="37" t="s">
        <v>452</v>
      </c>
      <c r="D9" s="194" t="str">
        <f>IFERROR(INDEX('Prix Vente'!C:C,MATCH(B9&amp;C9,'Prix Vente'!A:A&amp;'Prix Vente'!B:B,0)),"")</f>
        <v>#ERROR!</v>
      </c>
      <c r="E9" s="481" t="str">
        <f>IFERROR(INDEX('Cout de Revient'!I:I,MATCH(B9,'Cout de Revient'!B:B,0)),"")</f>
        <v>#ERROR!</v>
      </c>
      <c r="F9" s="194" t="str">
        <f>IFERROR(D9-E9/1.055,"")</f>
        <v>#ERROR!</v>
      </c>
      <c r="G9" s="482" t="str">
        <f>IFERROR(F9/(D9/1.055),"")</f>
        <v>#ERROR!</v>
      </c>
      <c r="H9" s="480" t="str">
        <f>IFERROR(ROUND(D9*0.90,2),"")</f>
        <v>#ERROR!</v>
      </c>
      <c r="I9" s="193" t="str">
        <f>IFERROR(D9-H9,"")</f>
        <v>#ERROR!</v>
      </c>
    </row>
    <row r="10" ht="15.0" customHeight="1">
      <c r="A10" s="351" t="s">
        <v>453</v>
      </c>
      <c r="B10" s="477" t="s">
        <v>454</v>
      </c>
      <c r="C10" s="33" t="s">
        <v>456</v>
      </c>
      <c r="D10" s="199" t="str">
        <f>IFERROR(INDEX('Prix Vente'!C:C,MATCH(B10&amp;C10,'Prix Vente'!A:A&amp;'Prix Vente'!B:B,0)),"")</f>
        <v>#ERROR!</v>
      </c>
      <c r="E10" s="478" t="str">
        <f>IFERROR(INDEX('Cout de Revient'!I:I,MATCH(B10,'Cout de Revient'!B:B,0)),"")</f>
        <v>#ERROR!</v>
      </c>
      <c r="F10" s="199" t="str">
        <f>IFERROR(D10-E10/1.055,"")</f>
        <v>#ERROR!</v>
      </c>
      <c r="G10" s="479" t="str">
        <f>IFERROR(F10/(D10/1.055),"")</f>
        <v>#ERROR!</v>
      </c>
      <c r="H10" s="480" t="str">
        <f>IFERROR(ROUND(D10*0.90,2),"")</f>
        <v>#ERROR!</v>
      </c>
      <c r="I10" s="198" t="str">
        <f>IFERROR(D10-H10,"")</f>
        <v>#ERROR!</v>
      </c>
    </row>
    <row r="11" ht="15.0" customHeight="1">
      <c r="A11" s="351" t="s">
        <v>457</v>
      </c>
      <c r="B11" s="138" t="s">
        <v>458</v>
      </c>
      <c r="C11" s="37" t="s">
        <v>439</v>
      </c>
      <c r="D11" s="194" t="str">
        <f>IFERROR(INDEX('Prix Vente'!C:C,MATCH(B11&amp;C11,'Prix Vente'!A:A&amp;'Prix Vente'!B:B,0)),"")</f>
        <v>#ERROR!</v>
      </c>
      <c r="E11" s="481" t="str">
        <f>IFERROR(INDEX('Cout de Revient'!I:I,MATCH(B11,'Cout de Revient'!B:B,0)),"")</f>
        <v>#ERROR!</v>
      </c>
      <c r="F11" s="194" t="str">
        <f>IFERROR(D11-E11/1.055,"")</f>
        <v>#ERROR!</v>
      </c>
      <c r="G11" s="482" t="str">
        <f>IFERROR(F11/(D11/1.055),"")</f>
        <v>#ERROR!</v>
      </c>
      <c r="H11" s="480" t="str">
        <f>IFERROR(ROUND(D11*0.90,2),"")</f>
        <v>#ERROR!</v>
      </c>
      <c r="I11" s="193" t="str">
        <f>IFERROR(D11-H11,"")</f>
        <v>#ERROR!</v>
      </c>
    </row>
    <row r="12" ht="15.0" customHeight="1">
      <c r="A12" s="351" t="s">
        <v>459</v>
      </c>
      <c r="B12" s="477" t="s">
        <v>460</v>
      </c>
      <c r="C12" s="33" t="s">
        <v>439</v>
      </c>
      <c r="D12" s="199" t="str">
        <f>IFERROR(INDEX('Prix Vente'!C:C,MATCH(B12&amp;C12,'Prix Vente'!A:A&amp;'Prix Vente'!B:B,0)),"")</f>
        <v>#ERROR!</v>
      </c>
      <c r="E12" s="478" t="str">
        <f>IFERROR(INDEX('Cout de Revient'!I:I,MATCH(B12,'Cout de Revient'!B:B,0)),"")</f>
        <v>#ERROR!</v>
      </c>
      <c r="F12" s="199" t="str">
        <f>IFERROR(D12-E12/1.055,"")</f>
        <v>#ERROR!</v>
      </c>
      <c r="G12" s="479" t="str">
        <f>IFERROR(F12/(D12/1.055),"")</f>
        <v>#ERROR!</v>
      </c>
      <c r="H12" s="480" t="str">
        <f>IFERROR(ROUND(D12*0.90,2),"")</f>
        <v>#ERROR!</v>
      </c>
      <c r="I12" s="198" t="str">
        <f>IFERROR(D12-H12,"")</f>
        <v>#ERROR!</v>
      </c>
    </row>
    <row r="13" ht="15.0" customHeight="1">
      <c r="A13" s="351" t="s">
        <v>461</v>
      </c>
      <c r="B13" s="138" t="s">
        <v>462</v>
      </c>
      <c r="C13" s="37" t="s">
        <v>439</v>
      </c>
      <c r="D13" s="194" t="str">
        <f>IFERROR(INDEX('Prix Vente'!C:C,MATCH(B13&amp;C13,'Prix Vente'!A:A&amp;'Prix Vente'!B:B,0)),"")</f>
        <v>#ERROR!</v>
      </c>
      <c r="E13" s="481" t="str">
        <f>IFERROR(INDEX('Cout de Revient'!I:I,MATCH(B13,'Cout de Revient'!B:B,0)),"")</f>
        <v>#ERROR!</v>
      </c>
      <c r="F13" s="194" t="str">
        <f>IFERROR(D13-E13/1.055,"")</f>
        <v>#ERROR!</v>
      </c>
      <c r="G13" s="482" t="str">
        <f>IFERROR(F13/(D13/1.055),"")</f>
        <v>#ERROR!</v>
      </c>
      <c r="H13" s="480" t="str">
        <f>IFERROR(ROUND(D13*0.90,2),"")</f>
        <v>#ERROR!</v>
      </c>
      <c r="I13" s="193" t="str">
        <f>IFERROR(D13-H13,"")</f>
        <v>#ERROR!</v>
      </c>
    </row>
    <row r="14" ht="15.0" customHeight="1">
      <c r="A14" s="351" t="s">
        <v>463</v>
      </c>
      <c r="B14" s="477" t="s">
        <v>464</v>
      </c>
      <c r="C14" s="33" t="s">
        <v>439</v>
      </c>
      <c r="D14" s="199" t="str">
        <f>IFERROR(INDEX('Prix Vente'!C:C,MATCH(B14&amp;C14,'Prix Vente'!A:A&amp;'Prix Vente'!B:B,0)),"")</f>
        <v>#ERROR!</v>
      </c>
      <c r="E14" s="478" t="str">
        <f>IFERROR(INDEX('Cout de Revient'!I:I,MATCH(B14,'Cout de Revient'!B:B,0)),"")</f>
        <v>#ERROR!</v>
      </c>
      <c r="F14" s="199" t="str">
        <f>IFERROR(D14-E14/1.055,"")</f>
        <v>#ERROR!</v>
      </c>
      <c r="G14" s="479" t="str">
        <f>IFERROR(F14/(D14/1.055),"")</f>
        <v>#ERROR!</v>
      </c>
      <c r="H14" s="480" t="str">
        <f>IFERROR(ROUND(D14*0.90,2),"")</f>
        <v>#ERROR!</v>
      </c>
      <c r="I14" s="198" t="str">
        <f>IFERROR(D14-H14,"")</f>
        <v>#ERROR!</v>
      </c>
    </row>
    <row r="15" ht="15.0" customHeight="1">
      <c r="A15" s="351" t="s">
        <v>465</v>
      </c>
      <c r="B15" s="138" t="s">
        <v>466</v>
      </c>
      <c r="C15" s="37" t="s">
        <v>439</v>
      </c>
      <c r="D15" s="194" t="str">
        <f>IFERROR(INDEX('Prix Vente'!C:C,MATCH(B15&amp;C15,'Prix Vente'!A:A&amp;'Prix Vente'!B:B,0)),"")</f>
        <v>#ERROR!</v>
      </c>
      <c r="E15" s="481" t="str">
        <f>IFERROR(INDEX('Cout de Revient'!I:I,MATCH(B15,'Cout de Revient'!B:B,0)),"")</f>
        <v>#ERROR!</v>
      </c>
      <c r="F15" s="194" t="str">
        <f>IFERROR(D15-E15/1.055,"")</f>
        <v>#ERROR!</v>
      </c>
      <c r="G15" s="482" t="str">
        <f>IFERROR(F15/(D15/1.055),"")</f>
        <v>#ERROR!</v>
      </c>
      <c r="H15" s="480" t="str">
        <f>IFERROR(ROUND(D15*0.90,2),"")</f>
        <v>#ERROR!</v>
      </c>
      <c r="I15" s="193" t="str">
        <f>IFERROR(D15-H15,"")</f>
        <v>#ERROR!</v>
      </c>
    </row>
    <row r="16" ht="15.0" customHeight="1">
      <c r="A16" s="351" t="s">
        <v>467</v>
      </c>
      <c r="B16" s="477" t="s">
        <v>468</v>
      </c>
      <c r="C16" s="33" t="s">
        <v>439</v>
      </c>
      <c r="D16" s="199" t="str">
        <f>IFERROR(INDEX('Prix Vente'!C:C,MATCH(B16&amp;C16,'Prix Vente'!A:A&amp;'Prix Vente'!B:B,0)),"")</f>
        <v>#ERROR!</v>
      </c>
      <c r="E16" s="478" t="str">
        <f>IFERROR(INDEX('Cout de Revient'!I:I,MATCH(B16,'Cout de Revient'!B:B,0)),"")</f>
        <v>#ERROR!</v>
      </c>
      <c r="F16" s="199" t="str">
        <f>IFERROR(D16-E16/1.055,"")</f>
        <v>#ERROR!</v>
      </c>
      <c r="G16" s="479" t="str">
        <f>IFERROR(F16/(D16/1.055),"")</f>
        <v>#ERROR!</v>
      </c>
      <c r="H16" s="480" t="str">
        <f>IFERROR(ROUND(D16*0.90,2),"")</f>
        <v>#ERROR!</v>
      </c>
      <c r="I16" s="198" t="str">
        <f>IFERROR(D16-H16,"")</f>
        <v>#ERROR!</v>
      </c>
    </row>
    <row r="17" ht="15.0" customHeight="1">
      <c r="A17" s="351" t="s">
        <v>469</v>
      </c>
      <c r="B17" s="138" t="s">
        <v>470</v>
      </c>
      <c r="C17" s="37" t="s">
        <v>439</v>
      </c>
      <c r="D17" s="194" t="str">
        <f>IFERROR(INDEX('Prix Vente'!C:C,MATCH(B17&amp;C17,'Prix Vente'!A:A&amp;'Prix Vente'!B:B,0)),"")</f>
        <v>#ERROR!</v>
      </c>
      <c r="E17" s="481" t="str">
        <f>IFERROR(INDEX('Cout de Revient'!I:I,MATCH(B17,'Cout de Revient'!B:B,0)),"")</f>
        <v>#ERROR!</v>
      </c>
      <c r="F17" s="194" t="str">
        <f>IFERROR(D17-E17/1.055,"")</f>
        <v>#ERROR!</v>
      </c>
      <c r="G17" s="482" t="str">
        <f>IFERROR(F17/(D17/1.055),"")</f>
        <v>#ERROR!</v>
      </c>
      <c r="H17" s="480" t="str">
        <f>IFERROR(ROUND(D17*0.90,2),"")</f>
        <v>#ERROR!</v>
      </c>
      <c r="I17" s="193" t="str">
        <f>IFERROR(D17-H17,"")</f>
        <v>#ERROR!</v>
      </c>
    </row>
    <row r="18" ht="15.0" customHeight="1">
      <c r="A18" s="351" t="s">
        <v>471</v>
      </c>
      <c r="B18" s="477" t="s">
        <v>472</v>
      </c>
      <c r="C18" s="33" t="s">
        <v>439</v>
      </c>
      <c r="D18" s="199" t="str">
        <f>IFERROR(INDEX('Prix Vente'!C:C,MATCH(B18&amp;C18,'Prix Vente'!A:A&amp;'Prix Vente'!B:B,0)),"")</f>
        <v>#ERROR!</v>
      </c>
      <c r="E18" s="478" t="str">
        <f>IFERROR(INDEX('Cout de Revient'!I:I,MATCH(B18,'Cout de Revient'!B:B,0)),"")</f>
        <v>#ERROR!</v>
      </c>
      <c r="F18" s="199" t="str">
        <f>IFERROR(D18-E18/1.055,"")</f>
        <v>#ERROR!</v>
      </c>
      <c r="G18" s="479" t="str">
        <f>IFERROR(F18/(D18/1.055),"")</f>
        <v>#ERROR!</v>
      </c>
      <c r="H18" s="480" t="str">
        <f>IFERROR(ROUND(D18*0.90,2),"")</f>
        <v>#ERROR!</v>
      </c>
      <c r="I18" s="198" t="str">
        <f>IFERROR(D18-H18,"")</f>
        <v>#ERROR!</v>
      </c>
    </row>
    <row r="19" ht="15.0" customHeight="1">
      <c r="A19" s="351" t="s">
        <v>473</v>
      </c>
      <c r="B19" s="138" t="s">
        <v>474</v>
      </c>
      <c r="C19" s="37" t="s">
        <v>448</v>
      </c>
      <c r="D19" s="194" t="str">
        <f>IFERROR(INDEX('Prix Vente'!C:C,MATCH(B19&amp;C19,'Prix Vente'!A:A&amp;'Prix Vente'!B:B,0)),"")</f>
        <v>#ERROR!</v>
      </c>
      <c r="E19" s="481" t="str">
        <f>IFERROR(INDEX('Cout de Revient'!I:I,MATCH(B19,'Cout de Revient'!B:B,0)),"")</f>
        <v>#ERROR!</v>
      </c>
      <c r="F19" s="194" t="str">
        <f>IFERROR(D19-E19/1.055,"")</f>
        <v>#ERROR!</v>
      </c>
      <c r="G19" s="482" t="str">
        <f>IFERROR(F19/(D19/1.055),"")</f>
        <v>#ERROR!</v>
      </c>
      <c r="H19" s="480" t="str">
        <f>IFERROR(ROUND(D19*0.90,2),"")</f>
        <v>#ERROR!</v>
      </c>
      <c r="I19" s="193" t="str">
        <f>IFERROR(D19-H19,"")</f>
        <v>#ERROR!</v>
      </c>
    </row>
    <row r="20" ht="15.0" customHeight="1">
      <c r="A20" s="351" t="s">
        <v>475</v>
      </c>
      <c r="B20" s="477" t="s">
        <v>476</v>
      </c>
      <c r="C20" s="33" t="s">
        <v>448</v>
      </c>
      <c r="D20" s="199" t="str">
        <f>IFERROR(INDEX('Prix Vente'!C:C,MATCH(B20&amp;C20,'Prix Vente'!A:A&amp;'Prix Vente'!B:B,0)),"")</f>
        <v>#ERROR!</v>
      </c>
      <c r="E20" s="478" t="str">
        <f>IFERROR(INDEX('Cout de Revient'!I:I,MATCH(B20,'Cout de Revient'!B:B,0)),"")</f>
        <v>#ERROR!</v>
      </c>
      <c r="F20" s="199" t="str">
        <f>IFERROR(D20-E20/1.055,"")</f>
        <v>#ERROR!</v>
      </c>
      <c r="G20" s="479" t="str">
        <f>IFERROR(F20/(D20/1.055),"")</f>
        <v>#ERROR!</v>
      </c>
      <c r="H20" s="480" t="str">
        <f>IFERROR(ROUND(D20*0.90,2),"")</f>
        <v>#ERROR!</v>
      </c>
      <c r="I20" s="198" t="str">
        <f>IFERROR(D20-H20,"")</f>
        <v>#ERROR!</v>
      </c>
    </row>
    <row r="21" ht="15.0" customHeight="1">
      <c r="A21" s="351" t="s">
        <v>477</v>
      </c>
      <c r="B21" s="138" t="s">
        <v>478</v>
      </c>
      <c r="C21" s="37" t="s">
        <v>448</v>
      </c>
      <c r="D21" s="194" t="str">
        <f>IFERROR(INDEX('Prix Vente'!C:C,MATCH(B21&amp;C21,'Prix Vente'!A:A&amp;'Prix Vente'!B:B,0)),"")</f>
        <v>#ERROR!</v>
      </c>
      <c r="E21" s="481" t="str">
        <f>IFERROR(INDEX('Cout de Revient'!I:I,MATCH(B21,'Cout de Revient'!B:B,0)),"")</f>
        <v>#ERROR!</v>
      </c>
      <c r="F21" s="194" t="str">
        <f>IFERROR(D21-E21/1.055,"")</f>
        <v>#ERROR!</v>
      </c>
      <c r="G21" s="482" t="str">
        <f>IFERROR(F21/(D21/1.055),"")</f>
        <v>#ERROR!</v>
      </c>
      <c r="H21" s="480" t="str">
        <f>IFERROR(ROUND(D21*0.90,2),"")</f>
        <v>#ERROR!</v>
      </c>
      <c r="I21" s="193" t="str">
        <f>IFERROR(D21-H21,"")</f>
        <v>#ERROR!</v>
      </c>
    </row>
    <row r="22" ht="15.0" customHeight="1">
      <c r="A22" s="351" t="s">
        <v>479</v>
      </c>
      <c r="B22" s="477" t="s">
        <v>480</v>
      </c>
      <c r="C22" s="33" t="s">
        <v>448</v>
      </c>
      <c r="D22" s="199" t="str">
        <f>IFERROR(INDEX('Prix Vente'!C:C,MATCH(B22&amp;C22,'Prix Vente'!A:A&amp;'Prix Vente'!B:B,0)),"")</f>
        <v>#ERROR!</v>
      </c>
      <c r="E22" s="478" t="str">
        <f>IFERROR(INDEX('Cout de Revient'!I:I,MATCH(B22,'Cout de Revient'!B:B,0)),"")</f>
        <v>#ERROR!</v>
      </c>
      <c r="F22" s="199" t="str">
        <f>IFERROR(D22-E22/1.055,"")</f>
        <v>#ERROR!</v>
      </c>
      <c r="G22" s="479" t="str">
        <f>IFERROR(F22/(D22/1.055),"")</f>
        <v>#ERROR!</v>
      </c>
      <c r="H22" s="480" t="str">
        <f>IFERROR(ROUND(D22*0.90,2),"")</f>
        <v>#ERROR!</v>
      </c>
      <c r="I22" s="198" t="str">
        <f>IFERROR(D22-H22,"")</f>
        <v>#ERROR!</v>
      </c>
    </row>
    <row r="23" ht="15.0" customHeight="1">
      <c r="A23" s="351" t="s">
        <v>481</v>
      </c>
      <c r="B23" s="138" t="s">
        <v>482</v>
      </c>
      <c r="C23" s="37" t="s">
        <v>448</v>
      </c>
      <c r="D23" s="194" t="str">
        <f>IFERROR(INDEX('Prix Vente'!C:C,MATCH(B23&amp;C23,'Prix Vente'!A:A&amp;'Prix Vente'!B:B,0)),"")</f>
        <v>#ERROR!</v>
      </c>
      <c r="E23" s="481" t="str">
        <f>IFERROR(INDEX('Cout de Revient'!I:I,MATCH(B23,'Cout de Revient'!B:B,0)),"")</f>
        <v>#ERROR!</v>
      </c>
      <c r="F23" s="194" t="str">
        <f>IFERROR(D23-E23/1.055,"")</f>
        <v>#ERROR!</v>
      </c>
      <c r="G23" s="482" t="str">
        <f>IFERROR(F23/(D23/1.055),"")</f>
        <v>#ERROR!</v>
      </c>
      <c r="H23" s="480" t="str">
        <f>IFERROR(ROUND(D23*0.90,2),"")</f>
        <v>#ERROR!</v>
      </c>
      <c r="I23" s="193" t="str">
        <f>IFERROR(D23-H23,"")</f>
        <v>#ERROR!</v>
      </c>
    </row>
    <row r="24" ht="15.0" customHeight="1">
      <c r="A24" s="351" t="s">
        <v>483</v>
      </c>
      <c r="B24" s="477" t="s">
        <v>484</v>
      </c>
      <c r="C24" s="33" t="s">
        <v>452</v>
      </c>
      <c r="D24" s="199" t="str">
        <f>IFERROR(INDEX('Prix Vente'!C:C,MATCH(B24&amp;C24,'Prix Vente'!A:A&amp;'Prix Vente'!B:B,0)),"")</f>
        <v>#ERROR!</v>
      </c>
      <c r="E24" s="478" t="str">
        <f>IFERROR(INDEX('Cout de Revient'!I:I,MATCH(B24,'Cout de Revient'!B:B,0)),"")</f>
        <v>#ERROR!</v>
      </c>
      <c r="F24" s="199" t="str">
        <f>IFERROR(D24-E24/1.055,"")</f>
        <v>#ERROR!</v>
      </c>
      <c r="G24" s="479" t="str">
        <f>IFERROR(F24/(D24/1.055),"")</f>
        <v>#ERROR!</v>
      </c>
      <c r="H24" s="480" t="str">
        <f>IFERROR(ROUND(D24*0.90,2),"")</f>
        <v>#ERROR!</v>
      </c>
      <c r="I24" s="198" t="str">
        <f>IFERROR(D24-H24,"")</f>
        <v>#ERROR!</v>
      </c>
    </row>
    <row r="25" ht="15.0" customHeight="1">
      <c r="A25" s="351" t="s">
        <v>485</v>
      </c>
      <c r="B25" s="138" t="s">
        <v>486</v>
      </c>
      <c r="C25" s="37" t="s">
        <v>452</v>
      </c>
      <c r="D25" s="194" t="str">
        <f>IFERROR(INDEX('Prix Vente'!C:C,MATCH(B25&amp;C25,'Prix Vente'!A:A&amp;'Prix Vente'!B:B,0)),"")</f>
        <v>#ERROR!</v>
      </c>
      <c r="E25" s="481" t="str">
        <f>IFERROR(INDEX('Cout de Revient'!I:I,MATCH(B25,'Cout de Revient'!B:B,0)),"")</f>
        <v>#ERROR!</v>
      </c>
      <c r="F25" s="194" t="str">
        <f>IFERROR(D25-E25/1.055,"")</f>
        <v>#ERROR!</v>
      </c>
      <c r="G25" s="482" t="str">
        <f>IFERROR(F25/(D25/1.055),"")</f>
        <v>#ERROR!</v>
      </c>
      <c r="H25" s="480" t="str">
        <f>IFERROR(ROUND(D25*0.90,2),"")</f>
        <v>#ERROR!</v>
      </c>
      <c r="I25" s="193" t="str">
        <f>IFERROR(D25-H25,"")</f>
        <v>#ERROR!</v>
      </c>
    </row>
    <row r="26" ht="15.0" customHeight="1">
      <c r="A26" s="351" t="s">
        <v>487</v>
      </c>
      <c r="B26" s="477" t="s">
        <v>488</v>
      </c>
      <c r="C26" s="33" t="s">
        <v>489</v>
      </c>
      <c r="D26" s="199" t="str">
        <f>IFERROR(INDEX('Prix Vente'!C:C,MATCH(B26&amp;C26,'Prix Vente'!A:A&amp;'Prix Vente'!B:B,0)),"")</f>
        <v>#ERROR!</v>
      </c>
      <c r="E26" s="478" t="str">
        <f>IFERROR(INDEX('Cout de Revient'!I:I,MATCH(B26,'Cout de Revient'!B:B,0)),"")</f>
        <v>#ERROR!</v>
      </c>
      <c r="F26" s="199" t="str">
        <f>IFERROR(D26-E26/1.055,"")</f>
        <v>#ERROR!</v>
      </c>
      <c r="G26" s="479" t="str">
        <f>IFERROR(F26/(D26/1.055),"")</f>
        <v>#ERROR!</v>
      </c>
      <c r="H26" s="480" t="str">
        <f>IFERROR(ROUND(D26*0.90,2),"")</f>
        <v>#ERROR!</v>
      </c>
      <c r="I26" s="198" t="str">
        <f>IFERROR(D26-H26,"")</f>
        <v>#ERROR!</v>
      </c>
    </row>
    <row r="27" ht="15.0" customHeight="1">
      <c r="A27" s="351" t="s">
        <v>490</v>
      </c>
      <c r="B27" s="138" t="s">
        <v>491</v>
      </c>
      <c r="C27" s="37" t="s">
        <v>452</v>
      </c>
      <c r="D27" s="194" t="str">
        <f>IFERROR(INDEX('Prix Vente'!C:C,MATCH(B27&amp;C27,'Prix Vente'!A:A&amp;'Prix Vente'!B:B,0)),"")</f>
        <v>#ERROR!</v>
      </c>
      <c r="E27" s="481" t="str">
        <f>IFERROR(INDEX('Cout de Revient'!I:I,MATCH(B27,'Cout de Revient'!B:B,0)),"")</f>
        <v>#ERROR!</v>
      </c>
      <c r="F27" s="194" t="str">
        <f>IFERROR(D27-E27/1.055,"")</f>
        <v>#ERROR!</v>
      </c>
      <c r="G27" s="482" t="str">
        <f>IFERROR(F27/(D27/1.055),"")</f>
        <v>#ERROR!</v>
      </c>
      <c r="H27" s="480" t="str">
        <f>IFERROR(ROUND(D27*0.90,2),"")</f>
        <v>#ERROR!</v>
      </c>
      <c r="I27" s="193" t="str">
        <f>IFERROR(D27-H27,"")</f>
        <v>#ERROR!</v>
      </c>
    </row>
    <row r="28" ht="15.0" customHeight="1">
      <c r="A28" s="351" t="s">
        <v>492</v>
      </c>
      <c r="B28" s="477" t="s">
        <v>493</v>
      </c>
      <c r="C28" s="33" t="s">
        <v>452</v>
      </c>
      <c r="D28" s="199" t="str">
        <f>IFERROR(INDEX('Prix Vente'!C:C,MATCH(B28&amp;C28,'Prix Vente'!A:A&amp;'Prix Vente'!B:B,0)),"")</f>
        <v>#ERROR!</v>
      </c>
      <c r="E28" s="478" t="str">
        <f>IFERROR(INDEX('Cout de Revient'!I:I,MATCH(B28,'Cout de Revient'!B:B,0)),"")</f>
        <v>#ERROR!</v>
      </c>
      <c r="F28" s="199" t="str">
        <f>IFERROR(D28-E28/1.055,"")</f>
        <v>#ERROR!</v>
      </c>
      <c r="G28" s="479" t="str">
        <f>IFERROR(F28/(D28/1.055),"")</f>
        <v>#ERROR!</v>
      </c>
      <c r="H28" s="480" t="str">
        <f>IFERROR(ROUND(D28*0.90,2),"")</f>
        <v>#ERROR!</v>
      </c>
      <c r="I28" s="198" t="str">
        <f>IFERROR(D28-H28,"")</f>
        <v>#ERROR!</v>
      </c>
    </row>
    <row r="29" ht="15.0" customHeight="1">
      <c r="A29" s="351" t="s">
        <v>494</v>
      </c>
      <c r="B29" s="138" t="s">
        <v>495</v>
      </c>
      <c r="C29" s="37" t="s">
        <v>452</v>
      </c>
      <c r="D29" s="194" t="str">
        <f>IFERROR(INDEX('Prix Vente'!C:C,MATCH(B29&amp;C29,'Prix Vente'!A:A&amp;'Prix Vente'!B:B,0)),"")</f>
        <v>#ERROR!</v>
      </c>
      <c r="E29" s="481" t="str">
        <f>IFERROR(INDEX('Cout de Revient'!I:I,MATCH(B29,'Cout de Revient'!B:B,0)),"")</f>
        <v>#ERROR!</v>
      </c>
      <c r="F29" s="194" t="str">
        <f>IFERROR(D29-E29/1.055,"")</f>
        <v>#ERROR!</v>
      </c>
      <c r="G29" s="482" t="str">
        <f>IFERROR(F29/(D29/1.055),"")</f>
        <v>#ERROR!</v>
      </c>
      <c r="H29" s="480" t="str">
        <f>IFERROR(ROUND(D29*0.90,2),"")</f>
        <v>#ERROR!</v>
      </c>
      <c r="I29" s="193" t="str">
        <f>IFERROR(D29-H29,"")</f>
        <v>#ERROR!</v>
      </c>
    </row>
    <row r="30" ht="15.0" customHeight="1">
      <c r="A30" s="351" t="s">
        <v>497</v>
      </c>
      <c r="B30" s="477" t="s">
        <v>498</v>
      </c>
      <c r="C30" s="33" t="s">
        <v>456</v>
      </c>
      <c r="D30" s="199" t="str">
        <f>IFERROR(INDEX('Prix Vente'!C:C,MATCH(B30&amp;C30,'Prix Vente'!A:A&amp;'Prix Vente'!B:B,0)),"")</f>
        <v>#ERROR!</v>
      </c>
      <c r="E30" s="478" t="str">
        <f>IFERROR(INDEX('Cout de Revient'!I:I,MATCH(B30,'Cout de Revient'!B:B,0)),"")</f>
        <v>#ERROR!</v>
      </c>
      <c r="F30" s="199" t="str">
        <f>IFERROR(D30-E30/1.055,"")</f>
        <v>#ERROR!</v>
      </c>
      <c r="G30" s="479" t="str">
        <f>IFERROR(F30/(D30/1.055),"")</f>
        <v>#ERROR!</v>
      </c>
      <c r="H30" s="480" t="str">
        <f>IFERROR(ROUND(D30*0.90,2),"")</f>
        <v>#ERROR!</v>
      </c>
      <c r="I30" s="198" t="str">
        <f>IFERROR(D30-H30,"")</f>
        <v>#ERROR!</v>
      </c>
    </row>
    <row r="31" ht="15.0" customHeight="1">
      <c r="A31" s="351" t="s">
        <v>499</v>
      </c>
      <c r="B31" s="138" t="s">
        <v>500</v>
      </c>
      <c r="C31" s="37" t="s">
        <v>456</v>
      </c>
      <c r="D31" s="194" t="str">
        <f>IFERROR(INDEX('Prix Vente'!C:C,MATCH(B31&amp;C31,'Prix Vente'!A:A&amp;'Prix Vente'!B:B,0)),"")</f>
        <v>#ERROR!</v>
      </c>
      <c r="E31" s="481" t="str">
        <f>IFERROR(INDEX('Cout de Revient'!I:I,MATCH(B31,'Cout de Revient'!B:B,0)),"")</f>
        <v>#ERROR!</v>
      </c>
      <c r="F31" s="194" t="str">
        <f>IFERROR(D31-E31/1.055,"")</f>
        <v>#ERROR!</v>
      </c>
      <c r="G31" s="482" t="str">
        <f>IFERROR(F31/(D31/1.055),"")</f>
        <v>#ERROR!</v>
      </c>
      <c r="H31" s="480" t="str">
        <f>IFERROR(ROUND(D31*0.90,2),"")</f>
        <v>#ERROR!</v>
      </c>
      <c r="I31" s="193" t="str">
        <f>IFERROR(D31-H31,"")</f>
        <v>#ERROR!</v>
      </c>
    </row>
    <row r="32" ht="15.0" customHeight="1">
      <c r="A32" s="351" t="s">
        <v>501</v>
      </c>
      <c r="B32" s="477" t="s">
        <v>502</v>
      </c>
      <c r="C32" s="33" t="s">
        <v>456</v>
      </c>
      <c r="D32" s="199" t="str">
        <f>IFERROR(INDEX('Prix Vente'!C:C,MATCH(B32&amp;C32,'Prix Vente'!A:A&amp;'Prix Vente'!B:B,0)),"")</f>
        <v>#ERROR!</v>
      </c>
      <c r="E32" s="478" t="str">
        <f>IFERROR(INDEX('Cout de Revient'!I:I,MATCH(B32,'Cout de Revient'!B:B,0)),"")</f>
        <v>#ERROR!</v>
      </c>
      <c r="F32" s="199" t="str">
        <f>IFERROR(D32-E32/1.055,"")</f>
        <v>#ERROR!</v>
      </c>
      <c r="G32" s="479" t="str">
        <f>IFERROR(F32/(D32/1.055),"")</f>
        <v>#ERROR!</v>
      </c>
      <c r="H32" s="480" t="str">
        <f>IFERROR(ROUND(D32*0.90,2),"")</f>
        <v>#ERROR!</v>
      </c>
      <c r="I32" s="198" t="str">
        <f>IFERROR(D32-H32,"")</f>
        <v>#ERROR!</v>
      </c>
    </row>
    <row r="33" ht="15.0" customHeight="1">
      <c r="A33" s="351" t="s">
        <v>503</v>
      </c>
      <c r="B33" s="138" t="s">
        <v>504</v>
      </c>
      <c r="C33" s="37" t="s">
        <v>448</v>
      </c>
      <c r="D33" s="194" t="str">
        <f>IFERROR(INDEX('Prix Vente'!C:C,MATCH(B33&amp;C33,'Prix Vente'!A:A&amp;'Prix Vente'!B:B,0)),"")</f>
        <v>#ERROR!</v>
      </c>
      <c r="E33" s="481" t="str">
        <f>IFERROR(INDEX('Cout de Revient'!I:I,MATCH(B33,'Cout de Revient'!B:B,0)),"")</f>
        <v>#ERROR!</v>
      </c>
      <c r="F33" s="194" t="str">
        <f>IFERROR(D33-E33/1.055,"")</f>
        <v>#ERROR!</v>
      </c>
      <c r="G33" s="482" t="str">
        <f>IFERROR(F33/(D33/1.055),"")</f>
        <v>#ERROR!</v>
      </c>
      <c r="H33" s="480" t="str">
        <f>IFERROR(ROUND(D33*0.90,2),"")</f>
        <v>#ERROR!</v>
      </c>
      <c r="I33" s="193" t="str">
        <f>IFERROR(D33-H33,"")</f>
        <v>#ERROR!</v>
      </c>
    </row>
    <row r="34" ht="15.0" customHeight="1">
      <c r="A34" s="351" t="s">
        <v>505</v>
      </c>
      <c r="B34" s="477" t="s">
        <v>506</v>
      </c>
      <c r="C34" s="33" t="s">
        <v>448</v>
      </c>
      <c r="D34" s="199" t="str">
        <f>IFERROR(INDEX('Prix Vente'!C:C,MATCH(B34&amp;C34,'Prix Vente'!A:A&amp;'Prix Vente'!B:B,0)),"")</f>
        <v>#ERROR!</v>
      </c>
      <c r="E34" s="478" t="str">
        <f>IFERROR(INDEX('Cout de Revient'!I:I,MATCH(B34,'Cout de Revient'!B:B,0)),"")</f>
        <v>#ERROR!</v>
      </c>
      <c r="F34" s="199" t="str">
        <f>IFERROR(D34-E34/1.055,"")</f>
        <v>#ERROR!</v>
      </c>
      <c r="G34" s="479" t="str">
        <f>IFERROR(F34/(D34/1.055),"")</f>
        <v>#ERROR!</v>
      </c>
      <c r="H34" s="480" t="str">
        <f>IFERROR(ROUND(D34*0.90,2),"")</f>
        <v>#ERROR!</v>
      </c>
      <c r="I34" s="198" t="str">
        <f>IFERROR(D34-H34,"")</f>
        <v>#ERROR!</v>
      </c>
    </row>
    <row r="37" ht="16.5" customHeight="1">
      <c r="A37" s="261" t="s">
        <v>1356</v>
      </c>
    </row>
    <row r="38" ht="19.5" customHeight="1">
      <c r="A38" s="31" t="s">
        <v>1357</v>
      </c>
      <c r="B38" s="31" t="s">
        <v>1358</v>
      </c>
      <c r="C38" s="31" t="s">
        <v>1086</v>
      </c>
      <c r="D38" s="31" t="s">
        <v>1359</v>
      </c>
      <c r="E38" s="31" t="s">
        <v>1360</v>
      </c>
      <c r="F38" s="31" t="s">
        <v>81</v>
      </c>
      <c r="G38" s="31" t="s">
        <v>1361</v>
      </c>
      <c r="H38" s="31" t="s">
        <v>707</v>
      </c>
      <c r="I38" s="31" t="s">
        <v>619</v>
      </c>
      <c r="J38" s="31" t="s">
        <v>1362</v>
      </c>
    </row>
    <row r="39" ht="16.5" customHeight="1">
      <c r="A39" s="483" t="s">
        <v>1363</v>
      </c>
      <c r="B39" s="484" t="s">
        <v>1364</v>
      </c>
      <c r="C39" s="485">
        <v>1.0</v>
      </c>
      <c r="D39" s="486" t="str">
        <f>IFERROR(C39*D6,"")</f>
        <v>#ERROR!</v>
      </c>
      <c r="E39" s="487">
        <v>15.0</v>
      </c>
      <c r="F39" s="488" t="str">
        <f>IFERROR((D39-E39)/D39,"")</f>
        <v>#ERROR!</v>
      </c>
      <c r="G39" s="489" t="str">
        <f>IFERROR(C39*E6,"")</f>
        <v>#ERROR!</v>
      </c>
      <c r="H39" s="490" t="str">
        <f>IFERROR(E39/1.055-G39,"")</f>
        <v>#ERROR!</v>
      </c>
      <c r="I39" s="491" t="str">
        <f>IFERROR(H39/(E39/1.055),"")</f>
        <v>#ERROR!</v>
      </c>
      <c r="J39" s="492">
        <v>50.0</v>
      </c>
    </row>
    <row r="40" ht="16.5" customHeight="1">
      <c r="A40" s="483" t="s">
        <v>1365</v>
      </c>
      <c r="B40" s="138" t="s">
        <v>1366</v>
      </c>
      <c r="C40" s="493">
        <v>3.0</v>
      </c>
      <c r="D40" s="193" t="str">
        <f>IFERROR(C40*D6,"")</f>
        <v>#ERROR!</v>
      </c>
      <c r="E40" s="487">
        <v>38.0</v>
      </c>
      <c r="F40" s="494" t="str">
        <f>IFERROR((D40-E40)/D40,"")</f>
        <v>#ERROR!</v>
      </c>
      <c r="G40" s="481" t="str">
        <f>IFERROR(C40*E6,"")</f>
        <v>#ERROR!</v>
      </c>
      <c r="H40" s="194" t="str">
        <f>IFERROR(E40/1.055-G40,"")</f>
        <v>#ERROR!</v>
      </c>
      <c r="I40" s="482" t="str">
        <f>IFERROR(H40/(E40/1.055),"")</f>
        <v>#ERROR!</v>
      </c>
      <c r="J40" s="492">
        <v>50.0</v>
      </c>
    </row>
    <row r="41" ht="16.5" customHeight="1">
      <c r="A41" s="483" t="s">
        <v>1367</v>
      </c>
      <c r="B41" s="484" t="s">
        <v>1368</v>
      </c>
      <c r="C41" s="485">
        <v>3.0</v>
      </c>
      <c r="D41" s="486" t="str">
        <f>IFERROR(C41*D6,"")</f>
        <v>#ERROR!</v>
      </c>
      <c r="E41" s="487">
        <v>76.0</v>
      </c>
      <c r="F41" s="488" t="str">
        <f>IFERROR((D41-E41)/D41,"")</f>
        <v>#ERROR!</v>
      </c>
      <c r="G41" s="489" t="str">
        <f>IFERROR(C41*E6,"")</f>
        <v>#ERROR!</v>
      </c>
      <c r="H41" s="490" t="str">
        <f>IFERROR(E41/1.055-G41,"")</f>
        <v>#ERROR!</v>
      </c>
      <c r="I41" s="491" t="str">
        <f>IFERROR(H41/(E41/1.055),"")</f>
        <v>#ERROR!</v>
      </c>
      <c r="J41" s="492">
        <v>50.0</v>
      </c>
    </row>
    <row r="42" ht="16.5" customHeight="1">
      <c r="A42" s="483" t="s">
        <v>1369</v>
      </c>
      <c r="B42" s="138" t="s">
        <v>1370</v>
      </c>
      <c r="C42" s="493">
        <v>6.0</v>
      </c>
      <c r="D42" s="193" t="str">
        <f>IFERROR(C42*D6,"")</f>
        <v>#ERROR!</v>
      </c>
      <c r="E42" s="487">
        <v>152.0</v>
      </c>
      <c r="F42" s="494" t="str">
        <f>IFERROR((D42-E42)/D42,"")</f>
        <v>#ERROR!</v>
      </c>
      <c r="G42" s="481" t="str">
        <f>IFERROR(C42*E6,"")</f>
        <v>#ERROR!</v>
      </c>
      <c r="H42" s="194" t="str">
        <f>IFERROR(E42/1.055-G42,"")</f>
        <v>#ERROR!</v>
      </c>
      <c r="I42" s="482" t="str">
        <f>IFERROR(H42/(E42/1.055),"")</f>
        <v>#ERROR!</v>
      </c>
      <c r="J42" s="492">
        <v>50.0</v>
      </c>
    </row>
    <row r="43" ht="16.5" customHeight="1">
      <c r="A43" s="483" t="s">
        <v>1371</v>
      </c>
      <c r="B43" s="484" t="s">
        <v>1372</v>
      </c>
      <c r="C43" s="485">
        <v>12.0</v>
      </c>
      <c r="D43" s="486" t="str">
        <f>IFERROR(C43*D6,"")</f>
        <v>#ERROR!</v>
      </c>
      <c r="E43" s="487">
        <v>127.0</v>
      </c>
      <c r="F43" s="488" t="str">
        <f>IFERROR((D43-E43)/D43,"")</f>
        <v>#ERROR!</v>
      </c>
      <c r="G43" s="489" t="str">
        <f>IFERROR(C43*E6,"")</f>
        <v>#ERROR!</v>
      </c>
      <c r="H43" s="490" t="str">
        <f>IFERROR(E43/1.055-G43,"")</f>
        <v>#ERROR!</v>
      </c>
      <c r="I43" s="491" t="str">
        <f>IFERROR(H43/(E43/1.055),"")</f>
        <v>#ERROR!</v>
      </c>
      <c r="J43" s="492">
        <v>50.0</v>
      </c>
    </row>
    <row r="44" ht="16.5" customHeight="1">
      <c r="A44" s="483" t="s">
        <v>1373</v>
      </c>
      <c r="B44" s="138" t="s">
        <v>1374</v>
      </c>
      <c r="C44" s="493">
        <v>24.0</v>
      </c>
      <c r="D44" s="193" t="str">
        <f>IFERROR(C44*D6,"")</f>
        <v>#ERROR!</v>
      </c>
      <c r="E44" s="487">
        <v>245.0</v>
      </c>
      <c r="F44" s="494" t="str">
        <f>IFERROR((D44-E44)/D44,"")</f>
        <v>#ERROR!</v>
      </c>
      <c r="G44" s="481" t="str">
        <f>IFERROR(C44*E6,"")</f>
        <v>#ERROR!</v>
      </c>
      <c r="H44" s="194" t="str">
        <f>IFERROR(E44/1.055-G44,"")</f>
        <v>#ERROR!</v>
      </c>
      <c r="I44" s="482" t="str">
        <f>IFERROR(H44/(E44/1.055),"")</f>
        <v>#ERROR!</v>
      </c>
      <c r="J44" s="492">
        <v>50.0</v>
      </c>
    </row>
    <row r="45" ht="16.5" customHeight="1">
      <c r="A45" s="483" t="s">
        <v>1375</v>
      </c>
      <c r="B45" s="484" t="s">
        <v>1376</v>
      </c>
      <c r="C45" s="485">
        <v>48.0</v>
      </c>
      <c r="D45" s="486" t="str">
        <f>IFERROR(C45*D6,"")</f>
        <v>#ERROR!</v>
      </c>
      <c r="E45" s="487">
        <v>490.0</v>
      </c>
      <c r="F45" s="488" t="str">
        <f>IFERROR((D45-E45)/D45,"")</f>
        <v>#ERROR!</v>
      </c>
      <c r="G45" s="489" t="str">
        <f>IFERROR(C45*E6,"")</f>
        <v>#ERROR!</v>
      </c>
      <c r="H45" s="490" t="str">
        <f>IFERROR(E45/1.055-G45,"")</f>
        <v>#ERROR!</v>
      </c>
      <c r="I45" s="491" t="str">
        <f>IFERROR(H45/(E45/1.055),"")</f>
        <v>#ERROR!</v>
      </c>
      <c r="J45" s="492">
        <v>50.0</v>
      </c>
    </row>
  </sheetData>
  <mergeCells count="4">
    <mergeCell ref="A1:J1"/>
    <mergeCell ref="A2:J2"/>
    <mergeCell ref="A4:J4"/>
    <mergeCell ref="A37:J37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860B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5" width="27.63"/>
  </cols>
  <sheetData>
    <row r="1" ht="25.5" customHeight="1">
      <c r="A1" s="30" t="s">
        <v>1377</v>
      </c>
    </row>
    <row r="2" ht="25.5" customHeight="1">
      <c r="A2" s="141" t="s">
        <v>1378</v>
      </c>
    </row>
    <row r="3" ht="21.0" customHeight="1">
      <c r="A3" s="31" t="s">
        <v>54</v>
      </c>
      <c r="B3" s="31" t="s">
        <v>1379</v>
      </c>
      <c r="C3" s="31" t="s">
        <v>1380</v>
      </c>
      <c r="D3" s="31" t="s">
        <v>919</v>
      </c>
      <c r="E3" s="31" t="s">
        <v>1381</v>
      </c>
    </row>
    <row r="4" ht="21.0" customHeight="1">
      <c r="A4" s="14" t="s">
        <v>1382</v>
      </c>
      <c r="B4" s="495" t="str">
        <f>IF('Assistant Production'!J4="URGENT","URGENT : lancer lot "&amp;'Assistant Production'!A4,"Aucune urgence production")</f>
        <v>#ERROR!</v>
      </c>
      <c r="C4" s="128"/>
      <c r="D4" s="128"/>
      <c r="E4" s="128"/>
    </row>
    <row r="5" ht="21.0" customHeight="1">
      <c r="A5" s="14" t="s">
        <v>1383</v>
      </c>
      <c r="B5" s="496" t="str">
        <f>IF(IFERROR(COUNTIF(Stock!G6:G205,"Rupture"),0)&gt;0,COUNTIF(Stock!G6:G205,"Rupture")&amp;" MP en rupture — voir feuille Achats","Stocks MP OK")</f>
        <v>#ERROR!</v>
      </c>
      <c r="C5" s="62"/>
      <c r="D5" s="62"/>
      <c r="E5" s="62"/>
    </row>
    <row r="6" ht="21.0" customHeight="1">
      <c r="A6" s="14" t="s">
        <v>158</v>
      </c>
      <c r="B6" s="495" t="str">
        <f>IF(IFERROR(COUNTIF(DDM!G4:G303,"Expire"),0)&gt;0,COUNTIF(DDM!G4:G303,"Expire")&amp;" lots expires — action immediate","")&amp;IF(IFERROR(COUNTIF(DDM!G4:G303,"Proche"),0)&gt;0," · "&amp;COUNTIF(DDM!G4:G303,"Proche")&amp;" lots proches DDM","")</f>
        <v>#ERROR!</v>
      </c>
      <c r="C6" s="128"/>
      <c r="D6" s="128"/>
      <c r="E6" s="128"/>
    </row>
    <row r="7" ht="21.0" customHeight="1">
      <c r="A7" s="14" t="s">
        <v>202</v>
      </c>
      <c r="B7" s="496" t="str">
        <f>IF(IFERROR(COUNTIF(HACCP!F4:F403,"NC"),0)&gt;0,COUNTIF(HACCP!F4:F403,"NC")&amp;" non-conformites ouvertes — voir feuille HACCP","HACCP OK")</f>
        <v>#ERROR!</v>
      </c>
      <c r="C7" s="62"/>
      <c r="D7" s="62"/>
      <c r="E7" s="62"/>
    </row>
    <row r="8" ht="21.0" customHeight="1">
      <c r="A8" s="14" t="s">
        <v>1384</v>
      </c>
      <c r="B8" s="495" t="str">
        <f>IF(IFERROR(COUNTIF(Autoclaves!J4:J303,"Sous-temperature"),0)&gt;0,COUNTIF(Autoclaves!J4:J303,"Sous-temperature")&amp;" cycles sous-temperature — reanalyse requis","Autoclaves OK")</f>
        <v>#ERROR!</v>
      </c>
      <c r="C8" s="128"/>
      <c r="D8" s="128"/>
      <c r="E8" s="128"/>
    </row>
    <row r="9" ht="21.0" customHeight="1">
      <c r="A9" s="14" t="s">
        <v>1385</v>
      </c>
      <c r="B9" s="496" t="str">
        <f>IF('Pilotage Financier'!B4&gt;'Pilotage Financier'!B8,"CA "&amp;TEXT('Pilotage Financier'!B4,"EUR#,##0")&amp;" &gt; seuil "&amp;TEXT('Pilotage Financier'!B8,"EUR#,##0")&amp;" — situation favorable","ATTENTION : CA "&amp;TEXT('Pilotage Financier'!B4,"EUR#,##0")&amp;" sous le seuil "&amp;TEXT('Pilotage Financier'!B8,"EUR#,##0"))</f>
        <v>#ERROR!</v>
      </c>
      <c r="C9" s="62"/>
      <c r="D9" s="62"/>
      <c r="E9" s="62"/>
    </row>
    <row r="10" ht="21.0" customHeight="1">
      <c r="A10" s="14" t="s">
        <v>1386</v>
      </c>
      <c r="B10" s="495" t="str">
        <f>IF(IFERROR(COUNTIF('Plan Nettoyage'!K5:K18,"A faire"),0)&gt;0,COUNTIF('Plan Nettoyage'!K5:K18,"A faire")&amp;" zones non validees ce mois — voir Plan Nettoyage","Nettoyage complet ce mois")</f>
        <v>#ERROR!</v>
      </c>
      <c r="C10" s="128"/>
      <c r="D10" s="128"/>
      <c r="E10" s="128"/>
    </row>
  </sheetData>
  <mergeCells count="2">
    <mergeCell ref="A1:L1"/>
    <mergeCell ref="A2:L2"/>
  </mergeCells>
  <drawing r:id="rId1"/>
</worksheet>
</file>